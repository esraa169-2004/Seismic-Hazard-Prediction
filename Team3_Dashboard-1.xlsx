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hidePivotFieldList="1"/>
  <mc:AlternateContent xmlns:mc="http://schemas.openxmlformats.org/markup-compatibility/2006">
    <mc:Choice Requires="x15">
      <x15ac:absPath xmlns:x15ac="http://schemas.microsoft.com/office/spreadsheetml/2010/11/ac" url="/Users/habibaamir/Desktop/untitled folder/"/>
    </mc:Choice>
  </mc:AlternateContent>
  <xr:revisionPtr revIDLastSave="0" documentId="13_ncr:1_{069F4EED-0104-B044-AE8B-48CC801871F9}" xr6:coauthVersionLast="47" xr6:coauthVersionMax="47" xr10:uidLastSave="{00000000-0000-0000-0000-000000000000}"/>
  <bookViews>
    <workbookView xWindow="0" yWindow="0" windowWidth="28800" windowHeight="18000" tabRatio="500" activeTab="2" xr2:uid="{00000000-000D-0000-FFFF-FFFF00000000}"/>
  </bookViews>
  <sheets>
    <sheet name="csv_result-seismic-bumps" sheetId="1" r:id="rId1"/>
    <sheet name="pivot tables" sheetId="2" r:id="rId2"/>
    <sheet name="dashboard" sheetId="3" r:id="rId3"/>
  </sheets>
  <externalReferences>
    <externalReference r:id="rId4"/>
  </externalReferences>
  <definedNames>
    <definedName name="_xlchart.v1.0" hidden="1">'[1]Sales Data'!$AF$40:$AF$46</definedName>
    <definedName name="_xlchart.v1.1" hidden="1">'[1]Sales Data'!$AG$39</definedName>
    <definedName name="_xlchart.v1.2" hidden="1">'[1]Sales Data'!$AG$40:$AG$46</definedName>
    <definedName name="Slicer_genergy_magnitude">#N/A</definedName>
    <definedName name="Slicer_genergy_outlier">#N/A</definedName>
    <definedName name="Slicer_seismic">#N/A</definedName>
    <definedName name="Slicer_seismoacoustic">#N/A</definedName>
    <definedName name="Slicer_shift_lable">#N/A</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X3" i="1" l="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 i="1"/>
  <c r="AA3" i="1"/>
  <c r="AA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 i="1"/>
  <c r="J5" i="2"/>
  <c r="I5" i="2"/>
  <c r="H5" i="2"/>
  <c r="G5" i="2"/>
  <c r="F5" i="2"/>
  <c r="E5" i="2"/>
  <c r="D5" i="2"/>
  <c r="C5" i="2"/>
  <c r="B5" i="2"/>
  <c r="A5" i="2"/>
  <c r="AA4" i="1" l="1"/>
  <c r="AA6" i="1" s="1"/>
  <c r="AA5" i="1" l="1"/>
</calcChain>
</file>

<file path=xl/sharedStrings.xml><?xml version="1.0" encoding="utf-8"?>
<sst xmlns="http://schemas.openxmlformats.org/spreadsheetml/2006/main" count="10408" uniqueCount="53">
  <si>
    <t>id</t>
  </si>
  <si>
    <t>seismic</t>
  </si>
  <si>
    <t>seismoacoustic</t>
  </si>
  <si>
    <t>shift</t>
  </si>
  <si>
    <t>genergy</t>
  </si>
  <si>
    <t>gpuls</t>
  </si>
  <si>
    <t>gdenergy</t>
  </si>
  <si>
    <t>gdpuls</t>
  </si>
  <si>
    <t>ghazard</t>
  </si>
  <si>
    <t>nbumps</t>
  </si>
  <si>
    <t>nbumps2</t>
  </si>
  <si>
    <t>nbumps3</t>
  </si>
  <si>
    <t>nbumps4</t>
  </si>
  <si>
    <t>nbumps5</t>
  </si>
  <si>
    <t>nbumps6</t>
  </si>
  <si>
    <t>nbumps7</t>
  </si>
  <si>
    <t>nbumps89</t>
  </si>
  <si>
    <t>energy</t>
  </si>
  <si>
    <t>maxenergy</t>
  </si>
  <si>
    <t>class</t>
  </si>
  <si>
    <t>a</t>
  </si>
  <si>
    <t>N</t>
  </si>
  <si>
    <t>W</t>
  </si>
  <si>
    <t>b</t>
  </si>
  <si>
    <t>c</t>
  </si>
  <si>
    <t>class_label</t>
  </si>
  <si>
    <t>shift_lable</t>
  </si>
  <si>
    <t>genergy_magnitude</t>
  </si>
  <si>
    <t>Q1</t>
  </si>
  <si>
    <t>Q3</t>
  </si>
  <si>
    <t>IQR</t>
  </si>
  <si>
    <t>upper</t>
  </si>
  <si>
    <t>lower</t>
  </si>
  <si>
    <t>genergy_outlier</t>
  </si>
  <si>
    <t>Row Labels</t>
  </si>
  <si>
    <t>Grand Total</t>
  </si>
  <si>
    <t>Average of class</t>
  </si>
  <si>
    <t>danger count</t>
  </si>
  <si>
    <t>danger_rate</t>
  </si>
  <si>
    <t>shift_count</t>
  </si>
  <si>
    <t>Average of genergy</t>
  </si>
  <si>
    <t>Average of gpuls</t>
  </si>
  <si>
    <t>Average of nbumps</t>
  </si>
  <si>
    <t>Average of energy</t>
  </si>
  <si>
    <t>Max of genergy</t>
  </si>
  <si>
    <t>10^2</t>
  </si>
  <si>
    <t>10^3</t>
  </si>
  <si>
    <t>10^4</t>
  </si>
  <si>
    <t>10^5</t>
  </si>
  <si>
    <t>10^6</t>
  </si>
  <si>
    <t>shift count</t>
  </si>
  <si>
    <t>Average of gdpuls</t>
  </si>
  <si>
    <t>Average of gdenergy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</si>
</sst>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9" formatCode="_(* #,##0_);_(* \(#,##0\);_(* &quot;-&quot;??_);_(@_)"/>
    <numFmt numFmtId="171" formatCode="0.000"/>
    <numFmt numFmtId="175" formatCode="_(* #,##0.000_);_(* \(#,##0.000\);_(* &quot;-&quot;??_);_(@_)"/>
  </numFmts>
  <fonts count="2" x14ac:knownFonts="1">
    <font>
      <sz val="10"/>
      <name val="Arial"/>
      <family val="2"/>
    </font>
    <font>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Border="0" applyAlignment="0" applyProtection="0"/>
    <xf numFmtId="9" fontId="1" fillId="0" borderId="0" applyBorder="0" applyAlignment="0" applyProtection="0"/>
  </cellStyleXfs>
  <cellXfs count="12">
    <xf numFmtId="0" fontId="0" fillId="0" borderId="0" xfId="0"/>
    <xf numFmtId="169" fontId="1" fillId="0" borderId="0" xfId="1"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3" fontId="0" fillId="0" borderId="0" xfId="0" applyNumberFormat="1"/>
    <xf numFmtId="38" fontId="0" fillId="0" borderId="0" xfId="0" applyNumberFormat="1"/>
    <xf numFmtId="171" fontId="0" fillId="0" borderId="0" xfId="0" applyNumberFormat="1"/>
    <xf numFmtId="10" fontId="1" fillId="0" borderId="0" xfId="2" applyNumberFormat="1"/>
    <xf numFmtId="2" fontId="0" fillId="0" borderId="0" xfId="0" applyNumberFormat="1"/>
    <xf numFmtId="175" fontId="1" fillId="0" borderId="0" xfId="1" applyNumberFormat="1"/>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AFD581"/>
      <color rgb="FFD4AF36"/>
      <color rgb="FF2F7D31"/>
      <color rgb="FF4DB7AD"/>
      <color rgb="FF7C472A"/>
      <color rgb="FFFFB74D"/>
      <color rgb="FF7B3F00"/>
      <color rgb="FF655D1E"/>
      <color rgb="FF546B2F"/>
      <color rgb="FF4CAF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externalLink" Target="externalLinks/externalLink1.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[Team3_Dashboard.xlsx]pivot tables!PivotTable7</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59E"/>
          </a:solidFill>
          <a:ln>
            <a:solidFill>
              <a:srgbClr val="2F7D3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tables'!$E$7</c:f>
              <c:strCache>
                <c:ptCount val="1"/>
                <c:pt idx="0">
                  <c:v>Total</c:v>
                </c:pt>
              </c:strCache>
            </c:strRef>
          </c:tx>
          <c:spPr>
            <a:solidFill>
              <a:srgbClr val="FFF59E"/>
            </a:solidFill>
            <a:ln>
              <a:solidFill>
                <a:srgbClr val="2F7D31"/>
              </a:solidFill>
            </a:ln>
            <a:effectLst/>
          </c:spPr>
          <c:invertIfNegative val="0"/>
          <c:cat>
            <c:strRef>
              <c:f>'pivot tables'!$D$8:$D$18</c:f>
              <c:strCache>
                <c:ptCount val="10"/>
                <c:pt idx="0">
                  <c:v>0</c:v>
                </c:pt>
                <c:pt idx="1">
                  <c:v>1</c:v>
                </c:pt>
                <c:pt idx="2">
                  <c:v>2</c:v>
                </c:pt>
                <c:pt idx="3">
                  <c:v>3</c:v>
                </c:pt>
                <c:pt idx="4">
                  <c:v>4</c:v>
                </c:pt>
                <c:pt idx="5">
                  <c:v>5</c:v>
                </c:pt>
                <c:pt idx="6">
                  <c:v>6</c:v>
                </c:pt>
                <c:pt idx="7">
                  <c:v>7</c:v>
                </c:pt>
                <c:pt idx="8">
                  <c:v>8</c:v>
                </c:pt>
                <c:pt idx="9">
                  <c:v>9</c:v>
                </c:pt>
              </c:strCache>
            </c:strRef>
          </c:cat>
          <c:val>
            <c:numRef>
              <c:f>'pivot tables'!$E$8:$E$18</c:f>
              <c:numCache>
                <c:formatCode>#,##0</c:formatCode>
                <c:ptCount val="10"/>
                <c:pt idx="0">
                  <c:v>1464</c:v>
                </c:pt>
                <c:pt idx="1">
                  <c:v>598</c:v>
                </c:pt>
                <c:pt idx="2">
                  <c:v>245</c:v>
                </c:pt>
                <c:pt idx="3">
                  <c:v>127</c:v>
                </c:pt>
                <c:pt idx="4">
                  <c:v>69</c:v>
                </c:pt>
                <c:pt idx="5">
                  <c:v>38</c:v>
                </c:pt>
                <c:pt idx="6">
                  <c:v>28</c:v>
                </c:pt>
                <c:pt idx="7">
                  <c:v>5</c:v>
                </c:pt>
                <c:pt idx="8">
                  <c:v>7</c:v>
                </c:pt>
                <c:pt idx="9">
                  <c:v>3</c:v>
                </c:pt>
              </c:numCache>
            </c:numRef>
          </c:val>
          <c:extLst>
            <c:ext xmlns:c16="http://schemas.microsoft.com/office/drawing/2014/chart" uri="{C3380CC4-5D6E-409C-BE32-E72D297353CC}">
              <c16:uniqueId val="{00000000-6FC6-1849-B5AA-AB3E8D2979AC}"/>
            </c:ext>
          </c:extLst>
        </c:ser>
        <c:dLbls>
          <c:showLegendKey val="0"/>
          <c:showVal val="0"/>
          <c:showCatName val="0"/>
          <c:showSerName val="0"/>
          <c:showPercent val="0"/>
          <c:showBubbleSize val="0"/>
        </c:dLbls>
        <c:gapWidth val="219"/>
        <c:overlap val="-27"/>
        <c:axId val="859805375"/>
        <c:axId val="856740223"/>
      </c:barChart>
      <c:catAx>
        <c:axId val="85980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crossAx val="856740223"/>
        <c:crosses val="autoZero"/>
        <c:auto val="1"/>
        <c:lblAlgn val="ctr"/>
        <c:lblOffset val="100"/>
        <c:noMultiLvlLbl val="0"/>
      </c:catAx>
      <c:valAx>
        <c:axId val="856740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crossAx val="85980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[Team3_Dashboard.xlsx]pivot tables!PivotTable4</c:name>
    <c:fmtId val="4"/>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E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EG"/>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solidFill>
              <a:srgbClr val="655D1E"/>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EG"/>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B74D"/>
          </a:solidFill>
          <a:ln>
            <a:solidFill>
              <a:srgbClr val="655D1E"/>
            </a:solidFill>
          </a:ln>
          <a:effectLst/>
          <a:scene3d>
            <a:camera prst="orthographicFront"/>
            <a:lightRig rig="brightRoom" dir="t"/>
          </a:scene3d>
          <a:sp3d prstMaterial="flat">
            <a:bevelT w="50800" h="101600" prst="angle"/>
            <a:contourClr>
              <a:srgbClr val="000000"/>
            </a:contourClr>
          </a:sp3d>
        </c:spPr>
      </c:pivotFmt>
      <c:pivotFmt>
        <c:idx val="6"/>
        <c:spPr>
          <a:solidFill>
            <a:srgbClr val="4DB7AD"/>
          </a:solidFill>
          <a:ln>
            <a:solidFill>
              <a:srgbClr val="655D1E"/>
            </a:solid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995761748061754"/>
          <c:y val="2.6086956521739129E-2"/>
          <c:w val="0.50322574254181573"/>
          <c:h val="0.90434782608695652"/>
        </c:manualLayout>
      </c:layout>
      <c:doughnutChart>
        <c:varyColors val="1"/>
        <c:ser>
          <c:idx val="0"/>
          <c:order val="0"/>
          <c:tx>
            <c:strRef>
              <c:f>'pivot tables'!$B$22</c:f>
              <c:strCache>
                <c:ptCount val="1"/>
                <c:pt idx="0">
                  <c:v>Total</c:v>
                </c:pt>
              </c:strCache>
            </c:strRef>
          </c:tx>
          <c:spPr>
            <a:ln>
              <a:solidFill>
                <a:srgbClr val="655D1E"/>
              </a:solidFill>
            </a:ln>
          </c:spPr>
          <c:dPt>
            <c:idx val="0"/>
            <c:bubble3D val="0"/>
            <c:spPr>
              <a:solidFill>
                <a:srgbClr val="FFB74D"/>
              </a:solidFill>
              <a:ln>
                <a:solidFill>
                  <a:srgbClr val="655D1E"/>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640-544C-BA9F-D80C40D43A5B}"/>
              </c:ext>
            </c:extLst>
          </c:dPt>
          <c:dPt>
            <c:idx val="1"/>
            <c:bubble3D val="0"/>
            <c:spPr>
              <a:solidFill>
                <a:srgbClr val="4DB7AD"/>
              </a:solidFill>
              <a:ln>
                <a:solidFill>
                  <a:srgbClr val="655D1E"/>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640-544C-BA9F-D80C40D43A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E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tables'!$A$23:$A$25</c:f>
              <c:strCache>
                <c:ptCount val="2"/>
                <c:pt idx="0">
                  <c:v>a</c:v>
                </c:pt>
                <c:pt idx="1">
                  <c:v>b</c:v>
                </c:pt>
              </c:strCache>
            </c:strRef>
          </c:cat>
          <c:val>
            <c:numRef>
              <c:f>'pivot tables'!$B$23:$B$25</c:f>
              <c:numCache>
                <c:formatCode>0.00%</c:formatCode>
                <c:ptCount val="2"/>
                <c:pt idx="0">
                  <c:v>4.9346016646848991E-2</c:v>
                </c:pt>
                <c:pt idx="1">
                  <c:v>9.6452328159645231E-2</c:v>
                </c:pt>
              </c:numCache>
            </c:numRef>
          </c:val>
          <c:extLst>
            <c:ext xmlns:c16="http://schemas.microsoft.com/office/drawing/2014/chart" uri="{C3380CC4-5D6E-409C-BE32-E72D297353CC}">
              <c16:uniqueId val="{00000004-E640-544C-BA9F-D80C40D43A5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3724960629921263"/>
          <c:y val="0.34065593974666214"/>
          <c:w val="0.1077503937007874"/>
          <c:h val="0.283904827114002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[Team3_Dashboard.xlsx]pivot tables!PivotTable3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FD581"/>
          </a:solidFill>
          <a:ln>
            <a:solidFill>
              <a:srgbClr val="2F7D3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c:f>
              <c:strCache>
                <c:ptCount val="1"/>
                <c:pt idx="0">
                  <c:v>Total</c:v>
                </c:pt>
              </c:strCache>
            </c:strRef>
          </c:tx>
          <c:spPr>
            <a:solidFill>
              <a:srgbClr val="AFD581"/>
            </a:solidFill>
            <a:ln>
              <a:solidFill>
                <a:srgbClr val="2F7D31"/>
              </a:solidFill>
            </a:ln>
            <a:effectLst/>
          </c:spPr>
          <c:invertIfNegative val="0"/>
          <c:cat>
            <c:strRef>
              <c:f>'pivot tables'!$A$14:$A$19</c:f>
              <c:strCache>
                <c:ptCount val="5"/>
                <c:pt idx="0">
                  <c:v>10^6</c:v>
                </c:pt>
                <c:pt idx="1">
                  <c:v>10^5</c:v>
                </c:pt>
                <c:pt idx="2">
                  <c:v>10^4</c:v>
                </c:pt>
                <c:pt idx="3">
                  <c:v>10^3</c:v>
                </c:pt>
                <c:pt idx="4">
                  <c:v>10^2</c:v>
                </c:pt>
              </c:strCache>
            </c:strRef>
          </c:cat>
          <c:val>
            <c:numRef>
              <c:f>'pivot tables'!$B$14:$B$19</c:f>
              <c:numCache>
                <c:formatCode>#,##0</c:formatCode>
                <c:ptCount val="5"/>
                <c:pt idx="0">
                  <c:v>43</c:v>
                </c:pt>
                <c:pt idx="1">
                  <c:v>324</c:v>
                </c:pt>
                <c:pt idx="2">
                  <c:v>1670</c:v>
                </c:pt>
                <c:pt idx="3">
                  <c:v>530</c:v>
                </c:pt>
                <c:pt idx="4">
                  <c:v>17</c:v>
                </c:pt>
              </c:numCache>
            </c:numRef>
          </c:val>
          <c:extLst>
            <c:ext xmlns:c16="http://schemas.microsoft.com/office/drawing/2014/chart" uri="{C3380CC4-5D6E-409C-BE32-E72D297353CC}">
              <c16:uniqueId val="{00000000-3756-A542-BB92-2F14C269C79C}"/>
            </c:ext>
          </c:extLst>
        </c:ser>
        <c:dLbls>
          <c:showLegendKey val="0"/>
          <c:showVal val="0"/>
          <c:showCatName val="0"/>
          <c:showSerName val="0"/>
          <c:showPercent val="0"/>
          <c:showBubbleSize val="0"/>
        </c:dLbls>
        <c:gapWidth val="219"/>
        <c:axId val="1795558015"/>
        <c:axId val="1795559359"/>
      </c:barChart>
      <c:catAx>
        <c:axId val="179555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crossAx val="1795559359"/>
        <c:crosses val="autoZero"/>
        <c:auto val="1"/>
        <c:lblAlgn val="ctr"/>
        <c:lblOffset val="100"/>
        <c:noMultiLvlLbl val="0"/>
      </c:catAx>
      <c:valAx>
        <c:axId val="17955593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crossAx val="179555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[Team3_Dashboard.xlsx]pivot tables!PivotTable5</c:name>
    <c:fmtId val="7"/>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E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EG"/>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EG"/>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AFD581"/>
          </a:solidFill>
          <a:ln>
            <a:solidFill>
              <a:srgbClr val="2F7D31"/>
            </a:solidFill>
          </a:ln>
          <a:effectLst/>
          <a:scene3d>
            <a:camera prst="orthographicFront"/>
            <a:lightRig rig="brightRoom" dir="t"/>
          </a:scene3d>
          <a:sp3d prstMaterial="flat">
            <a:bevelT w="50800" h="101600" prst="angle"/>
            <a:contourClr>
              <a:srgbClr val="000000"/>
            </a:contourClr>
          </a:sp3d>
        </c:spPr>
      </c:pivotFmt>
      <c:pivotFmt>
        <c:idx val="7"/>
        <c:spPr>
          <a:solidFill>
            <a:srgbClr val="FFB74D"/>
          </a:solidFill>
          <a:ln>
            <a:solidFill>
              <a:srgbClr val="2F7D31"/>
            </a:solidFill>
          </a:ln>
          <a:effectLst/>
          <a:scene3d>
            <a:camera prst="orthographicFront"/>
            <a:lightRig rig="brightRoom" dir="t"/>
          </a:scene3d>
          <a:sp3d prstMaterial="flat">
            <a:bevelT w="50800" h="101600" prst="angle"/>
            <a:contourClr>
              <a:srgbClr val="000000"/>
            </a:contourClr>
          </a:sp3d>
        </c:spPr>
      </c:pivotFmt>
      <c:pivotFmt>
        <c:idx val="8"/>
        <c:spPr>
          <a:solidFill>
            <a:srgbClr val="4DB7AD"/>
          </a:solidFill>
          <a:ln>
            <a:solidFill>
              <a:srgbClr val="2F7D31"/>
            </a:solid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EG"/>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AFD581"/>
          </a:solidFill>
          <a:ln>
            <a:solidFill>
              <a:srgbClr val="2F7D31"/>
            </a:solidFill>
          </a:ln>
          <a:effectLst/>
          <a:scene3d>
            <a:camera prst="orthographicFront"/>
            <a:lightRig rig="brightRoom" dir="t"/>
          </a:scene3d>
          <a:sp3d prstMaterial="flat">
            <a:bevelT w="50800" h="101600" prst="angle"/>
            <a:contourClr>
              <a:srgbClr val="000000"/>
            </a:contourClr>
          </a:sp3d>
        </c:spPr>
      </c:pivotFmt>
      <c:pivotFmt>
        <c:idx val="11"/>
        <c:spPr>
          <a:solidFill>
            <a:srgbClr val="FFB74D"/>
          </a:solidFill>
          <a:ln>
            <a:solidFill>
              <a:srgbClr val="2F7D31"/>
            </a:solidFill>
          </a:ln>
          <a:effectLst/>
          <a:scene3d>
            <a:camera prst="orthographicFront"/>
            <a:lightRig rig="brightRoom" dir="t"/>
          </a:scene3d>
          <a:sp3d prstMaterial="flat">
            <a:bevelT w="50800" h="101600" prst="angle"/>
            <a:contourClr>
              <a:srgbClr val="000000"/>
            </a:contourClr>
          </a:sp3d>
        </c:spPr>
      </c:pivotFmt>
      <c:pivotFmt>
        <c:idx val="12"/>
        <c:spPr>
          <a:solidFill>
            <a:srgbClr val="4DB7AD"/>
          </a:solidFill>
          <a:ln>
            <a:solidFill>
              <a:srgbClr val="2F7D31"/>
            </a:solid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EG"/>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AFD581"/>
          </a:solidFill>
          <a:ln>
            <a:solidFill>
              <a:srgbClr val="2F7D31"/>
            </a:solidFill>
          </a:ln>
          <a:effectLst/>
          <a:scene3d>
            <a:camera prst="orthographicFront"/>
            <a:lightRig rig="brightRoom" dir="t"/>
          </a:scene3d>
          <a:sp3d prstMaterial="flat">
            <a:bevelT w="50800" h="101600" prst="angle"/>
            <a:contourClr>
              <a:srgbClr val="000000"/>
            </a:contourClr>
          </a:sp3d>
        </c:spPr>
      </c:pivotFmt>
      <c:pivotFmt>
        <c:idx val="15"/>
        <c:spPr>
          <a:solidFill>
            <a:srgbClr val="FFB74D"/>
          </a:solidFill>
          <a:ln>
            <a:solidFill>
              <a:srgbClr val="2F7D31"/>
            </a:solidFill>
          </a:ln>
          <a:effectLst/>
          <a:scene3d>
            <a:camera prst="orthographicFront"/>
            <a:lightRig rig="brightRoom" dir="t"/>
          </a:scene3d>
          <a:sp3d prstMaterial="flat">
            <a:bevelT w="50800" h="101600" prst="angle"/>
            <a:contourClr>
              <a:srgbClr val="000000"/>
            </a:contourClr>
          </a:sp3d>
        </c:spPr>
      </c:pivotFmt>
      <c:pivotFmt>
        <c:idx val="16"/>
        <c:spPr>
          <a:solidFill>
            <a:srgbClr val="4DB7AD"/>
          </a:solidFill>
          <a:ln>
            <a:solidFill>
              <a:srgbClr val="2F7D31"/>
            </a:solid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8079528993611826"/>
          <c:y val="3.4807251456207659E-2"/>
          <c:w val="0.4985722638141768"/>
          <c:h val="0.93961626184554237"/>
        </c:manualLayout>
      </c:layout>
      <c:doughnutChart>
        <c:varyColors val="1"/>
        <c:ser>
          <c:idx val="0"/>
          <c:order val="0"/>
          <c:tx>
            <c:strRef>
              <c:f>'pivot tables'!$B$29</c:f>
              <c:strCache>
                <c:ptCount val="1"/>
                <c:pt idx="0">
                  <c:v>Total</c:v>
                </c:pt>
              </c:strCache>
            </c:strRef>
          </c:tx>
          <c:dPt>
            <c:idx val="0"/>
            <c:bubble3D val="0"/>
            <c:spPr>
              <a:solidFill>
                <a:srgbClr val="AFD581"/>
              </a:solidFill>
              <a:ln>
                <a:solidFill>
                  <a:srgbClr val="2F7D3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236-4F46-B64D-FD059BB100BF}"/>
              </c:ext>
            </c:extLst>
          </c:dPt>
          <c:dPt>
            <c:idx val="1"/>
            <c:bubble3D val="0"/>
            <c:spPr>
              <a:solidFill>
                <a:srgbClr val="FFB74D"/>
              </a:solidFill>
              <a:ln>
                <a:solidFill>
                  <a:srgbClr val="2F7D3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236-4F46-B64D-FD059BB100BF}"/>
              </c:ext>
            </c:extLst>
          </c:dPt>
          <c:dPt>
            <c:idx val="2"/>
            <c:bubble3D val="0"/>
            <c:spPr>
              <a:solidFill>
                <a:srgbClr val="4DB7AD"/>
              </a:solidFill>
              <a:ln>
                <a:solidFill>
                  <a:srgbClr val="2F7D31"/>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236-4F46-B64D-FD059BB100B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E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tables'!$A$30:$A$33</c:f>
              <c:strCache>
                <c:ptCount val="3"/>
                <c:pt idx="0">
                  <c:v>a</c:v>
                </c:pt>
                <c:pt idx="1">
                  <c:v>b</c:v>
                </c:pt>
                <c:pt idx="2">
                  <c:v>c</c:v>
                </c:pt>
              </c:strCache>
            </c:strRef>
          </c:cat>
          <c:val>
            <c:numRef>
              <c:f>'pivot tables'!$B$30:$B$33</c:f>
              <c:numCache>
                <c:formatCode>0.00%</c:formatCode>
                <c:ptCount val="3"/>
                <c:pt idx="0">
                  <c:v>6.3924050632911386E-2</c:v>
                </c:pt>
                <c:pt idx="1">
                  <c:v>6.903765690376569E-2</c:v>
                </c:pt>
                <c:pt idx="2">
                  <c:v>6.25E-2</c:v>
                </c:pt>
              </c:numCache>
            </c:numRef>
          </c:val>
          <c:extLst>
            <c:ext xmlns:c16="http://schemas.microsoft.com/office/drawing/2014/chart" uri="{C3380CC4-5D6E-409C-BE32-E72D297353CC}">
              <c16:uniqueId val="{00000006-A236-4F46-B64D-FD059BB100B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0628527881350576"/>
          <c:y val="0.27569895786846377"/>
          <c:w val="0.10555143321264553"/>
          <c:h val="0.448602084263072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[Team3_Dashboard.xlsx]pivot tables!PivotTable2</c:name>
    <c:fmtId val="1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E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EG"/>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rgbClr val="FFB74D"/>
          </a:solidFill>
          <a:ln>
            <a:solidFill>
              <a:srgbClr val="546B2F"/>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EG"/>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FB74D"/>
          </a:solidFill>
          <a:ln>
            <a:solidFill>
              <a:srgbClr val="546B2F"/>
            </a:solidFill>
          </a:ln>
          <a:effectLst/>
          <a:scene3d>
            <a:camera prst="orthographicFront"/>
            <a:lightRig rig="brightRoom" dir="t"/>
          </a:scene3d>
          <a:sp3d prstMaterial="flat">
            <a:bevelT w="50800" h="101600" prst="angle"/>
            <a:contourClr>
              <a:srgbClr val="000000"/>
            </a:contourClr>
          </a:sp3d>
        </c:spPr>
      </c:pivotFmt>
      <c:pivotFmt>
        <c:idx val="7"/>
        <c:spPr>
          <a:solidFill>
            <a:srgbClr val="4DB7AD"/>
          </a:solidFill>
          <a:ln>
            <a:solidFill>
              <a:srgbClr val="546B2F"/>
            </a:solidFill>
          </a:ln>
          <a:effectLst/>
          <a:scene3d>
            <a:camera prst="orthographicFront"/>
            <a:lightRig rig="brightRoom" dir="t"/>
          </a:scene3d>
          <a:sp3d prstMaterial="flat">
            <a:bevelT w="50800" h="101600" prst="angle"/>
            <a:contourClr>
              <a:srgbClr val="000000"/>
            </a:contourClr>
          </a:sp3d>
        </c:spPr>
      </c:pivotFmt>
      <c:pivotFmt>
        <c:idx val="8"/>
        <c:spPr>
          <a:solidFill>
            <a:srgbClr val="655D1E"/>
          </a:solidFill>
          <a:ln>
            <a:solidFill>
              <a:srgbClr val="546B2F"/>
            </a:solidFill>
          </a:ln>
          <a:effectLst/>
          <a:scene3d>
            <a:camera prst="orthographicFront"/>
            <a:lightRig rig="brightRoom" dir="t"/>
          </a:scene3d>
          <a:sp3d prstMaterial="flat">
            <a:bevelT w="50800" h="101600" prst="angle"/>
            <a:contourClr>
              <a:srgbClr val="000000"/>
            </a:contourClr>
          </a:sp3d>
        </c:spPr>
      </c:pivotFmt>
      <c:pivotFmt>
        <c:idx val="9"/>
        <c:spPr>
          <a:solidFill>
            <a:srgbClr val="FFB74D"/>
          </a:solidFill>
          <a:ln>
            <a:solidFill>
              <a:srgbClr val="546B2F"/>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EG"/>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FFB74D"/>
          </a:solidFill>
          <a:ln>
            <a:solidFill>
              <a:srgbClr val="546B2F"/>
            </a:solidFill>
          </a:ln>
          <a:effectLst/>
          <a:scene3d>
            <a:camera prst="orthographicFront"/>
            <a:lightRig rig="brightRoom" dir="t"/>
          </a:scene3d>
          <a:sp3d prstMaterial="flat">
            <a:bevelT w="50800" h="101600" prst="angle"/>
            <a:contourClr>
              <a:srgbClr val="000000"/>
            </a:contourClr>
          </a:sp3d>
        </c:spPr>
      </c:pivotFmt>
      <c:pivotFmt>
        <c:idx val="11"/>
        <c:spPr>
          <a:solidFill>
            <a:srgbClr val="4DB7AD"/>
          </a:solidFill>
          <a:ln>
            <a:solidFill>
              <a:srgbClr val="546B2F"/>
            </a:solidFill>
          </a:ln>
          <a:effectLst/>
          <a:scene3d>
            <a:camera prst="orthographicFront"/>
            <a:lightRig rig="brightRoom" dir="t"/>
          </a:scene3d>
          <a:sp3d prstMaterial="flat">
            <a:bevelT w="50800" h="101600" prst="angle"/>
            <a:contourClr>
              <a:srgbClr val="000000"/>
            </a:contourClr>
          </a:sp3d>
        </c:spPr>
      </c:pivotFmt>
      <c:pivotFmt>
        <c:idx val="12"/>
        <c:spPr>
          <a:solidFill>
            <a:srgbClr val="655D1E"/>
          </a:solidFill>
          <a:ln>
            <a:solidFill>
              <a:srgbClr val="546B2F"/>
            </a:solidFill>
          </a:ln>
          <a:effectLst/>
          <a:scene3d>
            <a:camera prst="orthographicFront"/>
            <a:lightRig rig="brightRoom" dir="t"/>
          </a:scene3d>
          <a:sp3d prstMaterial="flat">
            <a:bevelT w="50800" h="101600" prst="angle"/>
            <a:contourClr>
              <a:srgbClr val="000000"/>
            </a:contourClr>
          </a:sp3d>
        </c:spPr>
      </c:pivotFmt>
      <c:pivotFmt>
        <c:idx val="13"/>
        <c:spPr>
          <a:solidFill>
            <a:srgbClr val="FFB74D"/>
          </a:solidFill>
          <a:ln>
            <a:solidFill>
              <a:srgbClr val="546B2F"/>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EG"/>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FFB74D"/>
          </a:solidFill>
          <a:ln>
            <a:solidFill>
              <a:srgbClr val="546B2F"/>
            </a:solidFill>
          </a:ln>
          <a:effectLst/>
          <a:scene3d>
            <a:camera prst="orthographicFront"/>
            <a:lightRig rig="brightRoom" dir="t"/>
          </a:scene3d>
          <a:sp3d prstMaterial="flat">
            <a:bevelT w="50800" h="101600" prst="angle"/>
            <a:contourClr>
              <a:srgbClr val="000000"/>
            </a:contourClr>
          </a:sp3d>
        </c:spPr>
      </c:pivotFmt>
      <c:pivotFmt>
        <c:idx val="15"/>
        <c:spPr>
          <a:solidFill>
            <a:srgbClr val="4DB7AD"/>
          </a:solidFill>
          <a:ln>
            <a:solidFill>
              <a:srgbClr val="546B2F"/>
            </a:solidFill>
          </a:ln>
          <a:effectLst/>
          <a:scene3d>
            <a:camera prst="orthographicFront"/>
            <a:lightRig rig="brightRoom" dir="t"/>
          </a:scene3d>
          <a:sp3d prstMaterial="flat">
            <a:bevelT w="50800" h="101600" prst="angle"/>
            <a:contourClr>
              <a:srgbClr val="000000"/>
            </a:contourClr>
          </a:sp3d>
        </c:spPr>
      </c:pivotFmt>
      <c:pivotFmt>
        <c:idx val="16"/>
        <c:spPr>
          <a:solidFill>
            <a:srgbClr val="655D1E"/>
          </a:solidFill>
          <a:ln>
            <a:solidFill>
              <a:srgbClr val="546B2F"/>
            </a:solidFill>
          </a:ln>
          <a:effectLst/>
          <a:scene3d>
            <a:camera prst="orthographicFront"/>
            <a:lightRig rig="brightRoom" dir="t"/>
          </a:scene3d>
          <a:sp3d prstMaterial="flat">
            <a:bevelT w="50800" h="101600" prst="angle"/>
            <a:contourClr>
              <a:srgbClr val="000000"/>
            </a:contourClr>
          </a:sp3d>
        </c:spPr>
      </c:pivotFmt>
      <c:pivotFmt>
        <c:idx val="17"/>
        <c:spPr>
          <a:solidFill>
            <a:srgbClr val="FFB74D"/>
          </a:solidFill>
          <a:ln>
            <a:solidFill>
              <a:srgbClr val="546B2F"/>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EG"/>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FFB74D"/>
          </a:solidFill>
          <a:ln>
            <a:solidFill>
              <a:srgbClr val="546B2F"/>
            </a:solidFill>
          </a:ln>
          <a:effectLst/>
          <a:scene3d>
            <a:camera prst="orthographicFront"/>
            <a:lightRig rig="brightRoom" dir="t"/>
          </a:scene3d>
          <a:sp3d prstMaterial="flat">
            <a:bevelT w="50800" h="101600" prst="angle"/>
            <a:contourClr>
              <a:srgbClr val="000000"/>
            </a:contourClr>
          </a:sp3d>
        </c:spPr>
      </c:pivotFmt>
      <c:pivotFmt>
        <c:idx val="19"/>
        <c:spPr>
          <a:solidFill>
            <a:srgbClr val="4DB7AD"/>
          </a:solidFill>
          <a:ln>
            <a:solidFill>
              <a:srgbClr val="546B2F"/>
            </a:solidFill>
          </a:ln>
          <a:effectLst/>
          <a:scene3d>
            <a:camera prst="orthographicFront"/>
            <a:lightRig rig="brightRoom" dir="t"/>
          </a:scene3d>
          <a:sp3d prstMaterial="flat">
            <a:bevelT w="50800" h="101600" prst="angle"/>
            <a:contourClr>
              <a:srgbClr val="000000"/>
            </a:contourClr>
          </a:sp3d>
        </c:spPr>
      </c:pivotFmt>
      <c:pivotFmt>
        <c:idx val="20"/>
        <c:spPr>
          <a:solidFill>
            <a:srgbClr val="655D1E"/>
          </a:solidFill>
          <a:ln>
            <a:solidFill>
              <a:srgbClr val="546B2F"/>
            </a:solidFill>
          </a:ln>
          <a:effectLst/>
          <a:scene3d>
            <a:camera prst="orthographicFront"/>
            <a:lightRig rig="brightRoom" dir="t"/>
          </a:scene3d>
          <a:sp3d prstMaterial="flat">
            <a:bevelT w="50800" h="101600" prst="angle"/>
            <a:contourClr>
              <a:srgbClr val="000000"/>
            </a:contourClr>
          </a:sp3d>
        </c:spPr>
      </c:pivotFmt>
      <c:pivotFmt>
        <c:idx val="21"/>
        <c:spPr>
          <a:solidFill>
            <a:srgbClr val="FFB74D"/>
          </a:solidFill>
          <a:ln>
            <a:solidFill>
              <a:srgbClr val="546B2F"/>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EG"/>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B74D"/>
          </a:solidFill>
          <a:ln>
            <a:solidFill>
              <a:srgbClr val="546B2F"/>
            </a:solidFill>
          </a:ln>
          <a:effectLst/>
          <a:scene3d>
            <a:camera prst="orthographicFront"/>
            <a:lightRig rig="brightRoom" dir="t"/>
          </a:scene3d>
          <a:sp3d prstMaterial="flat">
            <a:bevelT w="50800" h="101600" prst="angle"/>
            <a:contourClr>
              <a:srgbClr val="000000"/>
            </a:contourClr>
          </a:sp3d>
        </c:spPr>
      </c:pivotFmt>
      <c:pivotFmt>
        <c:idx val="23"/>
        <c:spPr>
          <a:solidFill>
            <a:srgbClr val="4DB7AD"/>
          </a:solidFill>
          <a:ln>
            <a:solidFill>
              <a:srgbClr val="546B2F"/>
            </a:solidFill>
          </a:ln>
          <a:effectLst/>
          <a:scene3d>
            <a:camera prst="orthographicFront"/>
            <a:lightRig rig="brightRoom" dir="t"/>
          </a:scene3d>
          <a:sp3d prstMaterial="flat">
            <a:bevelT w="50800" h="101600" prst="angle"/>
            <a:contourClr>
              <a:srgbClr val="000000"/>
            </a:contourClr>
          </a:sp3d>
        </c:spPr>
      </c:pivotFmt>
      <c:pivotFmt>
        <c:idx val="24"/>
        <c:spPr>
          <a:solidFill>
            <a:srgbClr val="655D1E"/>
          </a:solidFill>
          <a:ln>
            <a:solidFill>
              <a:srgbClr val="546B2F"/>
            </a:solidFill>
          </a:ln>
          <a:effectLst/>
          <a:scene3d>
            <a:camera prst="orthographicFront"/>
            <a:lightRig rig="brightRoom" dir="t"/>
          </a:scene3d>
          <a:sp3d prstMaterial="flat">
            <a:bevelT w="50800" h="101600" prst="angle"/>
            <a:contourClr>
              <a:srgbClr val="000000"/>
            </a:contourClr>
          </a:sp3d>
        </c:spPr>
      </c:pivotFmt>
      <c:pivotFmt>
        <c:idx val="25"/>
        <c:spPr>
          <a:solidFill>
            <a:srgbClr val="FFB74D"/>
          </a:solidFill>
          <a:ln>
            <a:solidFill>
              <a:srgbClr val="546B2F"/>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EG"/>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rgbClr val="FFB74D"/>
          </a:solidFill>
          <a:ln>
            <a:solidFill>
              <a:srgbClr val="546B2F"/>
            </a:solidFill>
          </a:ln>
          <a:effectLst/>
          <a:scene3d>
            <a:camera prst="orthographicFront"/>
            <a:lightRig rig="brightRoom" dir="t"/>
          </a:scene3d>
          <a:sp3d prstMaterial="flat">
            <a:bevelT w="50800" h="101600" prst="angle"/>
            <a:contourClr>
              <a:srgbClr val="000000"/>
            </a:contourClr>
          </a:sp3d>
        </c:spPr>
      </c:pivotFmt>
      <c:pivotFmt>
        <c:idx val="27"/>
        <c:spPr>
          <a:solidFill>
            <a:srgbClr val="4DB7AD"/>
          </a:solidFill>
          <a:ln>
            <a:solidFill>
              <a:srgbClr val="546B2F"/>
            </a:solidFill>
          </a:ln>
          <a:effectLst/>
          <a:scene3d>
            <a:camera prst="orthographicFront"/>
            <a:lightRig rig="brightRoom" dir="t"/>
          </a:scene3d>
          <a:sp3d prstMaterial="flat">
            <a:bevelT w="50800" h="101600" prst="angle"/>
            <a:contourClr>
              <a:srgbClr val="000000"/>
            </a:contourClr>
          </a:sp3d>
        </c:spPr>
      </c:pivotFmt>
      <c:pivotFmt>
        <c:idx val="28"/>
        <c:spPr>
          <a:solidFill>
            <a:srgbClr val="655D1E"/>
          </a:solidFill>
          <a:ln>
            <a:solidFill>
              <a:srgbClr val="546B2F"/>
            </a:solidFill>
          </a:ln>
          <a:effectLst/>
          <a:scene3d>
            <a:camera prst="orthographicFront"/>
            <a:lightRig rig="brightRoom" dir="t"/>
          </a:scene3d>
          <a:sp3d prstMaterial="flat">
            <a:bevelT w="50800" h="101600" prst="angle"/>
            <a:contourClr>
              <a:srgbClr val="000000"/>
            </a:contourClr>
          </a:sp3d>
        </c:spPr>
      </c:pivotFmt>
      <c:pivotFmt>
        <c:idx val="29"/>
        <c:spPr>
          <a:solidFill>
            <a:srgbClr val="FFB74D"/>
          </a:solidFill>
          <a:ln>
            <a:solidFill>
              <a:srgbClr val="546B2F"/>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EG"/>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rgbClr val="FFB74D"/>
          </a:solidFill>
          <a:ln>
            <a:solidFill>
              <a:srgbClr val="546B2F"/>
            </a:solidFill>
          </a:ln>
          <a:effectLst/>
          <a:scene3d>
            <a:camera prst="orthographicFront"/>
            <a:lightRig rig="brightRoom" dir="t"/>
          </a:scene3d>
          <a:sp3d prstMaterial="flat">
            <a:bevelT w="50800" h="101600" prst="angle"/>
            <a:contourClr>
              <a:srgbClr val="000000"/>
            </a:contourClr>
          </a:sp3d>
        </c:spPr>
      </c:pivotFmt>
      <c:pivotFmt>
        <c:idx val="31"/>
        <c:spPr>
          <a:solidFill>
            <a:srgbClr val="4DB7AD"/>
          </a:solidFill>
          <a:ln>
            <a:solidFill>
              <a:srgbClr val="546B2F"/>
            </a:solidFill>
          </a:ln>
          <a:effectLst/>
          <a:scene3d>
            <a:camera prst="orthographicFront"/>
            <a:lightRig rig="brightRoom" dir="t"/>
          </a:scene3d>
          <a:sp3d prstMaterial="flat">
            <a:bevelT w="50800" h="101600" prst="angle"/>
            <a:contourClr>
              <a:srgbClr val="000000"/>
            </a:contourClr>
          </a:sp3d>
        </c:spPr>
      </c:pivotFmt>
      <c:pivotFmt>
        <c:idx val="32"/>
        <c:spPr>
          <a:solidFill>
            <a:srgbClr val="655D1E"/>
          </a:solidFill>
          <a:ln>
            <a:solidFill>
              <a:srgbClr val="546B2F"/>
            </a:solid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9965669291338584"/>
          <c:y val="4.6511593838788619E-2"/>
          <c:w val="0.49917480314960627"/>
          <c:h val="0.92869662794607"/>
        </c:manualLayout>
      </c:layout>
      <c:doughnutChart>
        <c:varyColors val="1"/>
        <c:ser>
          <c:idx val="0"/>
          <c:order val="0"/>
          <c:tx>
            <c:strRef>
              <c:f>'pivot tables'!$B$7</c:f>
              <c:strCache>
                <c:ptCount val="1"/>
                <c:pt idx="0">
                  <c:v>Total</c:v>
                </c:pt>
              </c:strCache>
            </c:strRef>
          </c:tx>
          <c:spPr>
            <a:solidFill>
              <a:srgbClr val="FFB74D"/>
            </a:solidFill>
            <a:ln>
              <a:solidFill>
                <a:srgbClr val="546B2F"/>
              </a:solidFill>
            </a:ln>
          </c:spPr>
          <c:dPt>
            <c:idx val="0"/>
            <c:bubble3D val="0"/>
            <c:spPr>
              <a:solidFill>
                <a:srgbClr val="FFB74D"/>
              </a:solidFill>
              <a:ln>
                <a:solidFill>
                  <a:srgbClr val="546B2F"/>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78B-8043-8C78-5C36CE6CF169}"/>
              </c:ext>
            </c:extLst>
          </c:dPt>
          <c:dPt>
            <c:idx val="1"/>
            <c:bubble3D val="0"/>
            <c:spPr>
              <a:solidFill>
                <a:srgbClr val="4DB7AD"/>
              </a:solidFill>
              <a:ln>
                <a:solidFill>
                  <a:srgbClr val="546B2F"/>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78B-8043-8C78-5C36CE6CF169}"/>
              </c:ext>
            </c:extLst>
          </c:dPt>
          <c:dPt>
            <c:idx val="2"/>
            <c:bubble3D val="0"/>
            <c:spPr>
              <a:solidFill>
                <a:srgbClr val="655D1E"/>
              </a:solidFill>
              <a:ln>
                <a:solidFill>
                  <a:srgbClr val="546B2F"/>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78B-8043-8C78-5C36CE6CF16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E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tables'!$A$8:$A$11</c:f>
              <c:strCache>
                <c:ptCount val="3"/>
                <c:pt idx="0">
                  <c:v>a</c:v>
                </c:pt>
                <c:pt idx="1">
                  <c:v>b</c:v>
                </c:pt>
                <c:pt idx="2">
                  <c:v>c</c:v>
                </c:pt>
              </c:strCache>
            </c:strRef>
          </c:cat>
          <c:val>
            <c:numRef>
              <c:f>'pivot tables'!$B$8:$B$11</c:f>
              <c:numCache>
                <c:formatCode>0.00%</c:formatCode>
                <c:ptCount val="3"/>
                <c:pt idx="0">
                  <c:v>6.6609735269000853E-2</c:v>
                </c:pt>
                <c:pt idx="1">
                  <c:v>6.6037735849056603E-2</c:v>
                </c:pt>
                <c:pt idx="2">
                  <c:v>0</c:v>
                </c:pt>
              </c:numCache>
            </c:numRef>
          </c:val>
          <c:extLst>
            <c:ext xmlns:c16="http://schemas.microsoft.com/office/drawing/2014/chart" uri="{C3380CC4-5D6E-409C-BE32-E72D297353CC}">
              <c16:uniqueId val="{00000006-B78B-8043-8C78-5C36CE6CF16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6533778536170682"/>
          <c:y val="0.37960717579480074"/>
          <c:w val="0.11136370146081358"/>
          <c:h val="0.364422047244094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
    <cx:plotArea>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706968</xdr:colOff>
      <xdr:row>37</xdr:row>
      <xdr:rowOff>111991</xdr:rowOff>
    </xdr:to>
    <xdr:sp macro="" textlink="">
      <xdr:nvSpPr>
        <xdr:cNvPr id="2" name="Rounded Rectangle 1">
          <a:extLst>
            <a:ext uri="{FF2B5EF4-FFF2-40B4-BE49-F238E27FC236}">
              <a16:creationId xmlns:a16="http://schemas.microsoft.com/office/drawing/2014/main" id="{F4548B2F-58B9-7342-BB81-7B030EC85CC0}"/>
            </a:ext>
          </a:extLst>
        </xdr:cNvPr>
        <xdr:cNvSpPr/>
      </xdr:nvSpPr>
      <xdr:spPr>
        <a:xfrm>
          <a:off x="0" y="0"/>
          <a:ext cx="14740468" cy="6377324"/>
        </a:xfrm>
        <a:prstGeom prst="roundRect">
          <a:avLst>
            <a:gd name="adj" fmla="val 1026"/>
          </a:avLst>
        </a:prstGeom>
        <a:solidFill>
          <a:srgbClr val="FAFAF5"/>
        </a:solidFill>
        <a:ln>
          <a:solidFill>
            <a:srgbClr val="E0E0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0</xdr:col>
      <xdr:colOff>50800</xdr:colOff>
      <xdr:row>0</xdr:row>
      <xdr:rowOff>69851</xdr:rowOff>
    </xdr:from>
    <xdr:to>
      <xdr:col>7</xdr:col>
      <xdr:colOff>539749</xdr:colOff>
      <xdr:row>4</xdr:row>
      <xdr:rowOff>108688</xdr:rowOff>
    </xdr:to>
    <xdr:sp macro="" textlink="">
      <xdr:nvSpPr>
        <xdr:cNvPr id="3" name="Rounded Rectangle 2">
          <a:extLst>
            <a:ext uri="{FF2B5EF4-FFF2-40B4-BE49-F238E27FC236}">
              <a16:creationId xmlns:a16="http://schemas.microsoft.com/office/drawing/2014/main" id="{0C54C4FA-7824-2E49-9143-8524AF342801}"/>
            </a:ext>
          </a:extLst>
        </xdr:cNvPr>
        <xdr:cNvSpPr/>
      </xdr:nvSpPr>
      <xdr:spPr>
        <a:xfrm>
          <a:off x="50800" y="69851"/>
          <a:ext cx="6267449" cy="716170"/>
        </a:xfrm>
        <a:prstGeom prst="roundRect">
          <a:avLst>
            <a:gd name="adj" fmla="val 5193"/>
          </a:avLst>
        </a:prstGeom>
        <a:solidFill>
          <a:srgbClr val="F2FAF6"/>
        </a:solidFill>
        <a:ln>
          <a:solidFill>
            <a:srgbClr val="E0E0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0</xdr:col>
      <xdr:colOff>29634</xdr:colOff>
      <xdr:row>1</xdr:row>
      <xdr:rowOff>52919</xdr:rowOff>
    </xdr:from>
    <xdr:to>
      <xdr:col>7</xdr:col>
      <xdr:colOff>508000</xdr:colOff>
      <xdr:row>3</xdr:row>
      <xdr:rowOff>124885</xdr:rowOff>
    </xdr:to>
    <xdr:sp macro="" textlink="">
      <xdr:nvSpPr>
        <xdr:cNvPr id="5" name="TextBox 4">
          <a:extLst>
            <a:ext uri="{FF2B5EF4-FFF2-40B4-BE49-F238E27FC236}">
              <a16:creationId xmlns:a16="http://schemas.microsoft.com/office/drawing/2014/main" id="{0F338C4C-E027-7946-A98A-99FB454BE5FA}"/>
            </a:ext>
          </a:extLst>
        </xdr:cNvPr>
        <xdr:cNvSpPr txBox="1"/>
      </xdr:nvSpPr>
      <xdr:spPr>
        <a:xfrm>
          <a:off x="29634" y="222252"/>
          <a:ext cx="6256866" cy="410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aseline="0">
              <a:solidFill>
                <a:srgbClr val="2F7D31"/>
              </a:solidFill>
              <a:latin typeface="+mn-lt"/>
              <a:ea typeface="+mn-ea"/>
              <a:cs typeface="+mn-cs"/>
            </a:rPr>
            <a:t>Seismic Bumps </a:t>
          </a:r>
          <a:r>
            <a:rPr lang="en-US" sz="2800" baseline="0">
              <a:solidFill>
                <a:srgbClr val="2F7D31"/>
              </a:solidFill>
            </a:rPr>
            <a:t>Dashboard</a:t>
          </a:r>
          <a:endParaRPr lang="en-US" sz="2800">
            <a:solidFill>
              <a:srgbClr val="2F7D31"/>
            </a:solidFill>
          </a:endParaRPr>
        </a:p>
      </xdr:txBody>
    </xdr:sp>
    <xdr:clientData/>
  </xdr:twoCellAnchor>
  <xdr:twoCellAnchor>
    <xdr:from>
      <xdr:col>7</xdr:col>
      <xdr:colOff>599018</xdr:colOff>
      <xdr:row>0</xdr:row>
      <xdr:rowOff>95252</xdr:rowOff>
    </xdr:from>
    <xdr:to>
      <xdr:col>9</xdr:col>
      <xdr:colOff>381000</xdr:colOff>
      <xdr:row>4</xdr:row>
      <xdr:rowOff>124887</xdr:rowOff>
    </xdr:to>
    <xdr:sp macro="" textlink="">
      <xdr:nvSpPr>
        <xdr:cNvPr id="7" name="Rounded Rectangle 6">
          <a:extLst>
            <a:ext uri="{FF2B5EF4-FFF2-40B4-BE49-F238E27FC236}">
              <a16:creationId xmlns:a16="http://schemas.microsoft.com/office/drawing/2014/main" id="{14378648-B3BB-CC41-AA81-4492D6EC7681}"/>
            </a:ext>
          </a:extLst>
        </xdr:cNvPr>
        <xdr:cNvSpPr/>
      </xdr:nvSpPr>
      <xdr:spPr>
        <a:xfrm>
          <a:off x="6377518" y="95252"/>
          <a:ext cx="1432982" cy="706968"/>
        </a:xfrm>
        <a:prstGeom prst="roundRect">
          <a:avLst>
            <a:gd name="adj" fmla="val 6473"/>
          </a:avLst>
        </a:prstGeom>
        <a:solidFill>
          <a:srgbClr val="F2FAF6"/>
        </a:solidFill>
        <a:ln>
          <a:solidFill>
            <a:srgbClr val="E0E0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rgbClr val="66BB69"/>
              </a:solidFill>
            </a:rPr>
            <a:t>Energy</a:t>
          </a:r>
          <a:r>
            <a:rPr lang="en-US" sz="1600" baseline="0">
              <a:solidFill>
                <a:srgbClr val="66BB69"/>
              </a:solidFill>
            </a:rPr>
            <a:t> mean</a:t>
          </a:r>
          <a:endParaRPr lang="en-US" sz="1600">
            <a:solidFill>
              <a:srgbClr val="66BB69"/>
            </a:solidFill>
          </a:endParaRPr>
        </a:p>
      </xdr:txBody>
    </xdr:sp>
    <xdr:clientData/>
  </xdr:twoCellAnchor>
  <xdr:twoCellAnchor>
    <xdr:from>
      <xdr:col>7</xdr:col>
      <xdr:colOff>637118</xdr:colOff>
      <xdr:row>2</xdr:row>
      <xdr:rowOff>29635</xdr:rowOff>
    </xdr:from>
    <xdr:to>
      <xdr:col>9</xdr:col>
      <xdr:colOff>309035</xdr:colOff>
      <xdr:row>4</xdr:row>
      <xdr:rowOff>122769</xdr:rowOff>
    </xdr:to>
    <xdr:sp macro="" textlink="'pivot tables'!G5">
      <xdr:nvSpPr>
        <xdr:cNvPr id="8" name="TextBox 7">
          <a:extLst>
            <a:ext uri="{FF2B5EF4-FFF2-40B4-BE49-F238E27FC236}">
              <a16:creationId xmlns:a16="http://schemas.microsoft.com/office/drawing/2014/main" id="{0BB41431-A24A-5A44-9F5F-7A4413B856E0}"/>
            </a:ext>
          </a:extLst>
        </xdr:cNvPr>
        <xdr:cNvSpPr txBox="1"/>
      </xdr:nvSpPr>
      <xdr:spPr>
        <a:xfrm>
          <a:off x="6415618" y="368302"/>
          <a:ext cx="1322917"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7C9C1B0-3142-224B-A3BD-E06EE576AA74}" type="TxLink">
            <a:rPr lang="en-US" sz="2000" b="0" i="0" u="none" strike="noStrike">
              <a:solidFill>
                <a:srgbClr val="FF6F61"/>
              </a:solidFill>
              <a:latin typeface="Aptos Narrow"/>
              <a:ea typeface="+mn-ea"/>
              <a:cs typeface="+mn-cs"/>
            </a:rPr>
            <a:pPr marL="0" indent="0" algn="ctr"/>
            <a:t> 4,975 </a:t>
          </a:fld>
          <a:endParaRPr lang="en-US" sz="2000" b="0" i="0" u="none" strike="noStrike">
            <a:solidFill>
              <a:srgbClr val="FF6F61"/>
            </a:solidFill>
            <a:latin typeface="Aptos Narrow"/>
            <a:ea typeface="+mn-ea"/>
            <a:cs typeface="+mn-cs"/>
          </a:endParaRPr>
        </a:p>
      </xdr:txBody>
    </xdr:sp>
    <xdr:clientData/>
  </xdr:twoCellAnchor>
  <xdr:twoCellAnchor>
    <xdr:from>
      <xdr:col>0</xdr:col>
      <xdr:colOff>63500</xdr:colOff>
      <xdr:row>5</xdr:row>
      <xdr:rowOff>10584</xdr:rowOff>
    </xdr:from>
    <xdr:to>
      <xdr:col>1</xdr:col>
      <xdr:colOff>620183</xdr:colOff>
      <xdr:row>9</xdr:row>
      <xdr:rowOff>40219</xdr:rowOff>
    </xdr:to>
    <xdr:sp macro="" textlink="">
      <xdr:nvSpPr>
        <xdr:cNvPr id="11" name="Rounded Rectangle 10">
          <a:extLst>
            <a:ext uri="{FF2B5EF4-FFF2-40B4-BE49-F238E27FC236}">
              <a16:creationId xmlns:a16="http://schemas.microsoft.com/office/drawing/2014/main" id="{988B35F5-4EBD-F742-9AEC-FB152A6A7104}"/>
            </a:ext>
          </a:extLst>
        </xdr:cNvPr>
        <xdr:cNvSpPr/>
      </xdr:nvSpPr>
      <xdr:spPr>
        <a:xfrm>
          <a:off x="63500" y="836084"/>
          <a:ext cx="1382183" cy="690035"/>
        </a:xfrm>
        <a:prstGeom prst="roundRect">
          <a:avLst>
            <a:gd name="adj" fmla="val 6473"/>
          </a:avLst>
        </a:prstGeom>
        <a:solidFill>
          <a:srgbClr val="F2FAF6"/>
        </a:solidFill>
        <a:ln>
          <a:solidFill>
            <a:srgbClr val="E0E0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rgbClr val="66BB69"/>
              </a:solidFill>
            </a:rPr>
            <a:t>Shift Count</a:t>
          </a:r>
        </a:p>
      </xdr:txBody>
    </xdr:sp>
    <xdr:clientData/>
  </xdr:twoCellAnchor>
  <xdr:twoCellAnchor>
    <xdr:from>
      <xdr:col>0</xdr:col>
      <xdr:colOff>91017</xdr:colOff>
      <xdr:row>6</xdr:row>
      <xdr:rowOff>110067</xdr:rowOff>
    </xdr:from>
    <xdr:to>
      <xdr:col>1</xdr:col>
      <xdr:colOff>588434</xdr:colOff>
      <xdr:row>9</xdr:row>
      <xdr:rowOff>38101</xdr:rowOff>
    </xdr:to>
    <xdr:sp macro="" textlink="'pivot tables'!A5">
      <xdr:nvSpPr>
        <xdr:cNvPr id="12" name="TextBox 11">
          <a:extLst>
            <a:ext uri="{FF2B5EF4-FFF2-40B4-BE49-F238E27FC236}">
              <a16:creationId xmlns:a16="http://schemas.microsoft.com/office/drawing/2014/main" id="{D69C71A7-79FE-E54D-B5CA-E3B53F4A9517}"/>
            </a:ext>
          </a:extLst>
        </xdr:cNvPr>
        <xdr:cNvSpPr txBox="1"/>
      </xdr:nvSpPr>
      <xdr:spPr>
        <a:xfrm>
          <a:off x="91017" y="1100667"/>
          <a:ext cx="1322917"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D29275F-283C-9E48-96DA-8217F48332C4}" type="TxLink">
            <a:rPr lang="en-US" sz="2000" b="0" i="0" u="none" strike="noStrike">
              <a:solidFill>
                <a:srgbClr val="FF6F61"/>
              </a:solidFill>
              <a:latin typeface="Aptos Narrow"/>
              <a:ea typeface="+mn-ea"/>
              <a:cs typeface="+mn-cs"/>
            </a:rPr>
            <a:pPr marL="0" indent="0" algn="ctr"/>
            <a:t>2584</a:t>
          </a:fld>
          <a:endParaRPr lang="en-US" sz="2000" b="0" i="0" u="none" strike="noStrike">
            <a:solidFill>
              <a:srgbClr val="FF6F61"/>
            </a:solidFill>
            <a:latin typeface="Aptos Narrow"/>
            <a:ea typeface="+mn-ea"/>
            <a:cs typeface="+mn-cs"/>
          </a:endParaRPr>
        </a:p>
      </xdr:txBody>
    </xdr:sp>
    <xdr:clientData/>
  </xdr:twoCellAnchor>
  <xdr:twoCellAnchor>
    <xdr:from>
      <xdr:col>1</xdr:col>
      <xdr:colOff>698499</xdr:colOff>
      <xdr:row>5</xdr:row>
      <xdr:rowOff>10583</xdr:rowOff>
    </xdr:from>
    <xdr:to>
      <xdr:col>3</xdr:col>
      <xdr:colOff>624416</xdr:colOff>
      <xdr:row>9</xdr:row>
      <xdr:rowOff>40218</xdr:rowOff>
    </xdr:to>
    <xdr:sp macro="" textlink="">
      <xdr:nvSpPr>
        <xdr:cNvPr id="13" name="Rounded Rectangle 12">
          <a:extLst>
            <a:ext uri="{FF2B5EF4-FFF2-40B4-BE49-F238E27FC236}">
              <a16:creationId xmlns:a16="http://schemas.microsoft.com/office/drawing/2014/main" id="{53EA2AEE-0E5A-3840-925F-52D29C44B7F3}"/>
            </a:ext>
          </a:extLst>
        </xdr:cNvPr>
        <xdr:cNvSpPr/>
      </xdr:nvSpPr>
      <xdr:spPr>
        <a:xfrm>
          <a:off x="1523999" y="857250"/>
          <a:ext cx="1576917" cy="706968"/>
        </a:xfrm>
        <a:prstGeom prst="roundRect">
          <a:avLst>
            <a:gd name="adj" fmla="val 6473"/>
          </a:avLst>
        </a:prstGeom>
        <a:solidFill>
          <a:srgbClr val="F2FAF6"/>
        </a:solidFill>
        <a:ln>
          <a:solidFill>
            <a:srgbClr val="E0E0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rgbClr val="66BB69"/>
              </a:solidFill>
            </a:rPr>
            <a:t>Danger</a:t>
          </a:r>
          <a:r>
            <a:rPr lang="en-US" sz="1600" baseline="0">
              <a:solidFill>
                <a:srgbClr val="66BB69"/>
              </a:solidFill>
            </a:rPr>
            <a:t> Count</a:t>
          </a:r>
          <a:endParaRPr lang="en-US" sz="1600">
            <a:solidFill>
              <a:srgbClr val="66BB69"/>
            </a:solidFill>
          </a:endParaRPr>
        </a:p>
      </xdr:txBody>
    </xdr:sp>
    <xdr:clientData/>
  </xdr:twoCellAnchor>
  <xdr:twoCellAnchor>
    <xdr:from>
      <xdr:col>2</xdr:col>
      <xdr:colOff>6347</xdr:colOff>
      <xdr:row>6</xdr:row>
      <xdr:rowOff>110066</xdr:rowOff>
    </xdr:from>
    <xdr:to>
      <xdr:col>3</xdr:col>
      <xdr:colOff>508000</xdr:colOff>
      <xdr:row>9</xdr:row>
      <xdr:rowOff>38100</xdr:rowOff>
    </xdr:to>
    <xdr:sp macro="" textlink="'pivot tables'!B5">
      <xdr:nvSpPr>
        <xdr:cNvPr id="14" name="TextBox 13">
          <a:extLst>
            <a:ext uri="{FF2B5EF4-FFF2-40B4-BE49-F238E27FC236}">
              <a16:creationId xmlns:a16="http://schemas.microsoft.com/office/drawing/2014/main" id="{55D9A0B0-1E35-704F-8C4F-5EC233230C51}"/>
            </a:ext>
          </a:extLst>
        </xdr:cNvPr>
        <xdr:cNvSpPr txBox="1"/>
      </xdr:nvSpPr>
      <xdr:spPr>
        <a:xfrm>
          <a:off x="1657347" y="1126066"/>
          <a:ext cx="1327153" cy="436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B93593C-A86A-2241-B809-75FE2BFB3DFB}" type="TxLink">
            <a:rPr lang="en-US" sz="2000" b="0" i="0" u="none" strike="noStrike">
              <a:solidFill>
                <a:srgbClr val="FF6F61"/>
              </a:solidFill>
              <a:latin typeface="Aptos Narrow"/>
              <a:ea typeface="+mn-ea"/>
              <a:cs typeface="+mn-cs"/>
            </a:rPr>
            <a:pPr marL="0" indent="0" algn="ctr"/>
            <a:t>170</a:t>
          </a:fld>
          <a:endParaRPr lang="en-US" sz="2000" b="0" i="0" u="none" strike="noStrike">
            <a:solidFill>
              <a:srgbClr val="FF6F61"/>
            </a:solidFill>
            <a:latin typeface="Aptos Narrow"/>
            <a:ea typeface="+mn-ea"/>
            <a:cs typeface="+mn-cs"/>
          </a:endParaRPr>
        </a:p>
      </xdr:txBody>
    </xdr:sp>
    <xdr:clientData/>
  </xdr:twoCellAnchor>
  <xdr:twoCellAnchor>
    <xdr:from>
      <xdr:col>5</xdr:col>
      <xdr:colOff>582085</xdr:colOff>
      <xdr:row>4</xdr:row>
      <xdr:rowOff>167216</xdr:rowOff>
    </xdr:from>
    <xdr:to>
      <xdr:col>7</xdr:col>
      <xdr:colOff>529169</xdr:colOff>
      <xdr:row>9</xdr:row>
      <xdr:rowOff>42333</xdr:rowOff>
    </xdr:to>
    <xdr:sp macro="" textlink="">
      <xdr:nvSpPr>
        <xdr:cNvPr id="17" name="Rounded Rectangle 16">
          <a:extLst>
            <a:ext uri="{FF2B5EF4-FFF2-40B4-BE49-F238E27FC236}">
              <a16:creationId xmlns:a16="http://schemas.microsoft.com/office/drawing/2014/main" id="{783265B8-01FC-4E47-B8EB-2205E60F39A9}"/>
            </a:ext>
          </a:extLst>
        </xdr:cNvPr>
        <xdr:cNvSpPr/>
      </xdr:nvSpPr>
      <xdr:spPr>
        <a:xfrm>
          <a:off x="4709585" y="844549"/>
          <a:ext cx="1598084" cy="721784"/>
        </a:xfrm>
        <a:prstGeom prst="roundRect">
          <a:avLst>
            <a:gd name="adj" fmla="val 6473"/>
          </a:avLst>
        </a:prstGeom>
        <a:solidFill>
          <a:srgbClr val="F2FAF6"/>
        </a:solidFill>
        <a:ln>
          <a:solidFill>
            <a:srgbClr val="E0E0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rgbClr val="66BB69"/>
              </a:solidFill>
            </a:rPr>
            <a:t>Genergy</a:t>
          </a:r>
          <a:r>
            <a:rPr lang="en-US" sz="1600" baseline="0">
              <a:solidFill>
                <a:srgbClr val="66BB69"/>
              </a:solidFill>
            </a:rPr>
            <a:t> Mean</a:t>
          </a:r>
          <a:endParaRPr lang="en-US" sz="1600">
            <a:solidFill>
              <a:srgbClr val="66BB69"/>
            </a:solidFill>
          </a:endParaRPr>
        </a:p>
      </xdr:txBody>
    </xdr:sp>
    <xdr:clientData/>
  </xdr:twoCellAnchor>
  <xdr:twoCellAnchor>
    <xdr:from>
      <xdr:col>5</xdr:col>
      <xdr:colOff>501651</xdr:colOff>
      <xdr:row>6</xdr:row>
      <xdr:rowOff>76197</xdr:rowOff>
    </xdr:from>
    <xdr:to>
      <xdr:col>7</xdr:col>
      <xdr:colOff>666752</xdr:colOff>
      <xdr:row>9</xdr:row>
      <xdr:rowOff>12699</xdr:rowOff>
    </xdr:to>
    <xdr:sp macro="" textlink="'pivot tables'!D5">
      <xdr:nvSpPr>
        <xdr:cNvPr id="18" name="TextBox 17">
          <a:extLst>
            <a:ext uri="{FF2B5EF4-FFF2-40B4-BE49-F238E27FC236}">
              <a16:creationId xmlns:a16="http://schemas.microsoft.com/office/drawing/2014/main" id="{98A77C88-F621-6A48-8BFE-C323D74468D0}"/>
            </a:ext>
          </a:extLst>
        </xdr:cNvPr>
        <xdr:cNvSpPr txBox="1"/>
      </xdr:nvSpPr>
      <xdr:spPr>
        <a:xfrm>
          <a:off x="4629151" y="1092197"/>
          <a:ext cx="1816101" cy="444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19F1A32-B6C7-704E-9FE9-2FF77DB0C2CD}" type="TxLink">
            <a:rPr lang="en-US" sz="2000" b="0" i="0" u="none" strike="noStrike">
              <a:solidFill>
                <a:srgbClr val="FF6F61"/>
              </a:solidFill>
              <a:latin typeface="Aptos Narrow"/>
              <a:ea typeface="+mn-ea"/>
              <a:cs typeface="+mn-cs"/>
            </a:rPr>
            <a:pPr marL="0" indent="0" algn="ctr"/>
            <a:t> 90,243 </a:t>
          </a:fld>
          <a:endParaRPr lang="en-US" sz="2000" b="0" i="0" u="none" strike="noStrike">
            <a:solidFill>
              <a:srgbClr val="FF6F61"/>
            </a:solidFill>
            <a:latin typeface="Aptos Narrow"/>
            <a:ea typeface="+mn-ea"/>
            <a:cs typeface="+mn-cs"/>
          </a:endParaRPr>
        </a:p>
      </xdr:txBody>
    </xdr:sp>
    <xdr:clientData/>
  </xdr:twoCellAnchor>
  <xdr:twoCellAnchor>
    <xdr:from>
      <xdr:col>7</xdr:col>
      <xdr:colOff>603251</xdr:colOff>
      <xdr:row>5</xdr:row>
      <xdr:rowOff>10582</xdr:rowOff>
    </xdr:from>
    <xdr:to>
      <xdr:col>10</xdr:col>
      <xdr:colOff>455083</xdr:colOff>
      <xdr:row>9</xdr:row>
      <xdr:rowOff>52917</xdr:rowOff>
    </xdr:to>
    <xdr:sp macro="" textlink="">
      <xdr:nvSpPr>
        <xdr:cNvPr id="19" name="Rounded Rectangle 18">
          <a:extLst>
            <a:ext uri="{FF2B5EF4-FFF2-40B4-BE49-F238E27FC236}">
              <a16:creationId xmlns:a16="http://schemas.microsoft.com/office/drawing/2014/main" id="{6624F6A3-6A13-1F40-A45F-6B127C3CC059}"/>
            </a:ext>
          </a:extLst>
        </xdr:cNvPr>
        <xdr:cNvSpPr/>
      </xdr:nvSpPr>
      <xdr:spPr>
        <a:xfrm>
          <a:off x="6381751" y="857249"/>
          <a:ext cx="2328332" cy="719668"/>
        </a:xfrm>
        <a:prstGeom prst="roundRect">
          <a:avLst>
            <a:gd name="adj" fmla="val 6473"/>
          </a:avLst>
        </a:prstGeom>
        <a:solidFill>
          <a:srgbClr val="F2FAF6"/>
        </a:solidFill>
        <a:ln>
          <a:solidFill>
            <a:srgbClr val="E0E0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rgbClr val="66BB69"/>
              </a:solidFill>
            </a:rPr>
            <a:t>Maximum</a:t>
          </a:r>
          <a:r>
            <a:rPr lang="en-US" sz="1600" baseline="0">
              <a:solidFill>
                <a:srgbClr val="66BB69"/>
              </a:solidFill>
            </a:rPr>
            <a:t> Genergy</a:t>
          </a:r>
          <a:endParaRPr lang="en-US" sz="1600">
            <a:solidFill>
              <a:srgbClr val="66BB69"/>
            </a:solidFill>
          </a:endParaRPr>
        </a:p>
      </xdr:txBody>
    </xdr:sp>
    <xdr:clientData/>
  </xdr:twoCellAnchor>
  <xdr:twoCellAnchor>
    <xdr:from>
      <xdr:col>7</xdr:col>
      <xdr:colOff>597825</xdr:colOff>
      <xdr:row>6</xdr:row>
      <xdr:rowOff>88902</xdr:rowOff>
    </xdr:from>
    <xdr:to>
      <xdr:col>10</xdr:col>
      <xdr:colOff>432410</xdr:colOff>
      <xdr:row>9</xdr:row>
      <xdr:rowOff>16936</xdr:rowOff>
    </xdr:to>
    <xdr:sp macro="" textlink="'pivot tables'!H5">
      <xdr:nvSpPr>
        <xdr:cNvPr id="20" name="TextBox 19">
          <a:extLst>
            <a:ext uri="{FF2B5EF4-FFF2-40B4-BE49-F238E27FC236}">
              <a16:creationId xmlns:a16="http://schemas.microsoft.com/office/drawing/2014/main" id="{B01A3263-D48D-7049-B08D-4CFD1B0689E3}"/>
            </a:ext>
          </a:extLst>
        </xdr:cNvPr>
        <xdr:cNvSpPr txBox="1"/>
      </xdr:nvSpPr>
      <xdr:spPr>
        <a:xfrm>
          <a:off x="6376325" y="1104902"/>
          <a:ext cx="2311085" cy="436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D20D01E-B5FB-C943-89CE-A72A38AF58DF}" type="TxLink">
            <a:rPr lang="en-US" sz="2000" b="0" i="0" u="none" strike="noStrike">
              <a:solidFill>
                <a:srgbClr val="FF6F61"/>
              </a:solidFill>
              <a:latin typeface="Aptos Narrow"/>
              <a:ea typeface="+mn-ea"/>
              <a:cs typeface="+mn-cs"/>
            </a:rPr>
            <a:pPr marL="0" indent="0" algn="ctr"/>
            <a:t> 2,595,650 </a:t>
          </a:fld>
          <a:endParaRPr lang="en-US" sz="2000" b="0" i="0" u="none" strike="noStrike">
            <a:solidFill>
              <a:srgbClr val="FF6F61"/>
            </a:solidFill>
            <a:latin typeface="Aptos Narrow"/>
            <a:ea typeface="+mn-ea"/>
            <a:cs typeface="+mn-cs"/>
          </a:endParaRPr>
        </a:p>
      </xdr:txBody>
    </xdr:sp>
    <xdr:clientData/>
  </xdr:twoCellAnchor>
  <xdr:twoCellAnchor>
    <xdr:from>
      <xdr:col>0</xdr:col>
      <xdr:colOff>74082</xdr:colOff>
      <xdr:row>17</xdr:row>
      <xdr:rowOff>21166</xdr:rowOff>
    </xdr:from>
    <xdr:to>
      <xdr:col>2</xdr:col>
      <xdr:colOff>105833</xdr:colOff>
      <xdr:row>24</xdr:row>
      <xdr:rowOff>0</xdr:rowOff>
    </xdr:to>
    <xdr:sp macro="" textlink="">
      <xdr:nvSpPr>
        <xdr:cNvPr id="23" name="Rounded Rectangle 22">
          <a:extLst>
            <a:ext uri="{FF2B5EF4-FFF2-40B4-BE49-F238E27FC236}">
              <a16:creationId xmlns:a16="http://schemas.microsoft.com/office/drawing/2014/main" id="{7CDE5377-26A5-2045-AB1C-7850D69299EB}"/>
            </a:ext>
          </a:extLst>
        </xdr:cNvPr>
        <xdr:cNvSpPr/>
      </xdr:nvSpPr>
      <xdr:spPr>
        <a:xfrm>
          <a:off x="74082" y="2899833"/>
          <a:ext cx="1682751" cy="1164167"/>
        </a:xfrm>
        <a:prstGeom prst="roundRect">
          <a:avLst>
            <a:gd name="adj" fmla="val 3473"/>
          </a:avLst>
        </a:prstGeom>
        <a:solidFill>
          <a:srgbClr val="F2FAF6"/>
        </a:solidFill>
        <a:ln>
          <a:solidFill>
            <a:srgbClr val="E0E0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a:solidFill>
              <a:srgbClr val="66BB69"/>
            </a:solidFill>
          </a:endParaRPr>
        </a:p>
      </xdr:txBody>
    </xdr:sp>
    <xdr:clientData/>
  </xdr:twoCellAnchor>
  <xdr:twoCellAnchor>
    <xdr:from>
      <xdr:col>0</xdr:col>
      <xdr:colOff>67733</xdr:colOff>
      <xdr:row>24</xdr:row>
      <xdr:rowOff>74083</xdr:rowOff>
    </xdr:from>
    <xdr:to>
      <xdr:col>2</xdr:col>
      <xdr:colOff>95251</xdr:colOff>
      <xdr:row>37</xdr:row>
      <xdr:rowOff>25400</xdr:rowOff>
    </xdr:to>
    <xdr:sp macro="" textlink="">
      <xdr:nvSpPr>
        <xdr:cNvPr id="25" name="Rounded Rectangle 24">
          <a:extLst>
            <a:ext uri="{FF2B5EF4-FFF2-40B4-BE49-F238E27FC236}">
              <a16:creationId xmlns:a16="http://schemas.microsoft.com/office/drawing/2014/main" id="{4DBA0656-2030-3248-8209-7E109D34CADD}"/>
            </a:ext>
          </a:extLst>
        </xdr:cNvPr>
        <xdr:cNvSpPr/>
      </xdr:nvSpPr>
      <xdr:spPr>
        <a:xfrm>
          <a:off x="67733" y="4138083"/>
          <a:ext cx="1678518" cy="2152650"/>
        </a:xfrm>
        <a:prstGeom prst="roundRect">
          <a:avLst>
            <a:gd name="adj" fmla="val 4946"/>
          </a:avLst>
        </a:prstGeom>
        <a:solidFill>
          <a:srgbClr val="F2FAF6"/>
        </a:solidFill>
        <a:ln>
          <a:solidFill>
            <a:srgbClr val="E0E0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a:solidFill>
              <a:srgbClr val="66BB69"/>
            </a:solidFill>
          </a:endParaRPr>
        </a:p>
      </xdr:txBody>
    </xdr:sp>
    <xdr:clientData/>
  </xdr:twoCellAnchor>
  <xdr:twoCellAnchor>
    <xdr:from>
      <xdr:col>13</xdr:col>
      <xdr:colOff>10582</xdr:colOff>
      <xdr:row>0</xdr:row>
      <xdr:rowOff>95249</xdr:rowOff>
    </xdr:from>
    <xdr:to>
      <xdr:col>17</xdr:col>
      <xdr:colOff>634999</xdr:colOff>
      <xdr:row>37</xdr:row>
      <xdr:rowOff>21167</xdr:rowOff>
    </xdr:to>
    <xdr:sp macro="" textlink="">
      <xdr:nvSpPr>
        <xdr:cNvPr id="30" name="Rounded Rectangle 29">
          <a:extLst>
            <a:ext uri="{FF2B5EF4-FFF2-40B4-BE49-F238E27FC236}">
              <a16:creationId xmlns:a16="http://schemas.microsoft.com/office/drawing/2014/main" id="{DD0ADF29-F380-FC4F-BF90-1F59FB73F0D5}"/>
            </a:ext>
          </a:extLst>
        </xdr:cNvPr>
        <xdr:cNvSpPr/>
      </xdr:nvSpPr>
      <xdr:spPr>
        <a:xfrm>
          <a:off x="10742082" y="95249"/>
          <a:ext cx="3926417" cy="6191251"/>
        </a:xfrm>
        <a:prstGeom prst="roundRect">
          <a:avLst>
            <a:gd name="adj" fmla="val 2644"/>
          </a:avLst>
        </a:prstGeom>
        <a:solidFill>
          <a:srgbClr val="F2FAF6"/>
        </a:solidFill>
        <a:ln>
          <a:solidFill>
            <a:srgbClr val="E0E0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rgbClr val="66BB69"/>
              </a:solidFill>
            </a:rPr>
            <a:t>Nbumps</a:t>
          </a:r>
          <a:r>
            <a:rPr lang="en-US" sz="1600" baseline="0">
              <a:solidFill>
                <a:srgbClr val="66BB69"/>
              </a:solidFill>
            </a:rPr>
            <a:t> Distribution</a:t>
          </a:r>
          <a:endParaRPr lang="en-US" sz="1600">
            <a:solidFill>
              <a:srgbClr val="66BB69"/>
            </a:solidFill>
          </a:endParaRPr>
        </a:p>
      </xdr:txBody>
    </xdr:sp>
    <xdr:clientData/>
  </xdr:twoCellAnchor>
  <xdr:twoCellAnchor>
    <xdr:from>
      <xdr:col>5</xdr:col>
      <xdr:colOff>603249</xdr:colOff>
      <xdr:row>9</xdr:row>
      <xdr:rowOff>122767</xdr:rowOff>
    </xdr:from>
    <xdr:to>
      <xdr:col>9</xdr:col>
      <xdr:colOff>529167</xdr:colOff>
      <xdr:row>20</xdr:row>
      <xdr:rowOff>116417</xdr:rowOff>
    </xdr:to>
    <xdr:sp macro="" textlink="">
      <xdr:nvSpPr>
        <xdr:cNvPr id="32" name="Rounded Rectangle 31">
          <a:extLst>
            <a:ext uri="{FF2B5EF4-FFF2-40B4-BE49-F238E27FC236}">
              <a16:creationId xmlns:a16="http://schemas.microsoft.com/office/drawing/2014/main" id="{1DF611DC-A7F2-BD49-BDBD-F7B162179B48}"/>
            </a:ext>
          </a:extLst>
        </xdr:cNvPr>
        <xdr:cNvSpPr/>
      </xdr:nvSpPr>
      <xdr:spPr>
        <a:xfrm>
          <a:off x="4730749" y="1646767"/>
          <a:ext cx="3227918" cy="1856317"/>
        </a:xfrm>
        <a:prstGeom prst="roundRect">
          <a:avLst>
            <a:gd name="adj" fmla="val 2644"/>
          </a:avLst>
        </a:prstGeom>
        <a:solidFill>
          <a:srgbClr val="F2FAF6"/>
        </a:solidFill>
        <a:ln>
          <a:solidFill>
            <a:srgbClr val="E0E0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rgbClr val="66BB69"/>
              </a:solidFill>
              <a:latin typeface="+mn-lt"/>
              <a:ea typeface="+mn-ea"/>
              <a:cs typeface="+mn-cs"/>
            </a:rPr>
            <a:t>Danger Rate by Seismoacoustic</a:t>
          </a:r>
        </a:p>
      </xdr:txBody>
    </xdr:sp>
    <xdr:clientData/>
  </xdr:twoCellAnchor>
  <xdr:twoCellAnchor>
    <xdr:from>
      <xdr:col>4</xdr:col>
      <xdr:colOff>328083</xdr:colOff>
      <xdr:row>21</xdr:row>
      <xdr:rowOff>31751</xdr:rowOff>
    </xdr:from>
    <xdr:to>
      <xdr:col>12</xdr:col>
      <xdr:colOff>730249</xdr:colOff>
      <xdr:row>37</xdr:row>
      <xdr:rowOff>14820</xdr:rowOff>
    </xdr:to>
    <xdr:sp macro="" textlink="">
      <xdr:nvSpPr>
        <xdr:cNvPr id="33" name="Rounded Rectangle 32">
          <a:extLst>
            <a:ext uri="{FF2B5EF4-FFF2-40B4-BE49-F238E27FC236}">
              <a16:creationId xmlns:a16="http://schemas.microsoft.com/office/drawing/2014/main" id="{DE69D326-F84B-A042-91A4-F31C41258957}"/>
            </a:ext>
          </a:extLst>
        </xdr:cNvPr>
        <xdr:cNvSpPr/>
      </xdr:nvSpPr>
      <xdr:spPr>
        <a:xfrm>
          <a:off x="3630083" y="3587751"/>
          <a:ext cx="7006166" cy="2692402"/>
        </a:xfrm>
        <a:prstGeom prst="roundRect">
          <a:avLst>
            <a:gd name="adj" fmla="val 2461"/>
          </a:avLst>
        </a:prstGeom>
        <a:solidFill>
          <a:srgbClr val="F2FAF6"/>
        </a:solidFill>
        <a:ln>
          <a:solidFill>
            <a:srgbClr val="E0E0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rgbClr val="66BB69"/>
              </a:solidFill>
            </a:rPr>
            <a:t>Genergy magnitude spread</a:t>
          </a:r>
        </a:p>
      </xdr:txBody>
    </xdr:sp>
    <xdr:clientData/>
  </xdr:twoCellAnchor>
  <xdr:twoCellAnchor>
    <xdr:from>
      <xdr:col>7</xdr:col>
      <xdr:colOff>670984</xdr:colOff>
      <xdr:row>41</xdr:row>
      <xdr:rowOff>74083</xdr:rowOff>
    </xdr:from>
    <xdr:to>
      <xdr:col>7</xdr:col>
      <xdr:colOff>804333</xdr:colOff>
      <xdr:row>42</xdr:row>
      <xdr:rowOff>10582</xdr:rowOff>
    </xdr:to>
    <mc:AlternateContent xmlns:mc="http://schemas.openxmlformats.org/markup-compatibility/2006">
      <mc:Choice xmlns:cx1="http://schemas.microsoft.com/office/drawing/2015/9/8/chartex" Requires="cx1">
        <xdr:graphicFrame macro="">
          <xdr:nvGraphicFramePr>
            <xdr:cNvPr id="38" name="Chart 37">
              <a:extLst>
                <a:ext uri="{FF2B5EF4-FFF2-40B4-BE49-F238E27FC236}">
                  <a16:creationId xmlns:a16="http://schemas.microsoft.com/office/drawing/2014/main" id="{B3627F5E-4DA1-294B-B8FC-FDE2B6D073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49484" y="7016750"/>
              <a:ext cx="133349" cy="10583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158748</xdr:colOff>
      <xdr:row>25</xdr:row>
      <xdr:rowOff>42334</xdr:rowOff>
    </xdr:from>
    <xdr:to>
      <xdr:col>2</xdr:col>
      <xdr:colOff>0</xdr:colOff>
      <xdr:row>36</xdr:row>
      <xdr:rowOff>127000</xdr:rowOff>
    </xdr:to>
    <mc:AlternateContent xmlns:mc="http://schemas.openxmlformats.org/markup-compatibility/2006">
      <mc:Choice xmlns:a14="http://schemas.microsoft.com/office/drawing/2010/main" Requires="a14">
        <xdr:graphicFrame macro="">
          <xdr:nvGraphicFramePr>
            <xdr:cNvPr id="41" name="genergy_magnitude">
              <a:extLst>
                <a:ext uri="{FF2B5EF4-FFF2-40B4-BE49-F238E27FC236}">
                  <a16:creationId xmlns:a16="http://schemas.microsoft.com/office/drawing/2014/main" id="{AF020241-230D-FF45-B430-2D6FB8AB66C9}"/>
                </a:ext>
              </a:extLst>
            </xdr:cNvPr>
            <xdr:cNvGraphicFramePr/>
          </xdr:nvGraphicFramePr>
          <xdr:xfrm>
            <a:off x="0" y="0"/>
            <a:ext cx="0" cy="0"/>
          </xdr:xfrm>
          <a:graphic>
            <a:graphicData uri="http://schemas.microsoft.com/office/drawing/2010/slicer">
              <sle:slicer xmlns:sle="http://schemas.microsoft.com/office/drawing/2010/slicer" name="genergy_magnitude"/>
            </a:graphicData>
          </a:graphic>
        </xdr:graphicFrame>
      </mc:Choice>
      <mc:Fallback>
        <xdr:sp macro="" textlink="">
          <xdr:nvSpPr>
            <xdr:cNvPr id="0" name=""/>
            <xdr:cNvSpPr>
              <a:spLocks noTextEdit="1"/>
            </xdr:cNvSpPr>
          </xdr:nvSpPr>
          <xdr:spPr>
            <a:xfrm>
              <a:off x="158748" y="4275667"/>
              <a:ext cx="1492252" cy="1947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169332</xdr:colOff>
      <xdr:row>17</xdr:row>
      <xdr:rowOff>129115</xdr:rowOff>
    </xdr:from>
    <xdr:to>
      <xdr:col>1</xdr:col>
      <xdr:colOff>814917</xdr:colOff>
      <xdr:row>23</xdr:row>
      <xdr:rowOff>55846</xdr:rowOff>
    </xdr:to>
    <mc:AlternateContent xmlns:mc="http://schemas.openxmlformats.org/markup-compatibility/2006">
      <mc:Choice xmlns:a14="http://schemas.microsoft.com/office/drawing/2010/main" Requires="a14">
        <xdr:graphicFrame macro="">
          <xdr:nvGraphicFramePr>
            <xdr:cNvPr id="42" name="shift_lable">
              <a:extLst>
                <a:ext uri="{FF2B5EF4-FFF2-40B4-BE49-F238E27FC236}">
                  <a16:creationId xmlns:a16="http://schemas.microsoft.com/office/drawing/2014/main" id="{DFF5B811-1BFE-F64D-89E3-6703D8BEF944}"/>
                </a:ext>
              </a:extLst>
            </xdr:cNvPr>
            <xdr:cNvGraphicFramePr/>
          </xdr:nvGraphicFramePr>
          <xdr:xfrm>
            <a:off x="0" y="0"/>
            <a:ext cx="0" cy="0"/>
          </xdr:xfrm>
          <a:graphic>
            <a:graphicData uri="http://schemas.microsoft.com/office/drawing/2010/slicer">
              <sle:slicer xmlns:sle="http://schemas.microsoft.com/office/drawing/2010/slicer" name="shift_lable"/>
            </a:graphicData>
          </a:graphic>
        </xdr:graphicFrame>
      </mc:Choice>
      <mc:Fallback>
        <xdr:sp macro="" textlink="">
          <xdr:nvSpPr>
            <xdr:cNvPr id="0" name=""/>
            <xdr:cNvSpPr>
              <a:spLocks noTextEdit="1"/>
            </xdr:cNvSpPr>
          </xdr:nvSpPr>
          <xdr:spPr>
            <a:xfrm>
              <a:off x="169332" y="3007782"/>
              <a:ext cx="1471085" cy="9427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63500</xdr:colOff>
      <xdr:row>9</xdr:row>
      <xdr:rowOff>116416</xdr:rowOff>
    </xdr:from>
    <xdr:to>
      <xdr:col>2</xdr:col>
      <xdr:colOff>116417</xdr:colOff>
      <xdr:row>16</xdr:row>
      <xdr:rowOff>105834</xdr:rowOff>
    </xdr:to>
    <xdr:sp macro="" textlink="">
      <xdr:nvSpPr>
        <xdr:cNvPr id="43" name="Rounded Rectangle 42">
          <a:extLst>
            <a:ext uri="{FF2B5EF4-FFF2-40B4-BE49-F238E27FC236}">
              <a16:creationId xmlns:a16="http://schemas.microsoft.com/office/drawing/2014/main" id="{E0ECABF1-4239-AE44-9787-78C565354D06}"/>
            </a:ext>
          </a:extLst>
        </xdr:cNvPr>
        <xdr:cNvSpPr/>
      </xdr:nvSpPr>
      <xdr:spPr>
        <a:xfrm>
          <a:off x="63500" y="1640416"/>
          <a:ext cx="1703917" cy="1174751"/>
        </a:xfrm>
        <a:prstGeom prst="roundRect">
          <a:avLst>
            <a:gd name="adj" fmla="val 4946"/>
          </a:avLst>
        </a:prstGeom>
        <a:solidFill>
          <a:srgbClr val="F2FAF6"/>
        </a:solidFill>
        <a:ln>
          <a:solidFill>
            <a:srgbClr val="E0E0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a:solidFill>
              <a:srgbClr val="66BB69"/>
            </a:solidFill>
          </a:endParaRPr>
        </a:p>
      </xdr:txBody>
    </xdr:sp>
    <xdr:clientData/>
  </xdr:twoCellAnchor>
  <xdr:twoCellAnchor editAs="oneCell">
    <xdr:from>
      <xdr:col>0</xdr:col>
      <xdr:colOff>152401</xdr:colOff>
      <xdr:row>10</xdr:row>
      <xdr:rowOff>57151</xdr:rowOff>
    </xdr:from>
    <xdr:to>
      <xdr:col>2</xdr:col>
      <xdr:colOff>10583</xdr:colOff>
      <xdr:row>16</xdr:row>
      <xdr:rowOff>10584</xdr:rowOff>
    </xdr:to>
    <mc:AlternateContent xmlns:mc="http://schemas.openxmlformats.org/markup-compatibility/2006">
      <mc:Choice xmlns:a14="http://schemas.microsoft.com/office/drawing/2010/main" Requires="a14">
        <xdr:graphicFrame macro="">
          <xdr:nvGraphicFramePr>
            <xdr:cNvPr id="46" name="genergy_outlier">
              <a:extLst>
                <a:ext uri="{FF2B5EF4-FFF2-40B4-BE49-F238E27FC236}">
                  <a16:creationId xmlns:a16="http://schemas.microsoft.com/office/drawing/2014/main" id="{E9547167-E7EC-A641-A5C1-FDFF86DD6B40}"/>
                </a:ext>
              </a:extLst>
            </xdr:cNvPr>
            <xdr:cNvGraphicFramePr/>
          </xdr:nvGraphicFramePr>
          <xdr:xfrm>
            <a:off x="0" y="0"/>
            <a:ext cx="0" cy="0"/>
          </xdr:xfrm>
          <a:graphic>
            <a:graphicData uri="http://schemas.microsoft.com/office/drawing/2010/slicer">
              <sle:slicer xmlns:sle="http://schemas.microsoft.com/office/drawing/2010/slicer" name="genergy_outlier"/>
            </a:graphicData>
          </a:graphic>
        </xdr:graphicFrame>
      </mc:Choice>
      <mc:Fallback>
        <xdr:sp macro="" textlink="">
          <xdr:nvSpPr>
            <xdr:cNvPr id="0" name=""/>
            <xdr:cNvSpPr>
              <a:spLocks noTextEdit="1"/>
            </xdr:cNvSpPr>
          </xdr:nvSpPr>
          <xdr:spPr>
            <a:xfrm>
              <a:off x="152401" y="1750484"/>
              <a:ext cx="1509182" cy="9694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719667</xdr:colOff>
      <xdr:row>5</xdr:row>
      <xdr:rowOff>14817</xdr:rowOff>
    </xdr:from>
    <xdr:to>
      <xdr:col>5</xdr:col>
      <xdr:colOff>518583</xdr:colOff>
      <xdr:row>9</xdr:row>
      <xdr:rowOff>44452</xdr:rowOff>
    </xdr:to>
    <xdr:sp macro="" textlink="">
      <xdr:nvSpPr>
        <xdr:cNvPr id="47" name="Rounded Rectangle 46">
          <a:extLst>
            <a:ext uri="{FF2B5EF4-FFF2-40B4-BE49-F238E27FC236}">
              <a16:creationId xmlns:a16="http://schemas.microsoft.com/office/drawing/2014/main" id="{DB61AA32-559D-954F-BEC6-85A9355C2BD0}"/>
            </a:ext>
          </a:extLst>
        </xdr:cNvPr>
        <xdr:cNvSpPr/>
      </xdr:nvSpPr>
      <xdr:spPr>
        <a:xfrm>
          <a:off x="3196167" y="861484"/>
          <a:ext cx="1449916" cy="706968"/>
        </a:xfrm>
        <a:prstGeom prst="roundRect">
          <a:avLst>
            <a:gd name="adj" fmla="val 6473"/>
          </a:avLst>
        </a:prstGeom>
        <a:solidFill>
          <a:srgbClr val="F2FAF6"/>
        </a:solidFill>
        <a:ln>
          <a:solidFill>
            <a:srgbClr val="E0E0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rgbClr val="66BB69"/>
              </a:solidFill>
            </a:rPr>
            <a:t>Danger</a:t>
          </a:r>
          <a:r>
            <a:rPr lang="en-US" sz="1600" baseline="0">
              <a:solidFill>
                <a:srgbClr val="66BB69"/>
              </a:solidFill>
            </a:rPr>
            <a:t> Rate</a:t>
          </a:r>
          <a:endParaRPr lang="en-US" sz="1600">
            <a:solidFill>
              <a:srgbClr val="66BB69"/>
            </a:solidFill>
          </a:endParaRPr>
        </a:p>
      </xdr:txBody>
    </xdr:sp>
    <xdr:clientData/>
  </xdr:twoCellAnchor>
  <xdr:twoCellAnchor>
    <xdr:from>
      <xdr:col>4</xdr:col>
      <xdr:colOff>74081</xdr:colOff>
      <xdr:row>6</xdr:row>
      <xdr:rowOff>114300</xdr:rowOff>
    </xdr:from>
    <xdr:to>
      <xdr:col>5</xdr:col>
      <xdr:colOff>446987</xdr:colOff>
      <xdr:row>9</xdr:row>
      <xdr:rowOff>42334</xdr:rowOff>
    </xdr:to>
    <xdr:sp macro="" textlink="'pivot tables'!C5">
      <xdr:nvSpPr>
        <xdr:cNvPr id="48" name="TextBox 47">
          <a:extLst>
            <a:ext uri="{FF2B5EF4-FFF2-40B4-BE49-F238E27FC236}">
              <a16:creationId xmlns:a16="http://schemas.microsoft.com/office/drawing/2014/main" id="{E0A32CD7-1BAF-6F48-B9C3-FEE4A928757E}"/>
            </a:ext>
          </a:extLst>
        </xdr:cNvPr>
        <xdr:cNvSpPr txBox="1"/>
      </xdr:nvSpPr>
      <xdr:spPr>
        <a:xfrm>
          <a:off x="3376081" y="1130300"/>
          <a:ext cx="1198406" cy="436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2D4348C-2E34-2B4A-8A4A-1070B61C4889}" type="TxLink">
            <a:rPr lang="en-US" sz="2000" b="0" i="0" u="none" strike="noStrike">
              <a:solidFill>
                <a:srgbClr val="FF6F61"/>
              </a:solidFill>
              <a:latin typeface="Aptos Narrow"/>
              <a:ea typeface="+mn-ea"/>
              <a:cs typeface="+mn-cs"/>
            </a:rPr>
            <a:pPr marL="0" indent="0" algn="ctr"/>
            <a:t>6.58%</a:t>
          </a:fld>
          <a:endParaRPr lang="en-US" sz="2000" b="0" i="0" u="none" strike="noStrike">
            <a:solidFill>
              <a:srgbClr val="FF6F61"/>
            </a:solidFill>
            <a:latin typeface="Aptos Narrow"/>
            <a:ea typeface="+mn-ea"/>
            <a:cs typeface="+mn-cs"/>
          </a:endParaRPr>
        </a:p>
      </xdr:txBody>
    </xdr:sp>
    <xdr:clientData/>
  </xdr:twoCellAnchor>
  <xdr:twoCellAnchor>
    <xdr:from>
      <xdr:col>9</xdr:col>
      <xdr:colOff>438151</xdr:colOff>
      <xdr:row>0</xdr:row>
      <xdr:rowOff>99484</xdr:rowOff>
    </xdr:from>
    <xdr:to>
      <xdr:col>11</xdr:col>
      <xdr:colOff>105835</xdr:colOff>
      <xdr:row>4</xdr:row>
      <xdr:rowOff>129119</xdr:rowOff>
    </xdr:to>
    <xdr:sp macro="" textlink="">
      <xdr:nvSpPr>
        <xdr:cNvPr id="49" name="Rounded Rectangle 48">
          <a:extLst>
            <a:ext uri="{FF2B5EF4-FFF2-40B4-BE49-F238E27FC236}">
              <a16:creationId xmlns:a16="http://schemas.microsoft.com/office/drawing/2014/main" id="{4CC39C45-F908-0D4F-820B-1C04B3A32F0C}"/>
            </a:ext>
          </a:extLst>
        </xdr:cNvPr>
        <xdr:cNvSpPr/>
      </xdr:nvSpPr>
      <xdr:spPr>
        <a:xfrm>
          <a:off x="7867651" y="99484"/>
          <a:ext cx="1318684" cy="706968"/>
        </a:xfrm>
        <a:prstGeom prst="roundRect">
          <a:avLst>
            <a:gd name="adj" fmla="val 6473"/>
          </a:avLst>
        </a:prstGeom>
        <a:solidFill>
          <a:srgbClr val="F2FAF6"/>
        </a:solidFill>
        <a:ln>
          <a:solidFill>
            <a:srgbClr val="E0E0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rgbClr val="66BB69"/>
              </a:solidFill>
            </a:rPr>
            <a:t>Gpuls</a:t>
          </a:r>
          <a:r>
            <a:rPr lang="en-US" sz="1600" baseline="0">
              <a:solidFill>
                <a:srgbClr val="66BB69"/>
              </a:solidFill>
            </a:rPr>
            <a:t> Mean</a:t>
          </a:r>
          <a:endParaRPr lang="en-US" sz="1600">
            <a:solidFill>
              <a:srgbClr val="66BB69"/>
            </a:solidFill>
          </a:endParaRPr>
        </a:p>
      </xdr:txBody>
    </xdr:sp>
    <xdr:clientData/>
  </xdr:twoCellAnchor>
  <xdr:twoCellAnchor>
    <xdr:from>
      <xdr:col>9</xdr:col>
      <xdr:colOff>402163</xdr:colOff>
      <xdr:row>2</xdr:row>
      <xdr:rowOff>29632</xdr:rowOff>
    </xdr:from>
    <xdr:to>
      <xdr:col>11</xdr:col>
      <xdr:colOff>74080</xdr:colOff>
      <xdr:row>4</xdr:row>
      <xdr:rowOff>127000</xdr:rowOff>
    </xdr:to>
    <xdr:sp macro="" textlink="'pivot tables'!E5">
      <xdr:nvSpPr>
        <xdr:cNvPr id="50" name="TextBox 49">
          <a:extLst>
            <a:ext uri="{FF2B5EF4-FFF2-40B4-BE49-F238E27FC236}">
              <a16:creationId xmlns:a16="http://schemas.microsoft.com/office/drawing/2014/main" id="{B8CBD2B1-3757-804D-9AD8-7FA5F9E6AF2A}"/>
            </a:ext>
          </a:extLst>
        </xdr:cNvPr>
        <xdr:cNvSpPr txBox="1"/>
      </xdr:nvSpPr>
      <xdr:spPr>
        <a:xfrm>
          <a:off x="7831663" y="368299"/>
          <a:ext cx="1322917" cy="436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2E84F31-F78C-AA44-B038-861D4344F03C}" type="TxLink">
            <a:rPr lang="en-US" sz="2000" b="0" i="0" u="none" strike="noStrike">
              <a:solidFill>
                <a:srgbClr val="FF6F61"/>
              </a:solidFill>
              <a:latin typeface="Aptos Narrow"/>
              <a:ea typeface="+mn-ea"/>
              <a:cs typeface="+mn-cs"/>
            </a:rPr>
            <a:pPr marL="0" indent="0" algn="ctr"/>
            <a:t> 539 </a:t>
          </a:fld>
          <a:endParaRPr lang="en-US" sz="2000" b="0" i="0" u="none" strike="noStrike">
            <a:solidFill>
              <a:srgbClr val="FF6F61"/>
            </a:solidFill>
            <a:latin typeface="Aptos Narrow"/>
            <a:ea typeface="+mn-ea"/>
            <a:cs typeface="+mn-cs"/>
          </a:endParaRPr>
        </a:p>
      </xdr:txBody>
    </xdr:sp>
    <xdr:clientData/>
  </xdr:twoCellAnchor>
  <xdr:twoCellAnchor>
    <xdr:from>
      <xdr:col>10</xdr:col>
      <xdr:colOff>529167</xdr:colOff>
      <xdr:row>5</xdr:row>
      <xdr:rowOff>4235</xdr:rowOff>
    </xdr:from>
    <xdr:to>
      <xdr:col>12</xdr:col>
      <xdr:colOff>761999</xdr:colOff>
      <xdr:row>9</xdr:row>
      <xdr:rowOff>63500</xdr:rowOff>
    </xdr:to>
    <xdr:sp macro="" textlink="">
      <xdr:nvSpPr>
        <xdr:cNvPr id="51" name="Rounded Rectangle 50">
          <a:extLst>
            <a:ext uri="{FF2B5EF4-FFF2-40B4-BE49-F238E27FC236}">
              <a16:creationId xmlns:a16="http://schemas.microsoft.com/office/drawing/2014/main" id="{76F864E3-D0C3-074D-8AC5-6AD5689513C3}"/>
            </a:ext>
          </a:extLst>
        </xdr:cNvPr>
        <xdr:cNvSpPr/>
      </xdr:nvSpPr>
      <xdr:spPr>
        <a:xfrm>
          <a:off x="8784167" y="850902"/>
          <a:ext cx="1883832" cy="736598"/>
        </a:xfrm>
        <a:prstGeom prst="roundRect">
          <a:avLst>
            <a:gd name="adj" fmla="val 6473"/>
          </a:avLst>
        </a:prstGeom>
        <a:solidFill>
          <a:srgbClr val="F2FAF6"/>
        </a:solidFill>
        <a:ln>
          <a:solidFill>
            <a:srgbClr val="E0E0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rgbClr val="66BB69"/>
              </a:solidFill>
            </a:rPr>
            <a:t>Gdenergy</a:t>
          </a:r>
          <a:r>
            <a:rPr lang="en-US" sz="1600" baseline="0">
              <a:solidFill>
                <a:srgbClr val="66BB69"/>
              </a:solidFill>
            </a:rPr>
            <a:t> mean</a:t>
          </a:r>
          <a:endParaRPr lang="en-US" sz="1600">
            <a:solidFill>
              <a:srgbClr val="66BB69"/>
            </a:solidFill>
          </a:endParaRPr>
        </a:p>
      </xdr:txBody>
    </xdr:sp>
    <xdr:clientData/>
  </xdr:twoCellAnchor>
  <xdr:twoCellAnchor>
    <xdr:from>
      <xdr:col>10</xdr:col>
      <xdr:colOff>561362</xdr:colOff>
      <xdr:row>6</xdr:row>
      <xdr:rowOff>97368</xdr:rowOff>
    </xdr:from>
    <xdr:to>
      <xdr:col>12</xdr:col>
      <xdr:colOff>703948</xdr:colOff>
      <xdr:row>9</xdr:row>
      <xdr:rowOff>21168</xdr:rowOff>
    </xdr:to>
    <xdr:sp macro="" textlink="'pivot tables'!J5">
      <xdr:nvSpPr>
        <xdr:cNvPr id="52" name="TextBox 51">
          <a:extLst>
            <a:ext uri="{FF2B5EF4-FFF2-40B4-BE49-F238E27FC236}">
              <a16:creationId xmlns:a16="http://schemas.microsoft.com/office/drawing/2014/main" id="{6A71AFDA-6DB4-0B49-A431-B8CC0DAD32EE}"/>
            </a:ext>
          </a:extLst>
        </xdr:cNvPr>
        <xdr:cNvSpPr txBox="1"/>
      </xdr:nvSpPr>
      <xdr:spPr>
        <a:xfrm>
          <a:off x="8816362" y="1113368"/>
          <a:ext cx="1793586"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5CDE750-9F35-F047-9FD0-2A1BE3C6656C}" type="TxLink">
            <a:rPr lang="en-US" sz="2000" b="0" i="0" u="none" strike="noStrike">
              <a:solidFill>
                <a:srgbClr val="FF6F61"/>
              </a:solidFill>
              <a:latin typeface="Aptos Narrow"/>
              <a:ea typeface="+mn-ea"/>
              <a:cs typeface="+mn-cs"/>
            </a:rPr>
            <a:pPr marL="0" indent="0" algn="ctr"/>
            <a:t>12.376</a:t>
          </a:fld>
          <a:endParaRPr lang="en-US" sz="2000" b="0" i="0" u="none" strike="noStrike">
            <a:solidFill>
              <a:srgbClr val="FF6F61"/>
            </a:solidFill>
            <a:latin typeface="Aptos Narrow"/>
            <a:ea typeface="+mn-ea"/>
            <a:cs typeface="+mn-cs"/>
          </a:endParaRPr>
        </a:p>
      </xdr:txBody>
    </xdr:sp>
    <xdr:clientData/>
  </xdr:twoCellAnchor>
  <xdr:twoCellAnchor>
    <xdr:from>
      <xdr:col>11</xdr:col>
      <xdr:colOff>162985</xdr:colOff>
      <xdr:row>0</xdr:row>
      <xdr:rowOff>93136</xdr:rowOff>
    </xdr:from>
    <xdr:to>
      <xdr:col>12</xdr:col>
      <xdr:colOff>762003</xdr:colOff>
      <xdr:row>4</xdr:row>
      <xdr:rowOff>122771</xdr:rowOff>
    </xdr:to>
    <xdr:sp macro="" textlink="">
      <xdr:nvSpPr>
        <xdr:cNvPr id="53" name="Rounded Rectangle 52">
          <a:extLst>
            <a:ext uri="{FF2B5EF4-FFF2-40B4-BE49-F238E27FC236}">
              <a16:creationId xmlns:a16="http://schemas.microsoft.com/office/drawing/2014/main" id="{CAEB14C0-23AC-A44C-A4C6-84928E3486F6}"/>
            </a:ext>
          </a:extLst>
        </xdr:cNvPr>
        <xdr:cNvSpPr/>
      </xdr:nvSpPr>
      <xdr:spPr>
        <a:xfrm>
          <a:off x="9243485" y="93136"/>
          <a:ext cx="1424518" cy="706968"/>
        </a:xfrm>
        <a:prstGeom prst="roundRect">
          <a:avLst>
            <a:gd name="adj" fmla="val 6473"/>
          </a:avLst>
        </a:prstGeom>
        <a:solidFill>
          <a:srgbClr val="F2FAF6"/>
        </a:solidFill>
        <a:ln>
          <a:solidFill>
            <a:srgbClr val="E0E0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rgbClr val="66BB69"/>
              </a:solidFill>
            </a:rPr>
            <a:t>Gdpuls</a:t>
          </a:r>
          <a:r>
            <a:rPr lang="en-US" sz="1600" baseline="0">
              <a:solidFill>
                <a:srgbClr val="66BB69"/>
              </a:solidFill>
            </a:rPr>
            <a:t> mean</a:t>
          </a:r>
          <a:endParaRPr lang="en-US" sz="1600">
            <a:solidFill>
              <a:srgbClr val="66BB69"/>
            </a:solidFill>
          </a:endParaRPr>
        </a:p>
      </xdr:txBody>
    </xdr:sp>
    <xdr:clientData/>
  </xdr:twoCellAnchor>
  <xdr:twoCellAnchor>
    <xdr:from>
      <xdr:col>11</xdr:col>
      <xdr:colOff>222251</xdr:colOff>
      <xdr:row>2</xdr:row>
      <xdr:rowOff>38102</xdr:rowOff>
    </xdr:from>
    <xdr:to>
      <xdr:col>12</xdr:col>
      <xdr:colOff>719668</xdr:colOff>
      <xdr:row>4</xdr:row>
      <xdr:rowOff>131236</xdr:rowOff>
    </xdr:to>
    <xdr:sp macro="" textlink="'pivot tables'!I5">
      <xdr:nvSpPr>
        <xdr:cNvPr id="54" name="TextBox 53">
          <a:extLst>
            <a:ext uri="{FF2B5EF4-FFF2-40B4-BE49-F238E27FC236}">
              <a16:creationId xmlns:a16="http://schemas.microsoft.com/office/drawing/2014/main" id="{3E78AFE7-A76C-7745-ACEB-19F9668583BB}"/>
            </a:ext>
          </a:extLst>
        </xdr:cNvPr>
        <xdr:cNvSpPr txBox="1"/>
      </xdr:nvSpPr>
      <xdr:spPr>
        <a:xfrm>
          <a:off x="9302751" y="376769"/>
          <a:ext cx="1322917"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F4545B3-955C-1D47-8D7A-B9830E84AD27}" type="TxLink">
            <a:rPr lang="en-US" sz="2000" b="0" i="0" u="none" strike="noStrike">
              <a:solidFill>
                <a:srgbClr val="FF6F61"/>
              </a:solidFill>
              <a:latin typeface="Aptos Narrow"/>
              <a:ea typeface="+mn-ea"/>
              <a:cs typeface="+mn-cs"/>
            </a:rPr>
            <a:pPr marL="0" indent="0" algn="ctr"/>
            <a:t>4.51</a:t>
          </a:fld>
          <a:endParaRPr lang="en-US" sz="2000" b="0" i="0" u="none" strike="noStrike">
            <a:solidFill>
              <a:srgbClr val="FF6F61"/>
            </a:solidFill>
            <a:latin typeface="Aptos Narrow"/>
            <a:ea typeface="+mn-ea"/>
            <a:cs typeface="+mn-cs"/>
          </a:endParaRPr>
        </a:p>
      </xdr:txBody>
    </xdr:sp>
    <xdr:clientData/>
  </xdr:twoCellAnchor>
  <xdr:twoCellAnchor>
    <xdr:from>
      <xdr:col>13</xdr:col>
      <xdr:colOff>125053</xdr:colOff>
      <xdr:row>2</xdr:row>
      <xdr:rowOff>148166</xdr:rowOff>
    </xdr:from>
    <xdr:to>
      <xdr:col>17</xdr:col>
      <xdr:colOff>508690</xdr:colOff>
      <xdr:row>35</xdr:row>
      <xdr:rowOff>130882</xdr:rowOff>
    </xdr:to>
    <xdr:graphicFrame macro="">
      <xdr:nvGraphicFramePr>
        <xdr:cNvPr id="55" name="Chart 54">
          <a:extLst>
            <a:ext uri="{FF2B5EF4-FFF2-40B4-BE49-F238E27FC236}">
              <a16:creationId xmlns:a16="http://schemas.microsoft.com/office/drawing/2014/main" id="{C618A2A4-2A4E-704D-AC62-B4DCE832B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613833</xdr:colOff>
      <xdr:row>9</xdr:row>
      <xdr:rowOff>116418</xdr:rowOff>
    </xdr:from>
    <xdr:to>
      <xdr:col>12</xdr:col>
      <xdr:colOff>766234</xdr:colOff>
      <xdr:row>20</xdr:row>
      <xdr:rowOff>110068</xdr:rowOff>
    </xdr:to>
    <xdr:sp macro="" textlink="">
      <xdr:nvSpPr>
        <xdr:cNvPr id="59" name="Rounded Rectangle 58">
          <a:extLst>
            <a:ext uri="{FF2B5EF4-FFF2-40B4-BE49-F238E27FC236}">
              <a16:creationId xmlns:a16="http://schemas.microsoft.com/office/drawing/2014/main" id="{A39F74A1-B358-CE46-811E-6A0A8360C6C8}"/>
            </a:ext>
          </a:extLst>
        </xdr:cNvPr>
        <xdr:cNvSpPr/>
      </xdr:nvSpPr>
      <xdr:spPr>
        <a:xfrm>
          <a:off x="8043333" y="1640418"/>
          <a:ext cx="2628901" cy="1856317"/>
        </a:xfrm>
        <a:prstGeom prst="roundRect">
          <a:avLst>
            <a:gd name="adj" fmla="val 2644"/>
          </a:avLst>
        </a:prstGeom>
        <a:solidFill>
          <a:srgbClr val="F2FAF6"/>
        </a:solidFill>
        <a:ln>
          <a:solidFill>
            <a:srgbClr val="E0E0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rgbClr val="66BB69"/>
              </a:solidFill>
              <a:latin typeface="+mn-lt"/>
              <a:ea typeface="+mn-ea"/>
              <a:cs typeface="+mn-cs"/>
            </a:rPr>
            <a:t>Danger Rate by Seismic</a:t>
          </a:r>
        </a:p>
      </xdr:txBody>
    </xdr:sp>
    <xdr:clientData/>
  </xdr:twoCellAnchor>
  <xdr:twoCellAnchor>
    <xdr:from>
      <xdr:col>9</xdr:col>
      <xdr:colOff>424268</xdr:colOff>
      <xdr:row>11</xdr:row>
      <xdr:rowOff>137583</xdr:rowOff>
    </xdr:from>
    <xdr:to>
      <xdr:col>12</xdr:col>
      <xdr:colOff>730250</xdr:colOff>
      <xdr:row>20</xdr:row>
      <xdr:rowOff>74083</xdr:rowOff>
    </xdr:to>
    <xdr:graphicFrame macro="">
      <xdr:nvGraphicFramePr>
        <xdr:cNvPr id="61" name="Chart 60">
          <a:extLst>
            <a:ext uri="{FF2B5EF4-FFF2-40B4-BE49-F238E27FC236}">
              <a16:creationId xmlns:a16="http://schemas.microsoft.com/office/drawing/2014/main" id="{425CDFE9-A3C0-174F-8BAA-C474EA728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215899</xdr:colOff>
      <xdr:row>9</xdr:row>
      <xdr:rowOff>127000</xdr:rowOff>
    </xdr:from>
    <xdr:to>
      <xdr:col>5</xdr:col>
      <xdr:colOff>529167</xdr:colOff>
      <xdr:row>20</xdr:row>
      <xdr:rowOff>120650</xdr:rowOff>
    </xdr:to>
    <xdr:sp macro="" textlink="">
      <xdr:nvSpPr>
        <xdr:cNvPr id="62" name="Rounded Rectangle 61">
          <a:extLst>
            <a:ext uri="{FF2B5EF4-FFF2-40B4-BE49-F238E27FC236}">
              <a16:creationId xmlns:a16="http://schemas.microsoft.com/office/drawing/2014/main" id="{EC9BA301-32E1-A647-90B0-9782CDBC2F07}"/>
            </a:ext>
          </a:extLst>
        </xdr:cNvPr>
        <xdr:cNvSpPr/>
      </xdr:nvSpPr>
      <xdr:spPr>
        <a:xfrm>
          <a:off x="1866899" y="1651000"/>
          <a:ext cx="2789768" cy="1856317"/>
        </a:xfrm>
        <a:prstGeom prst="roundRect">
          <a:avLst>
            <a:gd name="adj" fmla="val 2644"/>
          </a:avLst>
        </a:prstGeom>
        <a:solidFill>
          <a:srgbClr val="F2FAF6"/>
        </a:solidFill>
        <a:ln>
          <a:solidFill>
            <a:srgbClr val="E0E0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rgbClr val="66BB69"/>
              </a:solidFill>
              <a:latin typeface="+mn-lt"/>
              <a:ea typeface="+mn-ea"/>
              <a:cs typeface="+mn-cs"/>
            </a:rPr>
            <a:t>Danger Rate by</a:t>
          </a:r>
          <a:r>
            <a:rPr lang="en-US" sz="1600" baseline="0">
              <a:solidFill>
                <a:srgbClr val="66BB69"/>
              </a:solidFill>
              <a:latin typeface="+mn-lt"/>
              <a:ea typeface="+mn-ea"/>
              <a:cs typeface="+mn-cs"/>
            </a:rPr>
            <a:t> ghazard</a:t>
          </a:r>
          <a:endParaRPr lang="en-US" sz="1600">
            <a:solidFill>
              <a:srgbClr val="66BB69"/>
            </a:solidFill>
            <a:latin typeface="+mn-lt"/>
            <a:ea typeface="+mn-ea"/>
            <a:cs typeface="+mn-cs"/>
          </a:endParaRPr>
        </a:p>
      </xdr:txBody>
    </xdr:sp>
    <xdr:clientData/>
  </xdr:twoCellAnchor>
  <xdr:twoCellAnchor>
    <xdr:from>
      <xdr:col>2</xdr:col>
      <xdr:colOff>190501</xdr:colOff>
      <xdr:row>31</xdr:row>
      <xdr:rowOff>95250</xdr:rowOff>
    </xdr:from>
    <xdr:to>
      <xdr:col>4</xdr:col>
      <xdr:colOff>254000</xdr:colOff>
      <xdr:row>37</xdr:row>
      <xdr:rowOff>0</xdr:rowOff>
    </xdr:to>
    <xdr:sp macro="" textlink="">
      <xdr:nvSpPr>
        <xdr:cNvPr id="64" name="Rounded Rectangle 63">
          <a:extLst>
            <a:ext uri="{FF2B5EF4-FFF2-40B4-BE49-F238E27FC236}">
              <a16:creationId xmlns:a16="http://schemas.microsoft.com/office/drawing/2014/main" id="{4CCB4536-615E-7C40-9E3C-A013EBC84D37}"/>
            </a:ext>
          </a:extLst>
        </xdr:cNvPr>
        <xdr:cNvSpPr/>
      </xdr:nvSpPr>
      <xdr:spPr>
        <a:xfrm>
          <a:off x="1841501" y="5344583"/>
          <a:ext cx="1714499" cy="920750"/>
        </a:xfrm>
        <a:prstGeom prst="roundRect">
          <a:avLst>
            <a:gd name="adj" fmla="val 3473"/>
          </a:avLst>
        </a:prstGeom>
        <a:solidFill>
          <a:srgbClr val="F2FAF6"/>
        </a:solidFill>
        <a:ln>
          <a:solidFill>
            <a:srgbClr val="E0E0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a:solidFill>
              <a:srgbClr val="66BB69"/>
            </a:solidFill>
          </a:endParaRPr>
        </a:p>
      </xdr:txBody>
    </xdr:sp>
    <xdr:clientData/>
  </xdr:twoCellAnchor>
  <xdr:twoCellAnchor editAs="oneCell">
    <xdr:from>
      <xdr:col>2</xdr:col>
      <xdr:colOff>264584</xdr:colOff>
      <xdr:row>32</xdr:row>
      <xdr:rowOff>21166</xdr:rowOff>
    </xdr:from>
    <xdr:to>
      <xdr:col>4</xdr:col>
      <xdr:colOff>179917</xdr:colOff>
      <xdr:row>36</xdr:row>
      <xdr:rowOff>70826</xdr:rowOff>
    </xdr:to>
    <mc:AlternateContent xmlns:mc="http://schemas.openxmlformats.org/markup-compatibility/2006">
      <mc:Choice xmlns:a14="http://schemas.microsoft.com/office/drawing/2010/main" Requires="a14">
        <xdr:graphicFrame macro="">
          <xdr:nvGraphicFramePr>
            <xdr:cNvPr id="65" name="seismic">
              <a:extLst>
                <a:ext uri="{FF2B5EF4-FFF2-40B4-BE49-F238E27FC236}">
                  <a16:creationId xmlns:a16="http://schemas.microsoft.com/office/drawing/2014/main" id="{A8419F30-0ECC-9341-825C-17567553E2B7}"/>
                </a:ext>
              </a:extLst>
            </xdr:cNvPr>
            <xdr:cNvGraphicFramePr/>
          </xdr:nvGraphicFramePr>
          <xdr:xfrm>
            <a:off x="0" y="0"/>
            <a:ext cx="0" cy="0"/>
          </xdr:xfrm>
          <a:graphic>
            <a:graphicData uri="http://schemas.microsoft.com/office/drawing/2010/slicer">
              <sle:slicer xmlns:sle="http://schemas.microsoft.com/office/drawing/2010/slicer" name="seismic"/>
            </a:graphicData>
          </a:graphic>
        </xdr:graphicFrame>
      </mc:Choice>
      <mc:Fallback>
        <xdr:sp macro="" textlink="">
          <xdr:nvSpPr>
            <xdr:cNvPr id="0" name=""/>
            <xdr:cNvSpPr>
              <a:spLocks noTextEdit="1"/>
            </xdr:cNvSpPr>
          </xdr:nvSpPr>
          <xdr:spPr>
            <a:xfrm>
              <a:off x="1915584" y="5439833"/>
              <a:ext cx="1566333" cy="7269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205317</xdr:colOff>
      <xdr:row>21</xdr:row>
      <xdr:rowOff>63501</xdr:rowOff>
    </xdr:from>
    <xdr:to>
      <xdr:col>4</xdr:col>
      <xdr:colOff>237068</xdr:colOff>
      <xdr:row>30</xdr:row>
      <xdr:rowOff>158750</xdr:rowOff>
    </xdr:to>
    <xdr:sp macro="" textlink="">
      <xdr:nvSpPr>
        <xdr:cNvPr id="66" name="Rounded Rectangle 65">
          <a:extLst>
            <a:ext uri="{FF2B5EF4-FFF2-40B4-BE49-F238E27FC236}">
              <a16:creationId xmlns:a16="http://schemas.microsoft.com/office/drawing/2014/main" id="{F0BA3528-7FD0-754C-B545-7D1D5940B6F6}"/>
            </a:ext>
          </a:extLst>
        </xdr:cNvPr>
        <xdr:cNvSpPr/>
      </xdr:nvSpPr>
      <xdr:spPr>
        <a:xfrm>
          <a:off x="1856317" y="3619501"/>
          <a:ext cx="1682751" cy="1619249"/>
        </a:xfrm>
        <a:prstGeom prst="roundRect">
          <a:avLst>
            <a:gd name="adj" fmla="val 3473"/>
          </a:avLst>
        </a:prstGeom>
        <a:solidFill>
          <a:srgbClr val="F2FAF6"/>
        </a:solidFill>
        <a:ln>
          <a:solidFill>
            <a:srgbClr val="E0E0E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a:solidFill>
              <a:srgbClr val="66BB69"/>
            </a:solidFill>
          </a:endParaRPr>
        </a:p>
      </xdr:txBody>
    </xdr:sp>
    <xdr:clientData/>
  </xdr:twoCellAnchor>
  <xdr:twoCellAnchor editAs="oneCell">
    <xdr:from>
      <xdr:col>2</xdr:col>
      <xdr:colOff>300569</xdr:colOff>
      <xdr:row>22</xdr:row>
      <xdr:rowOff>42334</xdr:rowOff>
    </xdr:from>
    <xdr:to>
      <xdr:col>4</xdr:col>
      <xdr:colOff>127001</xdr:colOff>
      <xdr:row>30</xdr:row>
      <xdr:rowOff>42334</xdr:rowOff>
    </xdr:to>
    <mc:AlternateContent xmlns:mc="http://schemas.openxmlformats.org/markup-compatibility/2006">
      <mc:Choice xmlns:a14="http://schemas.microsoft.com/office/drawing/2010/main" Requires="a14">
        <xdr:graphicFrame macro="">
          <xdr:nvGraphicFramePr>
            <xdr:cNvPr id="67" name="seismoacoustic">
              <a:extLst>
                <a:ext uri="{FF2B5EF4-FFF2-40B4-BE49-F238E27FC236}">
                  <a16:creationId xmlns:a16="http://schemas.microsoft.com/office/drawing/2014/main" id="{0F768D0D-0B2A-2E4F-B553-FB44A44D7B2B}"/>
                </a:ext>
              </a:extLst>
            </xdr:cNvPr>
            <xdr:cNvGraphicFramePr/>
          </xdr:nvGraphicFramePr>
          <xdr:xfrm>
            <a:off x="0" y="0"/>
            <a:ext cx="0" cy="0"/>
          </xdr:xfrm>
          <a:graphic>
            <a:graphicData uri="http://schemas.microsoft.com/office/drawing/2010/slicer">
              <sle:slicer xmlns:sle="http://schemas.microsoft.com/office/drawing/2010/slicer" name="seismoacoustic"/>
            </a:graphicData>
          </a:graphic>
        </xdr:graphicFrame>
      </mc:Choice>
      <mc:Fallback>
        <xdr:sp macro="" textlink="">
          <xdr:nvSpPr>
            <xdr:cNvPr id="0" name=""/>
            <xdr:cNvSpPr>
              <a:spLocks noTextEdit="1"/>
            </xdr:cNvSpPr>
          </xdr:nvSpPr>
          <xdr:spPr>
            <a:xfrm>
              <a:off x="1951569" y="3767667"/>
              <a:ext cx="1477432" cy="1354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507999</xdr:colOff>
      <xdr:row>23</xdr:row>
      <xdr:rowOff>63499</xdr:rowOff>
    </xdr:from>
    <xdr:to>
      <xdr:col>12</xdr:col>
      <xdr:colOff>497416</xdr:colOff>
      <xdr:row>36</xdr:row>
      <xdr:rowOff>74083</xdr:rowOff>
    </xdr:to>
    <xdr:graphicFrame macro="">
      <xdr:nvGraphicFramePr>
        <xdr:cNvPr id="68" name="Chart 67">
          <a:extLst>
            <a:ext uri="{FF2B5EF4-FFF2-40B4-BE49-F238E27FC236}">
              <a16:creationId xmlns:a16="http://schemas.microsoft.com/office/drawing/2014/main" id="{58888B6E-FC6B-5A4A-96B4-7BDE0092D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709083</xdr:colOff>
      <xdr:row>11</xdr:row>
      <xdr:rowOff>148165</xdr:rowOff>
    </xdr:from>
    <xdr:to>
      <xdr:col>9</xdr:col>
      <xdr:colOff>465667</xdr:colOff>
      <xdr:row>20</xdr:row>
      <xdr:rowOff>10582</xdr:rowOff>
    </xdr:to>
    <xdr:graphicFrame macro="">
      <xdr:nvGraphicFramePr>
        <xdr:cNvPr id="71" name="Chart 70">
          <a:extLst>
            <a:ext uri="{FF2B5EF4-FFF2-40B4-BE49-F238E27FC236}">
              <a16:creationId xmlns:a16="http://schemas.microsoft.com/office/drawing/2014/main" id="{529CECF7-6D40-DA44-AFE2-C9DD06E98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306918</xdr:colOff>
      <xdr:row>11</xdr:row>
      <xdr:rowOff>127000</xdr:rowOff>
    </xdr:from>
    <xdr:to>
      <xdr:col>5</xdr:col>
      <xdr:colOff>423334</xdr:colOff>
      <xdr:row>20</xdr:row>
      <xdr:rowOff>21166</xdr:rowOff>
    </xdr:to>
    <xdr:graphicFrame macro="">
      <xdr:nvGraphicFramePr>
        <xdr:cNvPr id="72" name="Chart 71">
          <a:extLst>
            <a:ext uri="{FF2B5EF4-FFF2-40B4-BE49-F238E27FC236}">
              <a16:creationId xmlns:a16="http://schemas.microsoft.com/office/drawing/2014/main" id="{B3DC856B-944F-B74B-8540-1CFCEA95A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Telegram%20Desktop/Super%20Store%20Data.xlsx" TargetMode="External"/><Relationship Id="rId2" Type="http://schemas.openxmlformats.org/officeDocument/2006/relationships/externalLinkPath" Target="/Users/habibaamir/Downloads/Telegram%20Desktop/Super%20Store%20Data.xlsx" TargetMode="External"/><Relationship Id="rId1" Type="http://schemas.openxmlformats.org/officeDocument/2006/relationships/externalLinkPath" Target="/Users/habibaamir/Downloads/Telegram%20Desktop/Super%20Store%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ales Data"/>
      <sheetName val="Sheet2"/>
      <sheetName val="Sheet3"/>
      <sheetName val="dashboard"/>
    </sheetNames>
    <sheetDataSet>
      <sheetData sheetId="0">
        <row r="4">
          <cell r="AS4" t="str">
            <v>State</v>
          </cell>
        </row>
        <row r="39">
          <cell r="AG39" t="str">
            <v>Sum of Sales</v>
          </cell>
        </row>
        <row r="40">
          <cell r="AF40" t="str">
            <v>Phones</v>
          </cell>
          <cell r="AG40">
            <v>330007.05400000012</v>
          </cell>
        </row>
        <row r="41">
          <cell r="AF41" t="str">
            <v>Chairs</v>
          </cell>
          <cell r="AG41">
            <v>328449.10300000076</v>
          </cell>
        </row>
        <row r="42">
          <cell r="AF42" t="str">
            <v>Storage</v>
          </cell>
          <cell r="AG42">
            <v>223843.60800000012</v>
          </cell>
        </row>
        <row r="43">
          <cell r="AF43" t="str">
            <v>Tables</v>
          </cell>
          <cell r="AG43">
            <v>206965.53200000009</v>
          </cell>
        </row>
        <row r="44">
          <cell r="AF44" t="str">
            <v>Binders</v>
          </cell>
          <cell r="AG44">
            <v>203412.73300000009</v>
          </cell>
        </row>
        <row r="45">
          <cell r="AF45" t="str">
            <v>Machines</v>
          </cell>
          <cell r="AG45">
            <v>189238.63099999996</v>
          </cell>
        </row>
        <row r="46">
          <cell r="AF46" t="str">
            <v>Accessories</v>
          </cell>
          <cell r="AG46">
            <v>167380.31800000009</v>
          </cell>
        </row>
      </sheetData>
      <sheetData sheetId="1" refreshError="1"/>
      <sheetData sheetId="2" refreshError="1"/>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biba Amir" refreshedDate="46299.723272800926" createdVersion="8" refreshedVersion="8" minRefreshableVersion="3" recordCount="2584" xr:uid="{F015FBDE-EA91-504D-8EC1-D9500BBDD980}">
  <cacheSource type="worksheet">
    <worksheetSource name="SeismicData"/>
  </cacheSource>
  <cacheFields count="24">
    <cacheField name="id" numFmtId="0">
      <sharedItems containsSemiMixedTypes="0" containsString="0" containsNumber="1" containsInteger="1" minValue="1" maxValue="2584"/>
    </cacheField>
    <cacheField name="seismic" numFmtId="0">
      <sharedItems count="2">
        <s v="a"/>
        <s v="b"/>
      </sharedItems>
    </cacheField>
    <cacheField name="seismoacoustic" numFmtId="0">
      <sharedItems count="3">
        <s v="a"/>
        <s v="b"/>
        <s v="c"/>
      </sharedItems>
    </cacheField>
    <cacheField name="shift" numFmtId="0">
      <sharedItems/>
    </cacheField>
    <cacheField name="genergy" numFmtId="0">
      <sharedItems containsSemiMixedTypes="0" containsString="0" containsNumber="1" containsInteger="1" minValue="100" maxValue="2595650"/>
    </cacheField>
    <cacheField name="gpuls" numFmtId="0">
      <sharedItems containsSemiMixedTypes="0" containsString="0" containsNumber="1" containsInteger="1" minValue="2" maxValue="4518"/>
    </cacheField>
    <cacheField name="gdenergy" numFmtId="0">
      <sharedItems containsSemiMixedTypes="0" containsString="0" containsNumber="1" containsInteger="1" minValue="-96" maxValue="1245"/>
    </cacheField>
    <cacheField name="gdpuls" numFmtId="0">
      <sharedItems containsSemiMixedTypes="0" containsString="0" containsNumber="1" containsInteger="1" minValue="-96" maxValue="838"/>
    </cacheField>
    <cacheField name="ghazard" numFmtId="0">
      <sharedItems count="3">
        <s v="a"/>
        <s v="b"/>
        <s v="c"/>
      </sharedItems>
    </cacheField>
    <cacheField name="nbumps" numFmtId="0">
      <sharedItems containsSemiMixedTypes="0" containsString="0" containsNumber="1" containsInteger="1" minValue="0" maxValue="9" count="10">
        <n v="0"/>
        <n v="1"/>
        <n v="2"/>
        <n v="3"/>
        <n v="7"/>
        <n v="4"/>
        <n v="5"/>
        <n v="6"/>
        <n v="9"/>
        <n v="8"/>
      </sharedItems>
    </cacheField>
    <cacheField name="nbumps2" numFmtId="0">
      <sharedItems containsSemiMixedTypes="0" containsString="0" containsNumber="1" containsInteger="1" minValue="0" maxValue="8"/>
    </cacheField>
    <cacheField name="nbumps3" numFmtId="0">
      <sharedItems containsSemiMixedTypes="0" containsString="0" containsNumber="1" containsInteger="1" minValue="0" maxValue="7"/>
    </cacheField>
    <cacheField name="nbumps4" numFmtId="0">
      <sharedItems containsSemiMixedTypes="0" containsString="0" containsNumber="1" containsInteger="1" minValue="0" maxValue="3"/>
    </cacheField>
    <cacheField name="nbumps5" numFmtId="0">
      <sharedItems containsSemiMixedTypes="0" containsString="0" containsNumber="1" containsInteger="1" minValue="0" maxValue="1"/>
    </cacheField>
    <cacheField name="nbumps6" numFmtId="0">
      <sharedItems containsSemiMixedTypes="0" containsString="0" containsNumber="1" containsInteger="1" minValue="0" maxValue="0"/>
    </cacheField>
    <cacheField name="nbumps7" numFmtId="0">
      <sharedItems containsSemiMixedTypes="0" containsString="0" containsNumber="1" containsInteger="1" minValue="0" maxValue="0"/>
    </cacheField>
    <cacheField name="nbumps89" numFmtId="0">
      <sharedItems containsSemiMixedTypes="0" containsString="0" containsNumber="1" containsInteger="1" minValue="0" maxValue="0"/>
    </cacheField>
    <cacheField name="energy" numFmtId="0">
      <sharedItems containsSemiMixedTypes="0" containsString="0" containsNumber="1" containsInteger="1" minValue="0" maxValue="402000"/>
    </cacheField>
    <cacheField name="maxenergy" numFmtId="0">
      <sharedItems containsSemiMixedTypes="0" containsString="0" containsNumber="1" containsInteger="1" minValue="0" maxValue="400000"/>
    </cacheField>
    <cacheField name="class" numFmtId="0">
      <sharedItems containsSemiMixedTypes="0" containsString="0" containsNumber="1" containsInteger="1" minValue="0" maxValue="1" count="2">
        <n v="0"/>
        <n v="1"/>
      </sharedItems>
    </cacheField>
    <cacheField name="class_label" numFmtId="0">
      <sharedItems count="2">
        <s v="Safe"/>
        <s v="Dangerous"/>
      </sharedItems>
    </cacheField>
    <cacheField name="shift_lable" numFmtId="0">
      <sharedItems count="2">
        <s v="Non-Production"/>
        <s v="Production"/>
      </sharedItems>
    </cacheField>
    <cacheField name="genergy_magnitude" numFmtId="0">
      <sharedItems count="5">
        <s v="10^4"/>
        <s v="10^3"/>
        <s v="10^5"/>
        <s v="10^6"/>
        <s v="10^2"/>
      </sharedItems>
    </cacheField>
    <cacheField name="genergy_outlier" numFmtId="0">
      <sharedItems count="2">
        <s v="Normal"/>
        <s v="Outlier"/>
      </sharedItems>
    </cacheField>
  </cacheFields>
  <extLst>
    <ext xmlns:x14="http://schemas.microsoft.com/office/spreadsheetml/2009/9/main" uri="{725AE2AE-9491-48be-B2B4-4EB974FC3084}">
      <x14:pivotCacheDefinition pivotCacheId="479173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84">
  <r>
    <n v="1"/>
    <x v="0"/>
    <x v="0"/>
    <s v="N"/>
    <n v="15180"/>
    <n v="48"/>
    <n v="-72"/>
    <n v="-72"/>
    <x v="0"/>
    <x v="0"/>
    <n v="0"/>
    <n v="0"/>
    <n v="0"/>
    <n v="0"/>
    <n v="0"/>
    <n v="0"/>
    <n v="0"/>
    <n v="0"/>
    <n v="0"/>
    <x v="0"/>
    <x v="0"/>
    <x v="0"/>
    <x v="0"/>
    <x v="0"/>
  </r>
  <r>
    <n v="2"/>
    <x v="0"/>
    <x v="0"/>
    <s v="N"/>
    <n v="14720"/>
    <n v="33"/>
    <n v="-70"/>
    <n v="-79"/>
    <x v="0"/>
    <x v="1"/>
    <n v="0"/>
    <n v="1"/>
    <n v="0"/>
    <n v="0"/>
    <n v="0"/>
    <n v="0"/>
    <n v="0"/>
    <n v="2000"/>
    <n v="2000"/>
    <x v="0"/>
    <x v="0"/>
    <x v="0"/>
    <x v="0"/>
    <x v="0"/>
  </r>
  <r>
    <n v="3"/>
    <x v="0"/>
    <x v="0"/>
    <s v="N"/>
    <n v="8050"/>
    <n v="30"/>
    <n v="-81"/>
    <n v="-78"/>
    <x v="0"/>
    <x v="0"/>
    <n v="0"/>
    <n v="0"/>
    <n v="0"/>
    <n v="0"/>
    <n v="0"/>
    <n v="0"/>
    <n v="0"/>
    <n v="0"/>
    <n v="0"/>
    <x v="0"/>
    <x v="0"/>
    <x v="0"/>
    <x v="1"/>
    <x v="0"/>
  </r>
  <r>
    <n v="4"/>
    <x v="0"/>
    <x v="0"/>
    <s v="N"/>
    <n v="28820"/>
    <n v="171"/>
    <n v="-23"/>
    <n v="40"/>
    <x v="0"/>
    <x v="1"/>
    <n v="0"/>
    <n v="1"/>
    <n v="0"/>
    <n v="0"/>
    <n v="0"/>
    <n v="0"/>
    <n v="0"/>
    <n v="3000"/>
    <n v="3000"/>
    <x v="0"/>
    <x v="0"/>
    <x v="0"/>
    <x v="0"/>
    <x v="0"/>
  </r>
  <r>
    <n v="5"/>
    <x v="0"/>
    <x v="0"/>
    <s v="N"/>
    <n v="12640"/>
    <n v="57"/>
    <n v="-63"/>
    <n v="-52"/>
    <x v="0"/>
    <x v="0"/>
    <n v="0"/>
    <n v="0"/>
    <n v="0"/>
    <n v="0"/>
    <n v="0"/>
    <n v="0"/>
    <n v="0"/>
    <n v="0"/>
    <n v="0"/>
    <x v="0"/>
    <x v="0"/>
    <x v="0"/>
    <x v="0"/>
    <x v="0"/>
  </r>
  <r>
    <n v="6"/>
    <x v="0"/>
    <x v="0"/>
    <s v="W"/>
    <n v="63760"/>
    <n v="195"/>
    <n v="-73"/>
    <n v="-65"/>
    <x v="0"/>
    <x v="0"/>
    <n v="0"/>
    <n v="0"/>
    <n v="0"/>
    <n v="0"/>
    <n v="0"/>
    <n v="0"/>
    <n v="0"/>
    <n v="0"/>
    <n v="0"/>
    <x v="0"/>
    <x v="0"/>
    <x v="1"/>
    <x v="0"/>
    <x v="0"/>
  </r>
  <r>
    <n v="7"/>
    <x v="0"/>
    <x v="0"/>
    <s v="W"/>
    <n v="207930"/>
    <n v="614"/>
    <n v="-6"/>
    <n v="18"/>
    <x v="0"/>
    <x v="2"/>
    <n v="2"/>
    <n v="0"/>
    <n v="0"/>
    <n v="0"/>
    <n v="0"/>
    <n v="0"/>
    <n v="0"/>
    <n v="1000"/>
    <n v="700"/>
    <x v="0"/>
    <x v="0"/>
    <x v="1"/>
    <x v="2"/>
    <x v="1"/>
  </r>
  <r>
    <n v="8"/>
    <x v="0"/>
    <x v="0"/>
    <s v="N"/>
    <n v="48990"/>
    <n v="194"/>
    <n v="-27"/>
    <n v="-3"/>
    <x v="0"/>
    <x v="1"/>
    <n v="0"/>
    <n v="1"/>
    <n v="0"/>
    <n v="0"/>
    <n v="0"/>
    <n v="0"/>
    <n v="0"/>
    <n v="4000"/>
    <n v="4000"/>
    <x v="0"/>
    <x v="0"/>
    <x v="0"/>
    <x v="0"/>
    <x v="0"/>
  </r>
  <r>
    <n v="9"/>
    <x v="0"/>
    <x v="0"/>
    <s v="N"/>
    <n v="100190"/>
    <n v="303"/>
    <n v="54"/>
    <n v="52"/>
    <x v="0"/>
    <x v="0"/>
    <n v="0"/>
    <n v="0"/>
    <n v="0"/>
    <n v="0"/>
    <n v="0"/>
    <n v="0"/>
    <n v="0"/>
    <n v="0"/>
    <n v="0"/>
    <x v="0"/>
    <x v="0"/>
    <x v="0"/>
    <x v="2"/>
    <x v="0"/>
  </r>
  <r>
    <n v="10"/>
    <x v="0"/>
    <x v="0"/>
    <s v="W"/>
    <n v="247620"/>
    <n v="675"/>
    <n v="4"/>
    <n v="25"/>
    <x v="0"/>
    <x v="1"/>
    <n v="1"/>
    <n v="0"/>
    <n v="0"/>
    <n v="0"/>
    <n v="0"/>
    <n v="0"/>
    <n v="0"/>
    <n v="500"/>
    <n v="500"/>
    <x v="0"/>
    <x v="0"/>
    <x v="1"/>
    <x v="2"/>
    <x v="1"/>
  </r>
  <r>
    <n v="11"/>
    <x v="0"/>
    <x v="0"/>
    <s v="N"/>
    <n v="41950"/>
    <n v="135"/>
    <n v="-39"/>
    <n v="-36"/>
    <x v="0"/>
    <x v="1"/>
    <n v="0"/>
    <n v="1"/>
    <n v="0"/>
    <n v="0"/>
    <n v="0"/>
    <n v="0"/>
    <n v="0"/>
    <n v="5000"/>
    <n v="5000"/>
    <x v="0"/>
    <x v="0"/>
    <x v="0"/>
    <x v="0"/>
    <x v="0"/>
  </r>
  <r>
    <n v="12"/>
    <x v="0"/>
    <x v="0"/>
    <s v="N"/>
    <n v="53250"/>
    <n v="140"/>
    <n v="-19"/>
    <n v="-31"/>
    <x v="0"/>
    <x v="0"/>
    <n v="0"/>
    <n v="0"/>
    <n v="0"/>
    <n v="0"/>
    <n v="0"/>
    <n v="0"/>
    <n v="0"/>
    <n v="0"/>
    <n v="0"/>
    <x v="0"/>
    <x v="0"/>
    <x v="0"/>
    <x v="0"/>
    <x v="0"/>
  </r>
  <r>
    <n v="13"/>
    <x v="0"/>
    <x v="0"/>
    <s v="W"/>
    <n v="166180"/>
    <n v="448"/>
    <n v="-30"/>
    <n v="-19"/>
    <x v="0"/>
    <x v="1"/>
    <n v="1"/>
    <n v="0"/>
    <n v="0"/>
    <n v="0"/>
    <n v="0"/>
    <n v="0"/>
    <n v="0"/>
    <n v="400"/>
    <n v="400"/>
    <x v="0"/>
    <x v="0"/>
    <x v="1"/>
    <x v="2"/>
    <x v="1"/>
  </r>
  <r>
    <n v="14"/>
    <x v="0"/>
    <x v="0"/>
    <s v="N"/>
    <n v="64540"/>
    <n v="215"/>
    <n v="0"/>
    <n v="9"/>
    <x v="0"/>
    <x v="1"/>
    <n v="0"/>
    <n v="1"/>
    <n v="0"/>
    <n v="0"/>
    <n v="0"/>
    <n v="0"/>
    <n v="0"/>
    <n v="6000"/>
    <n v="6000"/>
    <x v="0"/>
    <x v="0"/>
    <x v="0"/>
    <x v="0"/>
    <x v="0"/>
  </r>
  <r>
    <n v="15"/>
    <x v="0"/>
    <x v="0"/>
    <s v="N"/>
    <n v="75670"/>
    <n v="207"/>
    <n v="18"/>
    <n v="4"/>
    <x v="0"/>
    <x v="1"/>
    <n v="1"/>
    <n v="0"/>
    <n v="0"/>
    <n v="0"/>
    <n v="0"/>
    <n v="0"/>
    <n v="0"/>
    <n v="600"/>
    <n v="600"/>
    <x v="0"/>
    <x v="0"/>
    <x v="0"/>
    <x v="0"/>
    <x v="0"/>
  </r>
  <r>
    <n v="16"/>
    <x v="0"/>
    <x v="1"/>
    <s v="W"/>
    <n v="225040"/>
    <n v="575"/>
    <n v="-3"/>
    <n v="5"/>
    <x v="0"/>
    <x v="2"/>
    <n v="0"/>
    <n v="2"/>
    <n v="0"/>
    <n v="0"/>
    <n v="0"/>
    <n v="0"/>
    <n v="0"/>
    <n v="7000"/>
    <n v="6000"/>
    <x v="0"/>
    <x v="0"/>
    <x v="1"/>
    <x v="2"/>
    <x v="1"/>
  </r>
  <r>
    <n v="17"/>
    <x v="0"/>
    <x v="1"/>
    <s v="N"/>
    <n v="31290"/>
    <n v="117"/>
    <n v="-52"/>
    <n v="-41"/>
    <x v="0"/>
    <x v="0"/>
    <n v="0"/>
    <n v="0"/>
    <n v="0"/>
    <n v="0"/>
    <n v="0"/>
    <n v="0"/>
    <n v="0"/>
    <n v="0"/>
    <n v="0"/>
    <x v="0"/>
    <x v="0"/>
    <x v="0"/>
    <x v="0"/>
    <x v="0"/>
  </r>
  <r>
    <n v="18"/>
    <x v="0"/>
    <x v="1"/>
    <s v="N"/>
    <n v="22890"/>
    <n v="81"/>
    <n v="-63"/>
    <n v="-58"/>
    <x v="0"/>
    <x v="0"/>
    <n v="0"/>
    <n v="0"/>
    <n v="0"/>
    <n v="0"/>
    <n v="0"/>
    <n v="0"/>
    <n v="0"/>
    <n v="0"/>
    <n v="0"/>
    <x v="0"/>
    <x v="0"/>
    <x v="0"/>
    <x v="0"/>
    <x v="0"/>
  </r>
  <r>
    <n v="19"/>
    <x v="0"/>
    <x v="1"/>
    <s v="N"/>
    <n v="13170"/>
    <n v="59"/>
    <n v="-77"/>
    <n v="-67"/>
    <x v="0"/>
    <x v="0"/>
    <n v="0"/>
    <n v="0"/>
    <n v="0"/>
    <n v="0"/>
    <n v="0"/>
    <n v="0"/>
    <n v="0"/>
    <n v="0"/>
    <n v="0"/>
    <x v="0"/>
    <x v="0"/>
    <x v="0"/>
    <x v="0"/>
    <x v="0"/>
  </r>
  <r>
    <n v="20"/>
    <x v="0"/>
    <x v="1"/>
    <s v="N"/>
    <n v="8900"/>
    <n v="38"/>
    <n v="-83"/>
    <n v="-77"/>
    <x v="0"/>
    <x v="0"/>
    <n v="0"/>
    <n v="0"/>
    <n v="0"/>
    <n v="0"/>
    <n v="0"/>
    <n v="0"/>
    <n v="0"/>
    <n v="0"/>
    <n v="0"/>
    <x v="0"/>
    <x v="0"/>
    <x v="0"/>
    <x v="1"/>
    <x v="0"/>
  </r>
  <r>
    <n v="21"/>
    <x v="0"/>
    <x v="0"/>
    <s v="N"/>
    <n v="13250"/>
    <n v="32"/>
    <n v="-71"/>
    <n v="-79"/>
    <x v="0"/>
    <x v="0"/>
    <n v="0"/>
    <n v="0"/>
    <n v="0"/>
    <n v="0"/>
    <n v="0"/>
    <n v="0"/>
    <n v="0"/>
    <n v="0"/>
    <n v="0"/>
    <x v="0"/>
    <x v="0"/>
    <x v="0"/>
    <x v="0"/>
    <x v="0"/>
  </r>
  <r>
    <n v="22"/>
    <x v="0"/>
    <x v="0"/>
    <s v="N"/>
    <n v="11710"/>
    <n v="70"/>
    <n v="-72"/>
    <n v="-47"/>
    <x v="0"/>
    <x v="1"/>
    <n v="0"/>
    <n v="1"/>
    <n v="0"/>
    <n v="0"/>
    <n v="0"/>
    <n v="0"/>
    <n v="0"/>
    <n v="4000"/>
    <n v="4000"/>
    <x v="0"/>
    <x v="0"/>
    <x v="0"/>
    <x v="0"/>
    <x v="0"/>
  </r>
  <r>
    <n v="23"/>
    <x v="0"/>
    <x v="0"/>
    <s v="N"/>
    <n v="10640"/>
    <n v="62"/>
    <n v="-68"/>
    <n v="-43"/>
    <x v="0"/>
    <x v="0"/>
    <n v="0"/>
    <n v="0"/>
    <n v="0"/>
    <n v="0"/>
    <n v="0"/>
    <n v="0"/>
    <n v="0"/>
    <n v="0"/>
    <n v="0"/>
    <x v="0"/>
    <x v="0"/>
    <x v="0"/>
    <x v="0"/>
    <x v="0"/>
  </r>
  <r>
    <n v="24"/>
    <x v="0"/>
    <x v="0"/>
    <s v="N"/>
    <n v="45630"/>
    <n v="155"/>
    <n v="49"/>
    <n v="52"/>
    <x v="0"/>
    <x v="0"/>
    <n v="0"/>
    <n v="0"/>
    <n v="0"/>
    <n v="0"/>
    <n v="0"/>
    <n v="0"/>
    <n v="0"/>
    <n v="0"/>
    <n v="0"/>
    <x v="0"/>
    <x v="0"/>
    <x v="0"/>
    <x v="0"/>
    <x v="0"/>
  </r>
  <r>
    <n v="25"/>
    <x v="0"/>
    <x v="0"/>
    <s v="W"/>
    <n v="424650"/>
    <n v="1069"/>
    <n v="1"/>
    <n v="7"/>
    <x v="0"/>
    <x v="2"/>
    <n v="0"/>
    <n v="2"/>
    <n v="0"/>
    <n v="0"/>
    <n v="0"/>
    <n v="0"/>
    <n v="0"/>
    <n v="6000"/>
    <n v="4000"/>
    <x v="0"/>
    <x v="0"/>
    <x v="1"/>
    <x v="2"/>
    <x v="1"/>
  </r>
  <r>
    <n v="26"/>
    <x v="0"/>
    <x v="0"/>
    <s v="N"/>
    <n v="38820"/>
    <n v="213"/>
    <n v="-82"/>
    <n v="-57"/>
    <x v="0"/>
    <x v="1"/>
    <n v="0"/>
    <n v="1"/>
    <n v="0"/>
    <n v="0"/>
    <n v="0"/>
    <n v="0"/>
    <n v="0"/>
    <n v="4000"/>
    <n v="4000"/>
    <x v="0"/>
    <x v="0"/>
    <x v="0"/>
    <x v="0"/>
    <x v="0"/>
  </r>
  <r>
    <n v="27"/>
    <x v="0"/>
    <x v="0"/>
    <s v="N"/>
    <n v="56960"/>
    <n v="200"/>
    <n v="-70"/>
    <n v="-58"/>
    <x v="0"/>
    <x v="0"/>
    <n v="0"/>
    <n v="0"/>
    <n v="0"/>
    <n v="0"/>
    <n v="0"/>
    <n v="0"/>
    <n v="0"/>
    <n v="0"/>
    <n v="0"/>
    <x v="0"/>
    <x v="0"/>
    <x v="0"/>
    <x v="0"/>
    <x v="0"/>
  </r>
  <r>
    <n v="28"/>
    <x v="0"/>
    <x v="0"/>
    <s v="W"/>
    <n v="212260"/>
    <n v="729"/>
    <n v="-50"/>
    <n v="-28"/>
    <x v="0"/>
    <x v="2"/>
    <n v="1"/>
    <n v="1"/>
    <n v="0"/>
    <n v="0"/>
    <n v="0"/>
    <n v="0"/>
    <n v="0"/>
    <n v="1400"/>
    <n v="1000"/>
    <x v="0"/>
    <x v="0"/>
    <x v="1"/>
    <x v="2"/>
    <x v="1"/>
  </r>
  <r>
    <n v="29"/>
    <x v="0"/>
    <x v="0"/>
    <s v="N"/>
    <n v="42950"/>
    <n v="172"/>
    <n v="-76"/>
    <n v="-61"/>
    <x v="0"/>
    <x v="1"/>
    <n v="0"/>
    <n v="1"/>
    <n v="0"/>
    <n v="0"/>
    <n v="0"/>
    <n v="0"/>
    <n v="0"/>
    <n v="6000"/>
    <n v="6000"/>
    <x v="0"/>
    <x v="0"/>
    <x v="0"/>
    <x v="0"/>
    <x v="0"/>
  </r>
  <r>
    <n v="30"/>
    <x v="0"/>
    <x v="0"/>
    <s v="W"/>
    <n v="172290"/>
    <n v="437"/>
    <n v="-57"/>
    <n v="-55"/>
    <x v="0"/>
    <x v="1"/>
    <n v="1"/>
    <n v="0"/>
    <n v="0"/>
    <n v="0"/>
    <n v="0"/>
    <n v="0"/>
    <n v="0"/>
    <n v="600"/>
    <n v="600"/>
    <x v="0"/>
    <x v="0"/>
    <x v="1"/>
    <x v="2"/>
    <x v="1"/>
  </r>
  <r>
    <n v="31"/>
    <x v="0"/>
    <x v="0"/>
    <s v="W"/>
    <n v="395110"/>
    <n v="1043"/>
    <n v="46"/>
    <n v="40"/>
    <x v="0"/>
    <x v="3"/>
    <n v="0"/>
    <n v="3"/>
    <n v="0"/>
    <n v="0"/>
    <n v="0"/>
    <n v="0"/>
    <n v="0"/>
    <n v="6000"/>
    <n v="2000"/>
    <x v="0"/>
    <x v="0"/>
    <x v="1"/>
    <x v="2"/>
    <x v="1"/>
  </r>
  <r>
    <n v="32"/>
    <x v="0"/>
    <x v="0"/>
    <s v="N"/>
    <n v="51320"/>
    <n v="239"/>
    <n v="11"/>
    <n v="23"/>
    <x v="0"/>
    <x v="1"/>
    <n v="0"/>
    <n v="1"/>
    <n v="0"/>
    <n v="0"/>
    <n v="0"/>
    <n v="0"/>
    <n v="0"/>
    <n v="6000"/>
    <n v="6000"/>
    <x v="0"/>
    <x v="0"/>
    <x v="0"/>
    <x v="0"/>
    <x v="0"/>
  </r>
  <r>
    <n v="33"/>
    <x v="0"/>
    <x v="0"/>
    <s v="W"/>
    <n v="144880"/>
    <n v="361"/>
    <n v="-46"/>
    <n v="-52"/>
    <x v="0"/>
    <x v="1"/>
    <n v="0"/>
    <n v="1"/>
    <n v="0"/>
    <n v="0"/>
    <n v="0"/>
    <n v="0"/>
    <n v="0"/>
    <n v="2000"/>
    <n v="2000"/>
    <x v="0"/>
    <x v="0"/>
    <x v="1"/>
    <x v="2"/>
    <x v="1"/>
  </r>
  <r>
    <n v="34"/>
    <x v="0"/>
    <x v="0"/>
    <s v="W"/>
    <n v="477750"/>
    <n v="1132"/>
    <n v="86"/>
    <n v="60"/>
    <x v="0"/>
    <x v="3"/>
    <n v="3"/>
    <n v="0"/>
    <n v="0"/>
    <n v="0"/>
    <n v="0"/>
    <n v="0"/>
    <n v="0"/>
    <n v="1500"/>
    <n v="600"/>
    <x v="0"/>
    <x v="0"/>
    <x v="1"/>
    <x v="2"/>
    <x v="1"/>
  </r>
  <r>
    <n v="35"/>
    <x v="0"/>
    <x v="0"/>
    <s v="N"/>
    <n v="71840"/>
    <n v="255"/>
    <n v="54"/>
    <n v="28"/>
    <x v="0"/>
    <x v="1"/>
    <n v="0"/>
    <n v="1"/>
    <n v="0"/>
    <n v="0"/>
    <n v="0"/>
    <n v="0"/>
    <n v="0"/>
    <n v="6000"/>
    <n v="6000"/>
    <x v="0"/>
    <x v="0"/>
    <x v="0"/>
    <x v="0"/>
    <x v="0"/>
  </r>
  <r>
    <n v="36"/>
    <x v="0"/>
    <x v="0"/>
    <s v="W"/>
    <n v="127360"/>
    <n v="351"/>
    <n v="-54"/>
    <n v="-53"/>
    <x v="0"/>
    <x v="1"/>
    <n v="1"/>
    <n v="0"/>
    <n v="0"/>
    <n v="0"/>
    <n v="0"/>
    <n v="0"/>
    <n v="0"/>
    <n v="700"/>
    <n v="700"/>
    <x v="1"/>
    <x v="1"/>
    <x v="1"/>
    <x v="2"/>
    <x v="1"/>
  </r>
  <r>
    <n v="37"/>
    <x v="0"/>
    <x v="0"/>
    <s v="W"/>
    <n v="514800"/>
    <n v="1369"/>
    <n v="95"/>
    <n v="94"/>
    <x v="0"/>
    <x v="4"/>
    <n v="4"/>
    <n v="2"/>
    <n v="1"/>
    <n v="0"/>
    <n v="0"/>
    <n v="0"/>
    <n v="0"/>
    <n v="15700"/>
    <n v="10000"/>
    <x v="0"/>
    <x v="0"/>
    <x v="1"/>
    <x v="2"/>
    <x v="1"/>
  </r>
  <r>
    <n v="38"/>
    <x v="0"/>
    <x v="0"/>
    <s v="N"/>
    <n v="69440"/>
    <n v="266"/>
    <n v="41"/>
    <n v="30"/>
    <x v="0"/>
    <x v="0"/>
    <n v="0"/>
    <n v="0"/>
    <n v="0"/>
    <n v="0"/>
    <n v="0"/>
    <n v="0"/>
    <n v="0"/>
    <n v="0"/>
    <n v="0"/>
    <x v="0"/>
    <x v="0"/>
    <x v="0"/>
    <x v="0"/>
    <x v="0"/>
  </r>
  <r>
    <n v="39"/>
    <x v="0"/>
    <x v="0"/>
    <s v="N"/>
    <n v="28460"/>
    <n v="117"/>
    <n v="-45"/>
    <n v="-45"/>
    <x v="0"/>
    <x v="0"/>
    <n v="0"/>
    <n v="0"/>
    <n v="0"/>
    <n v="0"/>
    <n v="0"/>
    <n v="0"/>
    <n v="0"/>
    <n v="0"/>
    <n v="0"/>
    <x v="0"/>
    <x v="0"/>
    <x v="0"/>
    <x v="0"/>
    <x v="0"/>
  </r>
  <r>
    <n v="40"/>
    <x v="0"/>
    <x v="0"/>
    <s v="N"/>
    <n v="23220"/>
    <n v="112"/>
    <n v="-53"/>
    <n v="-45"/>
    <x v="0"/>
    <x v="0"/>
    <n v="0"/>
    <n v="0"/>
    <n v="0"/>
    <n v="0"/>
    <n v="0"/>
    <n v="0"/>
    <n v="0"/>
    <n v="0"/>
    <n v="0"/>
    <x v="0"/>
    <x v="0"/>
    <x v="0"/>
    <x v="0"/>
    <x v="0"/>
  </r>
  <r>
    <n v="41"/>
    <x v="0"/>
    <x v="0"/>
    <s v="N"/>
    <n v="16630"/>
    <n v="81"/>
    <n v="-65"/>
    <n v="-59"/>
    <x v="0"/>
    <x v="0"/>
    <n v="0"/>
    <n v="0"/>
    <n v="0"/>
    <n v="0"/>
    <n v="0"/>
    <n v="0"/>
    <n v="0"/>
    <n v="0"/>
    <n v="0"/>
    <x v="0"/>
    <x v="0"/>
    <x v="0"/>
    <x v="0"/>
    <x v="0"/>
  </r>
  <r>
    <n v="42"/>
    <x v="0"/>
    <x v="0"/>
    <s v="N"/>
    <n v="8750"/>
    <n v="47"/>
    <n v="-80"/>
    <n v="-75"/>
    <x v="0"/>
    <x v="0"/>
    <n v="0"/>
    <n v="0"/>
    <n v="0"/>
    <n v="0"/>
    <n v="0"/>
    <n v="0"/>
    <n v="0"/>
    <n v="0"/>
    <n v="0"/>
    <x v="0"/>
    <x v="0"/>
    <x v="0"/>
    <x v="1"/>
    <x v="0"/>
  </r>
  <r>
    <n v="43"/>
    <x v="0"/>
    <x v="0"/>
    <s v="N"/>
    <n v="20150"/>
    <n v="64"/>
    <n v="-51"/>
    <n v="-62"/>
    <x v="0"/>
    <x v="1"/>
    <n v="0"/>
    <n v="1"/>
    <n v="0"/>
    <n v="0"/>
    <n v="0"/>
    <n v="0"/>
    <n v="0"/>
    <n v="5000"/>
    <n v="5000"/>
    <x v="0"/>
    <x v="0"/>
    <x v="0"/>
    <x v="0"/>
    <x v="0"/>
  </r>
  <r>
    <n v="44"/>
    <x v="0"/>
    <x v="0"/>
    <s v="N"/>
    <n v="15590"/>
    <n v="82"/>
    <n v="-59"/>
    <n v="-48"/>
    <x v="0"/>
    <x v="0"/>
    <n v="0"/>
    <n v="0"/>
    <n v="0"/>
    <n v="0"/>
    <n v="0"/>
    <n v="0"/>
    <n v="0"/>
    <n v="0"/>
    <n v="0"/>
    <x v="0"/>
    <x v="0"/>
    <x v="0"/>
    <x v="0"/>
    <x v="0"/>
  </r>
  <r>
    <n v="45"/>
    <x v="0"/>
    <x v="0"/>
    <s v="W"/>
    <n v="102720"/>
    <n v="265"/>
    <n v="-64"/>
    <n v="-66"/>
    <x v="0"/>
    <x v="2"/>
    <n v="1"/>
    <n v="1"/>
    <n v="0"/>
    <n v="0"/>
    <n v="0"/>
    <n v="0"/>
    <n v="0"/>
    <n v="2700"/>
    <n v="2000"/>
    <x v="0"/>
    <x v="0"/>
    <x v="1"/>
    <x v="2"/>
    <x v="0"/>
  </r>
  <r>
    <n v="46"/>
    <x v="0"/>
    <x v="0"/>
    <s v="W"/>
    <n v="250030"/>
    <n v="687"/>
    <n v="-8"/>
    <n v="-5"/>
    <x v="0"/>
    <x v="0"/>
    <n v="0"/>
    <n v="0"/>
    <n v="0"/>
    <n v="0"/>
    <n v="0"/>
    <n v="0"/>
    <n v="0"/>
    <n v="0"/>
    <n v="0"/>
    <x v="0"/>
    <x v="0"/>
    <x v="1"/>
    <x v="2"/>
    <x v="1"/>
  </r>
  <r>
    <n v="47"/>
    <x v="0"/>
    <x v="0"/>
    <s v="N"/>
    <n v="39510"/>
    <n v="204"/>
    <n v="12"/>
    <n v="40"/>
    <x v="0"/>
    <x v="1"/>
    <n v="0"/>
    <n v="1"/>
    <n v="0"/>
    <n v="0"/>
    <n v="0"/>
    <n v="0"/>
    <n v="0"/>
    <n v="5000"/>
    <n v="5000"/>
    <x v="0"/>
    <x v="0"/>
    <x v="0"/>
    <x v="0"/>
    <x v="0"/>
  </r>
  <r>
    <n v="48"/>
    <x v="0"/>
    <x v="1"/>
    <s v="N"/>
    <n v="64200"/>
    <n v="198"/>
    <n v="86"/>
    <n v="35"/>
    <x v="0"/>
    <x v="1"/>
    <n v="1"/>
    <n v="0"/>
    <n v="0"/>
    <n v="0"/>
    <n v="0"/>
    <n v="0"/>
    <n v="0"/>
    <n v="500"/>
    <n v="500"/>
    <x v="0"/>
    <x v="0"/>
    <x v="0"/>
    <x v="0"/>
    <x v="0"/>
  </r>
  <r>
    <n v="49"/>
    <x v="0"/>
    <x v="1"/>
    <s v="W"/>
    <n v="309010"/>
    <n v="983"/>
    <n v="15"/>
    <n v="38"/>
    <x v="1"/>
    <x v="2"/>
    <n v="1"/>
    <n v="1"/>
    <n v="0"/>
    <n v="0"/>
    <n v="0"/>
    <n v="0"/>
    <n v="0"/>
    <n v="1800"/>
    <n v="1000"/>
    <x v="0"/>
    <x v="0"/>
    <x v="1"/>
    <x v="2"/>
    <x v="1"/>
  </r>
  <r>
    <n v="50"/>
    <x v="0"/>
    <x v="1"/>
    <s v="N"/>
    <n v="59060"/>
    <n v="264"/>
    <n v="65"/>
    <n v="85"/>
    <x v="1"/>
    <x v="1"/>
    <n v="0"/>
    <n v="1"/>
    <n v="0"/>
    <n v="0"/>
    <n v="0"/>
    <n v="0"/>
    <n v="0"/>
    <n v="6000"/>
    <n v="6000"/>
    <x v="0"/>
    <x v="0"/>
    <x v="0"/>
    <x v="0"/>
    <x v="0"/>
  </r>
  <r>
    <n v="51"/>
    <x v="0"/>
    <x v="1"/>
    <s v="N"/>
    <n v="66510"/>
    <n v="215"/>
    <n v="93"/>
    <n v="50"/>
    <x v="1"/>
    <x v="1"/>
    <n v="1"/>
    <n v="0"/>
    <n v="0"/>
    <n v="0"/>
    <n v="0"/>
    <n v="0"/>
    <n v="0"/>
    <n v="300"/>
    <n v="300"/>
    <x v="0"/>
    <x v="0"/>
    <x v="0"/>
    <x v="0"/>
    <x v="0"/>
  </r>
  <r>
    <n v="52"/>
    <x v="0"/>
    <x v="1"/>
    <s v="W"/>
    <n v="248900"/>
    <n v="739"/>
    <n v="-9"/>
    <n v="0"/>
    <x v="1"/>
    <x v="1"/>
    <n v="1"/>
    <n v="0"/>
    <n v="0"/>
    <n v="0"/>
    <n v="0"/>
    <n v="0"/>
    <n v="0"/>
    <n v="400"/>
    <n v="400"/>
    <x v="0"/>
    <x v="0"/>
    <x v="1"/>
    <x v="2"/>
    <x v="1"/>
  </r>
  <r>
    <n v="53"/>
    <x v="0"/>
    <x v="1"/>
    <s v="N"/>
    <n v="51620"/>
    <n v="186"/>
    <n v="51"/>
    <n v="34"/>
    <x v="0"/>
    <x v="1"/>
    <n v="0"/>
    <n v="1"/>
    <n v="0"/>
    <n v="0"/>
    <n v="0"/>
    <n v="0"/>
    <n v="0"/>
    <n v="7000"/>
    <n v="7000"/>
    <x v="0"/>
    <x v="0"/>
    <x v="0"/>
    <x v="0"/>
    <x v="0"/>
  </r>
  <r>
    <n v="54"/>
    <x v="0"/>
    <x v="1"/>
    <s v="N"/>
    <n v="45150"/>
    <n v="140"/>
    <n v="24"/>
    <n v="-4"/>
    <x v="0"/>
    <x v="0"/>
    <n v="0"/>
    <n v="0"/>
    <n v="0"/>
    <n v="0"/>
    <n v="0"/>
    <n v="0"/>
    <n v="0"/>
    <n v="0"/>
    <n v="0"/>
    <x v="0"/>
    <x v="0"/>
    <x v="0"/>
    <x v="0"/>
    <x v="0"/>
  </r>
  <r>
    <n v="55"/>
    <x v="0"/>
    <x v="1"/>
    <s v="N"/>
    <n v="60460"/>
    <n v="191"/>
    <n v="56"/>
    <n v="29"/>
    <x v="0"/>
    <x v="0"/>
    <n v="0"/>
    <n v="0"/>
    <n v="0"/>
    <n v="0"/>
    <n v="0"/>
    <n v="0"/>
    <n v="0"/>
    <n v="0"/>
    <n v="0"/>
    <x v="0"/>
    <x v="0"/>
    <x v="0"/>
    <x v="0"/>
    <x v="0"/>
  </r>
  <r>
    <n v="56"/>
    <x v="0"/>
    <x v="0"/>
    <s v="N"/>
    <n v="18330"/>
    <n v="91"/>
    <n v="-57"/>
    <n v="-43"/>
    <x v="0"/>
    <x v="1"/>
    <n v="0"/>
    <n v="1"/>
    <n v="0"/>
    <n v="0"/>
    <n v="0"/>
    <n v="0"/>
    <n v="0"/>
    <n v="4000"/>
    <n v="4000"/>
    <x v="0"/>
    <x v="0"/>
    <x v="0"/>
    <x v="0"/>
    <x v="0"/>
  </r>
  <r>
    <n v="57"/>
    <x v="0"/>
    <x v="0"/>
    <s v="N"/>
    <n v="50580"/>
    <n v="134"/>
    <n v="15"/>
    <n v="-18"/>
    <x v="0"/>
    <x v="0"/>
    <n v="0"/>
    <n v="0"/>
    <n v="0"/>
    <n v="0"/>
    <n v="0"/>
    <n v="0"/>
    <n v="0"/>
    <n v="0"/>
    <n v="0"/>
    <x v="0"/>
    <x v="0"/>
    <x v="0"/>
    <x v="0"/>
    <x v="0"/>
  </r>
  <r>
    <n v="58"/>
    <x v="0"/>
    <x v="0"/>
    <s v="W"/>
    <n v="269070"/>
    <n v="767"/>
    <n v="-1"/>
    <n v="4"/>
    <x v="0"/>
    <x v="2"/>
    <n v="2"/>
    <n v="0"/>
    <n v="0"/>
    <n v="0"/>
    <n v="0"/>
    <n v="0"/>
    <n v="0"/>
    <n v="800"/>
    <n v="400"/>
    <x v="0"/>
    <x v="0"/>
    <x v="1"/>
    <x v="2"/>
    <x v="1"/>
  </r>
  <r>
    <n v="59"/>
    <x v="0"/>
    <x v="0"/>
    <s v="N"/>
    <n v="37360"/>
    <n v="171"/>
    <n v="-21"/>
    <n v="0"/>
    <x v="0"/>
    <x v="1"/>
    <n v="0"/>
    <n v="1"/>
    <n v="0"/>
    <n v="0"/>
    <n v="0"/>
    <n v="0"/>
    <n v="0"/>
    <n v="4000"/>
    <n v="4000"/>
    <x v="0"/>
    <x v="0"/>
    <x v="0"/>
    <x v="0"/>
    <x v="0"/>
  </r>
  <r>
    <n v="60"/>
    <x v="0"/>
    <x v="0"/>
    <s v="W"/>
    <n v="372770"/>
    <n v="975"/>
    <n v="37"/>
    <n v="32"/>
    <x v="0"/>
    <x v="3"/>
    <n v="3"/>
    <n v="0"/>
    <n v="0"/>
    <n v="0"/>
    <n v="0"/>
    <n v="0"/>
    <n v="0"/>
    <n v="1400"/>
    <n v="700"/>
    <x v="0"/>
    <x v="0"/>
    <x v="1"/>
    <x v="2"/>
    <x v="1"/>
  </r>
  <r>
    <n v="61"/>
    <x v="0"/>
    <x v="0"/>
    <s v="N"/>
    <n v="44180"/>
    <n v="203"/>
    <n v="-10"/>
    <n v="13"/>
    <x v="0"/>
    <x v="0"/>
    <n v="0"/>
    <n v="0"/>
    <n v="0"/>
    <n v="0"/>
    <n v="0"/>
    <n v="0"/>
    <n v="0"/>
    <n v="0"/>
    <n v="0"/>
    <x v="0"/>
    <x v="0"/>
    <x v="0"/>
    <x v="0"/>
    <x v="0"/>
  </r>
  <r>
    <n v="62"/>
    <x v="0"/>
    <x v="0"/>
    <s v="N"/>
    <n v="32070"/>
    <n v="138"/>
    <n v="-36"/>
    <n v="-23"/>
    <x v="0"/>
    <x v="0"/>
    <n v="0"/>
    <n v="0"/>
    <n v="0"/>
    <n v="0"/>
    <n v="0"/>
    <n v="0"/>
    <n v="0"/>
    <n v="0"/>
    <n v="0"/>
    <x v="0"/>
    <x v="0"/>
    <x v="0"/>
    <x v="0"/>
    <x v="0"/>
  </r>
  <r>
    <n v="63"/>
    <x v="0"/>
    <x v="0"/>
    <s v="N"/>
    <n v="31540"/>
    <n v="121"/>
    <n v="-32"/>
    <n v="-30"/>
    <x v="0"/>
    <x v="0"/>
    <n v="0"/>
    <n v="0"/>
    <n v="0"/>
    <n v="0"/>
    <n v="0"/>
    <n v="0"/>
    <n v="0"/>
    <n v="0"/>
    <n v="0"/>
    <x v="0"/>
    <x v="0"/>
    <x v="0"/>
    <x v="0"/>
    <x v="0"/>
  </r>
  <r>
    <n v="64"/>
    <x v="0"/>
    <x v="0"/>
    <s v="N"/>
    <n v="46380"/>
    <n v="133"/>
    <n v="6"/>
    <n v="-16"/>
    <x v="0"/>
    <x v="1"/>
    <n v="0"/>
    <n v="1"/>
    <n v="0"/>
    <n v="0"/>
    <n v="0"/>
    <n v="0"/>
    <n v="0"/>
    <n v="5000"/>
    <n v="5000"/>
    <x v="0"/>
    <x v="0"/>
    <x v="0"/>
    <x v="0"/>
    <x v="0"/>
  </r>
  <r>
    <n v="65"/>
    <x v="0"/>
    <x v="0"/>
    <s v="N"/>
    <n v="18160"/>
    <n v="78"/>
    <n v="-57"/>
    <n v="-48"/>
    <x v="0"/>
    <x v="0"/>
    <n v="0"/>
    <n v="0"/>
    <n v="0"/>
    <n v="0"/>
    <n v="0"/>
    <n v="0"/>
    <n v="0"/>
    <n v="0"/>
    <n v="0"/>
    <x v="0"/>
    <x v="0"/>
    <x v="0"/>
    <x v="0"/>
    <x v="0"/>
  </r>
  <r>
    <n v="66"/>
    <x v="0"/>
    <x v="0"/>
    <s v="N"/>
    <n v="147520"/>
    <n v="472"/>
    <n v="-2"/>
    <n v="-6"/>
    <x v="0"/>
    <x v="0"/>
    <n v="0"/>
    <n v="0"/>
    <n v="0"/>
    <n v="0"/>
    <n v="0"/>
    <n v="0"/>
    <n v="0"/>
    <n v="0"/>
    <n v="0"/>
    <x v="0"/>
    <x v="0"/>
    <x v="0"/>
    <x v="2"/>
    <x v="1"/>
  </r>
  <r>
    <n v="67"/>
    <x v="0"/>
    <x v="0"/>
    <s v="W"/>
    <n v="202640"/>
    <n v="588"/>
    <n v="-33"/>
    <n v="-41"/>
    <x v="0"/>
    <x v="2"/>
    <n v="1"/>
    <n v="1"/>
    <n v="0"/>
    <n v="0"/>
    <n v="0"/>
    <n v="0"/>
    <n v="0"/>
    <n v="4300"/>
    <n v="4000"/>
    <x v="0"/>
    <x v="0"/>
    <x v="1"/>
    <x v="2"/>
    <x v="1"/>
  </r>
  <r>
    <n v="68"/>
    <x v="0"/>
    <x v="0"/>
    <s v="W"/>
    <n v="259110"/>
    <n v="1409"/>
    <n v="-11"/>
    <n v="46"/>
    <x v="0"/>
    <x v="1"/>
    <n v="1"/>
    <n v="0"/>
    <n v="0"/>
    <n v="0"/>
    <n v="0"/>
    <n v="0"/>
    <n v="0"/>
    <n v="900"/>
    <n v="900"/>
    <x v="0"/>
    <x v="0"/>
    <x v="1"/>
    <x v="2"/>
    <x v="1"/>
  </r>
  <r>
    <n v="69"/>
    <x v="0"/>
    <x v="0"/>
    <s v="N"/>
    <n v="40210"/>
    <n v="193"/>
    <n v="-71"/>
    <n v="-59"/>
    <x v="0"/>
    <x v="1"/>
    <n v="0"/>
    <n v="1"/>
    <n v="0"/>
    <n v="0"/>
    <n v="0"/>
    <n v="0"/>
    <n v="0"/>
    <n v="5000"/>
    <n v="5000"/>
    <x v="0"/>
    <x v="0"/>
    <x v="0"/>
    <x v="0"/>
    <x v="0"/>
  </r>
  <r>
    <n v="70"/>
    <x v="0"/>
    <x v="0"/>
    <s v="N"/>
    <n v="59210"/>
    <n v="175"/>
    <n v="-54"/>
    <n v="-61"/>
    <x v="0"/>
    <x v="0"/>
    <n v="0"/>
    <n v="0"/>
    <n v="0"/>
    <n v="0"/>
    <n v="0"/>
    <n v="0"/>
    <n v="0"/>
    <n v="0"/>
    <n v="0"/>
    <x v="0"/>
    <x v="0"/>
    <x v="0"/>
    <x v="0"/>
    <x v="0"/>
  </r>
  <r>
    <n v="71"/>
    <x v="0"/>
    <x v="0"/>
    <s v="W"/>
    <n v="590510"/>
    <n v="1780"/>
    <n v="23"/>
    <n v="-6"/>
    <x v="0"/>
    <x v="1"/>
    <n v="1"/>
    <n v="0"/>
    <n v="0"/>
    <n v="0"/>
    <n v="0"/>
    <n v="0"/>
    <n v="0"/>
    <n v="800"/>
    <n v="800"/>
    <x v="0"/>
    <x v="0"/>
    <x v="1"/>
    <x v="2"/>
    <x v="1"/>
  </r>
  <r>
    <n v="72"/>
    <x v="0"/>
    <x v="0"/>
    <s v="N"/>
    <n v="75930"/>
    <n v="305"/>
    <n v="-38"/>
    <n v="-27"/>
    <x v="0"/>
    <x v="1"/>
    <n v="0"/>
    <n v="1"/>
    <n v="0"/>
    <n v="0"/>
    <n v="0"/>
    <n v="0"/>
    <n v="0"/>
    <n v="6000"/>
    <n v="6000"/>
    <x v="0"/>
    <x v="0"/>
    <x v="0"/>
    <x v="0"/>
    <x v="0"/>
  </r>
  <r>
    <n v="73"/>
    <x v="0"/>
    <x v="0"/>
    <s v="N"/>
    <n v="73030"/>
    <n v="240"/>
    <n v="25"/>
    <n v="7"/>
    <x v="0"/>
    <x v="0"/>
    <n v="0"/>
    <n v="0"/>
    <n v="0"/>
    <n v="0"/>
    <n v="0"/>
    <n v="0"/>
    <n v="0"/>
    <n v="0"/>
    <n v="0"/>
    <x v="0"/>
    <x v="0"/>
    <x v="0"/>
    <x v="0"/>
    <x v="0"/>
  </r>
  <r>
    <n v="74"/>
    <x v="0"/>
    <x v="0"/>
    <s v="W"/>
    <n v="317360"/>
    <n v="1068"/>
    <n v="-36"/>
    <n v="-44"/>
    <x v="0"/>
    <x v="0"/>
    <n v="0"/>
    <n v="0"/>
    <n v="0"/>
    <n v="0"/>
    <n v="0"/>
    <n v="0"/>
    <n v="0"/>
    <n v="0"/>
    <n v="0"/>
    <x v="0"/>
    <x v="0"/>
    <x v="1"/>
    <x v="2"/>
    <x v="1"/>
  </r>
  <r>
    <n v="75"/>
    <x v="0"/>
    <x v="0"/>
    <s v="W"/>
    <n v="227990"/>
    <n v="734"/>
    <n v="-52"/>
    <n v="-59"/>
    <x v="0"/>
    <x v="2"/>
    <n v="1"/>
    <n v="1"/>
    <n v="0"/>
    <n v="0"/>
    <n v="0"/>
    <n v="0"/>
    <n v="0"/>
    <n v="4300"/>
    <n v="4000"/>
    <x v="0"/>
    <x v="0"/>
    <x v="1"/>
    <x v="2"/>
    <x v="1"/>
  </r>
  <r>
    <n v="76"/>
    <x v="0"/>
    <x v="0"/>
    <s v="N"/>
    <n v="96080"/>
    <n v="433"/>
    <n v="60"/>
    <n v="92"/>
    <x v="0"/>
    <x v="0"/>
    <n v="0"/>
    <n v="0"/>
    <n v="0"/>
    <n v="0"/>
    <n v="0"/>
    <n v="0"/>
    <n v="0"/>
    <n v="0"/>
    <n v="0"/>
    <x v="0"/>
    <x v="0"/>
    <x v="0"/>
    <x v="0"/>
    <x v="0"/>
  </r>
  <r>
    <n v="77"/>
    <x v="0"/>
    <x v="0"/>
    <s v="W"/>
    <n v="210960"/>
    <n v="773"/>
    <n v="-44"/>
    <n v="-35"/>
    <x v="0"/>
    <x v="1"/>
    <n v="0"/>
    <n v="1"/>
    <n v="0"/>
    <n v="0"/>
    <n v="0"/>
    <n v="0"/>
    <n v="0"/>
    <n v="5000"/>
    <n v="5000"/>
    <x v="0"/>
    <x v="0"/>
    <x v="1"/>
    <x v="2"/>
    <x v="1"/>
  </r>
  <r>
    <n v="78"/>
    <x v="0"/>
    <x v="0"/>
    <s v="N"/>
    <n v="24900"/>
    <n v="159"/>
    <n v="-57"/>
    <n v="-29"/>
    <x v="0"/>
    <x v="0"/>
    <n v="0"/>
    <n v="0"/>
    <n v="0"/>
    <n v="0"/>
    <n v="0"/>
    <n v="0"/>
    <n v="0"/>
    <n v="0"/>
    <n v="0"/>
    <x v="0"/>
    <x v="0"/>
    <x v="0"/>
    <x v="0"/>
    <x v="0"/>
  </r>
  <r>
    <n v="79"/>
    <x v="0"/>
    <x v="0"/>
    <s v="W"/>
    <n v="302440"/>
    <n v="1250"/>
    <n v="-16"/>
    <n v="9"/>
    <x v="0"/>
    <x v="2"/>
    <n v="2"/>
    <n v="0"/>
    <n v="0"/>
    <n v="0"/>
    <n v="0"/>
    <n v="0"/>
    <n v="0"/>
    <n v="600"/>
    <n v="300"/>
    <x v="0"/>
    <x v="0"/>
    <x v="1"/>
    <x v="2"/>
    <x v="1"/>
  </r>
  <r>
    <n v="80"/>
    <x v="0"/>
    <x v="0"/>
    <s v="N"/>
    <n v="46160"/>
    <n v="250"/>
    <n v="-16"/>
    <n v="15"/>
    <x v="0"/>
    <x v="1"/>
    <n v="0"/>
    <n v="1"/>
    <n v="0"/>
    <n v="0"/>
    <n v="0"/>
    <n v="0"/>
    <n v="0"/>
    <n v="6000"/>
    <n v="6000"/>
    <x v="0"/>
    <x v="0"/>
    <x v="0"/>
    <x v="0"/>
    <x v="0"/>
  </r>
  <r>
    <n v="81"/>
    <x v="0"/>
    <x v="1"/>
    <s v="W"/>
    <n v="436650"/>
    <n v="1232"/>
    <n v="23"/>
    <n v="6"/>
    <x v="0"/>
    <x v="0"/>
    <n v="0"/>
    <n v="0"/>
    <n v="0"/>
    <n v="0"/>
    <n v="0"/>
    <n v="0"/>
    <n v="0"/>
    <n v="0"/>
    <n v="0"/>
    <x v="0"/>
    <x v="0"/>
    <x v="1"/>
    <x v="2"/>
    <x v="1"/>
  </r>
  <r>
    <n v="82"/>
    <x v="0"/>
    <x v="1"/>
    <s v="N"/>
    <n v="58230"/>
    <n v="279"/>
    <n v="8"/>
    <n v="27"/>
    <x v="0"/>
    <x v="0"/>
    <n v="0"/>
    <n v="0"/>
    <n v="0"/>
    <n v="0"/>
    <n v="0"/>
    <n v="0"/>
    <n v="0"/>
    <n v="0"/>
    <n v="0"/>
    <x v="0"/>
    <x v="0"/>
    <x v="0"/>
    <x v="0"/>
    <x v="0"/>
  </r>
  <r>
    <n v="83"/>
    <x v="0"/>
    <x v="1"/>
    <s v="N"/>
    <n v="36380"/>
    <n v="222"/>
    <n v="-32"/>
    <n v="-2"/>
    <x v="0"/>
    <x v="1"/>
    <n v="0"/>
    <n v="1"/>
    <n v="0"/>
    <n v="0"/>
    <n v="0"/>
    <n v="0"/>
    <n v="0"/>
    <n v="4000"/>
    <n v="4000"/>
    <x v="0"/>
    <x v="0"/>
    <x v="0"/>
    <x v="0"/>
    <x v="0"/>
  </r>
  <r>
    <n v="84"/>
    <x v="0"/>
    <x v="1"/>
    <s v="W"/>
    <n v="169370"/>
    <n v="644"/>
    <n v="-53"/>
    <n v="-45"/>
    <x v="0"/>
    <x v="0"/>
    <n v="0"/>
    <n v="0"/>
    <n v="0"/>
    <n v="0"/>
    <n v="0"/>
    <n v="0"/>
    <n v="0"/>
    <n v="0"/>
    <n v="0"/>
    <x v="0"/>
    <x v="0"/>
    <x v="1"/>
    <x v="2"/>
    <x v="1"/>
  </r>
  <r>
    <n v="85"/>
    <x v="0"/>
    <x v="1"/>
    <s v="N"/>
    <n v="96600"/>
    <n v="383"/>
    <n v="87"/>
    <n v="70"/>
    <x v="0"/>
    <x v="0"/>
    <n v="0"/>
    <n v="0"/>
    <n v="0"/>
    <n v="0"/>
    <n v="0"/>
    <n v="0"/>
    <n v="0"/>
    <n v="0"/>
    <n v="0"/>
    <x v="0"/>
    <x v="0"/>
    <x v="0"/>
    <x v="0"/>
    <x v="0"/>
  </r>
  <r>
    <n v="86"/>
    <x v="0"/>
    <x v="0"/>
    <s v="W"/>
    <n v="233810"/>
    <n v="839"/>
    <n v="-31"/>
    <n v="-24"/>
    <x v="0"/>
    <x v="0"/>
    <n v="0"/>
    <n v="0"/>
    <n v="0"/>
    <n v="0"/>
    <n v="0"/>
    <n v="0"/>
    <n v="0"/>
    <n v="0"/>
    <n v="0"/>
    <x v="0"/>
    <x v="0"/>
    <x v="1"/>
    <x v="2"/>
    <x v="1"/>
  </r>
  <r>
    <n v="87"/>
    <x v="0"/>
    <x v="0"/>
    <s v="W"/>
    <n v="149050"/>
    <n v="697"/>
    <n v="-54"/>
    <n v="-35"/>
    <x v="0"/>
    <x v="1"/>
    <n v="0"/>
    <n v="1"/>
    <n v="0"/>
    <n v="0"/>
    <n v="0"/>
    <n v="0"/>
    <n v="0"/>
    <n v="6000"/>
    <n v="6000"/>
    <x v="0"/>
    <x v="0"/>
    <x v="1"/>
    <x v="2"/>
    <x v="1"/>
  </r>
  <r>
    <n v="88"/>
    <x v="0"/>
    <x v="0"/>
    <s v="N"/>
    <n v="63550"/>
    <n v="325"/>
    <n v="15"/>
    <n v="35"/>
    <x v="0"/>
    <x v="0"/>
    <n v="0"/>
    <n v="0"/>
    <n v="0"/>
    <n v="0"/>
    <n v="0"/>
    <n v="0"/>
    <n v="0"/>
    <n v="0"/>
    <n v="0"/>
    <x v="0"/>
    <x v="0"/>
    <x v="0"/>
    <x v="0"/>
    <x v="0"/>
  </r>
  <r>
    <n v="89"/>
    <x v="0"/>
    <x v="0"/>
    <s v="W"/>
    <n v="194580"/>
    <n v="697"/>
    <n v="-35"/>
    <n v="-32"/>
    <x v="0"/>
    <x v="0"/>
    <n v="0"/>
    <n v="0"/>
    <n v="0"/>
    <n v="0"/>
    <n v="0"/>
    <n v="0"/>
    <n v="0"/>
    <n v="0"/>
    <n v="0"/>
    <x v="0"/>
    <x v="0"/>
    <x v="1"/>
    <x v="2"/>
    <x v="1"/>
  </r>
  <r>
    <n v="90"/>
    <x v="0"/>
    <x v="0"/>
    <s v="N"/>
    <n v="63550"/>
    <n v="325"/>
    <n v="15"/>
    <n v="35"/>
    <x v="0"/>
    <x v="0"/>
    <n v="0"/>
    <n v="0"/>
    <n v="0"/>
    <n v="0"/>
    <n v="0"/>
    <n v="0"/>
    <n v="0"/>
    <n v="0"/>
    <n v="0"/>
    <x v="0"/>
    <x v="0"/>
    <x v="0"/>
    <x v="0"/>
    <x v="0"/>
  </r>
  <r>
    <n v="91"/>
    <x v="0"/>
    <x v="0"/>
    <s v="W"/>
    <n v="194580"/>
    <n v="697"/>
    <n v="-35"/>
    <n v="-32"/>
    <x v="0"/>
    <x v="0"/>
    <n v="0"/>
    <n v="0"/>
    <n v="0"/>
    <n v="0"/>
    <n v="0"/>
    <n v="0"/>
    <n v="0"/>
    <n v="0"/>
    <n v="0"/>
    <x v="0"/>
    <x v="0"/>
    <x v="1"/>
    <x v="2"/>
    <x v="1"/>
  </r>
  <r>
    <n v="92"/>
    <x v="0"/>
    <x v="0"/>
    <s v="N"/>
    <n v="46020"/>
    <n v="267"/>
    <n v="-18"/>
    <n v="6"/>
    <x v="0"/>
    <x v="1"/>
    <n v="0"/>
    <n v="1"/>
    <n v="0"/>
    <n v="0"/>
    <n v="0"/>
    <n v="0"/>
    <n v="0"/>
    <n v="5000"/>
    <n v="5000"/>
    <x v="0"/>
    <x v="0"/>
    <x v="0"/>
    <x v="0"/>
    <x v="0"/>
  </r>
  <r>
    <n v="93"/>
    <x v="0"/>
    <x v="0"/>
    <s v="N"/>
    <n v="104390"/>
    <n v="331"/>
    <n v="91"/>
    <n v="29"/>
    <x v="0"/>
    <x v="0"/>
    <n v="0"/>
    <n v="0"/>
    <n v="0"/>
    <n v="0"/>
    <n v="0"/>
    <n v="0"/>
    <n v="0"/>
    <n v="0"/>
    <n v="0"/>
    <x v="0"/>
    <x v="0"/>
    <x v="0"/>
    <x v="2"/>
    <x v="0"/>
  </r>
  <r>
    <n v="94"/>
    <x v="0"/>
    <x v="0"/>
    <s v="W"/>
    <n v="285750"/>
    <n v="791"/>
    <n v="1"/>
    <n v="-19"/>
    <x v="0"/>
    <x v="0"/>
    <n v="0"/>
    <n v="0"/>
    <n v="0"/>
    <n v="0"/>
    <n v="0"/>
    <n v="0"/>
    <n v="0"/>
    <n v="0"/>
    <n v="0"/>
    <x v="0"/>
    <x v="0"/>
    <x v="1"/>
    <x v="2"/>
    <x v="1"/>
  </r>
  <r>
    <n v="95"/>
    <x v="0"/>
    <x v="0"/>
    <s v="N"/>
    <n v="26510"/>
    <n v="106"/>
    <n v="-55"/>
    <n v="-60"/>
    <x v="0"/>
    <x v="0"/>
    <n v="0"/>
    <n v="0"/>
    <n v="0"/>
    <n v="0"/>
    <n v="0"/>
    <n v="0"/>
    <n v="0"/>
    <n v="0"/>
    <n v="0"/>
    <x v="0"/>
    <x v="0"/>
    <x v="0"/>
    <x v="0"/>
    <x v="0"/>
  </r>
  <r>
    <n v="96"/>
    <x v="0"/>
    <x v="0"/>
    <s v="N"/>
    <n v="25580"/>
    <n v="120"/>
    <n v="-54"/>
    <n v="-53"/>
    <x v="0"/>
    <x v="1"/>
    <n v="0"/>
    <n v="1"/>
    <n v="0"/>
    <n v="0"/>
    <n v="0"/>
    <n v="0"/>
    <n v="0"/>
    <n v="6000"/>
    <n v="6000"/>
    <x v="0"/>
    <x v="0"/>
    <x v="0"/>
    <x v="0"/>
    <x v="0"/>
  </r>
  <r>
    <n v="97"/>
    <x v="0"/>
    <x v="0"/>
    <s v="W"/>
    <n v="298230"/>
    <n v="916"/>
    <n v="9"/>
    <n v="-2"/>
    <x v="0"/>
    <x v="0"/>
    <n v="0"/>
    <n v="0"/>
    <n v="0"/>
    <n v="0"/>
    <n v="0"/>
    <n v="0"/>
    <n v="0"/>
    <n v="0"/>
    <n v="0"/>
    <x v="0"/>
    <x v="0"/>
    <x v="1"/>
    <x v="2"/>
    <x v="1"/>
  </r>
  <r>
    <n v="98"/>
    <x v="0"/>
    <x v="0"/>
    <s v="N"/>
    <n v="39040"/>
    <n v="231"/>
    <n v="-26"/>
    <n v="-5"/>
    <x v="0"/>
    <x v="1"/>
    <n v="0"/>
    <n v="1"/>
    <n v="0"/>
    <n v="0"/>
    <n v="0"/>
    <n v="0"/>
    <n v="0"/>
    <n v="5000"/>
    <n v="5000"/>
    <x v="0"/>
    <x v="0"/>
    <x v="0"/>
    <x v="0"/>
    <x v="0"/>
  </r>
  <r>
    <n v="99"/>
    <x v="0"/>
    <x v="0"/>
    <s v="N"/>
    <n v="54990"/>
    <n v="182"/>
    <n v="1"/>
    <n v="-28"/>
    <x v="0"/>
    <x v="0"/>
    <n v="0"/>
    <n v="0"/>
    <n v="0"/>
    <n v="0"/>
    <n v="0"/>
    <n v="0"/>
    <n v="0"/>
    <n v="0"/>
    <n v="0"/>
    <x v="0"/>
    <x v="0"/>
    <x v="0"/>
    <x v="0"/>
    <x v="0"/>
  </r>
  <r>
    <n v="100"/>
    <x v="0"/>
    <x v="0"/>
    <s v="W"/>
    <n v="172120"/>
    <n v="537"/>
    <n v="-35"/>
    <n v="-41"/>
    <x v="0"/>
    <x v="0"/>
    <n v="0"/>
    <n v="0"/>
    <n v="0"/>
    <n v="0"/>
    <n v="0"/>
    <n v="0"/>
    <n v="0"/>
    <n v="0"/>
    <n v="0"/>
    <x v="0"/>
    <x v="0"/>
    <x v="1"/>
    <x v="2"/>
    <x v="1"/>
  </r>
  <r>
    <n v="101"/>
    <x v="0"/>
    <x v="0"/>
    <s v="N"/>
    <n v="25280"/>
    <n v="158"/>
    <n v="-54"/>
    <n v="-35"/>
    <x v="0"/>
    <x v="1"/>
    <n v="0"/>
    <n v="1"/>
    <n v="0"/>
    <n v="0"/>
    <n v="0"/>
    <n v="0"/>
    <n v="0"/>
    <n v="4000"/>
    <n v="4000"/>
    <x v="0"/>
    <x v="0"/>
    <x v="0"/>
    <x v="0"/>
    <x v="0"/>
  </r>
  <r>
    <n v="102"/>
    <x v="0"/>
    <x v="0"/>
    <s v="W"/>
    <n v="270040"/>
    <n v="717"/>
    <n v="10"/>
    <n v="-14"/>
    <x v="0"/>
    <x v="2"/>
    <n v="2"/>
    <n v="0"/>
    <n v="0"/>
    <n v="0"/>
    <n v="0"/>
    <n v="0"/>
    <n v="0"/>
    <n v="800"/>
    <n v="500"/>
    <x v="0"/>
    <x v="0"/>
    <x v="1"/>
    <x v="2"/>
    <x v="1"/>
  </r>
  <r>
    <n v="103"/>
    <x v="0"/>
    <x v="0"/>
    <s v="N"/>
    <n v="41120"/>
    <n v="132"/>
    <n v="-21"/>
    <n v="-43"/>
    <x v="0"/>
    <x v="0"/>
    <n v="0"/>
    <n v="0"/>
    <n v="0"/>
    <n v="0"/>
    <n v="0"/>
    <n v="0"/>
    <n v="0"/>
    <n v="0"/>
    <n v="0"/>
    <x v="0"/>
    <x v="0"/>
    <x v="0"/>
    <x v="0"/>
    <x v="0"/>
  </r>
  <r>
    <n v="104"/>
    <x v="0"/>
    <x v="0"/>
    <s v="N"/>
    <n v="22710"/>
    <n v="68"/>
    <n v="-57"/>
    <n v="-70"/>
    <x v="0"/>
    <x v="0"/>
    <n v="0"/>
    <n v="0"/>
    <n v="0"/>
    <n v="0"/>
    <n v="0"/>
    <n v="0"/>
    <n v="0"/>
    <n v="0"/>
    <n v="0"/>
    <x v="0"/>
    <x v="0"/>
    <x v="0"/>
    <x v="0"/>
    <x v="0"/>
  </r>
  <r>
    <n v="105"/>
    <x v="0"/>
    <x v="0"/>
    <s v="N"/>
    <n v="13160"/>
    <n v="46"/>
    <n v="-71"/>
    <n v="-76"/>
    <x v="0"/>
    <x v="0"/>
    <n v="0"/>
    <n v="0"/>
    <n v="0"/>
    <n v="0"/>
    <n v="0"/>
    <n v="0"/>
    <n v="0"/>
    <n v="0"/>
    <n v="0"/>
    <x v="0"/>
    <x v="0"/>
    <x v="0"/>
    <x v="0"/>
    <x v="0"/>
  </r>
  <r>
    <n v="106"/>
    <x v="0"/>
    <x v="0"/>
    <s v="N"/>
    <n v="19500"/>
    <n v="80"/>
    <n v="-51"/>
    <n v="-51"/>
    <x v="0"/>
    <x v="1"/>
    <n v="0"/>
    <n v="1"/>
    <n v="0"/>
    <n v="0"/>
    <n v="0"/>
    <n v="0"/>
    <n v="0"/>
    <n v="4000"/>
    <n v="4000"/>
    <x v="0"/>
    <x v="0"/>
    <x v="0"/>
    <x v="0"/>
    <x v="0"/>
  </r>
  <r>
    <n v="107"/>
    <x v="0"/>
    <x v="0"/>
    <s v="N"/>
    <n v="12970"/>
    <n v="53"/>
    <n v="-65"/>
    <n v="-64"/>
    <x v="0"/>
    <x v="0"/>
    <n v="0"/>
    <n v="0"/>
    <n v="0"/>
    <n v="0"/>
    <n v="0"/>
    <n v="0"/>
    <n v="0"/>
    <n v="0"/>
    <n v="0"/>
    <x v="0"/>
    <x v="0"/>
    <x v="0"/>
    <x v="0"/>
    <x v="0"/>
  </r>
  <r>
    <n v="108"/>
    <x v="0"/>
    <x v="0"/>
    <s v="W"/>
    <n v="166700"/>
    <n v="363"/>
    <n v="-34"/>
    <n v="-56"/>
    <x v="0"/>
    <x v="0"/>
    <n v="0"/>
    <n v="0"/>
    <n v="0"/>
    <n v="0"/>
    <n v="0"/>
    <n v="0"/>
    <n v="0"/>
    <n v="0"/>
    <n v="0"/>
    <x v="0"/>
    <x v="0"/>
    <x v="1"/>
    <x v="2"/>
    <x v="1"/>
  </r>
  <r>
    <n v="109"/>
    <x v="0"/>
    <x v="0"/>
    <s v="W"/>
    <n v="274170"/>
    <n v="997"/>
    <n v="15"/>
    <n v="34"/>
    <x v="0"/>
    <x v="0"/>
    <n v="0"/>
    <n v="0"/>
    <n v="0"/>
    <n v="0"/>
    <n v="0"/>
    <n v="0"/>
    <n v="0"/>
    <n v="0"/>
    <n v="0"/>
    <x v="0"/>
    <x v="0"/>
    <x v="1"/>
    <x v="2"/>
    <x v="1"/>
  </r>
  <r>
    <n v="110"/>
    <x v="0"/>
    <x v="1"/>
    <s v="N"/>
    <n v="56120"/>
    <n v="222"/>
    <n v="100"/>
    <n v="89"/>
    <x v="0"/>
    <x v="1"/>
    <n v="0"/>
    <n v="1"/>
    <n v="0"/>
    <n v="0"/>
    <n v="0"/>
    <n v="0"/>
    <n v="0"/>
    <n v="5000"/>
    <n v="5000"/>
    <x v="0"/>
    <x v="0"/>
    <x v="0"/>
    <x v="0"/>
    <x v="0"/>
  </r>
  <r>
    <n v="111"/>
    <x v="0"/>
    <x v="1"/>
    <s v="W"/>
    <n v="226790"/>
    <n v="717"/>
    <n v="2"/>
    <n v="0"/>
    <x v="0"/>
    <x v="0"/>
    <n v="0"/>
    <n v="0"/>
    <n v="0"/>
    <n v="0"/>
    <n v="0"/>
    <n v="0"/>
    <n v="0"/>
    <n v="0"/>
    <n v="0"/>
    <x v="0"/>
    <x v="0"/>
    <x v="1"/>
    <x v="2"/>
    <x v="1"/>
  </r>
  <r>
    <n v="112"/>
    <x v="0"/>
    <x v="1"/>
    <s v="W"/>
    <n v="134640"/>
    <n v="611"/>
    <n v="-41"/>
    <n v="-16"/>
    <x v="0"/>
    <x v="0"/>
    <n v="0"/>
    <n v="0"/>
    <n v="0"/>
    <n v="0"/>
    <n v="0"/>
    <n v="0"/>
    <n v="0"/>
    <n v="0"/>
    <n v="0"/>
    <x v="0"/>
    <x v="0"/>
    <x v="1"/>
    <x v="2"/>
    <x v="1"/>
  </r>
  <r>
    <n v="113"/>
    <x v="0"/>
    <x v="1"/>
    <s v="N"/>
    <n v="49910"/>
    <n v="208"/>
    <n v="61"/>
    <n v="61"/>
    <x v="0"/>
    <x v="1"/>
    <n v="0"/>
    <n v="1"/>
    <n v="0"/>
    <n v="0"/>
    <n v="0"/>
    <n v="0"/>
    <n v="0"/>
    <n v="3000"/>
    <n v="3000"/>
    <x v="0"/>
    <x v="0"/>
    <x v="0"/>
    <x v="0"/>
    <x v="0"/>
  </r>
  <r>
    <n v="114"/>
    <x v="0"/>
    <x v="1"/>
    <s v="W"/>
    <n v="328050"/>
    <n v="707"/>
    <n v="51"/>
    <n v="0"/>
    <x v="0"/>
    <x v="1"/>
    <n v="1"/>
    <n v="0"/>
    <n v="0"/>
    <n v="0"/>
    <n v="0"/>
    <n v="0"/>
    <n v="0"/>
    <n v="200"/>
    <n v="200"/>
    <x v="0"/>
    <x v="0"/>
    <x v="1"/>
    <x v="2"/>
    <x v="1"/>
  </r>
  <r>
    <n v="115"/>
    <x v="0"/>
    <x v="1"/>
    <s v="W"/>
    <n v="140090"/>
    <n v="380"/>
    <n v="-40"/>
    <n v="-46"/>
    <x v="0"/>
    <x v="0"/>
    <n v="0"/>
    <n v="0"/>
    <n v="0"/>
    <n v="0"/>
    <n v="0"/>
    <n v="0"/>
    <n v="0"/>
    <n v="0"/>
    <n v="0"/>
    <x v="0"/>
    <x v="0"/>
    <x v="1"/>
    <x v="2"/>
    <x v="1"/>
  </r>
  <r>
    <n v="116"/>
    <x v="0"/>
    <x v="0"/>
    <s v="N"/>
    <n v="42820"/>
    <n v="150"/>
    <n v="28"/>
    <n v="9"/>
    <x v="0"/>
    <x v="1"/>
    <n v="0"/>
    <n v="1"/>
    <n v="0"/>
    <n v="0"/>
    <n v="0"/>
    <n v="0"/>
    <n v="0"/>
    <n v="3000"/>
    <n v="3000"/>
    <x v="0"/>
    <x v="0"/>
    <x v="0"/>
    <x v="0"/>
    <x v="0"/>
  </r>
  <r>
    <n v="117"/>
    <x v="0"/>
    <x v="0"/>
    <s v="W"/>
    <n v="157740"/>
    <n v="440"/>
    <n v="-31"/>
    <n v="-35"/>
    <x v="0"/>
    <x v="0"/>
    <n v="0"/>
    <n v="0"/>
    <n v="0"/>
    <n v="0"/>
    <n v="0"/>
    <n v="0"/>
    <n v="0"/>
    <n v="0"/>
    <n v="0"/>
    <x v="0"/>
    <x v="0"/>
    <x v="1"/>
    <x v="2"/>
    <x v="1"/>
  </r>
  <r>
    <n v="118"/>
    <x v="0"/>
    <x v="0"/>
    <s v="W"/>
    <n v="325750"/>
    <n v="1068"/>
    <n v="50"/>
    <n v="67"/>
    <x v="0"/>
    <x v="1"/>
    <n v="0"/>
    <n v="1"/>
    <n v="0"/>
    <n v="0"/>
    <n v="0"/>
    <n v="0"/>
    <n v="0"/>
    <n v="3000"/>
    <n v="3000"/>
    <x v="0"/>
    <x v="0"/>
    <x v="1"/>
    <x v="2"/>
    <x v="1"/>
  </r>
  <r>
    <n v="119"/>
    <x v="0"/>
    <x v="0"/>
    <s v="W"/>
    <n v="300520"/>
    <n v="894"/>
    <n v="37"/>
    <n v="37"/>
    <x v="0"/>
    <x v="0"/>
    <n v="0"/>
    <n v="0"/>
    <n v="0"/>
    <n v="0"/>
    <n v="0"/>
    <n v="0"/>
    <n v="0"/>
    <n v="0"/>
    <n v="0"/>
    <x v="0"/>
    <x v="0"/>
    <x v="1"/>
    <x v="2"/>
    <x v="1"/>
  </r>
  <r>
    <n v="120"/>
    <x v="0"/>
    <x v="0"/>
    <s v="W"/>
    <n v="465730"/>
    <n v="1325"/>
    <n v="-7"/>
    <n v="-12"/>
    <x v="0"/>
    <x v="1"/>
    <n v="0"/>
    <n v="1"/>
    <n v="0"/>
    <n v="0"/>
    <n v="0"/>
    <n v="0"/>
    <n v="0"/>
    <n v="4000"/>
    <n v="4000"/>
    <x v="0"/>
    <x v="0"/>
    <x v="1"/>
    <x v="2"/>
    <x v="1"/>
  </r>
  <r>
    <n v="121"/>
    <x v="0"/>
    <x v="0"/>
    <s v="W"/>
    <n v="336600"/>
    <n v="984"/>
    <n v="-32"/>
    <n v="-34"/>
    <x v="0"/>
    <x v="1"/>
    <n v="0"/>
    <n v="1"/>
    <n v="0"/>
    <n v="0"/>
    <n v="0"/>
    <n v="0"/>
    <n v="0"/>
    <n v="4000"/>
    <n v="4000"/>
    <x v="0"/>
    <x v="0"/>
    <x v="1"/>
    <x v="2"/>
    <x v="1"/>
  </r>
  <r>
    <n v="122"/>
    <x v="0"/>
    <x v="0"/>
    <s v="N"/>
    <n v="112300"/>
    <n v="263"/>
    <n v="-55"/>
    <n v="-65"/>
    <x v="0"/>
    <x v="0"/>
    <n v="0"/>
    <n v="0"/>
    <n v="0"/>
    <n v="0"/>
    <n v="0"/>
    <n v="0"/>
    <n v="0"/>
    <n v="0"/>
    <n v="0"/>
    <x v="0"/>
    <x v="0"/>
    <x v="0"/>
    <x v="2"/>
    <x v="0"/>
  </r>
  <r>
    <n v="123"/>
    <x v="0"/>
    <x v="0"/>
    <s v="W"/>
    <n v="951410"/>
    <n v="1332"/>
    <n v="98"/>
    <n v="-7"/>
    <x v="0"/>
    <x v="0"/>
    <n v="0"/>
    <n v="0"/>
    <n v="0"/>
    <n v="0"/>
    <n v="0"/>
    <n v="0"/>
    <n v="0"/>
    <n v="0"/>
    <n v="0"/>
    <x v="0"/>
    <x v="0"/>
    <x v="1"/>
    <x v="2"/>
    <x v="1"/>
  </r>
  <r>
    <n v="124"/>
    <x v="0"/>
    <x v="0"/>
    <s v="N"/>
    <n v="203850"/>
    <n v="476"/>
    <n v="-14"/>
    <n v="-32"/>
    <x v="0"/>
    <x v="1"/>
    <n v="0"/>
    <n v="1"/>
    <n v="0"/>
    <n v="0"/>
    <n v="0"/>
    <n v="0"/>
    <n v="0"/>
    <n v="3000"/>
    <n v="3000"/>
    <x v="0"/>
    <x v="0"/>
    <x v="0"/>
    <x v="2"/>
    <x v="1"/>
  </r>
  <r>
    <n v="125"/>
    <x v="0"/>
    <x v="0"/>
    <s v="W"/>
    <n v="715390"/>
    <n v="1923"/>
    <n v="36"/>
    <n v="36"/>
    <x v="0"/>
    <x v="1"/>
    <n v="1"/>
    <n v="0"/>
    <n v="0"/>
    <n v="0"/>
    <n v="0"/>
    <n v="0"/>
    <n v="0"/>
    <n v="300"/>
    <n v="300"/>
    <x v="0"/>
    <x v="0"/>
    <x v="1"/>
    <x v="2"/>
    <x v="1"/>
  </r>
  <r>
    <n v="126"/>
    <x v="0"/>
    <x v="0"/>
    <s v="N"/>
    <n v="160350"/>
    <n v="828"/>
    <n v="-31"/>
    <n v="23"/>
    <x v="0"/>
    <x v="0"/>
    <n v="0"/>
    <n v="0"/>
    <n v="0"/>
    <n v="0"/>
    <n v="0"/>
    <n v="0"/>
    <n v="0"/>
    <n v="0"/>
    <n v="0"/>
    <x v="0"/>
    <x v="0"/>
    <x v="0"/>
    <x v="2"/>
    <x v="1"/>
  </r>
  <r>
    <n v="127"/>
    <x v="0"/>
    <x v="0"/>
    <s v="N"/>
    <n v="76150"/>
    <n v="260"/>
    <n v="-52"/>
    <n v="-50"/>
    <x v="0"/>
    <x v="1"/>
    <n v="0"/>
    <n v="1"/>
    <n v="0"/>
    <n v="0"/>
    <n v="0"/>
    <n v="0"/>
    <n v="0"/>
    <n v="4000"/>
    <n v="4000"/>
    <x v="0"/>
    <x v="0"/>
    <x v="0"/>
    <x v="0"/>
    <x v="0"/>
  </r>
  <r>
    <n v="128"/>
    <x v="0"/>
    <x v="0"/>
    <s v="W"/>
    <n v="373180"/>
    <n v="1246"/>
    <n v="-32"/>
    <n v="-14"/>
    <x v="0"/>
    <x v="1"/>
    <n v="0"/>
    <n v="1"/>
    <n v="0"/>
    <n v="0"/>
    <n v="0"/>
    <n v="0"/>
    <n v="0"/>
    <n v="2000"/>
    <n v="2000"/>
    <x v="0"/>
    <x v="0"/>
    <x v="1"/>
    <x v="2"/>
    <x v="1"/>
  </r>
  <r>
    <n v="129"/>
    <x v="0"/>
    <x v="0"/>
    <s v="W"/>
    <n v="481630"/>
    <n v="1678"/>
    <n v="-10"/>
    <n v="17"/>
    <x v="0"/>
    <x v="0"/>
    <n v="0"/>
    <n v="0"/>
    <n v="0"/>
    <n v="0"/>
    <n v="0"/>
    <n v="0"/>
    <n v="0"/>
    <n v="0"/>
    <n v="0"/>
    <x v="0"/>
    <x v="0"/>
    <x v="1"/>
    <x v="2"/>
    <x v="1"/>
  </r>
  <r>
    <n v="130"/>
    <x v="0"/>
    <x v="0"/>
    <s v="W"/>
    <n v="620720"/>
    <n v="1789"/>
    <n v="17"/>
    <n v="23"/>
    <x v="0"/>
    <x v="0"/>
    <n v="0"/>
    <n v="0"/>
    <n v="0"/>
    <n v="0"/>
    <n v="0"/>
    <n v="0"/>
    <n v="0"/>
    <n v="0"/>
    <n v="0"/>
    <x v="0"/>
    <x v="0"/>
    <x v="1"/>
    <x v="2"/>
    <x v="1"/>
  </r>
  <r>
    <n v="131"/>
    <x v="0"/>
    <x v="0"/>
    <s v="N"/>
    <n v="99160"/>
    <n v="514"/>
    <n v="-34"/>
    <n v="4"/>
    <x v="0"/>
    <x v="1"/>
    <n v="0"/>
    <n v="1"/>
    <n v="0"/>
    <n v="0"/>
    <n v="0"/>
    <n v="0"/>
    <n v="0"/>
    <n v="4000"/>
    <n v="4000"/>
    <x v="0"/>
    <x v="0"/>
    <x v="0"/>
    <x v="0"/>
    <x v="0"/>
  </r>
  <r>
    <n v="132"/>
    <x v="0"/>
    <x v="0"/>
    <s v="N"/>
    <n v="280830"/>
    <n v="689"/>
    <n v="94"/>
    <n v="39"/>
    <x v="0"/>
    <x v="1"/>
    <n v="0"/>
    <n v="1"/>
    <n v="0"/>
    <n v="0"/>
    <n v="0"/>
    <n v="0"/>
    <n v="0"/>
    <n v="3000"/>
    <n v="3000"/>
    <x v="0"/>
    <x v="0"/>
    <x v="0"/>
    <x v="2"/>
    <x v="1"/>
  </r>
  <r>
    <n v="133"/>
    <x v="0"/>
    <x v="0"/>
    <s v="W"/>
    <n v="557230"/>
    <n v="1642"/>
    <n v="2"/>
    <n v="11"/>
    <x v="0"/>
    <x v="0"/>
    <n v="0"/>
    <n v="0"/>
    <n v="0"/>
    <n v="0"/>
    <n v="0"/>
    <n v="0"/>
    <n v="0"/>
    <n v="0"/>
    <n v="0"/>
    <x v="0"/>
    <x v="0"/>
    <x v="1"/>
    <x v="2"/>
    <x v="1"/>
  </r>
  <r>
    <n v="134"/>
    <x v="0"/>
    <x v="0"/>
    <s v="N"/>
    <n v="65800"/>
    <n v="259"/>
    <n v="-58"/>
    <n v="-49"/>
    <x v="0"/>
    <x v="1"/>
    <n v="0"/>
    <n v="1"/>
    <n v="0"/>
    <n v="0"/>
    <n v="0"/>
    <n v="0"/>
    <n v="0"/>
    <n v="4000"/>
    <n v="4000"/>
    <x v="0"/>
    <x v="0"/>
    <x v="0"/>
    <x v="0"/>
    <x v="0"/>
  </r>
  <r>
    <n v="135"/>
    <x v="0"/>
    <x v="0"/>
    <s v="N"/>
    <n v="270490"/>
    <n v="865"/>
    <n v="83"/>
    <n v="78"/>
    <x v="0"/>
    <x v="0"/>
    <n v="0"/>
    <n v="0"/>
    <n v="0"/>
    <n v="0"/>
    <n v="0"/>
    <n v="0"/>
    <n v="0"/>
    <n v="0"/>
    <n v="0"/>
    <x v="0"/>
    <x v="0"/>
    <x v="0"/>
    <x v="2"/>
    <x v="1"/>
  </r>
  <r>
    <n v="136"/>
    <x v="0"/>
    <x v="0"/>
    <s v="W"/>
    <n v="307540"/>
    <n v="1020"/>
    <n v="-44"/>
    <n v="-32"/>
    <x v="0"/>
    <x v="0"/>
    <n v="0"/>
    <n v="0"/>
    <n v="0"/>
    <n v="0"/>
    <n v="0"/>
    <n v="0"/>
    <n v="0"/>
    <n v="0"/>
    <n v="0"/>
    <x v="0"/>
    <x v="0"/>
    <x v="1"/>
    <x v="2"/>
    <x v="1"/>
  </r>
  <r>
    <n v="137"/>
    <x v="0"/>
    <x v="0"/>
    <s v="N"/>
    <n v="51230"/>
    <n v="222"/>
    <n v="-68"/>
    <n v="-57"/>
    <x v="0"/>
    <x v="1"/>
    <n v="0"/>
    <n v="1"/>
    <n v="0"/>
    <n v="0"/>
    <n v="0"/>
    <n v="0"/>
    <n v="0"/>
    <n v="3000"/>
    <n v="3000"/>
    <x v="0"/>
    <x v="0"/>
    <x v="0"/>
    <x v="0"/>
    <x v="0"/>
  </r>
  <r>
    <n v="138"/>
    <x v="0"/>
    <x v="0"/>
    <s v="W"/>
    <n v="314100"/>
    <n v="904"/>
    <n v="-41"/>
    <n v="-37"/>
    <x v="0"/>
    <x v="0"/>
    <n v="0"/>
    <n v="0"/>
    <n v="0"/>
    <n v="0"/>
    <n v="0"/>
    <n v="0"/>
    <n v="0"/>
    <n v="0"/>
    <n v="0"/>
    <x v="0"/>
    <x v="0"/>
    <x v="1"/>
    <x v="2"/>
    <x v="1"/>
  </r>
  <r>
    <n v="139"/>
    <x v="0"/>
    <x v="0"/>
    <s v="W"/>
    <n v="368340"/>
    <n v="1325"/>
    <n v="-28"/>
    <n v="-4"/>
    <x v="0"/>
    <x v="1"/>
    <n v="0"/>
    <n v="1"/>
    <n v="0"/>
    <n v="0"/>
    <n v="0"/>
    <n v="0"/>
    <n v="0"/>
    <n v="2000"/>
    <n v="2000"/>
    <x v="0"/>
    <x v="0"/>
    <x v="1"/>
    <x v="2"/>
    <x v="1"/>
  </r>
  <r>
    <n v="140"/>
    <x v="0"/>
    <x v="0"/>
    <s v="N"/>
    <n v="114540"/>
    <n v="488"/>
    <n v="-23"/>
    <n v="0"/>
    <x v="0"/>
    <x v="2"/>
    <n v="0"/>
    <n v="2"/>
    <n v="0"/>
    <n v="0"/>
    <n v="0"/>
    <n v="0"/>
    <n v="0"/>
    <n v="8000"/>
    <n v="5000"/>
    <x v="0"/>
    <x v="0"/>
    <x v="0"/>
    <x v="2"/>
    <x v="0"/>
  </r>
  <r>
    <n v="141"/>
    <x v="0"/>
    <x v="0"/>
    <s v="W"/>
    <n v="316200"/>
    <n v="1089"/>
    <n v="-37"/>
    <n v="-21"/>
    <x v="0"/>
    <x v="3"/>
    <n v="1"/>
    <n v="2"/>
    <n v="0"/>
    <n v="0"/>
    <n v="0"/>
    <n v="0"/>
    <n v="0"/>
    <n v="2700"/>
    <n v="1000"/>
    <x v="0"/>
    <x v="0"/>
    <x v="1"/>
    <x v="2"/>
    <x v="1"/>
  </r>
  <r>
    <n v="142"/>
    <x v="0"/>
    <x v="0"/>
    <s v="N"/>
    <n v="209760"/>
    <n v="919"/>
    <n v="46"/>
    <n v="89"/>
    <x v="0"/>
    <x v="0"/>
    <n v="0"/>
    <n v="0"/>
    <n v="0"/>
    <n v="0"/>
    <n v="0"/>
    <n v="0"/>
    <n v="0"/>
    <n v="0"/>
    <n v="0"/>
    <x v="0"/>
    <x v="0"/>
    <x v="0"/>
    <x v="2"/>
    <x v="1"/>
  </r>
  <r>
    <n v="143"/>
    <x v="0"/>
    <x v="0"/>
    <s v="N"/>
    <n v="46300"/>
    <n v="197"/>
    <n v="-69"/>
    <n v="-63"/>
    <x v="0"/>
    <x v="1"/>
    <n v="0"/>
    <n v="1"/>
    <n v="0"/>
    <n v="0"/>
    <n v="0"/>
    <n v="0"/>
    <n v="0"/>
    <n v="5000"/>
    <n v="5000"/>
    <x v="0"/>
    <x v="0"/>
    <x v="0"/>
    <x v="0"/>
    <x v="0"/>
  </r>
  <r>
    <n v="144"/>
    <x v="0"/>
    <x v="0"/>
    <s v="W"/>
    <n v="372380"/>
    <n v="1264"/>
    <n v="-26"/>
    <n v="-9"/>
    <x v="0"/>
    <x v="0"/>
    <n v="0"/>
    <n v="0"/>
    <n v="0"/>
    <n v="0"/>
    <n v="0"/>
    <n v="0"/>
    <n v="0"/>
    <n v="0"/>
    <n v="0"/>
    <x v="0"/>
    <x v="0"/>
    <x v="1"/>
    <x v="2"/>
    <x v="1"/>
  </r>
  <r>
    <n v="145"/>
    <x v="0"/>
    <x v="0"/>
    <s v="N"/>
    <n v="47830"/>
    <n v="264"/>
    <n v="-65"/>
    <n v="-47"/>
    <x v="0"/>
    <x v="1"/>
    <n v="0"/>
    <n v="1"/>
    <n v="0"/>
    <n v="0"/>
    <n v="0"/>
    <n v="0"/>
    <n v="0"/>
    <n v="3000"/>
    <n v="3000"/>
    <x v="0"/>
    <x v="0"/>
    <x v="0"/>
    <x v="0"/>
    <x v="0"/>
  </r>
  <r>
    <n v="146"/>
    <x v="0"/>
    <x v="0"/>
    <s v="W"/>
    <n v="396530"/>
    <n v="1209"/>
    <n v="-10"/>
    <n v="-13"/>
    <x v="0"/>
    <x v="1"/>
    <n v="0"/>
    <n v="1"/>
    <n v="0"/>
    <n v="0"/>
    <n v="0"/>
    <n v="0"/>
    <n v="0"/>
    <n v="6000"/>
    <n v="6000"/>
    <x v="0"/>
    <x v="0"/>
    <x v="1"/>
    <x v="2"/>
    <x v="1"/>
  </r>
  <r>
    <n v="147"/>
    <x v="0"/>
    <x v="0"/>
    <s v="N"/>
    <n v="87740"/>
    <n v="357"/>
    <n v="-30"/>
    <n v="-24"/>
    <x v="0"/>
    <x v="0"/>
    <n v="0"/>
    <n v="0"/>
    <n v="0"/>
    <n v="0"/>
    <n v="0"/>
    <n v="0"/>
    <n v="0"/>
    <n v="0"/>
    <n v="0"/>
    <x v="0"/>
    <x v="0"/>
    <x v="0"/>
    <x v="0"/>
    <x v="0"/>
  </r>
  <r>
    <n v="148"/>
    <x v="0"/>
    <x v="0"/>
    <s v="N"/>
    <n v="74570"/>
    <n v="308"/>
    <n v="-41"/>
    <n v="-35"/>
    <x v="0"/>
    <x v="2"/>
    <n v="0"/>
    <n v="2"/>
    <n v="0"/>
    <n v="0"/>
    <n v="0"/>
    <n v="0"/>
    <n v="0"/>
    <n v="4000"/>
    <n v="3000"/>
    <x v="0"/>
    <x v="0"/>
    <x v="0"/>
    <x v="0"/>
    <x v="0"/>
  </r>
  <r>
    <n v="149"/>
    <x v="0"/>
    <x v="0"/>
    <s v="N"/>
    <n v="37490"/>
    <n v="224"/>
    <n v="-70"/>
    <n v="-51"/>
    <x v="0"/>
    <x v="0"/>
    <n v="0"/>
    <n v="0"/>
    <n v="0"/>
    <n v="0"/>
    <n v="0"/>
    <n v="0"/>
    <n v="0"/>
    <n v="0"/>
    <n v="0"/>
    <x v="0"/>
    <x v="0"/>
    <x v="0"/>
    <x v="0"/>
    <x v="0"/>
  </r>
  <r>
    <n v="150"/>
    <x v="0"/>
    <x v="0"/>
    <s v="W"/>
    <n v="303610"/>
    <n v="1034"/>
    <n v="-26"/>
    <n v="-21"/>
    <x v="0"/>
    <x v="0"/>
    <n v="0"/>
    <n v="0"/>
    <n v="0"/>
    <n v="0"/>
    <n v="0"/>
    <n v="0"/>
    <n v="0"/>
    <n v="0"/>
    <n v="0"/>
    <x v="0"/>
    <x v="0"/>
    <x v="1"/>
    <x v="2"/>
    <x v="1"/>
  </r>
  <r>
    <n v="151"/>
    <x v="0"/>
    <x v="0"/>
    <s v="W"/>
    <n v="278230"/>
    <n v="1060"/>
    <n v="-31"/>
    <n v="-18"/>
    <x v="0"/>
    <x v="1"/>
    <n v="1"/>
    <n v="0"/>
    <n v="0"/>
    <n v="0"/>
    <n v="0"/>
    <n v="0"/>
    <n v="0"/>
    <n v="900"/>
    <n v="900"/>
    <x v="0"/>
    <x v="0"/>
    <x v="1"/>
    <x v="2"/>
    <x v="1"/>
  </r>
  <r>
    <n v="152"/>
    <x v="0"/>
    <x v="0"/>
    <s v="N"/>
    <n v="64930"/>
    <n v="273"/>
    <n v="-35"/>
    <n v="-33"/>
    <x v="0"/>
    <x v="1"/>
    <n v="0"/>
    <n v="1"/>
    <n v="0"/>
    <n v="0"/>
    <n v="0"/>
    <n v="0"/>
    <n v="0"/>
    <n v="5000"/>
    <n v="5000"/>
    <x v="0"/>
    <x v="0"/>
    <x v="0"/>
    <x v="0"/>
    <x v="0"/>
  </r>
  <r>
    <n v="153"/>
    <x v="0"/>
    <x v="0"/>
    <s v="W"/>
    <n v="498960"/>
    <n v="1447"/>
    <n v="30"/>
    <n v="17"/>
    <x v="0"/>
    <x v="1"/>
    <n v="1"/>
    <n v="0"/>
    <n v="0"/>
    <n v="0"/>
    <n v="0"/>
    <n v="0"/>
    <n v="0"/>
    <n v="900"/>
    <n v="900"/>
    <x v="0"/>
    <x v="0"/>
    <x v="1"/>
    <x v="2"/>
    <x v="1"/>
  </r>
  <r>
    <n v="154"/>
    <x v="0"/>
    <x v="0"/>
    <s v="W"/>
    <n v="443740"/>
    <n v="1321"/>
    <n v="20"/>
    <n v="10"/>
    <x v="0"/>
    <x v="0"/>
    <n v="0"/>
    <n v="0"/>
    <n v="0"/>
    <n v="0"/>
    <n v="0"/>
    <n v="0"/>
    <n v="0"/>
    <n v="0"/>
    <n v="0"/>
    <x v="0"/>
    <x v="0"/>
    <x v="1"/>
    <x v="2"/>
    <x v="1"/>
  </r>
  <r>
    <n v="155"/>
    <x v="0"/>
    <x v="0"/>
    <s v="N"/>
    <n v="39620"/>
    <n v="195"/>
    <n v="-61"/>
    <n v="-53"/>
    <x v="0"/>
    <x v="1"/>
    <n v="0"/>
    <n v="1"/>
    <n v="0"/>
    <n v="0"/>
    <n v="0"/>
    <n v="0"/>
    <n v="0"/>
    <n v="4000"/>
    <n v="4000"/>
    <x v="0"/>
    <x v="0"/>
    <x v="0"/>
    <x v="0"/>
    <x v="0"/>
  </r>
  <r>
    <n v="156"/>
    <x v="0"/>
    <x v="0"/>
    <s v="W"/>
    <n v="788230"/>
    <n v="1484"/>
    <n v="-1"/>
    <n v="-1"/>
    <x v="0"/>
    <x v="0"/>
    <n v="0"/>
    <n v="0"/>
    <n v="0"/>
    <n v="0"/>
    <n v="0"/>
    <n v="0"/>
    <n v="0"/>
    <n v="0"/>
    <n v="0"/>
    <x v="0"/>
    <x v="0"/>
    <x v="1"/>
    <x v="2"/>
    <x v="1"/>
  </r>
  <r>
    <n v="157"/>
    <x v="0"/>
    <x v="0"/>
    <s v="N"/>
    <n v="119460"/>
    <n v="269"/>
    <n v="-70"/>
    <n v="-64"/>
    <x v="0"/>
    <x v="0"/>
    <n v="0"/>
    <n v="0"/>
    <n v="0"/>
    <n v="0"/>
    <n v="0"/>
    <n v="0"/>
    <n v="0"/>
    <n v="0"/>
    <n v="0"/>
    <x v="0"/>
    <x v="0"/>
    <x v="0"/>
    <x v="2"/>
    <x v="1"/>
  </r>
  <r>
    <n v="158"/>
    <x v="0"/>
    <x v="0"/>
    <s v="N"/>
    <n v="65100"/>
    <n v="172"/>
    <n v="-82"/>
    <n v="-75"/>
    <x v="0"/>
    <x v="1"/>
    <n v="0"/>
    <n v="1"/>
    <n v="0"/>
    <n v="0"/>
    <n v="0"/>
    <n v="0"/>
    <n v="0"/>
    <n v="3000"/>
    <n v="3000"/>
    <x v="0"/>
    <x v="0"/>
    <x v="0"/>
    <x v="0"/>
    <x v="0"/>
  </r>
  <r>
    <n v="159"/>
    <x v="0"/>
    <x v="1"/>
    <s v="W"/>
    <n v="1049580"/>
    <n v="1807"/>
    <n v="31"/>
    <n v="21"/>
    <x v="0"/>
    <x v="0"/>
    <n v="0"/>
    <n v="0"/>
    <n v="0"/>
    <n v="0"/>
    <n v="0"/>
    <n v="0"/>
    <n v="0"/>
    <n v="0"/>
    <n v="0"/>
    <x v="0"/>
    <x v="0"/>
    <x v="1"/>
    <x v="3"/>
    <x v="1"/>
  </r>
  <r>
    <n v="160"/>
    <x v="0"/>
    <x v="1"/>
    <s v="W"/>
    <n v="715540"/>
    <n v="1471"/>
    <n v="-13"/>
    <n v="-4"/>
    <x v="0"/>
    <x v="2"/>
    <n v="2"/>
    <n v="0"/>
    <n v="0"/>
    <n v="0"/>
    <n v="0"/>
    <n v="0"/>
    <n v="0"/>
    <n v="900"/>
    <n v="600"/>
    <x v="1"/>
    <x v="1"/>
    <x v="1"/>
    <x v="2"/>
    <x v="1"/>
  </r>
  <r>
    <n v="161"/>
    <x v="0"/>
    <x v="1"/>
    <s v="N"/>
    <n v="92520"/>
    <n v="169"/>
    <n v="-73"/>
    <n v="-74"/>
    <x v="0"/>
    <x v="1"/>
    <n v="0"/>
    <n v="0"/>
    <n v="1"/>
    <n v="0"/>
    <n v="0"/>
    <n v="0"/>
    <n v="0"/>
    <n v="10000"/>
    <n v="10000"/>
    <x v="1"/>
    <x v="1"/>
    <x v="0"/>
    <x v="0"/>
    <x v="0"/>
  </r>
  <r>
    <n v="162"/>
    <x v="1"/>
    <x v="2"/>
    <s v="W"/>
    <n v="974430"/>
    <n v="1828"/>
    <n v="20"/>
    <n v="20"/>
    <x v="0"/>
    <x v="2"/>
    <n v="1"/>
    <n v="0"/>
    <n v="1"/>
    <n v="0"/>
    <n v="0"/>
    <n v="0"/>
    <n v="0"/>
    <n v="20600"/>
    <n v="20000"/>
    <x v="0"/>
    <x v="0"/>
    <x v="1"/>
    <x v="2"/>
    <x v="1"/>
  </r>
  <r>
    <n v="163"/>
    <x v="1"/>
    <x v="2"/>
    <s v="W"/>
    <n v="696470"/>
    <n v="1368"/>
    <n v="-16"/>
    <n v="-12"/>
    <x v="0"/>
    <x v="2"/>
    <n v="1"/>
    <n v="1"/>
    <n v="0"/>
    <n v="0"/>
    <n v="0"/>
    <n v="0"/>
    <n v="0"/>
    <n v="2400"/>
    <n v="2000"/>
    <x v="0"/>
    <x v="0"/>
    <x v="1"/>
    <x v="2"/>
    <x v="1"/>
  </r>
  <r>
    <n v="164"/>
    <x v="1"/>
    <x v="2"/>
    <s v="N"/>
    <n v="61620"/>
    <n v="195"/>
    <n v="-33"/>
    <n v="-4"/>
    <x v="0"/>
    <x v="1"/>
    <n v="0"/>
    <n v="1"/>
    <n v="0"/>
    <n v="0"/>
    <n v="0"/>
    <n v="0"/>
    <n v="0"/>
    <n v="3000"/>
    <n v="3000"/>
    <x v="0"/>
    <x v="0"/>
    <x v="0"/>
    <x v="0"/>
    <x v="0"/>
  </r>
  <r>
    <n v="165"/>
    <x v="0"/>
    <x v="2"/>
    <s v="W"/>
    <n v="1124850"/>
    <n v="2153"/>
    <n v="37"/>
    <n v="39"/>
    <x v="0"/>
    <x v="3"/>
    <n v="1"/>
    <n v="2"/>
    <n v="0"/>
    <n v="0"/>
    <n v="0"/>
    <n v="0"/>
    <n v="0"/>
    <n v="3900"/>
    <n v="2000"/>
    <x v="0"/>
    <x v="0"/>
    <x v="1"/>
    <x v="3"/>
    <x v="1"/>
  </r>
  <r>
    <n v="166"/>
    <x v="0"/>
    <x v="1"/>
    <s v="W"/>
    <n v="640820"/>
    <n v="1235"/>
    <n v="-25"/>
    <n v="-23"/>
    <x v="0"/>
    <x v="1"/>
    <n v="0"/>
    <n v="1"/>
    <n v="0"/>
    <n v="0"/>
    <n v="0"/>
    <n v="0"/>
    <n v="0"/>
    <n v="5000"/>
    <n v="5000"/>
    <x v="0"/>
    <x v="0"/>
    <x v="1"/>
    <x v="2"/>
    <x v="1"/>
  </r>
  <r>
    <n v="167"/>
    <x v="0"/>
    <x v="1"/>
    <s v="W"/>
    <n v="1096910"/>
    <n v="2037"/>
    <n v="31"/>
    <n v="29"/>
    <x v="0"/>
    <x v="2"/>
    <n v="1"/>
    <n v="1"/>
    <n v="0"/>
    <n v="0"/>
    <n v="0"/>
    <n v="0"/>
    <n v="0"/>
    <n v="3700"/>
    <n v="3000"/>
    <x v="0"/>
    <x v="0"/>
    <x v="1"/>
    <x v="3"/>
    <x v="1"/>
  </r>
  <r>
    <n v="168"/>
    <x v="0"/>
    <x v="1"/>
    <s v="N"/>
    <n v="155540"/>
    <n v="363"/>
    <n v="74"/>
    <n v="79"/>
    <x v="0"/>
    <x v="0"/>
    <n v="0"/>
    <n v="0"/>
    <n v="0"/>
    <n v="0"/>
    <n v="0"/>
    <n v="0"/>
    <n v="0"/>
    <n v="0"/>
    <n v="0"/>
    <x v="0"/>
    <x v="0"/>
    <x v="0"/>
    <x v="2"/>
    <x v="1"/>
  </r>
  <r>
    <n v="169"/>
    <x v="0"/>
    <x v="1"/>
    <s v="W"/>
    <n v="722590"/>
    <n v="2125"/>
    <n v="-17"/>
    <n v="30"/>
    <x v="0"/>
    <x v="2"/>
    <n v="0"/>
    <n v="2"/>
    <n v="0"/>
    <n v="0"/>
    <n v="0"/>
    <n v="0"/>
    <n v="0"/>
    <n v="5000"/>
    <n v="4000"/>
    <x v="0"/>
    <x v="0"/>
    <x v="1"/>
    <x v="2"/>
    <x v="1"/>
  </r>
  <r>
    <n v="170"/>
    <x v="0"/>
    <x v="1"/>
    <s v="W"/>
    <n v="582700"/>
    <n v="1232"/>
    <n v="-32"/>
    <n v="-28"/>
    <x v="0"/>
    <x v="1"/>
    <n v="0"/>
    <n v="1"/>
    <n v="0"/>
    <n v="0"/>
    <n v="0"/>
    <n v="0"/>
    <n v="0"/>
    <n v="7000"/>
    <n v="7000"/>
    <x v="0"/>
    <x v="0"/>
    <x v="1"/>
    <x v="2"/>
    <x v="1"/>
  </r>
  <r>
    <n v="171"/>
    <x v="0"/>
    <x v="1"/>
    <s v="W"/>
    <n v="691310"/>
    <n v="1416"/>
    <n v="-14"/>
    <n v="-6"/>
    <x v="0"/>
    <x v="0"/>
    <n v="0"/>
    <n v="0"/>
    <n v="0"/>
    <n v="0"/>
    <n v="0"/>
    <n v="0"/>
    <n v="0"/>
    <n v="0"/>
    <n v="0"/>
    <x v="0"/>
    <x v="0"/>
    <x v="1"/>
    <x v="2"/>
    <x v="1"/>
  </r>
  <r>
    <n v="172"/>
    <x v="0"/>
    <x v="1"/>
    <s v="W"/>
    <n v="698810"/>
    <n v="1279"/>
    <n v="-11"/>
    <n v="-14"/>
    <x v="0"/>
    <x v="3"/>
    <n v="0"/>
    <n v="3"/>
    <n v="0"/>
    <n v="0"/>
    <n v="0"/>
    <n v="0"/>
    <n v="0"/>
    <n v="8000"/>
    <n v="4000"/>
    <x v="0"/>
    <x v="0"/>
    <x v="1"/>
    <x v="2"/>
    <x v="1"/>
  </r>
  <r>
    <n v="173"/>
    <x v="0"/>
    <x v="1"/>
    <s v="N"/>
    <n v="94110"/>
    <n v="314"/>
    <n v="-76"/>
    <n v="-58"/>
    <x v="0"/>
    <x v="0"/>
    <n v="0"/>
    <n v="0"/>
    <n v="0"/>
    <n v="0"/>
    <n v="0"/>
    <n v="0"/>
    <n v="0"/>
    <n v="0"/>
    <n v="0"/>
    <x v="0"/>
    <x v="0"/>
    <x v="0"/>
    <x v="0"/>
    <x v="0"/>
  </r>
  <r>
    <n v="174"/>
    <x v="0"/>
    <x v="0"/>
    <s v="W"/>
    <n v="716630"/>
    <n v="1677"/>
    <n v="-8"/>
    <n v="14"/>
    <x v="0"/>
    <x v="2"/>
    <n v="2"/>
    <n v="0"/>
    <n v="0"/>
    <n v="0"/>
    <n v="0"/>
    <n v="0"/>
    <n v="0"/>
    <n v="700"/>
    <n v="500"/>
    <x v="0"/>
    <x v="0"/>
    <x v="1"/>
    <x v="2"/>
    <x v="1"/>
  </r>
  <r>
    <n v="175"/>
    <x v="0"/>
    <x v="0"/>
    <s v="W"/>
    <n v="641120"/>
    <n v="1571"/>
    <n v="-17"/>
    <n v="6"/>
    <x v="0"/>
    <x v="1"/>
    <n v="1"/>
    <n v="0"/>
    <n v="0"/>
    <n v="0"/>
    <n v="0"/>
    <n v="0"/>
    <n v="0"/>
    <n v="800"/>
    <n v="800"/>
    <x v="0"/>
    <x v="0"/>
    <x v="1"/>
    <x v="2"/>
    <x v="1"/>
  </r>
  <r>
    <n v="176"/>
    <x v="0"/>
    <x v="0"/>
    <s v="N"/>
    <n v="384230"/>
    <n v="751"/>
    <n v="4"/>
    <n v="6"/>
    <x v="0"/>
    <x v="3"/>
    <n v="1"/>
    <n v="2"/>
    <n v="0"/>
    <n v="0"/>
    <n v="0"/>
    <n v="0"/>
    <n v="0"/>
    <n v="9700"/>
    <n v="6000"/>
    <x v="1"/>
    <x v="1"/>
    <x v="0"/>
    <x v="2"/>
    <x v="1"/>
  </r>
  <r>
    <n v="177"/>
    <x v="0"/>
    <x v="0"/>
    <s v="W"/>
    <n v="790830"/>
    <n v="1434"/>
    <n v="5"/>
    <n v="-4"/>
    <x v="0"/>
    <x v="2"/>
    <n v="0"/>
    <n v="1"/>
    <n v="1"/>
    <n v="0"/>
    <n v="0"/>
    <n v="0"/>
    <n v="0"/>
    <n v="13000"/>
    <n v="10000"/>
    <x v="0"/>
    <x v="0"/>
    <x v="1"/>
    <x v="2"/>
    <x v="1"/>
  </r>
  <r>
    <n v="178"/>
    <x v="0"/>
    <x v="1"/>
    <s v="N"/>
    <n v="390180"/>
    <n v="938"/>
    <n v="6"/>
    <n v="33"/>
    <x v="0"/>
    <x v="0"/>
    <n v="0"/>
    <n v="0"/>
    <n v="0"/>
    <n v="0"/>
    <n v="0"/>
    <n v="0"/>
    <n v="0"/>
    <n v="0"/>
    <n v="0"/>
    <x v="0"/>
    <x v="0"/>
    <x v="0"/>
    <x v="2"/>
    <x v="1"/>
  </r>
  <r>
    <n v="179"/>
    <x v="0"/>
    <x v="1"/>
    <s v="N"/>
    <n v="69360"/>
    <n v="257"/>
    <n v="-81"/>
    <n v="-65"/>
    <x v="0"/>
    <x v="1"/>
    <n v="0"/>
    <n v="1"/>
    <n v="0"/>
    <n v="0"/>
    <n v="0"/>
    <n v="0"/>
    <n v="0"/>
    <n v="4000"/>
    <n v="4000"/>
    <x v="0"/>
    <x v="0"/>
    <x v="0"/>
    <x v="0"/>
    <x v="0"/>
  </r>
  <r>
    <n v="180"/>
    <x v="0"/>
    <x v="1"/>
    <s v="W"/>
    <n v="936850"/>
    <n v="1737"/>
    <n v="24"/>
    <n v="17"/>
    <x v="0"/>
    <x v="2"/>
    <n v="1"/>
    <n v="1"/>
    <n v="0"/>
    <n v="0"/>
    <n v="0"/>
    <n v="0"/>
    <n v="0"/>
    <n v="2600"/>
    <n v="2000"/>
    <x v="0"/>
    <x v="0"/>
    <x v="1"/>
    <x v="2"/>
    <x v="1"/>
  </r>
  <r>
    <n v="181"/>
    <x v="0"/>
    <x v="1"/>
    <s v="N"/>
    <n v="432690"/>
    <n v="1012"/>
    <n v="30"/>
    <n v="50"/>
    <x v="0"/>
    <x v="0"/>
    <n v="0"/>
    <n v="0"/>
    <n v="0"/>
    <n v="0"/>
    <n v="0"/>
    <n v="0"/>
    <n v="0"/>
    <n v="0"/>
    <n v="0"/>
    <x v="0"/>
    <x v="0"/>
    <x v="0"/>
    <x v="2"/>
    <x v="1"/>
  </r>
  <r>
    <n v="182"/>
    <x v="0"/>
    <x v="0"/>
    <s v="W"/>
    <n v="441960"/>
    <n v="1006"/>
    <n v="-42"/>
    <n v="-33"/>
    <x v="0"/>
    <x v="3"/>
    <n v="0"/>
    <n v="3"/>
    <n v="0"/>
    <n v="0"/>
    <n v="0"/>
    <n v="0"/>
    <n v="0"/>
    <n v="6000"/>
    <n v="3000"/>
    <x v="0"/>
    <x v="0"/>
    <x v="1"/>
    <x v="2"/>
    <x v="1"/>
  </r>
  <r>
    <n v="183"/>
    <x v="0"/>
    <x v="0"/>
    <s v="W"/>
    <n v="912890"/>
    <n v="2001"/>
    <n v="25"/>
    <n v="37"/>
    <x v="0"/>
    <x v="0"/>
    <n v="0"/>
    <n v="0"/>
    <n v="0"/>
    <n v="0"/>
    <n v="0"/>
    <n v="0"/>
    <n v="0"/>
    <n v="0"/>
    <n v="0"/>
    <x v="0"/>
    <x v="0"/>
    <x v="1"/>
    <x v="2"/>
    <x v="1"/>
  </r>
  <r>
    <n v="184"/>
    <x v="0"/>
    <x v="0"/>
    <s v="W"/>
    <n v="446210"/>
    <n v="1030"/>
    <n v="-40"/>
    <n v="-32"/>
    <x v="0"/>
    <x v="0"/>
    <n v="0"/>
    <n v="0"/>
    <n v="0"/>
    <n v="0"/>
    <n v="0"/>
    <n v="0"/>
    <n v="0"/>
    <n v="0"/>
    <n v="0"/>
    <x v="0"/>
    <x v="0"/>
    <x v="1"/>
    <x v="2"/>
    <x v="1"/>
  </r>
  <r>
    <n v="185"/>
    <x v="0"/>
    <x v="0"/>
    <s v="N"/>
    <n v="84630"/>
    <n v="233"/>
    <n v="-75"/>
    <n v="-67"/>
    <x v="0"/>
    <x v="0"/>
    <n v="0"/>
    <n v="0"/>
    <n v="0"/>
    <n v="0"/>
    <n v="0"/>
    <n v="0"/>
    <n v="0"/>
    <n v="0"/>
    <n v="0"/>
    <x v="0"/>
    <x v="0"/>
    <x v="0"/>
    <x v="0"/>
    <x v="0"/>
  </r>
  <r>
    <n v="186"/>
    <x v="0"/>
    <x v="0"/>
    <s v="N"/>
    <n v="77540"/>
    <n v="174"/>
    <n v="-75"/>
    <n v="-73"/>
    <x v="0"/>
    <x v="0"/>
    <n v="0"/>
    <n v="0"/>
    <n v="0"/>
    <n v="0"/>
    <n v="0"/>
    <n v="0"/>
    <n v="0"/>
    <n v="0"/>
    <n v="0"/>
    <x v="0"/>
    <x v="0"/>
    <x v="0"/>
    <x v="0"/>
    <x v="0"/>
  </r>
  <r>
    <n v="187"/>
    <x v="0"/>
    <x v="0"/>
    <s v="N"/>
    <n v="117040"/>
    <n v="328"/>
    <n v="-57"/>
    <n v="-45"/>
    <x v="0"/>
    <x v="1"/>
    <n v="0"/>
    <n v="1"/>
    <n v="0"/>
    <n v="0"/>
    <n v="0"/>
    <n v="0"/>
    <n v="0"/>
    <n v="2000"/>
    <n v="2000"/>
    <x v="0"/>
    <x v="0"/>
    <x v="0"/>
    <x v="2"/>
    <x v="1"/>
  </r>
  <r>
    <n v="188"/>
    <x v="0"/>
    <x v="0"/>
    <s v="N"/>
    <n v="414700"/>
    <n v="900"/>
    <n v="69"/>
    <n v="63"/>
    <x v="0"/>
    <x v="0"/>
    <n v="0"/>
    <n v="0"/>
    <n v="0"/>
    <n v="0"/>
    <n v="0"/>
    <n v="0"/>
    <n v="0"/>
    <n v="0"/>
    <n v="0"/>
    <x v="0"/>
    <x v="0"/>
    <x v="0"/>
    <x v="2"/>
    <x v="1"/>
  </r>
  <r>
    <n v="189"/>
    <x v="0"/>
    <x v="0"/>
    <s v="W"/>
    <n v="960770"/>
    <n v="2117"/>
    <n v="36"/>
    <n v="44"/>
    <x v="0"/>
    <x v="0"/>
    <n v="0"/>
    <n v="0"/>
    <n v="0"/>
    <n v="0"/>
    <n v="0"/>
    <n v="0"/>
    <n v="0"/>
    <n v="0"/>
    <n v="0"/>
    <x v="0"/>
    <x v="0"/>
    <x v="1"/>
    <x v="2"/>
    <x v="1"/>
  </r>
  <r>
    <n v="190"/>
    <x v="0"/>
    <x v="1"/>
    <s v="W"/>
    <n v="763520"/>
    <n v="2079"/>
    <n v="5"/>
    <n v="36"/>
    <x v="1"/>
    <x v="0"/>
    <n v="0"/>
    <n v="0"/>
    <n v="0"/>
    <n v="0"/>
    <n v="0"/>
    <n v="0"/>
    <n v="0"/>
    <n v="0"/>
    <n v="0"/>
    <x v="0"/>
    <x v="0"/>
    <x v="1"/>
    <x v="2"/>
    <x v="1"/>
  </r>
  <r>
    <n v="191"/>
    <x v="0"/>
    <x v="1"/>
    <s v="W"/>
    <n v="541040"/>
    <n v="1295"/>
    <n v="-26"/>
    <n v="-19"/>
    <x v="1"/>
    <x v="5"/>
    <n v="3"/>
    <n v="1"/>
    <n v="0"/>
    <n v="0"/>
    <n v="0"/>
    <n v="0"/>
    <n v="0"/>
    <n v="4200"/>
    <n v="3000"/>
    <x v="0"/>
    <x v="0"/>
    <x v="1"/>
    <x v="2"/>
    <x v="1"/>
  </r>
  <r>
    <n v="192"/>
    <x v="0"/>
    <x v="1"/>
    <s v="W"/>
    <n v="1127430"/>
    <n v="3031"/>
    <n v="58"/>
    <n v="90"/>
    <x v="0"/>
    <x v="1"/>
    <n v="1"/>
    <n v="0"/>
    <n v="0"/>
    <n v="0"/>
    <n v="0"/>
    <n v="0"/>
    <n v="0"/>
    <n v="300"/>
    <n v="300"/>
    <x v="0"/>
    <x v="0"/>
    <x v="1"/>
    <x v="3"/>
    <x v="1"/>
  </r>
  <r>
    <n v="193"/>
    <x v="0"/>
    <x v="1"/>
    <s v="W"/>
    <n v="664090"/>
    <n v="1824"/>
    <n v="-12"/>
    <n v="5"/>
    <x v="0"/>
    <x v="2"/>
    <n v="2"/>
    <n v="0"/>
    <n v="0"/>
    <n v="0"/>
    <n v="0"/>
    <n v="0"/>
    <n v="0"/>
    <n v="1100"/>
    <n v="600"/>
    <x v="0"/>
    <x v="0"/>
    <x v="1"/>
    <x v="2"/>
    <x v="1"/>
  </r>
  <r>
    <n v="194"/>
    <x v="0"/>
    <x v="0"/>
    <s v="W"/>
    <n v="320150"/>
    <n v="1012"/>
    <n v="-58"/>
    <n v="-42"/>
    <x v="0"/>
    <x v="2"/>
    <n v="0"/>
    <n v="2"/>
    <n v="0"/>
    <n v="0"/>
    <n v="0"/>
    <n v="0"/>
    <n v="0"/>
    <n v="5000"/>
    <n v="3000"/>
    <x v="0"/>
    <x v="0"/>
    <x v="1"/>
    <x v="2"/>
    <x v="1"/>
  </r>
  <r>
    <n v="195"/>
    <x v="0"/>
    <x v="0"/>
    <s v="W"/>
    <n v="768080"/>
    <n v="2124"/>
    <n v="8"/>
    <n v="24"/>
    <x v="0"/>
    <x v="1"/>
    <n v="1"/>
    <n v="0"/>
    <n v="0"/>
    <n v="0"/>
    <n v="0"/>
    <n v="0"/>
    <n v="0"/>
    <n v="300"/>
    <n v="300"/>
    <x v="0"/>
    <x v="0"/>
    <x v="1"/>
    <x v="2"/>
    <x v="1"/>
  </r>
  <r>
    <n v="196"/>
    <x v="0"/>
    <x v="0"/>
    <s v="W"/>
    <n v="474770"/>
    <n v="1512"/>
    <n v="-32"/>
    <n v="-14"/>
    <x v="0"/>
    <x v="0"/>
    <n v="0"/>
    <n v="0"/>
    <n v="0"/>
    <n v="0"/>
    <n v="0"/>
    <n v="0"/>
    <n v="0"/>
    <n v="0"/>
    <n v="0"/>
    <x v="0"/>
    <x v="0"/>
    <x v="1"/>
    <x v="2"/>
    <x v="1"/>
  </r>
  <r>
    <n v="197"/>
    <x v="0"/>
    <x v="0"/>
    <s v="W"/>
    <n v="682910"/>
    <n v="1486"/>
    <n v="-2"/>
    <n v="-18"/>
    <x v="0"/>
    <x v="2"/>
    <n v="0"/>
    <n v="2"/>
    <n v="0"/>
    <n v="0"/>
    <n v="0"/>
    <n v="0"/>
    <n v="0"/>
    <n v="6000"/>
    <n v="4000"/>
    <x v="0"/>
    <x v="0"/>
    <x v="1"/>
    <x v="2"/>
    <x v="1"/>
  </r>
  <r>
    <n v="198"/>
    <x v="0"/>
    <x v="0"/>
    <s v="W"/>
    <n v="1256570"/>
    <n v="3289"/>
    <n v="86"/>
    <n v="88"/>
    <x v="0"/>
    <x v="3"/>
    <n v="2"/>
    <n v="1"/>
    <n v="0"/>
    <n v="0"/>
    <n v="0"/>
    <n v="0"/>
    <n v="0"/>
    <n v="6200"/>
    <n v="5000"/>
    <x v="0"/>
    <x v="0"/>
    <x v="1"/>
    <x v="3"/>
    <x v="1"/>
  </r>
  <r>
    <n v="199"/>
    <x v="0"/>
    <x v="0"/>
    <s v="W"/>
    <n v="576040"/>
    <n v="1541"/>
    <n v="-24"/>
    <n v="-22"/>
    <x v="0"/>
    <x v="1"/>
    <n v="1"/>
    <n v="0"/>
    <n v="0"/>
    <n v="0"/>
    <n v="0"/>
    <n v="0"/>
    <n v="0"/>
    <n v="900"/>
    <n v="900"/>
    <x v="0"/>
    <x v="0"/>
    <x v="1"/>
    <x v="2"/>
    <x v="1"/>
  </r>
  <r>
    <n v="200"/>
    <x v="0"/>
    <x v="0"/>
    <s v="W"/>
    <n v="782750"/>
    <n v="1593"/>
    <n v="9"/>
    <n v="-17"/>
    <x v="0"/>
    <x v="2"/>
    <n v="0"/>
    <n v="2"/>
    <n v="0"/>
    <n v="0"/>
    <n v="0"/>
    <n v="0"/>
    <n v="0"/>
    <n v="6000"/>
    <n v="3000"/>
    <x v="0"/>
    <x v="0"/>
    <x v="1"/>
    <x v="2"/>
    <x v="1"/>
  </r>
  <r>
    <n v="201"/>
    <x v="0"/>
    <x v="0"/>
    <s v="W"/>
    <n v="1371400"/>
    <n v="3040"/>
    <n v="91"/>
    <n v="63"/>
    <x v="0"/>
    <x v="1"/>
    <n v="1"/>
    <n v="0"/>
    <n v="0"/>
    <n v="0"/>
    <n v="0"/>
    <n v="0"/>
    <n v="0"/>
    <n v="300"/>
    <n v="300"/>
    <x v="0"/>
    <x v="0"/>
    <x v="1"/>
    <x v="3"/>
    <x v="1"/>
  </r>
  <r>
    <n v="202"/>
    <x v="0"/>
    <x v="0"/>
    <s v="W"/>
    <n v="891720"/>
    <n v="2037"/>
    <n v="11"/>
    <n v="0"/>
    <x v="0"/>
    <x v="0"/>
    <n v="0"/>
    <n v="0"/>
    <n v="0"/>
    <n v="0"/>
    <n v="0"/>
    <n v="0"/>
    <n v="0"/>
    <n v="0"/>
    <n v="0"/>
    <x v="0"/>
    <x v="0"/>
    <x v="1"/>
    <x v="2"/>
    <x v="1"/>
  </r>
  <r>
    <n v="203"/>
    <x v="0"/>
    <x v="0"/>
    <s v="W"/>
    <n v="1034700"/>
    <n v="1837"/>
    <n v="33"/>
    <n v="-6"/>
    <x v="0"/>
    <x v="1"/>
    <n v="0"/>
    <n v="1"/>
    <n v="0"/>
    <n v="0"/>
    <n v="0"/>
    <n v="0"/>
    <n v="0"/>
    <n v="2000"/>
    <n v="2000"/>
    <x v="1"/>
    <x v="1"/>
    <x v="1"/>
    <x v="3"/>
    <x v="1"/>
  </r>
  <r>
    <n v="204"/>
    <x v="1"/>
    <x v="1"/>
    <s v="W"/>
    <n v="2129020"/>
    <n v="3722"/>
    <n v="161"/>
    <n v="91"/>
    <x v="1"/>
    <x v="2"/>
    <n v="1"/>
    <n v="0"/>
    <n v="1"/>
    <n v="0"/>
    <n v="0"/>
    <n v="0"/>
    <n v="0"/>
    <n v="20600"/>
    <n v="20000"/>
    <x v="0"/>
    <x v="0"/>
    <x v="1"/>
    <x v="3"/>
    <x v="1"/>
  </r>
  <r>
    <n v="205"/>
    <x v="1"/>
    <x v="1"/>
    <s v="W"/>
    <n v="1547010"/>
    <n v="3060"/>
    <n v="55"/>
    <n v="38"/>
    <x v="0"/>
    <x v="3"/>
    <n v="1"/>
    <n v="2"/>
    <n v="0"/>
    <n v="0"/>
    <n v="0"/>
    <n v="0"/>
    <n v="0"/>
    <n v="6500"/>
    <n v="4000"/>
    <x v="0"/>
    <x v="0"/>
    <x v="1"/>
    <x v="3"/>
    <x v="1"/>
  </r>
  <r>
    <n v="206"/>
    <x v="1"/>
    <x v="1"/>
    <s v="W"/>
    <n v="924910"/>
    <n v="1869"/>
    <n v="-14"/>
    <n v="-19"/>
    <x v="0"/>
    <x v="0"/>
    <n v="0"/>
    <n v="0"/>
    <n v="0"/>
    <n v="0"/>
    <n v="0"/>
    <n v="0"/>
    <n v="0"/>
    <n v="0"/>
    <n v="0"/>
    <x v="0"/>
    <x v="0"/>
    <x v="1"/>
    <x v="2"/>
    <x v="1"/>
  </r>
  <r>
    <n v="207"/>
    <x v="0"/>
    <x v="0"/>
    <s v="W"/>
    <n v="1988970"/>
    <n v="3697"/>
    <n v="78"/>
    <n v="57"/>
    <x v="0"/>
    <x v="0"/>
    <n v="0"/>
    <n v="0"/>
    <n v="0"/>
    <n v="0"/>
    <n v="0"/>
    <n v="0"/>
    <n v="0"/>
    <n v="0"/>
    <n v="0"/>
    <x v="0"/>
    <x v="0"/>
    <x v="1"/>
    <x v="3"/>
    <x v="1"/>
  </r>
  <r>
    <n v="208"/>
    <x v="0"/>
    <x v="0"/>
    <s v="N"/>
    <n v="218630"/>
    <n v="645"/>
    <n v="-11"/>
    <n v="14"/>
    <x v="0"/>
    <x v="1"/>
    <n v="0"/>
    <n v="1"/>
    <n v="0"/>
    <n v="0"/>
    <n v="0"/>
    <n v="0"/>
    <n v="0"/>
    <n v="3000"/>
    <n v="3000"/>
    <x v="0"/>
    <x v="0"/>
    <x v="0"/>
    <x v="2"/>
    <x v="1"/>
  </r>
  <r>
    <n v="209"/>
    <x v="0"/>
    <x v="0"/>
    <s v="W"/>
    <n v="1018360"/>
    <n v="2263"/>
    <n v="-19"/>
    <n v="-12"/>
    <x v="0"/>
    <x v="0"/>
    <n v="0"/>
    <n v="0"/>
    <n v="0"/>
    <n v="0"/>
    <n v="0"/>
    <n v="0"/>
    <n v="0"/>
    <n v="0"/>
    <n v="0"/>
    <x v="0"/>
    <x v="0"/>
    <x v="1"/>
    <x v="3"/>
    <x v="1"/>
  </r>
  <r>
    <n v="210"/>
    <x v="0"/>
    <x v="0"/>
    <s v="W"/>
    <n v="1189240"/>
    <n v="2159"/>
    <n v="-3"/>
    <n v="-12"/>
    <x v="0"/>
    <x v="3"/>
    <n v="2"/>
    <n v="1"/>
    <n v="0"/>
    <n v="0"/>
    <n v="0"/>
    <n v="0"/>
    <n v="0"/>
    <n v="5200"/>
    <n v="4000"/>
    <x v="0"/>
    <x v="0"/>
    <x v="1"/>
    <x v="3"/>
    <x v="1"/>
  </r>
  <r>
    <n v="211"/>
    <x v="0"/>
    <x v="0"/>
    <s v="W"/>
    <n v="1582550"/>
    <n v="2545"/>
    <n v="23"/>
    <n v="1"/>
    <x v="0"/>
    <x v="0"/>
    <n v="0"/>
    <n v="0"/>
    <n v="0"/>
    <n v="0"/>
    <n v="0"/>
    <n v="0"/>
    <n v="0"/>
    <n v="0"/>
    <n v="0"/>
    <x v="0"/>
    <x v="0"/>
    <x v="1"/>
    <x v="3"/>
    <x v="1"/>
  </r>
  <r>
    <n v="212"/>
    <x v="0"/>
    <x v="0"/>
    <s v="W"/>
    <n v="927530"/>
    <n v="1777"/>
    <n v="-32"/>
    <n v="-32"/>
    <x v="0"/>
    <x v="1"/>
    <n v="0"/>
    <n v="1"/>
    <n v="0"/>
    <n v="0"/>
    <n v="0"/>
    <n v="0"/>
    <n v="0"/>
    <n v="3000"/>
    <n v="3000"/>
    <x v="0"/>
    <x v="0"/>
    <x v="1"/>
    <x v="2"/>
    <x v="1"/>
  </r>
  <r>
    <n v="213"/>
    <x v="0"/>
    <x v="0"/>
    <s v="W"/>
    <n v="2052510"/>
    <n v="3635"/>
    <n v="55"/>
    <n v="46"/>
    <x v="0"/>
    <x v="1"/>
    <n v="1"/>
    <n v="0"/>
    <n v="0"/>
    <n v="0"/>
    <n v="0"/>
    <n v="0"/>
    <n v="0"/>
    <n v="800"/>
    <n v="800"/>
    <x v="0"/>
    <x v="0"/>
    <x v="1"/>
    <x v="3"/>
    <x v="1"/>
  </r>
  <r>
    <n v="214"/>
    <x v="0"/>
    <x v="0"/>
    <s v="W"/>
    <n v="1260100"/>
    <n v="2519"/>
    <n v="-12"/>
    <n v="-5"/>
    <x v="0"/>
    <x v="1"/>
    <n v="1"/>
    <n v="0"/>
    <n v="0"/>
    <n v="0"/>
    <n v="0"/>
    <n v="0"/>
    <n v="0"/>
    <n v="600"/>
    <n v="600"/>
    <x v="0"/>
    <x v="0"/>
    <x v="1"/>
    <x v="3"/>
    <x v="1"/>
  </r>
  <r>
    <n v="215"/>
    <x v="0"/>
    <x v="0"/>
    <s v="W"/>
    <n v="1062280"/>
    <n v="1982"/>
    <n v="-27"/>
    <n v="-27"/>
    <x v="0"/>
    <x v="2"/>
    <n v="1"/>
    <n v="1"/>
    <n v="0"/>
    <n v="0"/>
    <n v="0"/>
    <n v="0"/>
    <n v="0"/>
    <n v="5200"/>
    <n v="5000"/>
    <x v="0"/>
    <x v="0"/>
    <x v="1"/>
    <x v="3"/>
    <x v="1"/>
  </r>
  <r>
    <n v="216"/>
    <x v="0"/>
    <x v="0"/>
    <s v="W"/>
    <n v="2196220"/>
    <n v="3848"/>
    <n v="62"/>
    <n v="51"/>
    <x v="0"/>
    <x v="3"/>
    <n v="1"/>
    <n v="2"/>
    <n v="0"/>
    <n v="0"/>
    <n v="0"/>
    <n v="0"/>
    <n v="0"/>
    <n v="8500"/>
    <n v="4000"/>
    <x v="0"/>
    <x v="0"/>
    <x v="1"/>
    <x v="3"/>
    <x v="1"/>
  </r>
  <r>
    <n v="217"/>
    <x v="0"/>
    <x v="0"/>
    <s v="W"/>
    <n v="1138340"/>
    <n v="2106"/>
    <n v="-20"/>
    <n v="-20"/>
    <x v="0"/>
    <x v="2"/>
    <n v="0"/>
    <n v="2"/>
    <n v="0"/>
    <n v="0"/>
    <n v="0"/>
    <n v="0"/>
    <n v="0"/>
    <n v="11000"/>
    <n v="9000"/>
    <x v="0"/>
    <x v="0"/>
    <x v="1"/>
    <x v="3"/>
    <x v="1"/>
  </r>
  <r>
    <n v="218"/>
    <x v="0"/>
    <x v="0"/>
    <s v="W"/>
    <n v="918020"/>
    <n v="1759"/>
    <n v="-36"/>
    <n v="-34"/>
    <x v="0"/>
    <x v="2"/>
    <n v="0"/>
    <n v="2"/>
    <n v="0"/>
    <n v="0"/>
    <n v="0"/>
    <n v="0"/>
    <n v="0"/>
    <n v="5000"/>
    <n v="3000"/>
    <x v="0"/>
    <x v="0"/>
    <x v="1"/>
    <x v="2"/>
    <x v="1"/>
  </r>
  <r>
    <n v="219"/>
    <x v="0"/>
    <x v="0"/>
    <s v="W"/>
    <n v="1766860"/>
    <n v="2899"/>
    <n v="32"/>
    <n v="18"/>
    <x v="0"/>
    <x v="0"/>
    <n v="0"/>
    <n v="0"/>
    <n v="0"/>
    <n v="0"/>
    <n v="0"/>
    <n v="0"/>
    <n v="0"/>
    <n v="0"/>
    <n v="0"/>
    <x v="1"/>
    <x v="1"/>
    <x v="1"/>
    <x v="3"/>
    <x v="1"/>
  </r>
  <r>
    <n v="220"/>
    <x v="1"/>
    <x v="0"/>
    <s v="W"/>
    <n v="1699290"/>
    <n v="3425"/>
    <n v="21"/>
    <n v="36"/>
    <x v="0"/>
    <x v="1"/>
    <n v="0"/>
    <n v="0"/>
    <n v="1"/>
    <n v="0"/>
    <n v="0"/>
    <n v="0"/>
    <n v="0"/>
    <n v="50000"/>
    <n v="50000"/>
    <x v="0"/>
    <x v="0"/>
    <x v="1"/>
    <x v="3"/>
    <x v="1"/>
  </r>
  <r>
    <n v="221"/>
    <x v="1"/>
    <x v="1"/>
    <s v="N"/>
    <n v="301550"/>
    <n v="922"/>
    <n v="32"/>
    <n v="66"/>
    <x v="0"/>
    <x v="1"/>
    <n v="0"/>
    <n v="1"/>
    <n v="0"/>
    <n v="0"/>
    <n v="0"/>
    <n v="0"/>
    <n v="0"/>
    <n v="3000"/>
    <n v="3000"/>
    <x v="0"/>
    <x v="0"/>
    <x v="0"/>
    <x v="2"/>
    <x v="1"/>
  </r>
  <r>
    <n v="222"/>
    <x v="1"/>
    <x v="1"/>
    <s v="W"/>
    <n v="1355970"/>
    <n v="2326"/>
    <n v="-7"/>
    <n v="-12"/>
    <x v="0"/>
    <x v="0"/>
    <n v="0"/>
    <n v="0"/>
    <n v="0"/>
    <n v="0"/>
    <n v="0"/>
    <n v="0"/>
    <n v="0"/>
    <n v="0"/>
    <n v="0"/>
    <x v="0"/>
    <x v="0"/>
    <x v="1"/>
    <x v="3"/>
    <x v="1"/>
  </r>
  <r>
    <n v="223"/>
    <x v="0"/>
    <x v="1"/>
    <s v="W"/>
    <n v="2595650"/>
    <n v="4365"/>
    <n v="81"/>
    <n v="66"/>
    <x v="0"/>
    <x v="0"/>
    <n v="0"/>
    <n v="0"/>
    <n v="0"/>
    <n v="0"/>
    <n v="0"/>
    <n v="0"/>
    <n v="0"/>
    <n v="0"/>
    <n v="0"/>
    <x v="0"/>
    <x v="0"/>
    <x v="1"/>
    <x v="3"/>
    <x v="1"/>
  </r>
  <r>
    <n v="224"/>
    <x v="0"/>
    <x v="1"/>
    <s v="W"/>
    <n v="2160800"/>
    <n v="4518"/>
    <n v="35"/>
    <n v="57"/>
    <x v="0"/>
    <x v="5"/>
    <n v="2"/>
    <n v="2"/>
    <n v="0"/>
    <n v="0"/>
    <n v="0"/>
    <n v="0"/>
    <n v="0"/>
    <n v="5100"/>
    <n v="2000"/>
    <x v="0"/>
    <x v="0"/>
    <x v="1"/>
    <x v="3"/>
    <x v="1"/>
  </r>
  <r>
    <n v="225"/>
    <x v="0"/>
    <x v="0"/>
    <s v="W"/>
    <n v="1367850"/>
    <n v="3137"/>
    <n v="-15"/>
    <n v="5"/>
    <x v="0"/>
    <x v="1"/>
    <n v="0"/>
    <n v="1"/>
    <n v="0"/>
    <n v="0"/>
    <n v="0"/>
    <n v="0"/>
    <n v="0"/>
    <n v="1000"/>
    <n v="1000"/>
    <x v="0"/>
    <x v="0"/>
    <x v="1"/>
    <x v="3"/>
    <x v="1"/>
  </r>
  <r>
    <n v="226"/>
    <x v="0"/>
    <x v="0"/>
    <s v="N"/>
    <n v="251120"/>
    <n v="624"/>
    <n v="1"/>
    <n v="1"/>
    <x v="0"/>
    <x v="0"/>
    <n v="0"/>
    <n v="0"/>
    <n v="0"/>
    <n v="0"/>
    <n v="0"/>
    <n v="0"/>
    <n v="0"/>
    <n v="0"/>
    <n v="0"/>
    <x v="0"/>
    <x v="0"/>
    <x v="0"/>
    <x v="2"/>
    <x v="1"/>
  </r>
  <r>
    <n v="227"/>
    <x v="0"/>
    <x v="0"/>
    <s v="N"/>
    <n v="157450"/>
    <n v="418"/>
    <n v="-33"/>
    <n v="-31"/>
    <x v="0"/>
    <x v="0"/>
    <n v="0"/>
    <n v="0"/>
    <n v="0"/>
    <n v="0"/>
    <n v="0"/>
    <n v="0"/>
    <n v="0"/>
    <n v="0"/>
    <n v="0"/>
    <x v="0"/>
    <x v="0"/>
    <x v="0"/>
    <x v="2"/>
    <x v="1"/>
  </r>
  <r>
    <n v="228"/>
    <x v="0"/>
    <x v="0"/>
    <s v="N"/>
    <n v="129740"/>
    <n v="306"/>
    <n v="-39"/>
    <n v="-44"/>
    <x v="0"/>
    <x v="0"/>
    <n v="0"/>
    <n v="0"/>
    <n v="0"/>
    <n v="0"/>
    <n v="0"/>
    <n v="0"/>
    <n v="0"/>
    <n v="0"/>
    <n v="0"/>
    <x v="0"/>
    <x v="0"/>
    <x v="0"/>
    <x v="2"/>
    <x v="1"/>
  </r>
  <r>
    <n v="229"/>
    <x v="0"/>
    <x v="0"/>
    <s v="N"/>
    <n v="144520"/>
    <n v="407"/>
    <n v="-34"/>
    <n v="-27"/>
    <x v="0"/>
    <x v="1"/>
    <n v="0"/>
    <n v="1"/>
    <n v="0"/>
    <n v="0"/>
    <n v="0"/>
    <n v="0"/>
    <n v="0"/>
    <n v="3000"/>
    <n v="3000"/>
    <x v="0"/>
    <x v="0"/>
    <x v="0"/>
    <x v="2"/>
    <x v="1"/>
  </r>
  <r>
    <n v="230"/>
    <x v="0"/>
    <x v="0"/>
    <s v="W"/>
    <n v="1345240"/>
    <n v="3510"/>
    <n v="-17"/>
    <n v="16"/>
    <x v="0"/>
    <x v="0"/>
    <n v="0"/>
    <n v="0"/>
    <n v="0"/>
    <n v="0"/>
    <n v="0"/>
    <n v="0"/>
    <n v="0"/>
    <n v="0"/>
    <n v="0"/>
    <x v="0"/>
    <x v="0"/>
    <x v="1"/>
    <x v="3"/>
    <x v="1"/>
  </r>
  <r>
    <n v="231"/>
    <x v="0"/>
    <x v="0"/>
    <s v="W"/>
    <n v="2102300"/>
    <n v="4014"/>
    <n v="27"/>
    <n v="26"/>
    <x v="0"/>
    <x v="2"/>
    <n v="0"/>
    <n v="2"/>
    <n v="0"/>
    <n v="0"/>
    <n v="0"/>
    <n v="0"/>
    <n v="0"/>
    <n v="4000"/>
    <n v="3000"/>
    <x v="0"/>
    <x v="0"/>
    <x v="1"/>
    <x v="3"/>
    <x v="1"/>
  </r>
  <r>
    <n v="232"/>
    <x v="0"/>
    <x v="0"/>
    <s v="N"/>
    <n v="219070"/>
    <n v="475"/>
    <n v="15"/>
    <n v="-4"/>
    <x v="0"/>
    <x v="0"/>
    <n v="0"/>
    <n v="0"/>
    <n v="0"/>
    <n v="0"/>
    <n v="0"/>
    <n v="0"/>
    <n v="0"/>
    <n v="0"/>
    <n v="0"/>
    <x v="0"/>
    <x v="0"/>
    <x v="0"/>
    <x v="2"/>
    <x v="1"/>
  </r>
  <r>
    <n v="233"/>
    <x v="0"/>
    <x v="0"/>
    <s v="W"/>
    <n v="628360"/>
    <n v="636"/>
    <n v="-37"/>
    <n v="-58"/>
    <x v="0"/>
    <x v="2"/>
    <n v="1"/>
    <n v="1"/>
    <n v="0"/>
    <n v="0"/>
    <n v="0"/>
    <n v="0"/>
    <n v="0"/>
    <n v="2300"/>
    <n v="2000"/>
    <x v="0"/>
    <x v="0"/>
    <x v="1"/>
    <x v="2"/>
    <x v="1"/>
  </r>
  <r>
    <n v="234"/>
    <x v="0"/>
    <x v="0"/>
    <s v="W"/>
    <n v="1449990"/>
    <n v="1581"/>
    <n v="51"/>
    <n v="12"/>
    <x v="0"/>
    <x v="0"/>
    <n v="0"/>
    <n v="0"/>
    <n v="0"/>
    <n v="0"/>
    <n v="0"/>
    <n v="0"/>
    <n v="0"/>
    <n v="0"/>
    <n v="0"/>
    <x v="0"/>
    <x v="0"/>
    <x v="1"/>
    <x v="3"/>
    <x v="1"/>
  </r>
  <r>
    <n v="235"/>
    <x v="0"/>
    <x v="0"/>
    <s v="W"/>
    <n v="1531530"/>
    <n v="1680"/>
    <n v="52"/>
    <n v="18"/>
    <x v="0"/>
    <x v="2"/>
    <n v="0"/>
    <n v="2"/>
    <n v="0"/>
    <n v="0"/>
    <n v="0"/>
    <n v="0"/>
    <n v="0"/>
    <n v="5000"/>
    <n v="3000"/>
    <x v="0"/>
    <x v="0"/>
    <x v="1"/>
    <x v="3"/>
    <x v="1"/>
  </r>
  <r>
    <n v="236"/>
    <x v="0"/>
    <x v="1"/>
    <s v="N"/>
    <n v="195510"/>
    <n v="321"/>
    <n v="-61"/>
    <n v="-57"/>
    <x v="0"/>
    <x v="1"/>
    <n v="0"/>
    <n v="1"/>
    <n v="0"/>
    <n v="0"/>
    <n v="0"/>
    <n v="0"/>
    <n v="0"/>
    <n v="6000"/>
    <n v="6000"/>
    <x v="0"/>
    <x v="0"/>
    <x v="0"/>
    <x v="2"/>
    <x v="1"/>
  </r>
  <r>
    <n v="237"/>
    <x v="0"/>
    <x v="1"/>
    <s v="W"/>
    <n v="1312110"/>
    <n v="1471"/>
    <n v="24"/>
    <n v="2"/>
    <x v="0"/>
    <x v="1"/>
    <n v="0"/>
    <n v="1"/>
    <n v="0"/>
    <n v="0"/>
    <n v="0"/>
    <n v="0"/>
    <n v="0"/>
    <n v="3000"/>
    <n v="3000"/>
    <x v="0"/>
    <x v="0"/>
    <x v="1"/>
    <x v="3"/>
    <x v="1"/>
  </r>
  <r>
    <n v="238"/>
    <x v="0"/>
    <x v="1"/>
    <s v="N"/>
    <n v="315650"/>
    <n v="645"/>
    <n v="-33"/>
    <n v="-9"/>
    <x v="0"/>
    <x v="1"/>
    <n v="0"/>
    <n v="1"/>
    <n v="0"/>
    <n v="0"/>
    <n v="0"/>
    <n v="0"/>
    <n v="0"/>
    <n v="5000"/>
    <n v="5000"/>
    <x v="0"/>
    <x v="0"/>
    <x v="0"/>
    <x v="2"/>
    <x v="1"/>
  </r>
  <r>
    <n v="239"/>
    <x v="0"/>
    <x v="1"/>
    <s v="W"/>
    <n v="1061760"/>
    <n v="1443"/>
    <n v="-3"/>
    <n v="0"/>
    <x v="0"/>
    <x v="1"/>
    <n v="0"/>
    <n v="1"/>
    <n v="0"/>
    <n v="0"/>
    <n v="0"/>
    <n v="0"/>
    <n v="0"/>
    <n v="3000"/>
    <n v="3000"/>
    <x v="1"/>
    <x v="1"/>
    <x v="1"/>
    <x v="3"/>
    <x v="1"/>
  </r>
  <r>
    <n v="240"/>
    <x v="1"/>
    <x v="1"/>
    <s v="W"/>
    <n v="1283710"/>
    <n v="1556"/>
    <n v="17"/>
    <n v="9"/>
    <x v="0"/>
    <x v="2"/>
    <n v="1"/>
    <n v="0"/>
    <n v="1"/>
    <n v="0"/>
    <n v="0"/>
    <n v="0"/>
    <n v="0"/>
    <n v="40600"/>
    <n v="40000"/>
    <x v="0"/>
    <x v="0"/>
    <x v="1"/>
    <x v="3"/>
    <x v="1"/>
  </r>
  <r>
    <n v="241"/>
    <x v="1"/>
    <x v="1"/>
    <s v="W"/>
    <n v="1134540"/>
    <n v="1363"/>
    <n v="1"/>
    <n v="-5"/>
    <x v="0"/>
    <x v="2"/>
    <n v="0"/>
    <n v="2"/>
    <n v="0"/>
    <n v="0"/>
    <n v="0"/>
    <n v="0"/>
    <n v="0"/>
    <n v="7000"/>
    <n v="5000"/>
    <x v="0"/>
    <x v="0"/>
    <x v="1"/>
    <x v="3"/>
    <x v="1"/>
  </r>
  <r>
    <n v="242"/>
    <x v="1"/>
    <x v="0"/>
    <s v="W"/>
    <n v="525630"/>
    <n v="734"/>
    <n v="-54"/>
    <n v="-48"/>
    <x v="0"/>
    <x v="1"/>
    <n v="1"/>
    <n v="0"/>
    <n v="0"/>
    <n v="0"/>
    <n v="0"/>
    <n v="0"/>
    <n v="0"/>
    <n v="200"/>
    <n v="200"/>
    <x v="0"/>
    <x v="0"/>
    <x v="1"/>
    <x v="2"/>
    <x v="1"/>
  </r>
  <r>
    <n v="243"/>
    <x v="0"/>
    <x v="0"/>
    <s v="W"/>
    <n v="1661100"/>
    <n v="1772"/>
    <n v="52"/>
    <n v="32"/>
    <x v="0"/>
    <x v="1"/>
    <n v="0"/>
    <n v="1"/>
    <n v="0"/>
    <n v="0"/>
    <n v="0"/>
    <n v="0"/>
    <n v="0"/>
    <n v="9000"/>
    <n v="9000"/>
    <x v="0"/>
    <x v="0"/>
    <x v="1"/>
    <x v="3"/>
    <x v="1"/>
  </r>
  <r>
    <n v="244"/>
    <x v="0"/>
    <x v="0"/>
    <s v="W"/>
    <n v="1310730"/>
    <n v="1504"/>
    <n v="13"/>
    <n v="9"/>
    <x v="0"/>
    <x v="2"/>
    <n v="1"/>
    <n v="1"/>
    <n v="0"/>
    <n v="0"/>
    <n v="0"/>
    <n v="0"/>
    <n v="0"/>
    <n v="4200"/>
    <n v="4000"/>
    <x v="0"/>
    <x v="0"/>
    <x v="1"/>
    <x v="3"/>
    <x v="1"/>
  </r>
  <r>
    <n v="245"/>
    <x v="0"/>
    <x v="0"/>
    <s v="W"/>
    <n v="1101540"/>
    <n v="1185"/>
    <n v="-7"/>
    <n v="-14"/>
    <x v="0"/>
    <x v="0"/>
    <n v="0"/>
    <n v="0"/>
    <n v="0"/>
    <n v="0"/>
    <n v="0"/>
    <n v="0"/>
    <n v="0"/>
    <n v="0"/>
    <n v="0"/>
    <x v="0"/>
    <x v="0"/>
    <x v="1"/>
    <x v="3"/>
    <x v="1"/>
  </r>
  <r>
    <n v="246"/>
    <x v="0"/>
    <x v="1"/>
    <s v="W"/>
    <n v="1496830"/>
    <n v="1645"/>
    <n v="21"/>
    <n v="15"/>
    <x v="0"/>
    <x v="3"/>
    <n v="2"/>
    <n v="1"/>
    <n v="0"/>
    <n v="0"/>
    <n v="0"/>
    <n v="0"/>
    <n v="0"/>
    <n v="5700"/>
    <n v="5000"/>
    <x v="0"/>
    <x v="0"/>
    <x v="1"/>
    <x v="3"/>
    <x v="1"/>
  </r>
  <r>
    <n v="247"/>
    <x v="0"/>
    <x v="1"/>
    <s v="W"/>
    <n v="1323740"/>
    <n v="1405"/>
    <n v="7"/>
    <n v="-2"/>
    <x v="0"/>
    <x v="1"/>
    <n v="0"/>
    <n v="1"/>
    <n v="0"/>
    <n v="0"/>
    <n v="0"/>
    <n v="0"/>
    <n v="0"/>
    <n v="3000"/>
    <n v="3000"/>
    <x v="0"/>
    <x v="0"/>
    <x v="1"/>
    <x v="3"/>
    <x v="1"/>
  </r>
  <r>
    <n v="248"/>
    <x v="0"/>
    <x v="1"/>
    <s v="W"/>
    <n v="943300"/>
    <n v="987"/>
    <n v="-23"/>
    <n v="-30"/>
    <x v="0"/>
    <x v="2"/>
    <n v="1"/>
    <n v="1"/>
    <n v="0"/>
    <n v="0"/>
    <n v="0"/>
    <n v="0"/>
    <n v="0"/>
    <n v="1400"/>
    <n v="1000"/>
    <x v="0"/>
    <x v="0"/>
    <x v="1"/>
    <x v="2"/>
    <x v="1"/>
  </r>
  <r>
    <n v="249"/>
    <x v="0"/>
    <x v="1"/>
    <s v="N"/>
    <n v="348780"/>
    <n v="723"/>
    <n v="-23"/>
    <n v="4"/>
    <x v="0"/>
    <x v="1"/>
    <n v="1"/>
    <n v="0"/>
    <n v="0"/>
    <n v="0"/>
    <n v="0"/>
    <n v="0"/>
    <n v="0"/>
    <n v="300"/>
    <n v="300"/>
    <x v="0"/>
    <x v="0"/>
    <x v="0"/>
    <x v="2"/>
    <x v="1"/>
  </r>
  <r>
    <n v="250"/>
    <x v="0"/>
    <x v="1"/>
    <s v="N"/>
    <n v="154420"/>
    <n v="319"/>
    <n v="-46"/>
    <n v="-43"/>
    <x v="0"/>
    <x v="1"/>
    <n v="0"/>
    <n v="1"/>
    <n v="0"/>
    <n v="0"/>
    <n v="0"/>
    <n v="0"/>
    <n v="0"/>
    <n v="3000"/>
    <n v="3000"/>
    <x v="0"/>
    <x v="0"/>
    <x v="0"/>
    <x v="2"/>
    <x v="1"/>
  </r>
  <r>
    <n v="251"/>
    <x v="0"/>
    <x v="1"/>
    <s v="W"/>
    <n v="1514120"/>
    <n v="1518"/>
    <n v="28"/>
    <n v="12"/>
    <x v="0"/>
    <x v="3"/>
    <n v="2"/>
    <n v="1"/>
    <n v="0"/>
    <n v="0"/>
    <n v="0"/>
    <n v="0"/>
    <n v="0"/>
    <n v="1900"/>
    <n v="1000"/>
    <x v="1"/>
    <x v="1"/>
    <x v="1"/>
    <x v="3"/>
    <x v="1"/>
  </r>
  <r>
    <n v="252"/>
    <x v="1"/>
    <x v="1"/>
    <s v="W"/>
    <n v="1811640"/>
    <n v="1927"/>
    <n v="47"/>
    <n v="41"/>
    <x v="0"/>
    <x v="1"/>
    <n v="0"/>
    <n v="0"/>
    <n v="1"/>
    <n v="0"/>
    <n v="0"/>
    <n v="0"/>
    <n v="0"/>
    <n v="40000"/>
    <n v="40000"/>
    <x v="0"/>
    <x v="0"/>
    <x v="1"/>
    <x v="3"/>
    <x v="1"/>
  </r>
  <r>
    <n v="253"/>
    <x v="1"/>
    <x v="1"/>
    <s v="W"/>
    <n v="1446770"/>
    <n v="1471"/>
    <n v="13"/>
    <n v="5"/>
    <x v="0"/>
    <x v="0"/>
    <n v="0"/>
    <n v="0"/>
    <n v="0"/>
    <n v="0"/>
    <n v="0"/>
    <n v="0"/>
    <n v="0"/>
    <n v="0"/>
    <n v="0"/>
    <x v="0"/>
    <x v="0"/>
    <x v="1"/>
    <x v="3"/>
    <x v="1"/>
  </r>
  <r>
    <n v="254"/>
    <x v="1"/>
    <x v="1"/>
    <s v="W"/>
    <n v="1132810"/>
    <n v="1893"/>
    <n v="-14"/>
    <n v="34"/>
    <x v="0"/>
    <x v="6"/>
    <n v="3"/>
    <n v="2"/>
    <n v="0"/>
    <n v="0"/>
    <n v="0"/>
    <n v="0"/>
    <n v="0"/>
    <n v="7000"/>
    <n v="3000"/>
    <x v="1"/>
    <x v="1"/>
    <x v="1"/>
    <x v="3"/>
    <x v="1"/>
  </r>
  <r>
    <n v="255"/>
    <x v="1"/>
    <x v="1"/>
    <s v="W"/>
    <n v="1367690"/>
    <n v="2902"/>
    <n v="0"/>
    <n v="90"/>
    <x v="0"/>
    <x v="5"/>
    <n v="2"/>
    <n v="1"/>
    <n v="1"/>
    <n v="0"/>
    <n v="0"/>
    <n v="0"/>
    <n v="0"/>
    <n v="25400"/>
    <n v="20000"/>
    <x v="0"/>
    <x v="0"/>
    <x v="1"/>
    <x v="3"/>
    <x v="1"/>
  </r>
  <r>
    <n v="256"/>
    <x v="1"/>
    <x v="1"/>
    <s v="W"/>
    <n v="814170"/>
    <n v="2082"/>
    <n v="-39"/>
    <n v="27"/>
    <x v="1"/>
    <x v="2"/>
    <n v="1"/>
    <n v="1"/>
    <n v="0"/>
    <n v="0"/>
    <n v="0"/>
    <n v="0"/>
    <n v="0"/>
    <n v="1700"/>
    <n v="1000"/>
    <x v="0"/>
    <x v="0"/>
    <x v="1"/>
    <x v="2"/>
    <x v="1"/>
  </r>
  <r>
    <n v="257"/>
    <x v="1"/>
    <x v="1"/>
    <s v="W"/>
    <n v="600400"/>
    <n v="1688"/>
    <n v="-54"/>
    <n v="-1"/>
    <x v="1"/>
    <x v="2"/>
    <n v="1"/>
    <n v="1"/>
    <n v="0"/>
    <n v="0"/>
    <n v="0"/>
    <n v="0"/>
    <n v="0"/>
    <n v="2200"/>
    <n v="2000"/>
    <x v="1"/>
    <x v="1"/>
    <x v="1"/>
    <x v="2"/>
    <x v="1"/>
  </r>
  <r>
    <n v="258"/>
    <x v="1"/>
    <x v="1"/>
    <s v="W"/>
    <n v="886800"/>
    <n v="2519"/>
    <n v="-29"/>
    <n v="44"/>
    <x v="0"/>
    <x v="3"/>
    <n v="0"/>
    <n v="2"/>
    <n v="1"/>
    <n v="0"/>
    <n v="0"/>
    <n v="0"/>
    <n v="0"/>
    <n v="49000"/>
    <n v="40000"/>
    <x v="0"/>
    <x v="0"/>
    <x v="1"/>
    <x v="2"/>
    <x v="1"/>
  </r>
  <r>
    <n v="259"/>
    <x v="1"/>
    <x v="1"/>
    <s v="W"/>
    <n v="588930"/>
    <n v="1807"/>
    <n v="-50"/>
    <n v="-2"/>
    <x v="0"/>
    <x v="1"/>
    <n v="0"/>
    <n v="1"/>
    <n v="0"/>
    <n v="0"/>
    <n v="0"/>
    <n v="0"/>
    <n v="0"/>
    <n v="4000"/>
    <n v="4000"/>
    <x v="1"/>
    <x v="1"/>
    <x v="1"/>
    <x v="2"/>
    <x v="1"/>
  </r>
  <r>
    <n v="260"/>
    <x v="1"/>
    <x v="0"/>
    <s v="W"/>
    <n v="542890"/>
    <n v="1623"/>
    <n v="-51"/>
    <n v="-14"/>
    <x v="0"/>
    <x v="3"/>
    <n v="0"/>
    <n v="2"/>
    <n v="1"/>
    <n v="0"/>
    <n v="0"/>
    <n v="0"/>
    <n v="0"/>
    <n v="25000"/>
    <n v="20000"/>
    <x v="0"/>
    <x v="0"/>
    <x v="1"/>
    <x v="2"/>
    <x v="1"/>
  </r>
  <r>
    <n v="261"/>
    <x v="1"/>
    <x v="0"/>
    <s v="W"/>
    <n v="1104700"/>
    <n v="2584"/>
    <n v="3"/>
    <n v="33"/>
    <x v="0"/>
    <x v="0"/>
    <n v="0"/>
    <n v="0"/>
    <n v="0"/>
    <n v="0"/>
    <n v="0"/>
    <n v="0"/>
    <n v="0"/>
    <n v="0"/>
    <n v="0"/>
    <x v="0"/>
    <x v="0"/>
    <x v="1"/>
    <x v="3"/>
    <x v="1"/>
  </r>
  <r>
    <n v="262"/>
    <x v="1"/>
    <x v="0"/>
    <s v="W"/>
    <n v="734930"/>
    <n v="2062"/>
    <n v="-29"/>
    <n v="1"/>
    <x v="0"/>
    <x v="2"/>
    <n v="1"/>
    <n v="1"/>
    <n v="0"/>
    <n v="0"/>
    <n v="0"/>
    <n v="0"/>
    <n v="0"/>
    <n v="4800"/>
    <n v="4000"/>
    <x v="0"/>
    <x v="0"/>
    <x v="1"/>
    <x v="2"/>
    <x v="1"/>
  </r>
  <r>
    <n v="263"/>
    <x v="0"/>
    <x v="0"/>
    <s v="W"/>
    <n v="509190"/>
    <n v="1758"/>
    <n v="-45"/>
    <n v="-15"/>
    <x v="0"/>
    <x v="2"/>
    <n v="1"/>
    <n v="1"/>
    <n v="0"/>
    <n v="0"/>
    <n v="0"/>
    <n v="0"/>
    <n v="0"/>
    <n v="2300"/>
    <n v="2000"/>
    <x v="1"/>
    <x v="1"/>
    <x v="1"/>
    <x v="2"/>
    <x v="1"/>
  </r>
  <r>
    <n v="264"/>
    <x v="1"/>
    <x v="0"/>
    <s v="W"/>
    <n v="480250"/>
    <n v="2368"/>
    <n v="-42"/>
    <n v="13"/>
    <x v="0"/>
    <x v="2"/>
    <n v="0"/>
    <n v="1"/>
    <n v="1"/>
    <n v="0"/>
    <n v="0"/>
    <n v="0"/>
    <n v="0"/>
    <n v="34000"/>
    <n v="30000"/>
    <x v="0"/>
    <x v="0"/>
    <x v="1"/>
    <x v="2"/>
    <x v="1"/>
  </r>
  <r>
    <n v="265"/>
    <x v="1"/>
    <x v="0"/>
    <s v="W"/>
    <n v="428740"/>
    <n v="2031"/>
    <n v="-44"/>
    <n v="-5"/>
    <x v="0"/>
    <x v="1"/>
    <n v="0"/>
    <n v="1"/>
    <n v="0"/>
    <n v="0"/>
    <n v="0"/>
    <n v="0"/>
    <n v="0"/>
    <n v="4000"/>
    <n v="4000"/>
    <x v="0"/>
    <x v="0"/>
    <x v="1"/>
    <x v="2"/>
    <x v="1"/>
  </r>
  <r>
    <n v="266"/>
    <x v="1"/>
    <x v="0"/>
    <s v="W"/>
    <n v="450060"/>
    <n v="2019"/>
    <n v="-33"/>
    <n v="-2"/>
    <x v="0"/>
    <x v="3"/>
    <n v="0"/>
    <n v="3"/>
    <n v="0"/>
    <n v="0"/>
    <n v="0"/>
    <n v="0"/>
    <n v="0"/>
    <n v="14000"/>
    <n v="8000"/>
    <x v="0"/>
    <x v="0"/>
    <x v="1"/>
    <x v="2"/>
    <x v="1"/>
  </r>
  <r>
    <n v="267"/>
    <x v="0"/>
    <x v="0"/>
    <s v="W"/>
    <n v="627380"/>
    <n v="3155"/>
    <n v="-1"/>
    <n v="54"/>
    <x v="0"/>
    <x v="1"/>
    <n v="1"/>
    <n v="0"/>
    <n v="0"/>
    <n v="0"/>
    <n v="0"/>
    <n v="0"/>
    <n v="0"/>
    <n v="800"/>
    <n v="800"/>
    <x v="1"/>
    <x v="1"/>
    <x v="1"/>
    <x v="2"/>
    <x v="1"/>
  </r>
  <r>
    <n v="268"/>
    <x v="1"/>
    <x v="0"/>
    <s v="W"/>
    <n v="448900"/>
    <n v="2162"/>
    <n v="-29"/>
    <n v="-1"/>
    <x v="0"/>
    <x v="6"/>
    <n v="1"/>
    <n v="3"/>
    <n v="1"/>
    <n v="0"/>
    <n v="0"/>
    <n v="0"/>
    <n v="0"/>
    <n v="31500"/>
    <n v="20000"/>
    <x v="0"/>
    <x v="0"/>
    <x v="1"/>
    <x v="2"/>
    <x v="1"/>
  </r>
  <r>
    <n v="269"/>
    <x v="1"/>
    <x v="0"/>
    <s v="W"/>
    <n v="453850"/>
    <n v="1973"/>
    <n v="-23"/>
    <n v="-9"/>
    <x v="0"/>
    <x v="1"/>
    <n v="0"/>
    <n v="1"/>
    <n v="0"/>
    <n v="0"/>
    <n v="0"/>
    <n v="0"/>
    <n v="0"/>
    <n v="8000"/>
    <n v="8000"/>
    <x v="0"/>
    <x v="0"/>
    <x v="1"/>
    <x v="2"/>
    <x v="1"/>
  </r>
  <r>
    <n v="270"/>
    <x v="1"/>
    <x v="0"/>
    <s v="W"/>
    <n v="779850"/>
    <n v="2999"/>
    <n v="35"/>
    <n v="38"/>
    <x v="0"/>
    <x v="2"/>
    <n v="1"/>
    <n v="1"/>
    <n v="0"/>
    <n v="0"/>
    <n v="0"/>
    <n v="0"/>
    <n v="0"/>
    <n v="5600"/>
    <n v="5000"/>
    <x v="0"/>
    <x v="0"/>
    <x v="1"/>
    <x v="2"/>
    <x v="1"/>
  </r>
  <r>
    <n v="271"/>
    <x v="0"/>
    <x v="0"/>
    <s v="N"/>
    <n v="146840"/>
    <n v="744"/>
    <n v="-68"/>
    <n v="-46"/>
    <x v="0"/>
    <x v="1"/>
    <n v="0"/>
    <n v="1"/>
    <n v="0"/>
    <n v="0"/>
    <n v="0"/>
    <n v="0"/>
    <n v="0"/>
    <n v="2000"/>
    <n v="2000"/>
    <x v="0"/>
    <x v="0"/>
    <x v="0"/>
    <x v="2"/>
    <x v="1"/>
  </r>
  <r>
    <n v="272"/>
    <x v="0"/>
    <x v="0"/>
    <s v="W"/>
    <n v="675030"/>
    <n v="1992"/>
    <n v="12"/>
    <n v="-14"/>
    <x v="0"/>
    <x v="5"/>
    <n v="1"/>
    <n v="3"/>
    <n v="0"/>
    <n v="0"/>
    <n v="0"/>
    <n v="0"/>
    <n v="0"/>
    <n v="5300"/>
    <n v="2000"/>
    <x v="0"/>
    <x v="0"/>
    <x v="1"/>
    <x v="2"/>
    <x v="1"/>
  </r>
  <r>
    <n v="273"/>
    <x v="0"/>
    <x v="0"/>
    <s v="W"/>
    <n v="811060"/>
    <n v="2877"/>
    <n v="45"/>
    <n v="28"/>
    <x v="0"/>
    <x v="2"/>
    <n v="2"/>
    <n v="0"/>
    <n v="0"/>
    <n v="0"/>
    <n v="0"/>
    <n v="0"/>
    <n v="0"/>
    <n v="900"/>
    <n v="700"/>
    <x v="0"/>
    <x v="0"/>
    <x v="1"/>
    <x v="2"/>
    <x v="1"/>
  </r>
  <r>
    <n v="274"/>
    <x v="0"/>
    <x v="0"/>
    <s v="W"/>
    <n v="538060"/>
    <n v="2075"/>
    <n v="-5"/>
    <n v="-11"/>
    <x v="0"/>
    <x v="2"/>
    <n v="2"/>
    <n v="0"/>
    <n v="0"/>
    <n v="0"/>
    <n v="0"/>
    <n v="0"/>
    <n v="0"/>
    <n v="900"/>
    <n v="700"/>
    <x v="1"/>
    <x v="1"/>
    <x v="1"/>
    <x v="2"/>
    <x v="1"/>
  </r>
  <r>
    <n v="275"/>
    <x v="1"/>
    <x v="0"/>
    <s v="W"/>
    <n v="372470"/>
    <n v="1848"/>
    <n v="-35"/>
    <n v="-22"/>
    <x v="0"/>
    <x v="3"/>
    <n v="0"/>
    <n v="2"/>
    <n v="1"/>
    <n v="0"/>
    <n v="0"/>
    <n v="0"/>
    <n v="0"/>
    <n v="70000"/>
    <n v="60000"/>
    <x v="1"/>
    <x v="1"/>
    <x v="1"/>
    <x v="2"/>
    <x v="1"/>
  </r>
  <r>
    <n v="276"/>
    <x v="1"/>
    <x v="1"/>
    <s v="W"/>
    <n v="439210"/>
    <n v="2259"/>
    <n v="-21"/>
    <n v="-2"/>
    <x v="0"/>
    <x v="7"/>
    <n v="3"/>
    <n v="2"/>
    <n v="1"/>
    <n v="0"/>
    <n v="0"/>
    <n v="0"/>
    <n v="0"/>
    <n v="18000"/>
    <n v="10000"/>
    <x v="0"/>
    <x v="0"/>
    <x v="1"/>
    <x v="2"/>
    <x v="1"/>
  </r>
  <r>
    <n v="277"/>
    <x v="1"/>
    <x v="1"/>
    <s v="W"/>
    <n v="286300"/>
    <n v="1381"/>
    <n v="-49"/>
    <n v="-41"/>
    <x v="0"/>
    <x v="0"/>
    <n v="0"/>
    <n v="0"/>
    <n v="0"/>
    <n v="0"/>
    <n v="0"/>
    <n v="0"/>
    <n v="0"/>
    <n v="0"/>
    <n v="0"/>
    <x v="0"/>
    <x v="0"/>
    <x v="1"/>
    <x v="2"/>
    <x v="1"/>
  </r>
  <r>
    <n v="278"/>
    <x v="0"/>
    <x v="1"/>
    <s v="W"/>
    <n v="576200"/>
    <n v="1558"/>
    <n v="15"/>
    <n v="-22"/>
    <x v="0"/>
    <x v="7"/>
    <n v="3"/>
    <n v="3"/>
    <n v="0"/>
    <n v="0"/>
    <n v="0"/>
    <n v="0"/>
    <n v="0"/>
    <n v="21300"/>
    <n v="8000"/>
    <x v="1"/>
    <x v="1"/>
    <x v="1"/>
    <x v="2"/>
    <x v="1"/>
  </r>
  <r>
    <n v="279"/>
    <x v="0"/>
    <x v="1"/>
    <s v="W"/>
    <n v="833250"/>
    <n v="1840"/>
    <n v="64"/>
    <n v="-6"/>
    <x v="0"/>
    <x v="5"/>
    <n v="1"/>
    <n v="2"/>
    <n v="1"/>
    <n v="0"/>
    <n v="0"/>
    <n v="0"/>
    <n v="0"/>
    <n v="14600"/>
    <n v="10000"/>
    <x v="0"/>
    <x v="0"/>
    <x v="1"/>
    <x v="2"/>
    <x v="1"/>
  </r>
  <r>
    <n v="280"/>
    <x v="0"/>
    <x v="1"/>
    <s v="W"/>
    <n v="836500"/>
    <n v="2313"/>
    <n v="55"/>
    <n v="19"/>
    <x v="0"/>
    <x v="5"/>
    <n v="0"/>
    <n v="4"/>
    <n v="0"/>
    <n v="0"/>
    <n v="0"/>
    <n v="0"/>
    <n v="0"/>
    <n v="19000"/>
    <n v="9000"/>
    <x v="1"/>
    <x v="1"/>
    <x v="1"/>
    <x v="2"/>
    <x v="1"/>
  </r>
  <r>
    <n v="281"/>
    <x v="1"/>
    <x v="1"/>
    <s v="W"/>
    <n v="571990"/>
    <n v="1608"/>
    <n v="0"/>
    <n v="-18"/>
    <x v="0"/>
    <x v="5"/>
    <n v="0"/>
    <n v="3"/>
    <n v="1"/>
    <n v="0"/>
    <n v="0"/>
    <n v="0"/>
    <n v="0"/>
    <n v="44000"/>
    <n v="30000"/>
    <x v="0"/>
    <x v="0"/>
    <x v="1"/>
    <x v="2"/>
    <x v="1"/>
  </r>
  <r>
    <n v="282"/>
    <x v="1"/>
    <x v="1"/>
    <s v="W"/>
    <n v="754760"/>
    <n v="2218"/>
    <n v="30"/>
    <n v="15"/>
    <x v="0"/>
    <x v="2"/>
    <n v="1"/>
    <n v="1"/>
    <n v="0"/>
    <n v="0"/>
    <n v="0"/>
    <n v="0"/>
    <n v="0"/>
    <n v="3200"/>
    <n v="3000"/>
    <x v="1"/>
    <x v="1"/>
    <x v="1"/>
    <x v="2"/>
    <x v="1"/>
  </r>
  <r>
    <n v="283"/>
    <x v="1"/>
    <x v="1"/>
    <s v="W"/>
    <n v="834760"/>
    <n v="2307"/>
    <n v="37"/>
    <n v="18"/>
    <x v="0"/>
    <x v="5"/>
    <n v="0"/>
    <n v="2"/>
    <n v="2"/>
    <n v="0"/>
    <n v="0"/>
    <n v="0"/>
    <n v="0"/>
    <n v="54000"/>
    <n v="30000"/>
    <x v="0"/>
    <x v="0"/>
    <x v="1"/>
    <x v="2"/>
    <x v="1"/>
  </r>
  <r>
    <n v="284"/>
    <x v="1"/>
    <x v="0"/>
    <s v="W"/>
    <n v="450490"/>
    <n v="1437"/>
    <n v="-30"/>
    <n v="-28"/>
    <x v="0"/>
    <x v="7"/>
    <n v="2"/>
    <n v="4"/>
    <n v="0"/>
    <n v="0"/>
    <n v="0"/>
    <n v="0"/>
    <n v="0"/>
    <n v="12700"/>
    <n v="4000"/>
    <x v="1"/>
    <x v="1"/>
    <x v="1"/>
    <x v="2"/>
    <x v="1"/>
  </r>
  <r>
    <n v="285"/>
    <x v="1"/>
    <x v="0"/>
    <s v="W"/>
    <n v="932410"/>
    <n v="2464"/>
    <n v="47"/>
    <n v="28"/>
    <x v="0"/>
    <x v="4"/>
    <n v="4"/>
    <n v="2"/>
    <n v="1"/>
    <n v="0"/>
    <n v="0"/>
    <n v="0"/>
    <n v="0"/>
    <n v="36500"/>
    <n v="30000"/>
    <x v="1"/>
    <x v="1"/>
    <x v="1"/>
    <x v="2"/>
    <x v="1"/>
  </r>
  <r>
    <n v="286"/>
    <x v="1"/>
    <x v="0"/>
    <s v="W"/>
    <n v="568200"/>
    <n v="1834"/>
    <n v="-16"/>
    <n v="-7"/>
    <x v="0"/>
    <x v="5"/>
    <n v="2"/>
    <n v="1"/>
    <n v="1"/>
    <n v="0"/>
    <n v="0"/>
    <n v="0"/>
    <n v="0"/>
    <n v="32700"/>
    <n v="30000"/>
    <x v="1"/>
    <x v="1"/>
    <x v="1"/>
    <x v="2"/>
    <x v="1"/>
  </r>
  <r>
    <n v="287"/>
    <x v="1"/>
    <x v="0"/>
    <s v="W"/>
    <n v="452730"/>
    <n v="1349"/>
    <n v="-34"/>
    <n v="-31"/>
    <x v="0"/>
    <x v="3"/>
    <n v="0"/>
    <n v="1"/>
    <n v="2"/>
    <n v="0"/>
    <n v="0"/>
    <n v="0"/>
    <n v="0"/>
    <n v="64000"/>
    <n v="30000"/>
    <x v="0"/>
    <x v="0"/>
    <x v="1"/>
    <x v="2"/>
    <x v="1"/>
  </r>
  <r>
    <n v="288"/>
    <x v="1"/>
    <x v="0"/>
    <s v="W"/>
    <n v="833660"/>
    <n v="2493"/>
    <n v="22"/>
    <n v="32"/>
    <x v="0"/>
    <x v="5"/>
    <n v="2"/>
    <n v="2"/>
    <n v="0"/>
    <n v="0"/>
    <n v="0"/>
    <n v="0"/>
    <n v="0"/>
    <n v="11000"/>
    <n v="6000"/>
    <x v="0"/>
    <x v="0"/>
    <x v="1"/>
    <x v="2"/>
    <x v="1"/>
  </r>
  <r>
    <n v="289"/>
    <x v="1"/>
    <x v="0"/>
    <s v="N"/>
    <n v="131820"/>
    <n v="583"/>
    <n v="-47"/>
    <n v="-42"/>
    <x v="0"/>
    <x v="1"/>
    <n v="0"/>
    <n v="1"/>
    <n v="0"/>
    <n v="0"/>
    <n v="0"/>
    <n v="0"/>
    <n v="0"/>
    <n v="1000"/>
    <n v="1000"/>
    <x v="0"/>
    <x v="0"/>
    <x v="0"/>
    <x v="2"/>
    <x v="1"/>
  </r>
  <r>
    <n v="290"/>
    <x v="0"/>
    <x v="0"/>
    <s v="N"/>
    <n v="72250"/>
    <n v="339"/>
    <n v="-70"/>
    <n v="-65"/>
    <x v="0"/>
    <x v="0"/>
    <n v="0"/>
    <n v="0"/>
    <n v="0"/>
    <n v="0"/>
    <n v="0"/>
    <n v="0"/>
    <n v="0"/>
    <n v="0"/>
    <n v="0"/>
    <x v="0"/>
    <x v="0"/>
    <x v="0"/>
    <x v="0"/>
    <x v="0"/>
  </r>
  <r>
    <n v="291"/>
    <x v="0"/>
    <x v="0"/>
    <s v="N"/>
    <n v="58850"/>
    <n v="236"/>
    <n v="-73"/>
    <n v="-74"/>
    <x v="0"/>
    <x v="0"/>
    <n v="0"/>
    <n v="0"/>
    <n v="0"/>
    <n v="0"/>
    <n v="0"/>
    <n v="0"/>
    <n v="0"/>
    <n v="0"/>
    <n v="0"/>
    <x v="0"/>
    <x v="0"/>
    <x v="0"/>
    <x v="0"/>
    <x v="0"/>
  </r>
  <r>
    <n v="292"/>
    <x v="0"/>
    <x v="0"/>
    <s v="N"/>
    <n v="54750"/>
    <n v="233"/>
    <n v="-38"/>
    <n v="-40"/>
    <x v="0"/>
    <x v="0"/>
    <n v="0"/>
    <n v="0"/>
    <n v="0"/>
    <n v="0"/>
    <n v="0"/>
    <n v="0"/>
    <n v="0"/>
    <n v="0"/>
    <n v="0"/>
    <x v="0"/>
    <x v="0"/>
    <x v="0"/>
    <x v="0"/>
    <x v="0"/>
  </r>
  <r>
    <n v="293"/>
    <x v="0"/>
    <x v="0"/>
    <s v="N"/>
    <n v="43600"/>
    <n v="194"/>
    <n v="-48"/>
    <n v="-48"/>
    <x v="0"/>
    <x v="0"/>
    <n v="0"/>
    <n v="0"/>
    <n v="0"/>
    <n v="0"/>
    <n v="0"/>
    <n v="0"/>
    <n v="0"/>
    <n v="0"/>
    <n v="0"/>
    <x v="0"/>
    <x v="0"/>
    <x v="0"/>
    <x v="0"/>
    <x v="0"/>
  </r>
  <r>
    <n v="294"/>
    <x v="0"/>
    <x v="0"/>
    <s v="N"/>
    <n v="58200"/>
    <n v="219"/>
    <n v="-27"/>
    <n v="-38"/>
    <x v="0"/>
    <x v="1"/>
    <n v="0"/>
    <n v="1"/>
    <n v="0"/>
    <n v="0"/>
    <n v="0"/>
    <n v="0"/>
    <n v="0"/>
    <n v="3000"/>
    <n v="3000"/>
    <x v="0"/>
    <x v="0"/>
    <x v="0"/>
    <x v="0"/>
    <x v="0"/>
  </r>
  <r>
    <n v="295"/>
    <x v="0"/>
    <x v="0"/>
    <s v="N"/>
    <n v="53320"/>
    <n v="203"/>
    <n v="-31"/>
    <n v="-39"/>
    <x v="0"/>
    <x v="1"/>
    <n v="0"/>
    <n v="1"/>
    <n v="0"/>
    <n v="0"/>
    <n v="0"/>
    <n v="0"/>
    <n v="0"/>
    <n v="4000"/>
    <n v="4000"/>
    <x v="0"/>
    <x v="0"/>
    <x v="0"/>
    <x v="0"/>
    <x v="0"/>
  </r>
  <r>
    <n v="296"/>
    <x v="0"/>
    <x v="0"/>
    <s v="W"/>
    <n v="447360"/>
    <n v="1332"/>
    <n v="-37"/>
    <n v="-33"/>
    <x v="0"/>
    <x v="2"/>
    <n v="1"/>
    <n v="1"/>
    <n v="0"/>
    <n v="0"/>
    <n v="0"/>
    <n v="0"/>
    <n v="0"/>
    <n v="8400"/>
    <n v="8000"/>
    <x v="1"/>
    <x v="1"/>
    <x v="1"/>
    <x v="2"/>
    <x v="1"/>
  </r>
  <r>
    <n v="297"/>
    <x v="1"/>
    <x v="0"/>
    <s v="W"/>
    <n v="993080"/>
    <n v="3023"/>
    <n v="49"/>
    <n v="56"/>
    <x v="0"/>
    <x v="3"/>
    <n v="1"/>
    <n v="0"/>
    <n v="2"/>
    <n v="0"/>
    <n v="0"/>
    <n v="0"/>
    <n v="0"/>
    <n v="70800"/>
    <n v="40000"/>
    <x v="1"/>
    <x v="1"/>
    <x v="1"/>
    <x v="2"/>
    <x v="1"/>
  </r>
  <r>
    <n v="298"/>
    <x v="1"/>
    <x v="0"/>
    <s v="W"/>
    <n v="593950"/>
    <n v="1972"/>
    <n v="-13"/>
    <n v="-2"/>
    <x v="0"/>
    <x v="5"/>
    <n v="2"/>
    <n v="1"/>
    <n v="1"/>
    <n v="0"/>
    <n v="0"/>
    <n v="0"/>
    <n v="0"/>
    <n v="32800"/>
    <n v="30000"/>
    <x v="0"/>
    <x v="0"/>
    <x v="1"/>
    <x v="2"/>
    <x v="1"/>
  </r>
  <r>
    <n v="299"/>
    <x v="1"/>
    <x v="0"/>
    <s v="W"/>
    <n v="570400"/>
    <n v="1892"/>
    <n v="-17"/>
    <n v="-7"/>
    <x v="0"/>
    <x v="2"/>
    <n v="0"/>
    <n v="2"/>
    <n v="0"/>
    <n v="0"/>
    <n v="0"/>
    <n v="0"/>
    <n v="0"/>
    <n v="11000"/>
    <n v="7000"/>
    <x v="0"/>
    <x v="0"/>
    <x v="1"/>
    <x v="2"/>
    <x v="1"/>
  </r>
  <r>
    <n v="300"/>
    <x v="1"/>
    <x v="0"/>
    <s v="W"/>
    <n v="788650"/>
    <n v="2361"/>
    <n v="18"/>
    <n v="17"/>
    <x v="0"/>
    <x v="3"/>
    <n v="2"/>
    <n v="1"/>
    <n v="0"/>
    <n v="0"/>
    <n v="0"/>
    <n v="0"/>
    <n v="0"/>
    <n v="6100"/>
    <n v="5000"/>
    <x v="1"/>
    <x v="1"/>
    <x v="1"/>
    <x v="2"/>
    <x v="1"/>
  </r>
  <r>
    <n v="301"/>
    <x v="1"/>
    <x v="0"/>
    <s v="W"/>
    <n v="383490"/>
    <n v="1401"/>
    <n v="-42"/>
    <n v="-30"/>
    <x v="0"/>
    <x v="1"/>
    <n v="0"/>
    <n v="0"/>
    <n v="1"/>
    <n v="0"/>
    <n v="0"/>
    <n v="0"/>
    <n v="0"/>
    <n v="30000"/>
    <n v="30000"/>
    <x v="0"/>
    <x v="0"/>
    <x v="1"/>
    <x v="2"/>
    <x v="1"/>
  </r>
  <r>
    <n v="302"/>
    <x v="1"/>
    <x v="0"/>
    <s v="W"/>
    <n v="415690"/>
    <n v="1486"/>
    <n v="-37"/>
    <n v="-26"/>
    <x v="0"/>
    <x v="1"/>
    <n v="0"/>
    <n v="1"/>
    <n v="0"/>
    <n v="0"/>
    <n v="0"/>
    <n v="0"/>
    <n v="0"/>
    <n v="7000"/>
    <n v="7000"/>
    <x v="1"/>
    <x v="1"/>
    <x v="1"/>
    <x v="2"/>
    <x v="1"/>
  </r>
  <r>
    <n v="303"/>
    <x v="1"/>
    <x v="0"/>
    <s v="W"/>
    <n v="645750"/>
    <n v="2035"/>
    <n v="7"/>
    <n v="6"/>
    <x v="0"/>
    <x v="5"/>
    <n v="1"/>
    <n v="1"/>
    <n v="2"/>
    <n v="0"/>
    <n v="0"/>
    <n v="0"/>
    <n v="0"/>
    <n v="63800"/>
    <n v="40000"/>
    <x v="0"/>
    <x v="0"/>
    <x v="1"/>
    <x v="2"/>
    <x v="1"/>
  </r>
  <r>
    <n v="304"/>
    <x v="1"/>
    <x v="0"/>
    <s v="W"/>
    <n v="649840"/>
    <n v="2256"/>
    <n v="6"/>
    <n v="17"/>
    <x v="0"/>
    <x v="3"/>
    <n v="1"/>
    <n v="2"/>
    <n v="0"/>
    <n v="0"/>
    <n v="0"/>
    <n v="0"/>
    <n v="0"/>
    <n v="8400"/>
    <n v="7000"/>
    <x v="1"/>
    <x v="1"/>
    <x v="1"/>
    <x v="2"/>
    <x v="1"/>
  </r>
  <r>
    <n v="305"/>
    <x v="1"/>
    <x v="0"/>
    <s v="W"/>
    <n v="380320"/>
    <n v="1545"/>
    <n v="-40"/>
    <n v="-24"/>
    <x v="0"/>
    <x v="5"/>
    <n v="1"/>
    <n v="2"/>
    <n v="1"/>
    <n v="0"/>
    <n v="0"/>
    <n v="0"/>
    <n v="0"/>
    <n v="30900"/>
    <n v="20000"/>
    <x v="1"/>
    <x v="1"/>
    <x v="1"/>
    <x v="2"/>
    <x v="1"/>
  </r>
  <r>
    <n v="306"/>
    <x v="1"/>
    <x v="0"/>
    <s v="W"/>
    <n v="401730"/>
    <n v="1329"/>
    <n v="-32"/>
    <n v="-31"/>
    <x v="0"/>
    <x v="3"/>
    <n v="2"/>
    <n v="0"/>
    <n v="1"/>
    <n v="0"/>
    <n v="0"/>
    <n v="0"/>
    <n v="0"/>
    <n v="91700"/>
    <n v="90000"/>
    <x v="1"/>
    <x v="1"/>
    <x v="1"/>
    <x v="2"/>
    <x v="1"/>
  </r>
  <r>
    <n v="307"/>
    <x v="1"/>
    <x v="0"/>
    <s v="W"/>
    <n v="459160"/>
    <n v="1714"/>
    <n v="-21"/>
    <n v="-11"/>
    <x v="0"/>
    <x v="1"/>
    <n v="0"/>
    <n v="0"/>
    <n v="1"/>
    <n v="0"/>
    <n v="0"/>
    <n v="0"/>
    <n v="0"/>
    <n v="40000"/>
    <n v="40000"/>
    <x v="0"/>
    <x v="0"/>
    <x v="1"/>
    <x v="2"/>
    <x v="1"/>
  </r>
  <r>
    <n v="308"/>
    <x v="1"/>
    <x v="0"/>
    <s v="N"/>
    <n v="285990"/>
    <n v="1109"/>
    <n v="67"/>
    <n v="62"/>
    <x v="0"/>
    <x v="1"/>
    <n v="0"/>
    <n v="1"/>
    <n v="0"/>
    <n v="0"/>
    <n v="0"/>
    <n v="0"/>
    <n v="0"/>
    <n v="6000"/>
    <n v="6000"/>
    <x v="0"/>
    <x v="0"/>
    <x v="0"/>
    <x v="2"/>
    <x v="1"/>
  </r>
  <r>
    <n v="309"/>
    <x v="1"/>
    <x v="0"/>
    <s v="W"/>
    <n v="557510"/>
    <n v="1946"/>
    <n v="5"/>
    <n v="8"/>
    <x v="0"/>
    <x v="3"/>
    <n v="2"/>
    <n v="1"/>
    <n v="0"/>
    <n v="0"/>
    <n v="0"/>
    <n v="0"/>
    <n v="0"/>
    <n v="5800"/>
    <n v="5000"/>
    <x v="1"/>
    <x v="1"/>
    <x v="1"/>
    <x v="2"/>
    <x v="1"/>
  </r>
  <r>
    <n v="310"/>
    <x v="1"/>
    <x v="0"/>
    <s v="W"/>
    <n v="536260"/>
    <n v="1733"/>
    <n v="2"/>
    <n v="-4"/>
    <x v="0"/>
    <x v="2"/>
    <n v="0"/>
    <n v="1"/>
    <n v="1"/>
    <n v="0"/>
    <n v="0"/>
    <n v="0"/>
    <n v="0"/>
    <n v="74000"/>
    <n v="70000"/>
    <x v="0"/>
    <x v="0"/>
    <x v="1"/>
    <x v="2"/>
    <x v="1"/>
  </r>
  <r>
    <n v="311"/>
    <x v="1"/>
    <x v="0"/>
    <s v="N"/>
    <n v="90160"/>
    <n v="425"/>
    <n v="-48"/>
    <n v="-39"/>
    <x v="0"/>
    <x v="0"/>
    <n v="0"/>
    <n v="0"/>
    <n v="0"/>
    <n v="0"/>
    <n v="0"/>
    <n v="0"/>
    <n v="0"/>
    <n v="0"/>
    <n v="0"/>
    <x v="0"/>
    <x v="0"/>
    <x v="0"/>
    <x v="0"/>
    <x v="0"/>
  </r>
  <r>
    <n v="312"/>
    <x v="1"/>
    <x v="0"/>
    <s v="N"/>
    <n v="55350"/>
    <n v="246"/>
    <n v="-65"/>
    <n v="-61"/>
    <x v="0"/>
    <x v="1"/>
    <n v="0"/>
    <n v="1"/>
    <n v="0"/>
    <n v="0"/>
    <n v="0"/>
    <n v="0"/>
    <n v="0"/>
    <n v="3000"/>
    <n v="3000"/>
    <x v="0"/>
    <x v="0"/>
    <x v="0"/>
    <x v="0"/>
    <x v="0"/>
  </r>
  <r>
    <n v="313"/>
    <x v="0"/>
    <x v="0"/>
    <s v="N"/>
    <n v="72780"/>
    <n v="269"/>
    <n v="-48"/>
    <n v="-52"/>
    <x v="0"/>
    <x v="1"/>
    <n v="0"/>
    <n v="1"/>
    <n v="0"/>
    <n v="0"/>
    <n v="0"/>
    <n v="0"/>
    <n v="0"/>
    <n v="3000"/>
    <n v="3000"/>
    <x v="0"/>
    <x v="0"/>
    <x v="0"/>
    <x v="0"/>
    <x v="0"/>
  </r>
  <r>
    <n v="314"/>
    <x v="0"/>
    <x v="0"/>
    <s v="W"/>
    <n v="498400"/>
    <n v="1647"/>
    <n v="-4"/>
    <n v="-8"/>
    <x v="0"/>
    <x v="1"/>
    <n v="1"/>
    <n v="0"/>
    <n v="0"/>
    <n v="0"/>
    <n v="0"/>
    <n v="0"/>
    <n v="0"/>
    <n v="300"/>
    <n v="300"/>
    <x v="0"/>
    <x v="0"/>
    <x v="1"/>
    <x v="2"/>
    <x v="1"/>
  </r>
  <r>
    <n v="315"/>
    <x v="0"/>
    <x v="0"/>
    <s v="N"/>
    <n v="342050"/>
    <n v="1607"/>
    <n v="-2"/>
    <n v="-20"/>
    <x v="0"/>
    <x v="0"/>
    <n v="0"/>
    <n v="0"/>
    <n v="0"/>
    <n v="0"/>
    <n v="0"/>
    <n v="0"/>
    <n v="0"/>
    <n v="0"/>
    <n v="0"/>
    <x v="0"/>
    <x v="0"/>
    <x v="0"/>
    <x v="2"/>
    <x v="1"/>
  </r>
  <r>
    <n v="316"/>
    <x v="0"/>
    <x v="0"/>
    <s v="W"/>
    <n v="434360"/>
    <n v="1584"/>
    <n v="-38"/>
    <n v="-60"/>
    <x v="0"/>
    <x v="2"/>
    <n v="0"/>
    <n v="2"/>
    <n v="0"/>
    <n v="0"/>
    <n v="0"/>
    <n v="0"/>
    <n v="0"/>
    <n v="9000"/>
    <n v="6000"/>
    <x v="1"/>
    <x v="1"/>
    <x v="1"/>
    <x v="2"/>
    <x v="1"/>
  </r>
  <r>
    <n v="317"/>
    <x v="1"/>
    <x v="0"/>
    <s v="W"/>
    <n v="366500"/>
    <n v="1484"/>
    <n v="-46"/>
    <n v="-61"/>
    <x v="0"/>
    <x v="1"/>
    <n v="0"/>
    <n v="0"/>
    <n v="1"/>
    <n v="0"/>
    <n v="0"/>
    <n v="0"/>
    <n v="0"/>
    <n v="30000"/>
    <n v="30000"/>
    <x v="0"/>
    <x v="0"/>
    <x v="1"/>
    <x v="2"/>
    <x v="1"/>
  </r>
  <r>
    <n v="318"/>
    <x v="1"/>
    <x v="0"/>
    <s v="W"/>
    <n v="507230"/>
    <n v="2116"/>
    <n v="-21"/>
    <n v="-40"/>
    <x v="0"/>
    <x v="1"/>
    <n v="0"/>
    <n v="1"/>
    <n v="0"/>
    <n v="0"/>
    <n v="0"/>
    <n v="0"/>
    <n v="0"/>
    <n v="3000"/>
    <n v="3000"/>
    <x v="0"/>
    <x v="0"/>
    <x v="1"/>
    <x v="2"/>
    <x v="1"/>
  </r>
  <r>
    <n v="319"/>
    <x v="1"/>
    <x v="0"/>
    <s v="W"/>
    <n v="388530"/>
    <n v="1539"/>
    <n v="-11"/>
    <n v="-11"/>
    <x v="0"/>
    <x v="2"/>
    <n v="1"/>
    <n v="1"/>
    <n v="0"/>
    <n v="0"/>
    <n v="0"/>
    <n v="0"/>
    <n v="0"/>
    <n v="3200"/>
    <n v="3000"/>
    <x v="1"/>
    <x v="1"/>
    <x v="1"/>
    <x v="2"/>
    <x v="1"/>
  </r>
  <r>
    <n v="320"/>
    <x v="1"/>
    <x v="0"/>
    <s v="W"/>
    <n v="329680"/>
    <n v="1268"/>
    <n v="-24"/>
    <n v="-26"/>
    <x v="0"/>
    <x v="1"/>
    <n v="0"/>
    <n v="0"/>
    <n v="1"/>
    <n v="0"/>
    <n v="0"/>
    <n v="0"/>
    <n v="0"/>
    <n v="70000"/>
    <n v="70000"/>
    <x v="0"/>
    <x v="0"/>
    <x v="1"/>
    <x v="2"/>
    <x v="1"/>
  </r>
  <r>
    <n v="321"/>
    <x v="1"/>
    <x v="0"/>
    <s v="W"/>
    <n v="579440"/>
    <n v="2343"/>
    <n v="38"/>
    <n v="41"/>
    <x v="0"/>
    <x v="1"/>
    <n v="0"/>
    <n v="1"/>
    <n v="0"/>
    <n v="0"/>
    <n v="0"/>
    <n v="0"/>
    <n v="0"/>
    <n v="3000"/>
    <n v="3000"/>
    <x v="0"/>
    <x v="0"/>
    <x v="1"/>
    <x v="2"/>
    <x v="1"/>
  </r>
  <r>
    <n v="322"/>
    <x v="1"/>
    <x v="0"/>
    <s v="W"/>
    <n v="292040"/>
    <n v="1233"/>
    <n v="-33"/>
    <n v="-29"/>
    <x v="0"/>
    <x v="0"/>
    <n v="0"/>
    <n v="0"/>
    <n v="0"/>
    <n v="0"/>
    <n v="0"/>
    <n v="0"/>
    <n v="0"/>
    <n v="0"/>
    <n v="0"/>
    <x v="0"/>
    <x v="0"/>
    <x v="1"/>
    <x v="2"/>
    <x v="1"/>
  </r>
  <r>
    <n v="323"/>
    <x v="0"/>
    <x v="0"/>
    <s v="W"/>
    <n v="261010"/>
    <n v="1352"/>
    <n v="-38"/>
    <n v="-19"/>
    <x v="0"/>
    <x v="2"/>
    <n v="1"/>
    <n v="1"/>
    <n v="0"/>
    <n v="0"/>
    <n v="0"/>
    <n v="0"/>
    <n v="0"/>
    <n v="3700"/>
    <n v="3000"/>
    <x v="1"/>
    <x v="1"/>
    <x v="1"/>
    <x v="2"/>
    <x v="1"/>
  </r>
  <r>
    <n v="324"/>
    <x v="1"/>
    <x v="0"/>
    <s v="W"/>
    <n v="394660"/>
    <n v="1764"/>
    <n v="-2"/>
    <n v="8"/>
    <x v="0"/>
    <x v="3"/>
    <n v="1"/>
    <n v="1"/>
    <n v="1"/>
    <n v="0"/>
    <n v="0"/>
    <n v="0"/>
    <n v="0"/>
    <n v="35900"/>
    <n v="30000"/>
    <x v="1"/>
    <x v="1"/>
    <x v="1"/>
    <x v="2"/>
    <x v="1"/>
  </r>
  <r>
    <n v="325"/>
    <x v="1"/>
    <x v="0"/>
    <s v="W"/>
    <n v="464220"/>
    <n v="1808"/>
    <n v="16"/>
    <n v="10"/>
    <x v="0"/>
    <x v="2"/>
    <n v="1"/>
    <n v="0"/>
    <n v="1"/>
    <n v="0"/>
    <n v="0"/>
    <n v="0"/>
    <n v="0"/>
    <n v="40700"/>
    <n v="40000"/>
    <x v="0"/>
    <x v="0"/>
    <x v="1"/>
    <x v="2"/>
    <x v="1"/>
  </r>
  <r>
    <n v="326"/>
    <x v="1"/>
    <x v="1"/>
    <s v="W"/>
    <n v="393140"/>
    <n v="1685"/>
    <n v="-2"/>
    <n v="2"/>
    <x v="0"/>
    <x v="3"/>
    <n v="2"/>
    <n v="1"/>
    <n v="0"/>
    <n v="0"/>
    <n v="0"/>
    <n v="0"/>
    <n v="0"/>
    <n v="5200"/>
    <n v="4000"/>
    <x v="0"/>
    <x v="0"/>
    <x v="1"/>
    <x v="2"/>
    <x v="1"/>
  </r>
  <r>
    <n v="327"/>
    <x v="1"/>
    <x v="1"/>
    <s v="W"/>
    <n v="742750"/>
    <n v="3037"/>
    <n v="87"/>
    <n v="85"/>
    <x v="0"/>
    <x v="5"/>
    <n v="0"/>
    <n v="4"/>
    <n v="0"/>
    <n v="0"/>
    <n v="0"/>
    <n v="0"/>
    <n v="0"/>
    <n v="18000"/>
    <n v="8000"/>
    <x v="0"/>
    <x v="0"/>
    <x v="1"/>
    <x v="2"/>
    <x v="1"/>
  </r>
  <r>
    <n v="328"/>
    <x v="0"/>
    <x v="1"/>
    <s v="W"/>
    <n v="820600"/>
    <n v="3506"/>
    <n v="92"/>
    <n v="97"/>
    <x v="0"/>
    <x v="2"/>
    <n v="1"/>
    <n v="1"/>
    <n v="0"/>
    <n v="0"/>
    <n v="0"/>
    <n v="0"/>
    <n v="0"/>
    <n v="8700"/>
    <n v="8000"/>
    <x v="1"/>
    <x v="1"/>
    <x v="1"/>
    <x v="2"/>
    <x v="1"/>
  </r>
  <r>
    <n v="329"/>
    <x v="1"/>
    <x v="1"/>
    <s v="W"/>
    <n v="289580"/>
    <n v="1986"/>
    <n v="-38"/>
    <n v="2"/>
    <x v="0"/>
    <x v="2"/>
    <n v="0"/>
    <n v="1"/>
    <n v="1"/>
    <n v="0"/>
    <n v="0"/>
    <n v="0"/>
    <n v="0"/>
    <n v="54000"/>
    <n v="50000"/>
    <x v="0"/>
    <x v="0"/>
    <x v="1"/>
    <x v="2"/>
    <x v="1"/>
  </r>
  <r>
    <n v="330"/>
    <x v="1"/>
    <x v="0"/>
    <s v="W"/>
    <n v="577770"/>
    <n v="2765"/>
    <n v="27"/>
    <n v="38"/>
    <x v="0"/>
    <x v="1"/>
    <n v="0"/>
    <n v="1"/>
    <n v="0"/>
    <n v="0"/>
    <n v="0"/>
    <n v="0"/>
    <n v="0"/>
    <n v="2000"/>
    <n v="2000"/>
    <x v="1"/>
    <x v="1"/>
    <x v="1"/>
    <x v="2"/>
    <x v="1"/>
  </r>
  <r>
    <n v="331"/>
    <x v="1"/>
    <x v="0"/>
    <s v="W"/>
    <n v="347400"/>
    <n v="1684"/>
    <n v="-28"/>
    <n v="-22"/>
    <x v="0"/>
    <x v="2"/>
    <n v="0"/>
    <n v="1"/>
    <n v="1"/>
    <n v="0"/>
    <n v="0"/>
    <n v="0"/>
    <n v="0"/>
    <n v="31000"/>
    <n v="30000"/>
    <x v="0"/>
    <x v="0"/>
    <x v="1"/>
    <x v="2"/>
    <x v="1"/>
  </r>
  <r>
    <n v="332"/>
    <x v="1"/>
    <x v="0"/>
    <s v="N"/>
    <n v="72370"/>
    <n v="581"/>
    <n v="-79"/>
    <n v="-70"/>
    <x v="0"/>
    <x v="0"/>
    <n v="0"/>
    <n v="0"/>
    <n v="0"/>
    <n v="0"/>
    <n v="0"/>
    <n v="0"/>
    <n v="0"/>
    <n v="0"/>
    <n v="0"/>
    <x v="0"/>
    <x v="0"/>
    <x v="0"/>
    <x v="0"/>
    <x v="0"/>
  </r>
  <r>
    <n v="333"/>
    <x v="1"/>
    <x v="0"/>
    <s v="N"/>
    <n v="59210"/>
    <n v="440"/>
    <n v="-82"/>
    <n v="-76"/>
    <x v="0"/>
    <x v="1"/>
    <n v="0"/>
    <n v="1"/>
    <n v="0"/>
    <n v="0"/>
    <n v="0"/>
    <n v="0"/>
    <n v="0"/>
    <n v="2000"/>
    <n v="2000"/>
    <x v="0"/>
    <x v="0"/>
    <x v="0"/>
    <x v="0"/>
    <x v="0"/>
  </r>
  <r>
    <n v="334"/>
    <x v="0"/>
    <x v="0"/>
    <s v="N"/>
    <n v="42560"/>
    <n v="379"/>
    <n v="-73"/>
    <n v="-57"/>
    <x v="0"/>
    <x v="1"/>
    <n v="0"/>
    <n v="1"/>
    <n v="0"/>
    <n v="0"/>
    <n v="0"/>
    <n v="0"/>
    <n v="0"/>
    <n v="4000"/>
    <n v="4000"/>
    <x v="0"/>
    <x v="0"/>
    <x v="0"/>
    <x v="0"/>
    <x v="0"/>
  </r>
  <r>
    <n v="335"/>
    <x v="0"/>
    <x v="0"/>
    <s v="W"/>
    <n v="268170"/>
    <n v="1352"/>
    <n v="-41"/>
    <n v="-35"/>
    <x v="0"/>
    <x v="1"/>
    <n v="1"/>
    <n v="0"/>
    <n v="0"/>
    <n v="0"/>
    <n v="0"/>
    <n v="0"/>
    <n v="0"/>
    <n v="400"/>
    <n v="400"/>
    <x v="1"/>
    <x v="1"/>
    <x v="1"/>
    <x v="2"/>
    <x v="1"/>
  </r>
  <r>
    <n v="336"/>
    <x v="1"/>
    <x v="0"/>
    <s v="W"/>
    <n v="632800"/>
    <n v="2959"/>
    <n v="39"/>
    <n v="41"/>
    <x v="0"/>
    <x v="2"/>
    <n v="0"/>
    <n v="1"/>
    <n v="1"/>
    <n v="0"/>
    <n v="0"/>
    <n v="0"/>
    <n v="0"/>
    <n v="25000"/>
    <n v="20000"/>
    <x v="0"/>
    <x v="0"/>
    <x v="1"/>
    <x v="2"/>
    <x v="1"/>
  </r>
  <r>
    <n v="337"/>
    <x v="1"/>
    <x v="0"/>
    <s v="W"/>
    <n v="332180"/>
    <n v="1890"/>
    <n v="-33"/>
    <n v="-16"/>
    <x v="0"/>
    <x v="1"/>
    <n v="0"/>
    <n v="1"/>
    <n v="0"/>
    <n v="0"/>
    <n v="0"/>
    <n v="0"/>
    <n v="0"/>
    <n v="1000"/>
    <n v="1000"/>
    <x v="1"/>
    <x v="1"/>
    <x v="1"/>
    <x v="2"/>
    <x v="1"/>
  </r>
  <r>
    <n v="338"/>
    <x v="1"/>
    <x v="0"/>
    <s v="W"/>
    <n v="172250"/>
    <n v="1250"/>
    <n v="-43"/>
    <n v="-50"/>
    <x v="0"/>
    <x v="2"/>
    <n v="0"/>
    <n v="1"/>
    <n v="1"/>
    <n v="0"/>
    <n v="0"/>
    <n v="0"/>
    <n v="0"/>
    <n v="73000"/>
    <n v="70000"/>
    <x v="0"/>
    <x v="0"/>
    <x v="1"/>
    <x v="2"/>
    <x v="1"/>
  </r>
  <r>
    <n v="339"/>
    <x v="1"/>
    <x v="0"/>
    <s v="W"/>
    <n v="256850"/>
    <n v="1650"/>
    <n v="-11"/>
    <n v="-31"/>
    <x v="0"/>
    <x v="5"/>
    <n v="4"/>
    <n v="0"/>
    <n v="0"/>
    <n v="0"/>
    <n v="0"/>
    <n v="0"/>
    <n v="0"/>
    <n v="1800"/>
    <n v="700"/>
    <x v="0"/>
    <x v="0"/>
    <x v="1"/>
    <x v="2"/>
    <x v="1"/>
  </r>
  <r>
    <n v="340"/>
    <x v="1"/>
    <x v="0"/>
    <s v="W"/>
    <n v="199030"/>
    <n v="1255"/>
    <n v="-30"/>
    <n v="-45"/>
    <x v="0"/>
    <x v="2"/>
    <n v="2"/>
    <n v="0"/>
    <n v="0"/>
    <n v="0"/>
    <n v="0"/>
    <n v="0"/>
    <n v="0"/>
    <n v="700"/>
    <n v="400"/>
    <x v="1"/>
    <x v="1"/>
    <x v="1"/>
    <x v="2"/>
    <x v="1"/>
  </r>
  <r>
    <n v="341"/>
    <x v="1"/>
    <x v="0"/>
    <s v="W"/>
    <n v="192650"/>
    <n v="1185"/>
    <n v="-8"/>
    <n v="-14"/>
    <x v="0"/>
    <x v="5"/>
    <n v="2"/>
    <n v="1"/>
    <n v="1"/>
    <n v="0"/>
    <n v="0"/>
    <n v="0"/>
    <n v="0"/>
    <n v="27100"/>
    <n v="20000"/>
    <x v="1"/>
    <x v="1"/>
    <x v="1"/>
    <x v="2"/>
    <x v="1"/>
  </r>
  <r>
    <n v="342"/>
    <x v="1"/>
    <x v="0"/>
    <s v="W"/>
    <n v="320110"/>
    <n v="1844"/>
    <n v="54"/>
    <n v="35"/>
    <x v="0"/>
    <x v="2"/>
    <n v="1"/>
    <n v="0"/>
    <n v="1"/>
    <n v="0"/>
    <n v="0"/>
    <n v="0"/>
    <n v="0"/>
    <n v="20600"/>
    <n v="20000"/>
    <x v="1"/>
    <x v="1"/>
    <x v="1"/>
    <x v="2"/>
    <x v="1"/>
  </r>
  <r>
    <n v="343"/>
    <x v="1"/>
    <x v="0"/>
    <s v="W"/>
    <n v="233800"/>
    <n v="1315"/>
    <n v="7"/>
    <n v="-7"/>
    <x v="0"/>
    <x v="3"/>
    <n v="2"/>
    <n v="0"/>
    <n v="1"/>
    <n v="0"/>
    <n v="0"/>
    <n v="0"/>
    <n v="0"/>
    <n v="20700"/>
    <n v="20000"/>
    <x v="0"/>
    <x v="0"/>
    <x v="1"/>
    <x v="2"/>
    <x v="1"/>
  </r>
  <r>
    <n v="344"/>
    <x v="1"/>
    <x v="0"/>
    <s v="W"/>
    <n v="206610"/>
    <n v="1421"/>
    <n v="-7"/>
    <n v="1"/>
    <x v="0"/>
    <x v="2"/>
    <n v="1"/>
    <n v="1"/>
    <n v="0"/>
    <n v="0"/>
    <n v="0"/>
    <n v="0"/>
    <n v="0"/>
    <n v="4200"/>
    <n v="4000"/>
    <x v="1"/>
    <x v="1"/>
    <x v="1"/>
    <x v="2"/>
    <x v="1"/>
  </r>
  <r>
    <n v="345"/>
    <x v="1"/>
    <x v="0"/>
    <s v="W"/>
    <n v="244480"/>
    <n v="1576"/>
    <n v="11"/>
    <n v="12"/>
    <x v="0"/>
    <x v="3"/>
    <n v="2"/>
    <n v="0"/>
    <n v="1"/>
    <n v="0"/>
    <n v="0"/>
    <n v="0"/>
    <n v="0"/>
    <n v="51200"/>
    <n v="50000"/>
    <x v="0"/>
    <x v="0"/>
    <x v="1"/>
    <x v="2"/>
    <x v="1"/>
  </r>
  <r>
    <n v="346"/>
    <x v="1"/>
    <x v="0"/>
    <s v="W"/>
    <n v="430310"/>
    <n v="1955"/>
    <n v="92"/>
    <n v="37"/>
    <x v="0"/>
    <x v="2"/>
    <n v="1"/>
    <n v="1"/>
    <n v="0"/>
    <n v="0"/>
    <n v="0"/>
    <n v="0"/>
    <n v="0"/>
    <n v="1200"/>
    <n v="1000"/>
    <x v="0"/>
    <x v="0"/>
    <x v="1"/>
    <x v="2"/>
    <x v="1"/>
  </r>
  <r>
    <n v="347"/>
    <x v="1"/>
    <x v="0"/>
    <s v="W"/>
    <n v="311200"/>
    <n v="1147"/>
    <n v="-38"/>
    <n v="-62"/>
    <x v="0"/>
    <x v="3"/>
    <n v="1"/>
    <n v="2"/>
    <n v="0"/>
    <n v="0"/>
    <n v="0"/>
    <n v="0"/>
    <n v="0"/>
    <n v="14400"/>
    <n v="9000"/>
    <x v="0"/>
    <x v="0"/>
    <x v="1"/>
    <x v="2"/>
    <x v="1"/>
  </r>
  <r>
    <n v="348"/>
    <x v="0"/>
    <x v="0"/>
    <s v="W"/>
    <n v="478520"/>
    <n v="1493"/>
    <n v="-1"/>
    <n v="-47"/>
    <x v="0"/>
    <x v="5"/>
    <n v="3"/>
    <n v="1"/>
    <n v="0"/>
    <n v="0"/>
    <n v="0"/>
    <n v="0"/>
    <n v="0"/>
    <n v="4300"/>
    <n v="3000"/>
    <x v="0"/>
    <x v="0"/>
    <x v="1"/>
    <x v="2"/>
    <x v="1"/>
  </r>
  <r>
    <n v="349"/>
    <x v="0"/>
    <x v="0"/>
    <s v="N"/>
    <n v="65250"/>
    <n v="450"/>
    <n v="-74"/>
    <n v="-70"/>
    <x v="0"/>
    <x v="0"/>
    <n v="0"/>
    <n v="0"/>
    <n v="0"/>
    <n v="0"/>
    <n v="0"/>
    <n v="0"/>
    <n v="0"/>
    <n v="0"/>
    <n v="0"/>
    <x v="1"/>
    <x v="1"/>
    <x v="0"/>
    <x v="0"/>
    <x v="0"/>
  </r>
  <r>
    <n v="350"/>
    <x v="1"/>
    <x v="0"/>
    <s v="W"/>
    <n v="379670"/>
    <n v="1456"/>
    <n v="-21"/>
    <n v="-45"/>
    <x v="0"/>
    <x v="2"/>
    <n v="0"/>
    <n v="0"/>
    <n v="2"/>
    <n v="0"/>
    <n v="0"/>
    <n v="0"/>
    <n v="0"/>
    <n v="40000"/>
    <n v="20000"/>
    <x v="0"/>
    <x v="0"/>
    <x v="1"/>
    <x v="2"/>
    <x v="1"/>
  </r>
  <r>
    <n v="351"/>
    <x v="1"/>
    <x v="1"/>
    <s v="W"/>
    <n v="887140"/>
    <n v="3327"/>
    <n v="128"/>
    <n v="144"/>
    <x v="1"/>
    <x v="6"/>
    <n v="3"/>
    <n v="2"/>
    <n v="0"/>
    <n v="0"/>
    <n v="0"/>
    <n v="0"/>
    <n v="0"/>
    <n v="6200"/>
    <n v="2000"/>
    <x v="1"/>
    <x v="1"/>
    <x v="1"/>
    <x v="2"/>
    <x v="1"/>
  </r>
  <r>
    <n v="352"/>
    <x v="1"/>
    <x v="1"/>
    <s v="W"/>
    <n v="690550"/>
    <n v="3915"/>
    <n v="28"/>
    <n v="29"/>
    <x v="0"/>
    <x v="3"/>
    <n v="1"/>
    <n v="1"/>
    <n v="1"/>
    <n v="0"/>
    <n v="0"/>
    <n v="0"/>
    <n v="0"/>
    <n v="34400"/>
    <n v="30000"/>
    <x v="1"/>
    <x v="1"/>
    <x v="1"/>
    <x v="2"/>
    <x v="1"/>
  </r>
  <r>
    <n v="353"/>
    <x v="1"/>
    <x v="1"/>
    <s v="W"/>
    <n v="397280"/>
    <n v="1630"/>
    <n v="-29"/>
    <n v="-48"/>
    <x v="0"/>
    <x v="3"/>
    <n v="1"/>
    <n v="1"/>
    <n v="1"/>
    <n v="0"/>
    <n v="0"/>
    <n v="0"/>
    <n v="0"/>
    <n v="31300"/>
    <n v="30000"/>
    <x v="0"/>
    <x v="0"/>
    <x v="1"/>
    <x v="2"/>
    <x v="1"/>
  </r>
  <r>
    <n v="354"/>
    <x v="1"/>
    <x v="0"/>
    <s v="W"/>
    <n v="609620"/>
    <n v="2344"/>
    <n v="11"/>
    <n v="-22"/>
    <x v="0"/>
    <x v="2"/>
    <n v="2"/>
    <n v="0"/>
    <n v="0"/>
    <n v="0"/>
    <n v="0"/>
    <n v="0"/>
    <n v="0"/>
    <n v="900"/>
    <n v="500"/>
    <x v="1"/>
    <x v="1"/>
    <x v="1"/>
    <x v="2"/>
    <x v="1"/>
  </r>
  <r>
    <n v="355"/>
    <x v="1"/>
    <x v="0"/>
    <s v="N"/>
    <n v="136810"/>
    <n v="746"/>
    <n v="-41"/>
    <n v="-47"/>
    <x v="0"/>
    <x v="1"/>
    <n v="0"/>
    <n v="0"/>
    <n v="1"/>
    <n v="0"/>
    <n v="0"/>
    <n v="0"/>
    <n v="0"/>
    <n v="40000"/>
    <n v="40000"/>
    <x v="0"/>
    <x v="0"/>
    <x v="0"/>
    <x v="2"/>
    <x v="1"/>
  </r>
  <r>
    <n v="356"/>
    <x v="1"/>
    <x v="0"/>
    <s v="W"/>
    <n v="358490"/>
    <n v="1231"/>
    <n v="-36"/>
    <n v="-58"/>
    <x v="0"/>
    <x v="1"/>
    <n v="1"/>
    <n v="0"/>
    <n v="0"/>
    <n v="0"/>
    <n v="0"/>
    <n v="0"/>
    <n v="0"/>
    <n v="400"/>
    <n v="400"/>
    <x v="0"/>
    <x v="0"/>
    <x v="1"/>
    <x v="2"/>
    <x v="1"/>
  </r>
  <r>
    <n v="357"/>
    <x v="1"/>
    <x v="0"/>
    <s v="W"/>
    <n v="581540"/>
    <n v="2102"/>
    <n v="7"/>
    <n v="-23"/>
    <x v="0"/>
    <x v="2"/>
    <n v="1"/>
    <n v="1"/>
    <n v="0"/>
    <n v="0"/>
    <n v="0"/>
    <n v="0"/>
    <n v="0"/>
    <n v="6500"/>
    <n v="6000"/>
    <x v="1"/>
    <x v="1"/>
    <x v="1"/>
    <x v="2"/>
    <x v="1"/>
  </r>
  <r>
    <n v="358"/>
    <x v="1"/>
    <x v="0"/>
    <s v="W"/>
    <n v="545470"/>
    <n v="1894"/>
    <n v="-1"/>
    <n v="-29"/>
    <x v="0"/>
    <x v="5"/>
    <n v="1"/>
    <n v="1"/>
    <n v="2"/>
    <n v="0"/>
    <n v="0"/>
    <n v="0"/>
    <n v="0"/>
    <n v="53600"/>
    <n v="30000"/>
    <x v="0"/>
    <x v="0"/>
    <x v="1"/>
    <x v="2"/>
    <x v="1"/>
  </r>
  <r>
    <n v="359"/>
    <x v="1"/>
    <x v="0"/>
    <s v="N"/>
    <n v="102550"/>
    <n v="731"/>
    <n v="-53"/>
    <n v="-45"/>
    <x v="0"/>
    <x v="0"/>
    <n v="0"/>
    <n v="0"/>
    <n v="0"/>
    <n v="0"/>
    <n v="0"/>
    <n v="0"/>
    <n v="0"/>
    <n v="0"/>
    <n v="0"/>
    <x v="0"/>
    <x v="0"/>
    <x v="0"/>
    <x v="2"/>
    <x v="0"/>
  </r>
  <r>
    <n v="360"/>
    <x v="1"/>
    <x v="1"/>
    <s v="N"/>
    <n v="66800"/>
    <n v="441"/>
    <n v="-34"/>
    <n v="-31"/>
    <x v="0"/>
    <x v="0"/>
    <n v="0"/>
    <n v="0"/>
    <n v="0"/>
    <n v="0"/>
    <n v="0"/>
    <n v="0"/>
    <n v="0"/>
    <n v="0"/>
    <n v="0"/>
    <x v="0"/>
    <x v="0"/>
    <x v="0"/>
    <x v="0"/>
    <x v="0"/>
  </r>
  <r>
    <n v="361"/>
    <x v="0"/>
    <x v="1"/>
    <s v="N"/>
    <n v="67210"/>
    <n v="420"/>
    <n v="-31"/>
    <n v="-32"/>
    <x v="0"/>
    <x v="1"/>
    <n v="0"/>
    <n v="1"/>
    <n v="0"/>
    <n v="0"/>
    <n v="0"/>
    <n v="0"/>
    <n v="0"/>
    <n v="4000"/>
    <n v="4000"/>
    <x v="0"/>
    <x v="0"/>
    <x v="0"/>
    <x v="0"/>
    <x v="0"/>
  </r>
  <r>
    <n v="362"/>
    <x v="0"/>
    <x v="1"/>
    <s v="W"/>
    <n v="532290"/>
    <n v="2055"/>
    <n v="-4"/>
    <n v="-19"/>
    <x v="0"/>
    <x v="2"/>
    <n v="0"/>
    <n v="2"/>
    <n v="0"/>
    <n v="0"/>
    <n v="0"/>
    <n v="0"/>
    <n v="0"/>
    <n v="4000"/>
    <n v="2000"/>
    <x v="0"/>
    <x v="0"/>
    <x v="1"/>
    <x v="2"/>
    <x v="1"/>
  </r>
  <r>
    <n v="363"/>
    <x v="0"/>
    <x v="1"/>
    <s v="W"/>
    <n v="511560"/>
    <n v="2205"/>
    <n v="-9"/>
    <n v="-10"/>
    <x v="0"/>
    <x v="6"/>
    <n v="2"/>
    <n v="3"/>
    <n v="0"/>
    <n v="0"/>
    <n v="0"/>
    <n v="0"/>
    <n v="0"/>
    <n v="9700"/>
    <n v="5000"/>
    <x v="0"/>
    <x v="0"/>
    <x v="1"/>
    <x v="2"/>
    <x v="1"/>
  </r>
  <r>
    <n v="364"/>
    <x v="0"/>
    <x v="1"/>
    <s v="W"/>
    <n v="546980"/>
    <n v="2212"/>
    <n v="-3"/>
    <n v="-7"/>
    <x v="0"/>
    <x v="1"/>
    <n v="1"/>
    <n v="0"/>
    <n v="0"/>
    <n v="0"/>
    <n v="0"/>
    <n v="0"/>
    <n v="0"/>
    <n v="100"/>
    <n v="100"/>
    <x v="1"/>
    <x v="1"/>
    <x v="1"/>
    <x v="2"/>
    <x v="1"/>
  </r>
  <r>
    <n v="365"/>
    <x v="1"/>
    <x v="0"/>
    <s v="N"/>
    <n v="155980"/>
    <n v="742"/>
    <n v="65"/>
    <n v="24"/>
    <x v="0"/>
    <x v="1"/>
    <n v="0"/>
    <n v="0"/>
    <n v="1"/>
    <n v="0"/>
    <n v="0"/>
    <n v="0"/>
    <n v="0"/>
    <n v="20000"/>
    <n v="20000"/>
    <x v="0"/>
    <x v="0"/>
    <x v="0"/>
    <x v="2"/>
    <x v="1"/>
  </r>
  <r>
    <n v="366"/>
    <x v="1"/>
    <x v="0"/>
    <s v="N"/>
    <n v="12340"/>
    <n v="125"/>
    <n v="-88"/>
    <n v="-79"/>
    <x v="0"/>
    <x v="1"/>
    <n v="1"/>
    <n v="0"/>
    <n v="0"/>
    <n v="0"/>
    <n v="0"/>
    <n v="0"/>
    <n v="0"/>
    <n v="400"/>
    <n v="400"/>
    <x v="0"/>
    <x v="0"/>
    <x v="0"/>
    <x v="0"/>
    <x v="0"/>
  </r>
  <r>
    <n v="367"/>
    <x v="1"/>
    <x v="0"/>
    <s v="N"/>
    <n v="5920"/>
    <n v="82"/>
    <n v="-94"/>
    <n v="-85"/>
    <x v="0"/>
    <x v="0"/>
    <n v="0"/>
    <n v="0"/>
    <n v="0"/>
    <n v="0"/>
    <n v="0"/>
    <n v="0"/>
    <n v="0"/>
    <n v="0"/>
    <n v="0"/>
    <x v="0"/>
    <x v="0"/>
    <x v="0"/>
    <x v="1"/>
    <x v="0"/>
  </r>
  <r>
    <n v="368"/>
    <x v="0"/>
    <x v="0"/>
    <s v="N"/>
    <n v="4150"/>
    <n v="67"/>
    <n v="-95"/>
    <n v="-87"/>
    <x v="0"/>
    <x v="0"/>
    <n v="0"/>
    <n v="0"/>
    <n v="0"/>
    <n v="0"/>
    <n v="0"/>
    <n v="0"/>
    <n v="0"/>
    <n v="0"/>
    <n v="0"/>
    <x v="0"/>
    <x v="0"/>
    <x v="0"/>
    <x v="1"/>
    <x v="0"/>
  </r>
  <r>
    <n v="369"/>
    <x v="0"/>
    <x v="0"/>
    <s v="N"/>
    <n v="10420"/>
    <n v="62"/>
    <n v="-85"/>
    <n v="-86"/>
    <x v="0"/>
    <x v="1"/>
    <n v="0"/>
    <n v="1"/>
    <n v="0"/>
    <n v="0"/>
    <n v="0"/>
    <n v="0"/>
    <n v="0"/>
    <n v="1000"/>
    <n v="1000"/>
    <x v="0"/>
    <x v="0"/>
    <x v="0"/>
    <x v="0"/>
    <x v="0"/>
  </r>
  <r>
    <n v="370"/>
    <x v="0"/>
    <x v="0"/>
    <s v="N"/>
    <n v="2970"/>
    <n v="50"/>
    <n v="-95"/>
    <n v="-87"/>
    <x v="0"/>
    <x v="0"/>
    <n v="0"/>
    <n v="0"/>
    <n v="0"/>
    <n v="0"/>
    <n v="0"/>
    <n v="0"/>
    <n v="0"/>
    <n v="0"/>
    <n v="0"/>
    <x v="0"/>
    <x v="0"/>
    <x v="0"/>
    <x v="1"/>
    <x v="0"/>
  </r>
  <r>
    <n v="371"/>
    <x v="0"/>
    <x v="0"/>
    <s v="N"/>
    <n v="4230"/>
    <n v="48"/>
    <n v="-92"/>
    <n v="-85"/>
    <x v="0"/>
    <x v="0"/>
    <n v="0"/>
    <n v="0"/>
    <n v="0"/>
    <n v="0"/>
    <n v="0"/>
    <n v="0"/>
    <n v="0"/>
    <n v="0"/>
    <n v="0"/>
    <x v="0"/>
    <x v="0"/>
    <x v="0"/>
    <x v="1"/>
    <x v="0"/>
  </r>
  <r>
    <n v="372"/>
    <x v="0"/>
    <x v="0"/>
    <s v="N"/>
    <n v="3210"/>
    <n v="47"/>
    <n v="-93"/>
    <n v="-82"/>
    <x v="0"/>
    <x v="0"/>
    <n v="0"/>
    <n v="0"/>
    <n v="0"/>
    <n v="0"/>
    <n v="0"/>
    <n v="0"/>
    <n v="0"/>
    <n v="0"/>
    <n v="0"/>
    <x v="0"/>
    <x v="0"/>
    <x v="0"/>
    <x v="1"/>
    <x v="0"/>
  </r>
  <r>
    <n v="373"/>
    <x v="0"/>
    <x v="0"/>
    <s v="N"/>
    <n v="3550"/>
    <n v="38"/>
    <n v="-89"/>
    <n v="-82"/>
    <x v="0"/>
    <x v="0"/>
    <n v="0"/>
    <n v="0"/>
    <n v="0"/>
    <n v="0"/>
    <n v="0"/>
    <n v="0"/>
    <n v="0"/>
    <n v="0"/>
    <n v="0"/>
    <x v="0"/>
    <x v="0"/>
    <x v="0"/>
    <x v="1"/>
    <x v="0"/>
  </r>
  <r>
    <n v="374"/>
    <x v="0"/>
    <x v="0"/>
    <s v="N"/>
    <n v="3170"/>
    <n v="36"/>
    <n v="-88"/>
    <n v="-79"/>
    <x v="0"/>
    <x v="0"/>
    <n v="0"/>
    <n v="0"/>
    <n v="0"/>
    <n v="0"/>
    <n v="0"/>
    <n v="0"/>
    <n v="0"/>
    <n v="0"/>
    <n v="0"/>
    <x v="0"/>
    <x v="0"/>
    <x v="0"/>
    <x v="1"/>
    <x v="0"/>
  </r>
  <r>
    <n v="375"/>
    <x v="0"/>
    <x v="0"/>
    <s v="N"/>
    <n v="4490"/>
    <n v="35"/>
    <n v="-78"/>
    <n v="-73"/>
    <x v="0"/>
    <x v="0"/>
    <n v="0"/>
    <n v="0"/>
    <n v="0"/>
    <n v="0"/>
    <n v="0"/>
    <n v="0"/>
    <n v="0"/>
    <n v="0"/>
    <n v="0"/>
    <x v="0"/>
    <x v="0"/>
    <x v="0"/>
    <x v="1"/>
    <x v="0"/>
  </r>
  <r>
    <n v="376"/>
    <x v="0"/>
    <x v="0"/>
    <s v="N"/>
    <n v="8790"/>
    <n v="53"/>
    <n v="-91"/>
    <n v="-91"/>
    <x v="0"/>
    <x v="1"/>
    <n v="0"/>
    <n v="1"/>
    <n v="0"/>
    <n v="0"/>
    <n v="0"/>
    <n v="0"/>
    <n v="0"/>
    <n v="3000"/>
    <n v="3000"/>
    <x v="0"/>
    <x v="0"/>
    <x v="0"/>
    <x v="1"/>
    <x v="0"/>
  </r>
  <r>
    <n v="377"/>
    <x v="0"/>
    <x v="0"/>
    <s v="W"/>
    <n v="55730"/>
    <n v="387"/>
    <n v="-89"/>
    <n v="-87"/>
    <x v="0"/>
    <x v="3"/>
    <n v="2"/>
    <n v="1"/>
    <n v="0"/>
    <n v="0"/>
    <n v="0"/>
    <n v="0"/>
    <n v="0"/>
    <n v="9600"/>
    <n v="8000"/>
    <x v="1"/>
    <x v="1"/>
    <x v="1"/>
    <x v="0"/>
    <x v="0"/>
  </r>
  <r>
    <n v="378"/>
    <x v="1"/>
    <x v="0"/>
    <s v="W"/>
    <n v="94740"/>
    <n v="732"/>
    <n v="-79"/>
    <n v="-73"/>
    <x v="0"/>
    <x v="3"/>
    <n v="2"/>
    <n v="0"/>
    <n v="1"/>
    <n v="0"/>
    <n v="0"/>
    <n v="0"/>
    <n v="0"/>
    <n v="21000"/>
    <n v="20000"/>
    <x v="0"/>
    <x v="0"/>
    <x v="1"/>
    <x v="0"/>
    <x v="0"/>
  </r>
  <r>
    <n v="379"/>
    <x v="1"/>
    <x v="0"/>
    <s v="W"/>
    <n v="91510"/>
    <n v="768"/>
    <n v="-78"/>
    <n v="-69"/>
    <x v="0"/>
    <x v="3"/>
    <n v="2"/>
    <n v="1"/>
    <n v="0"/>
    <n v="0"/>
    <n v="0"/>
    <n v="0"/>
    <n v="0"/>
    <n v="5900"/>
    <n v="5000"/>
    <x v="1"/>
    <x v="1"/>
    <x v="1"/>
    <x v="0"/>
    <x v="0"/>
  </r>
  <r>
    <n v="380"/>
    <x v="1"/>
    <x v="0"/>
    <s v="W"/>
    <n v="92450"/>
    <n v="777"/>
    <n v="15"/>
    <n v="24"/>
    <x v="0"/>
    <x v="5"/>
    <n v="1"/>
    <n v="2"/>
    <n v="1"/>
    <n v="0"/>
    <n v="0"/>
    <n v="0"/>
    <n v="0"/>
    <n v="27600"/>
    <n v="10000"/>
    <x v="0"/>
    <x v="0"/>
    <x v="1"/>
    <x v="0"/>
    <x v="0"/>
  </r>
  <r>
    <n v="381"/>
    <x v="0"/>
    <x v="0"/>
    <s v="W"/>
    <n v="189840"/>
    <n v="1276"/>
    <n v="-50"/>
    <n v="-45"/>
    <x v="0"/>
    <x v="7"/>
    <n v="1"/>
    <n v="5"/>
    <n v="0"/>
    <n v="0"/>
    <n v="0"/>
    <n v="0"/>
    <n v="0"/>
    <n v="17900"/>
    <n v="7000"/>
    <x v="1"/>
    <x v="1"/>
    <x v="1"/>
    <x v="2"/>
    <x v="1"/>
  </r>
  <r>
    <n v="382"/>
    <x v="1"/>
    <x v="0"/>
    <s v="W"/>
    <n v="108010"/>
    <n v="889"/>
    <n v="-70"/>
    <n v="-60"/>
    <x v="0"/>
    <x v="5"/>
    <n v="1"/>
    <n v="2"/>
    <n v="1"/>
    <n v="0"/>
    <n v="0"/>
    <n v="0"/>
    <n v="0"/>
    <n v="41200"/>
    <n v="30000"/>
    <x v="0"/>
    <x v="0"/>
    <x v="1"/>
    <x v="2"/>
    <x v="0"/>
  </r>
  <r>
    <n v="383"/>
    <x v="1"/>
    <x v="0"/>
    <s v="W"/>
    <n v="71660"/>
    <n v="532"/>
    <n v="-78"/>
    <n v="-74"/>
    <x v="0"/>
    <x v="2"/>
    <n v="1"/>
    <n v="1"/>
    <n v="0"/>
    <n v="0"/>
    <n v="0"/>
    <n v="0"/>
    <n v="0"/>
    <n v="2800"/>
    <n v="2000"/>
    <x v="0"/>
    <x v="0"/>
    <x v="1"/>
    <x v="0"/>
    <x v="0"/>
  </r>
  <r>
    <n v="384"/>
    <x v="1"/>
    <x v="0"/>
    <s v="W"/>
    <n v="122850"/>
    <n v="886"/>
    <n v="-58"/>
    <n v="-52"/>
    <x v="0"/>
    <x v="3"/>
    <n v="2"/>
    <n v="1"/>
    <n v="0"/>
    <n v="0"/>
    <n v="0"/>
    <n v="0"/>
    <n v="0"/>
    <n v="6900"/>
    <n v="6000"/>
    <x v="1"/>
    <x v="1"/>
    <x v="1"/>
    <x v="2"/>
    <x v="1"/>
  </r>
  <r>
    <n v="385"/>
    <x v="1"/>
    <x v="0"/>
    <s v="W"/>
    <n v="110510"/>
    <n v="708"/>
    <n v="-58"/>
    <n v="-58"/>
    <x v="0"/>
    <x v="5"/>
    <n v="2"/>
    <n v="1"/>
    <n v="1"/>
    <n v="0"/>
    <n v="0"/>
    <n v="0"/>
    <n v="0"/>
    <n v="44200"/>
    <n v="40000"/>
    <x v="0"/>
    <x v="0"/>
    <x v="1"/>
    <x v="2"/>
    <x v="0"/>
  </r>
  <r>
    <n v="386"/>
    <x v="1"/>
    <x v="0"/>
    <s v="W"/>
    <n v="91420"/>
    <n v="774"/>
    <n v="-61"/>
    <n v="-49"/>
    <x v="0"/>
    <x v="5"/>
    <n v="1"/>
    <n v="3"/>
    <n v="0"/>
    <n v="0"/>
    <n v="0"/>
    <n v="0"/>
    <n v="0"/>
    <n v="12700"/>
    <n v="9000"/>
    <x v="1"/>
    <x v="1"/>
    <x v="1"/>
    <x v="0"/>
    <x v="0"/>
  </r>
  <r>
    <n v="387"/>
    <x v="1"/>
    <x v="0"/>
    <s v="W"/>
    <n v="151660"/>
    <n v="900"/>
    <n v="-25"/>
    <n v="-33"/>
    <x v="0"/>
    <x v="4"/>
    <n v="2"/>
    <n v="3"/>
    <n v="2"/>
    <n v="0"/>
    <n v="0"/>
    <n v="0"/>
    <n v="0"/>
    <n v="67700"/>
    <n v="30000"/>
    <x v="0"/>
    <x v="0"/>
    <x v="1"/>
    <x v="2"/>
    <x v="1"/>
  </r>
  <r>
    <n v="388"/>
    <x v="1"/>
    <x v="0"/>
    <s v="W"/>
    <n v="103140"/>
    <n v="762"/>
    <n v="-42"/>
    <n v="-35"/>
    <x v="0"/>
    <x v="3"/>
    <n v="1"/>
    <n v="2"/>
    <n v="0"/>
    <n v="0"/>
    <n v="0"/>
    <n v="0"/>
    <n v="0"/>
    <n v="7500"/>
    <n v="5000"/>
    <x v="0"/>
    <x v="0"/>
    <x v="1"/>
    <x v="2"/>
    <x v="0"/>
  </r>
  <r>
    <n v="389"/>
    <x v="1"/>
    <x v="0"/>
    <s v="W"/>
    <n v="76560"/>
    <n v="586"/>
    <n v="-47"/>
    <n v="-41"/>
    <x v="0"/>
    <x v="6"/>
    <n v="1"/>
    <n v="4"/>
    <n v="0"/>
    <n v="0"/>
    <n v="0"/>
    <n v="0"/>
    <n v="0"/>
    <n v="9500"/>
    <n v="4000"/>
    <x v="0"/>
    <x v="0"/>
    <x v="1"/>
    <x v="0"/>
    <x v="0"/>
  </r>
  <r>
    <n v="390"/>
    <x v="0"/>
    <x v="0"/>
    <s v="W"/>
    <n v="122640"/>
    <n v="979"/>
    <n v="10"/>
    <n v="21"/>
    <x v="0"/>
    <x v="7"/>
    <n v="4"/>
    <n v="2"/>
    <n v="0"/>
    <n v="0"/>
    <n v="0"/>
    <n v="0"/>
    <n v="0"/>
    <n v="9200"/>
    <n v="6000"/>
    <x v="1"/>
    <x v="1"/>
    <x v="1"/>
    <x v="2"/>
    <x v="1"/>
  </r>
  <r>
    <n v="391"/>
    <x v="1"/>
    <x v="1"/>
    <s v="W"/>
    <n v="176830"/>
    <n v="1297"/>
    <n v="54"/>
    <n v="56"/>
    <x v="0"/>
    <x v="6"/>
    <n v="2"/>
    <n v="2"/>
    <n v="1"/>
    <n v="0"/>
    <n v="0"/>
    <n v="0"/>
    <n v="0"/>
    <n v="36200"/>
    <n v="30000"/>
    <x v="0"/>
    <x v="0"/>
    <x v="1"/>
    <x v="2"/>
    <x v="1"/>
  </r>
  <r>
    <n v="392"/>
    <x v="1"/>
    <x v="1"/>
    <s v="W"/>
    <n v="122410"/>
    <n v="902"/>
    <n v="8"/>
    <n v="9"/>
    <x v="0"/>
    <x v="3"/>
    <n v="2"/>
    <n v="1"/>
    <n v="0"/>
    <n v="0"/>
    <n v="0"/>
    <n v="0"/>
    <n v="0"/>
    <n v="3600"/>
    <n v="3000"/>
    <x v="1"/>
    <x v="1"/>
    <x v="1"/>
    <x v="2"/>
    <x v="1"/>
  </r>
  <r>
    <n v="393"/>
    <x v="1"/>
    <x v="1"/>
    <s v="W"/>
    <n v="184710"/>
    <n v="1482"/>
    <n v="61"/>
    <n v="78"/>
    <x v="0"/>
    <x v="8"/>
    <n v="1"/>
    <n v="7"/>
    <n v="1"/>
    <n v="0"/>
    <n v="0"/>
    <n v="0"/>
    <n v="0"/>
    <n v="49800"/>
    <n v="30000"/>
    <x v="0"/>
    <x v="0"/>
    <x v="1"/>
    <x v="2"/>
    <x v="1"/>
  </r>
  <r>
    <n v="394"/>
    <x v="1"/>
    <x v="1"/>
    <s v="W"/>
    <n v="80040"/>
    <n v="751"/>
    <n v="-37"/>
    <n v="-19"/>
    <x v="0"/>
    <x v="2"/>
    <n v="1"/>
    <n v="1"/>
    <n v="0"/>
    <n v="0"/>
    <n v="0"/>
    <n v="0"/>
    <n v="0"/>
    <n v="1600"/>
    <n v="1000"/>
    <x v="0"/>
    <x v="0"/>
    <x v="1"/>
    <x v="0"/>
    <x v="0"/>
  </r>
  <r>
    <n v="395"/>
    <x v="1"/>
    <x v="2"/>
    <s v="N"/>
    <n v="18900"/>
    <n v="208"/>
    <n v="-81"/>
    <n v="-67"/>
    <x v="0"/>
    <x v="1"/>
    <n v="0"/>
    <n v="1"/>
    <n v="0"/>
    <n v="0"/>
    <n v="0"/>
    <n v="0"/>
    <n v="0"/>
    <n v="3000"/>
    <n v="3000"/>
    <x v="0"/>
    <x v="0"/>
    <x v="0"/>
    <x v="0"/>
    <x v="0"/>
  </r>
  <r>
    <n v="396"/>
    <x v="0"/>
    <x v="2"/>
    <s v="N"/>
    <n v="11350"/>
    <n v="94"/>
    <n v="-87"/>
    <n v="-84"/>
    <x v="0"/>
    <x v="0"/>
    <n v="0"/>
    <n v="0"/>
    <n v="0"/>
    <n v="0"/>
    <n v="0"/>
    <n v="0"/>
    <n v="0"/>
    <n v="0"/>
    <n v="0"/>
    <x v="0"/>
    <x v="0"/>
    <x v="0"/>
    <x v="0"/>
    <x v="0"/>
  </r>
  <r>
    <n v="397"/>
    <x v="0"/>
    <x v="2"/>
    <s v="N"/>
    <n v="10490"/>
    <n v="93"/>
    <n v="-87"/>
    <n v="-82"/>
    <x v="0"/>
    <x v="1"/>
    <n v="0"/>
    <n v="1"/>
    <n v="0"/>
    <n v="0"/>
    <n v="0"/>
    <n v="0"/>
    <n v="0"/>
    <n v="3000"/>
    <n v="3000"/>
    <x v="0"/>
    <x v="0"/>
    <x v="0"/>
    <x v="0"/>
    <x v="0"/>
  </r>
  <r>
    <n v="398"/>
    <x v="0"/>
    <x v="2"/>
    <s v="W"/>
    <n v="83180"/>
    <n v="744"/>
    <n v="-32"/>
    <n v="-19"/>
    <x v="0"/>
    <x v="3"/>
    <n v="1"/>
    <n v="2"/>
    <n v="0"/>
    <n v="0"/>
    <n v="0"/>
    <n v="0"/>
    <n v="0"/>
    <n v="14600"/>
    <n v="9000"/>
    <x v="1"/>
    <x v="1"/>
    <x v="1"/>
    <x v="0"/>
    <x v="0"/>
  </r>
  <r>
    <n v="399"/>
    <x v="1"/>
    <x v="1"/>
    <s v="W"/>
    <n v="127770"/>
    <n v="1141"/>
    <n v="7"/>
    <n v="24"/>
    <x v="0"/>
    <x v="5"/>
    <n v="2"/>
    <n v="1"/>
    <n v="1"/>
    <n v="0"/>
    <n v="0"/>
    <n v="0"/>
    <n v="0"/>
    <n v="44400"/>
    <n v="40000"/>
    <x v="0"/>
    <x v="0"/>
    <x v="1"/>
    <x v="2"/>
    <x v="1"/>
  </r>
  <r>
    <n v="400"/>
    <x v="1"/>
    <x v="1"/>
    <s v="W"/>
    <n v="108260"/>
    <n v="891"/>
    <n v="-12"/>
    <n v="-7"/>
    <x v="0"/>
    <x v="6"/>
    <n v="3"/>
    <n v="2"/>
    <n v="0"/>
    <n v="0"/>
    <n v="0"/>
    <n v="0"/>
    <n v="0"/>
    <n v="6000"/>
    <n v="3000"/>
    <x v="0"/>
    <x v="0"/>
    <x v="1"/>
    <x v="2"/>
    <x v="0"/>
  </r>
  <r>
    <n v="401"/>
    <x v="1"/>
    <x v="0"/>
    <s v="W"/>
    <n v="19520"/>
    <n v="211"/>
    <n v="-2"/>
    <n v="6"/>
    <x v="0"/>
    <x v="2"/>
    <n v="1"/>
    <n v="1"/>
    <n v="0"/>
    <n v="0"/>
    <n v="0"/>
    <n v="0"/>
    <n v="0"/>
    <n v="3200"/>
    <n v="3000"/>
    <x v="1"/>
    <x v="1"/>
    <x v="1"/>
    <x v="0"/>
    <x v="0"/>
  </r>
  <r>
    <n v="402"/>
    <x v="1"/>
    <x v="0"/>
    <s v="W"/>
    <n v="47980"/>
    <n v="382"/>
    <n v="-26"/>
    <n v="-32"/>
    <x v="0"/>
    <x v="3"/>
    <n v="1"/>
    <n v="1"/>
    <n v="1"/>
    <n v="0"/>
    <n v="0"/>
    <n v="0"/>
    <n v="0"/>
    <n v="38600"/>
    <n v="30000"/>
    <x v="0"/>
    <x v="0"/>
    <x v="1"/>
    <x v="0"/>
    <x v="0"/>
  </r>
  <r>
    <n v="403"/>
    <x v="1"/>
    <x v="0"/>
    <s v="W"/>
    <n v="54050"/>
    <n v="373"/>
    <n v="-14"/>
    <n v="-31"/>
    <x v="0"/>
    <x v="3"/>
    <n v="1"/>
    <n v="2"/>
    <n v="0"/>
    <n v="0"/>
    <n v="0"/>
    <n v="0"/>
    <n v="0"/>
    <n v="9400"/>
    <n v="6000"/>
    <x v="0"/>
    <x v="0"/>
    <x v="1"/>
    <x v="0"/>
    <x v="0"/>
  </r>
  <r>
    <n v="404"/>
    <x v="1"/>
    <x v="0"/>
    <s v="W"/>
    <n v="38180"/>
    <n v="322"/>
    <n v="-6"/>
    <n v="0"/>
    <x v="0"/>
    <x v="3"/>
    <n v="1"/>
    <n v="2"/>
    <n v="0"/>
    <n v="0"/>
    <n v="0"/>
    <n v="0"/>
    <n v="0"/>
    <n v="11500"/>
    <n v="8000"/>
    <x v="1"/>
    <x v="1"/>
    <x v="1"/>
    <x v="0"/>
    <x v="0"/>
  </r>
  <r>
    <n v="405"/>
    <x v="1"/>
    <x v="1"/>
    <s v="W"/>
    <n v="68970"/>
    <n v="624"/>
    <n v="71"/>
    <n v="94"/>
    <x v="0"/>
    <x v="6"/>
    <n v="2"/>
    <n v="2"/>
    <n v="1"/>
    <n v="0"/>
    <n v="0"/>
    <n v="0"/>
    <n v="0"/>
    <n v="34400"/>
    <n v="20000"/>
    <x v="1"/>
    <x v="1"/>
    <x v="1"/>
    <x v="0"/>
    <x v="0"/>
  </r>
  <r>
    <n v="406"/>
    <x v="1"/>
    <x v="1"/>
    <s v="W"/>
    <n v="29400"/>
    <n v="331"/>
    <n v="-32"/>
    <n v="-6"/>
    <x v="0"/>
    <x v="2"/>
    <n v="0"/>
    <n v="1"/>
    <n v="1"/>
    <n v="0"/>
    <n v="0"/>
    <n v="0"/>
    <n v="0"/>
    <n v="22000"/>
    <n v="20000"/>
    <x v="0"/>
    <x v="0"/>
    <x v="1"/>
    <x v="0"/>
    <x v="0"/>
  </r>
  <r>
    <n v="407"/>
    <x v="1"/>
    <x v="1"/>
    <s v="W"/>
    <n v="36100"/>
    <n v="285"/>
    <n v="-14"/>
    <n v="-19"/>
    <x v="0"/>
    <x v="7"/>
    <n v="3"/>
    <n v="3"/>
    <n v="0"/>
    <n v="0"/>
    <n v="0"/>
    <n v="0"/>
    <n v="0"/>
    <n v="14300"/>
    <n v="9000"/>
    <x v="1"/>
    <x v="1"/>
    <x v="1"/>
    <x v="0"/>
    <x v="0"/>
  </r>
  <r>
    <n v="408"/>
    <x v="1"/>
    <x v="0"/>
    <s v="W"/>
    <n v="45170"/>
    <n v="557"/>
    <n v="9"/>
    <n v="59"/>
    <x v="0"/>
    <x v="3"/>
    <n v="2"/>
    <n v="0"/>
    <n v="1"/>
    <n v="0"/>
    <n v="0"/>
    <n v="0"/>
    <n v="0"/>
    <n v="70700"/>
    <n v="70000"/>
    <x v="0"/>
    <x v="0"/>
    <x v="1"/>
    <x v="0"/>
    <x v="0"/>
  </r>
  <r>
    <n v="409"/>
    <x v="1"/>
    <x v="0"/>
    <s v="W"/>
    <n v="38010"/>
    <n v="410"/>
    <n v="-10"/>
    <n v="10"/>
    <x v="0"/>
    <x v="1"/>
    <n v="0"/>
    <n v="1"/>
    <n v="0"/>
    <n v="0"/>
    <n v="0"/>
    <n v="0"/>
    <n v="0"/>
    <n v="1000"/>
    <n v="1000"/>
    <x v="0"/>
    <x v="0"/>
    <x v="1"/>
    <x v="0"/>
    <x v="0"/>
  </r>
  <r>
    <n v="410"/>
    <x v="1"/>
    <x v="0"/>
    <s v="W"/>
    <n v="22090"/>
    <n v="174"/>
    <n v="-47"/>
    <n v="-54"/>
    <x v="0"/>
    <x v="5"/>
    <n v="1"/>
    <n v="3"/>
    <n v="0"/>
    <n v="0"/>
    <n v="0"/>
    <n v="0"/>
    <n v="0"/>
    <n v="8800"/>
    <n v="5000"/>
    <x v="0"/>
    <x v="0"/>
    <x v="1"/>
    <x v="0"/>
    <x v="0"/>
  </r>
  <r>
    <n v="411"/>
    <x v="0"/>
    <x v="0"/>
    <s v="W"/>
    <n v="34600"/>
    <n v="389"/>
    <n v="-13"/>
    <n v="6"/>
    <x v="0"/>
    <x v="5"/>
    <n v="0"/>
    <n v="4"/>
    <n v="0"/>
    <n v="0"/>
    <n v="0"/>
    <n v="0"/>
    <n v="0"/>
    <n v="15000"/>
    <n v="8000"/>
    <x v="1"/>
    <x v="1"/>
    <x v="1"/>
    <x v="0"/>
    <x v="0"/>
  </r>
  <r>
    <n v="412"/>
    <x v="1"/>
    <x v="0"/>
    <s v="W"/>
    <n v="22860"/>
    <n v="313"/>
    <n v="-42"/>
    <n v="-16"/>
    <x v="0"/>
    <x v="7"/>
    <n v="1"/>
    <n v="3"/>
    <n v="2"/>
    <n v="0"/>
    <n v="0"/>
    <n v="0"/>
    <n v="0"/>
    <n v="70500"/>
    <n v="50000"/>
    <x v="0"/>
    <x v="0"/>
    <x v="1"/>
    <x v="0"/>
    <x v="0"/>
  </r>
  <r>
    <n v="413"/>
    <x v="1"/>
    <x v="0"/>
    <s v="W"/>
    <n v="25940"/>
    <n v="233"/>
    <n v="-31"/>
    <n v="-37"/>
    <x v="0"/>
    <x v="6"/>
    <n v="1"/>
    <n v="4"/>
    <n v="0"/>
    <n v="0"/>
    <n v="0"/>
    <n v="0"/>
    <n v="0"/>
    <n v="15400"/>
    <n v="7000"/>
    <x v="0"/>
    <x v="0"/>
    <x v="1"/>
    <x v="0"/>
    <x v="0"/>
  </r>
  <r>
    <n v="414"/>
    <x v="1"/>
    <x v="0"/>
    <s v="W"/>
    <n v="45670"/>
    <n v="382"/>
    <n v="26"/>
    <n v="5"/>
    <x v="0"/>
    <x v="6"/>
    <n v="1"/>
    <n v="4"/>
    <n v="0"/>
    <n v="0"/>
    <n v="0"/>
    <n v="0"/>
    <n v="0"/>
    <n v="10800"/>
    <n v="5000"/>
    <x v="1"/>
    <x v="1"/>
    <x v="1"/>
    <x v="0"/>
    <x v="0"/>
  </r>
  <r>
    <n v="415"/>
    <x v="1"/>
    <x v="0"/>
    <s v="W"/>
    <n v="26190"/>
    <n v="246"/>
    <n v="-29"/>
    <n v="-33"/>
    <x v="0"/>
    <x v="3"/>
    <n v="2"/>
    <n v="0"/>
    <n v="1"/>
    <n v="0"/>
    <n v="0"/>
    <n v="0"/>
    <n v="0"/>
    <n v="20500"/>
    <n v="20000"/>
    <x v="0"/>
    <x v="0"/>
    <x v="1"/>
    <x v="0"/>
    <x v="0"/>
  </r>
  <r>
    <n v="416"/>
    <x v="1"/>
    <x v="0"/>
    <s v="W"/>
    <n v="21970"/>
    <n v="183"/>
    <n v="-33"/>
    <n v="-45"/>
    <x v="0"/>
    <x v="6"/>
    <n v="3"/>
    <n v="2"/>
    <n v="0"/>
    <n v="0"/>
    <n v="0"/>
    <n v="0"/>
    <n v="0"/>
    <n v="11500"/>
    <n v="9000"/>
    <x v="0"/>
    <x v="0"/>
    <x v="1"/>
    <x v="0"/>
    <x v="0"/>
  </r>
  <r>
    <n v="417"/>
    <x v="1"/>
    <x v="0"/>
    <s v="W"/>
    <n v="19120"/>
    <n v="194"/>
    <n v="-40"/>
    <n v="-39"/>
    <x v="0"/>
    <x v="3"/>
    <n v="1"/>
    <n v="2"/>
    <n v="0"/>
    <n v="0"/>
    <n v="0"/>
    <n v="0"/>
    <n v="0"/>
    <n v="9300"/>
    <n v="6000"/>
    <x v="0"/>
    <x v="0"/>
    <x v="1"/>
    <x v="0"/>
    <x v="0"/>
  </r>
  <r>
    <n v="418"/>
    <x v="0"/>
    <x v="0"/>
    <s v="N"/>
    <n v="5180"/>
    <n v="73"/>
    <n v="-74"/>
    <n v="-51"/>
    <x v="0"/>
    <x v="1"/>
    <n v="1"/>
    <n v="0"/>
    <n v="0"/>
    <n v="0"/>
    <n v="0"/>
    <n v="0"/>
    <n v="0"/>
    <n v="400"/>
    <n v="400"/>
    <x v="0"/>
    <x v="0"/>
    <x v="0"/>
    <x v="1"/>
    <x v="0"/>
  </r>
  <r>
    <n v="419"/>
    <x v="0"/>
    <x v="1"/>
    <s v="W"/>
    <n v="17660"/>
    <n v="224"/>
    <n v="-41"/>
    <n v="-27"/>
    <x v="0"/>
    <x v="6"/>
    <n v="2"/>
    <n v="3"/>
    <n v="0"/>
    <n v="0"/>
    <n v="0"/>
    <n v="0"/>
    <n v="0"/>
    <n v="9900"/>
    <n v="4000"/>
    <x v="1"/>
    <x v="1"/>
    <x v="1"/>
    <x v="0"/>
    <x v="0"/>
  </r>
  <r>
    <n v="420"/>
    <x v="1"/>
    <x v="1"/>
    <s v="W"/>
    <n v="44020"/>
    <n v="528"/>
    <n v="61"/>
    <n v="92"/>
    <x v="0"/>
    <x v="4"/>
    <n v="3"/>
    <n v="3"/>
    <n v="1"/>
    <n v="0"/>
    <n v="0"/>
    <n v="0"/>
    <n v="0"/>
    <n v="25100"/>
    <n v="20000"/>
    <x v="0"/>
    <x v="0"/>
    <x v="1"/>
    <x v="0"/>
    <x v="0"/>
  </r>
  <r>
    <n v="421"/>
    <x v="1"/>
    <x v="1"/>
    <s v="W"/>
    <n v="54610"/>
    <n v="527"/>
    <n v="95"/>
    <n v="84"/>
    <x v="0"/>
    <x v="7"/>
    <n v="1"/>
    <n v="5"/>
    <n v="0"/>
    <n v="0"/>
    <n v="0"/>
    <n v="0"/>
    <n v="0"/>
    <n v="14700"/>
    <n v="4000"/>
    <x v="1"/>
    <x v="1"/>
    <x v="1"/>
    <x v="0"/>
    <x v="0"/>
  </r>
  <r>
    <n v="422"/>
    <x v="1"/>
    <x v="1"/>
    <s v="W"/>
    <n v="29410"/>
    <n v="345"/>
    <n v="-6"/>
    <n v="7"/>
    <x v="0"/>
    <x v="4"/>
    <n v="1"/>
    <n v="3"/>
    <n v="3"/>
    <n v="0"/>
    <n v="0"/>
    <n v="0"/>
    <n v="0"/>
    <n v="114400"/>
    <n v="70000"/>
    <x v="1"/>
    <x v="1"/>
    <x v="1"/>
    <x v="0"/>
    <x v="0"/>
  </r>
  <r>
    <n v="423"/>
    <x v="1"/>
    <x v="1"/>
    <s v="W"/>
    <n v="60390"/>
    <n v="622"/>
    <n v="96"/>
    <n v="96"/>
    <x v="0"/>
    <x v="8"/>
    <n v="4"/>
    <n v="4"/>
    <n v="1"/>
    <n v="0"/>
    <n v="0"/>
    <n v="0"/>
    <n v="0"/>
    <n v="40600"/>
    <n v="20000"/>
    <x v="1"/>
    <x v="1"/>
    <x v="1"/>
    <x v="0"/>
    <x v="0"/>
  </r>
  <r>
    <n v="424"/>
    <x v="1"/>
    <x v="0"/>
    <s v="W"/>
    <n v="52990"/>
    <n v="483"/>
    <n v="54"/>
    <n v="39"/>
    <x v="0"/>
    <x v="6"/>
    <n v="3"/>
    <n v="0"/>
    <n v="2"/>
    <n v="0"/>
    <n v="0"/>
    <n v="0"/>
    <n v="0"/>
    <n v="71300"/>
    <n v="50000"/>
    <x v="0"/>
    <x v="0"/>
    <x v="1"/>
    <x v="0"/>
    <x v="0"/>
  </r>
  <r>
    <n v="425"/>
    <x v="1"/>
    <x v="1"/>
    <s v="W"/>
    <n v="39330"/>
    <n v="409"/>
    <n v="6"/>
    <n v="10"/>
    <x v="0"/>
    <x v="7"/>
    <n v="4"/>
    <n v="2"/>
    <n v="0"/>
    <n v="0"/>
    <n v="0"/>
    <n v="0"/>
    <n v="0"/>
    <n v="8200"/>
    <n v="6000"/>
    <x v="1"/>
    <x v="1"/>
    <x v="1"/>
    <x v="0"/>
    <x v="0"/>
  </r>
  <r>
    <n v="426"/>
    <x v="1"/>
    <x v="1"/>
    <s v="W"/>
    <n v="46810"/>
    <n v="552"/>
    <n v="28"/>
    <n v="47"/>
    <x v="0"/>
    <x v="3"/>
    <n v="1"/>
    <n v="1"/>
    <n v="1"/>
    <n v="0"/>
    <n v="0"/>
    <n v="0"/>
    <n v="0"/>
    <n v="27500"/>
    <n v="20000"/>
    <x v="0"/>
    <x v="0"/>
    <x v="1"/>
    <x v="0"/>
    <x v="0"/>
  </r>
  <r>
    <n v="427"/>
    <x v="1"/>
    <x v="1"/>
    <s v="W"/>
    <n v="59300"/>
    <n v="690"/>
    <n v="53"/>
    <n v="70"/>
    <x v="0"/>
    <x v="7"/>
    <n v="1"/>
    <n v="5"/>
    <n v="0"/>
    <n v="0"/>
    <n v="0"/>
    <n v="0"/>
    <n v="0"/>
    <n v="25700"/>
    <n v="8000"/>
    <x v="0"/>
    <x v="0"/>
    <x v="1"/>
    <x v="0"/>
    <x v="0"/>
  </r>
  <r>
    <n v="428"/>
    <x v="1"/>
    <x v="1"/>
    <s v="N"/>
    <n v="10370"/>
    <n v="134"/>
    <n v="-44"/>
    <n v="-6"/>
    <x v="0"/>
    <x v="3"/>
    <n v="1"/>
    <n v="2"/>
    <n v="0"/>
    <n v="0"/>
    <n v="0"/>
    <n v="0"/>
    <n v="0"/>
    <n v="6300"/>
    <n v="4000"/>
    <x v="1"/>
    <x v="1"/>
    <x v="0"/>
    <x v="0"/>
    <x v="0"/>
  </r>
  <r>
    <n v="429"/>
    <x v="1"/>
    <x v="1"/>
    <s v="W"/>
    <n v="47500"/>
    <n v="668"/>
    <n v="12"/>
    <n v="46"/>
    <x v="0"/>
    <x v="9"/>
    <n v="4"/>
    <n v="2"/>
    <n v="2"/>
    <n v="0"/>
    <n v="0"/>
    <n v="0"/>
    <n v="0"/>
    <n v="97100"/>
    <n v="50000"/>
    <x v="0"/>
    <x v="0"/>
    <x v="1"/>
    <x v="0"/>
    <x v="0"/>
  </r>
  <r>
    <n v="430"/>
    <x v="1"/>
    <x v="1"/>
    <s v="W"/>
    <n v="46430"/>
    <n v="737"/>
    <n v="3"/>
    <n v="46"/>
    <x v="0"/>
    <x v="5"/>
    <n v="2"/>
    <n v="2"/>
    <n v="0"/>
    <n v="0"/>
    <n v="0"/>
    <n v="0"/>
    <n v="0"/>
    <n v="15000"/>
    <n v="9000"/>
    <x v="0"/>
    <x v="0"/>
    <x v="1"/>
    <x v="0"/>
    <x v="0"/>
  </r>
  <r>
    <n v="431"/>
    <x v="1"/>
    <x v="1"/>
    <s v="W"/>
    <n v="34960"/>
    <n v="565"/>
    <n v="-27"/>
    <n v="2"/>
    <x v="0"/>
    <x v="6"/>
    <n v="1"/>
    <n v="4"/>
    <n v="0"/>
    <n v="0"/>
    <n v="0"/>
    <n v="0"/>
    <n v="0"/>
    <n v="14200"/>
    <n v="7000"/>
    <x v="1"/>
    <x v="1"/>
    <x v="1"/>
    <x v="0"/>
    <x v="0"/>
  </r>
  <r>
    <n v="432"/>
    <x v="1"/>
    <x v="1"/>
    <s v="N"/>
    <n v="20340"/>
    <n v="271"/>
    <n v="16"/>
    <n v="93"/>
    <x v="0"/>
    <x v="2"/>
    <n v="0"/>
    <n v="1"/>
    <n v="0"/>
    <n v="1"/>
    <n v="0"/>
    <n v="0"/>
    <n v="0"/>
    <n v="202000"/>
    <n v="200000"/>
    <x v="0"/>
    <x v="0"/>
    <x v="0"/>
    <x v="0"/>
    <x v="0"/>
  </r>
  <r>
    <n v="433"/>
    <x v="0"/>
    <x v="1"/>
    <s v="N"/>
    <n v="4930"/>
    <n v="109"/>
    <n v="-59"/>
    <n v="-31"/>
    <x v="0"/>
    <x v="1"/>
    <n v="0"/>
    <n v="1"/>
    <n v="0"/>
    <n v="0"/>
    <n v="0"/>
    <n v="0"/>
    <n v="0"/>
    <n v="5000"/>
    <n v="5000"/>
    <x v="0"/>
    <x v="0"/>
    <x v="0"/>
    <x v="1"/>
    <x v="0"/>
  </r>
  <r>
    <n v="434"/>
    <x v="0"/>
    <x v="1"/>
    <s v="W"/>
    <n v="61770"/>
    <n v="1062"/>
    <n v="31"/>
    <n v="90"/>
    <x v="0"/>
    <x v="7"/>
    <n v="2"/>
    <n v="4"/>
    <n v="0"/>
    <n v="0"/>
    <n v="0"/>
    <n v="0"/>
    <n v="0"/>
    <n v="10800"/>
    <n v="6000"/>
    <x v="1"/>
    <x v="1"/>
    <x v="1"/>
    <x v="0"/>
    <x v="0"/>
  </r>
  <r>
    <n v="435"/>
    <x v="1"/>
    <x v="0"/>
    <s v="W"/>
    <n v="73420"/>
    <n v="1202"/>
    <n v="53"/>
    <n v="96"/>
    <x v="0"/>
    <x v="6"/>
    <n v="2"/>
    <n v="2"/>
    <n v="1"/>
    <n v="0"/>
    <n v="0"/>
    <n v="0"/>
    <n v="0"/>
    <n v="30200"/>
    <n v="20000"/>
    <x v="0"/>
    <x v="0"/>
    <x v="1"/>
    <x v="0"/>
    <x v="0"/>
  </r>
  <r>
    <n v="436"/>
    <x v="1"/>
    <x v="0"/>
    <s v="W"/>
    <n v="38170"/>
    <n v="784"/>
    <n v="-27"/>
    <n v="12"/>
    <x v="0"/>
    <x v="3"/>
    <n v="1"/>
    <n v="2"/>
    <n v="0"/>
    <n v="0"/>
    <n v="0"/>
    <n v="0"/>
    <n v="0"/>
    <n v="3500"/>
    <n v="2000"/>
    <x v="0"/>
    <x v="0"/>
    <x v="1"/>
    <x v="0"/>
    <x v="0"/>
  </r>
  <r>
    <n v="437"/>
    <x v="1"/>
    <x v="0"/>
    <s v="N"/>
    <n v="5500"/>
    <n v="152"/>
    <n v="-51"/>
    <n v="-1"/>
    <x v="0"/>
    <x v="2"/>
    <n v="1"/>
    <n v="0"/>
    <n v="0"/>
    <n v="0"/>
    <n v="0"/>
    <n v="0"/>
    <n v="0"/>
    <n v="250"/>
    <n v="200"/>
    <x v="0"/>
    <x v="0"/>
    <x v="0"/>
    <x v="1"/>
    <x v="0"/>
  </r>
  <r>
    <n v="438"/>
    <x v="0"/>
    <x v="0"/>
    <s v="N"/>
    <n v="4630"/>
    <n v="89"/>
    <n v="-56"/>
    <n v="-42"/>
    <x v="0"/>
    <x v="1"/>
    <n v="0"/>
    <n v="0"/>
    <n v="0"/>
    <n v="0"/>
    <n v="0"/>
    <n v="0"/>
    <n v="0"/>
    <n v="50"/>
    <n v="50"/>
    <x v="1"/>
    <x v="1"/>
    <x v="0"/>
    <x v="1"/>
    <x v="0"/>
  </r>
  <r>
    <n v="439"/>
    <x v="1"/>
    <x v="0"/>
    <s v="N"/>
    <n v="3250"/>
    <n v="68"/>
    <n v="-67"/>
    <n v="-54"/>
    <x v="0"/>
    <x v="1"/>
    <n v="0"/>
    <n v="0"/>
    <n v="1"/>
    <n v="0"/>
    <n v="0"/>
    <n v="0"/>
    <n v="0"/>
    <n v="30000"/>
    <n v="30000"/>
    <x v="1"/>
    <x v="1"/>
    <x v="0"/>
    <x v="1"/>
    <x v="0"/>
  </r>
  <r>
    <n v="440"/>
    <x v="1"/>
    <x v="0"/>
    <s v="W"/>
    <n v="30460"/>
    <n v="457"/>
    <n v="-39"/>
    <n v="-36"/>
    <x v="0"/>
    <x v="3"/>
    <n v="2"/>
    <n v="0"/>
    <n v="1"/>
    <n v="0"/>
    <n v="0"/>
    <n v="0"/>
    <n v="0"/>
    <n v="70600"/>
    <n v="70000"/>
    <x v="0"/>
    <x v="0"/>
    <x v="1"/>
    <x v="0"/>
    <x v="0"/>
  </r>
  <r>
    <n v="441"/>
    <x v="1"/>
    <x v="0"/>
    <s v="W"/>
    <n v="28300"/>
    <n v="569"/>
    <n v="-41"/>
    <n v="-20"/>
    <x v="0"/>
    <x v="1"/>
    <n v="0"/>
    <n v="1"/>
    <n v="0"/>
    <n v="0"/>
    <n v="0"/>
    <n v="0"/>
    <n v="0"/>
    <n v="8000"/>
    <n v="8000"/>
    <x v="0"/>
    <x v="0"/>
    <x v="1"/>
    <x v="0"/>
    <x v="0"/>
  </r>
  <r>
    <n v="442"/>
    <x v="1"/>
    <x v="1"/>
    <s v="N"/>
    <n v="15500"/>
    <n v="255"/>
    <n v="72"/>
    <n v="86"/>
    <x v="0"/>
    <x v="1"/>
    <n v="0"/>
    <n v="1"/>
    <n v="0"/>
    <n v="0"/>
    <n v="0"/>
    <n v="0"/>
    <n v="0"/>
    <n v="2000"/>
    <n v="2000"/>
    <x v="0"/>
    <x v="0"/>
    <x v="0"/>
    <x v="0"/>
    <x v="0"/>
  </r>
  <r>
    <n v="443"/>
    <x v="0"/>
    <x v="1"/>
    <s v="N"/>
    <n v="19320"/>
    <n v="320"/>
    <n v="106"/>
    <n v="118"/>
    <x v="1"/>
    <x v="2"/>
    <n v="1"/>
    <n v="1"/>
    <n v="0"/>
    <n v="0"/>
    <n v="0"/>
    <n v="0"/>
    <n v="0"/>
    <n v="2300"/>
    <n v="2000"/>
    <x v="1"/>
    <x v="1"/>
    <x v="0"/>
    <x v="0"/>
    <x v="0"/>
  </r>
  <r>
    <n v="444"/>
    <x v="1"/>
    <x v="1"/>
    <s v="W"/>
    <n v="59380"/>
    <n v="949"/>
    <n v="27"/>
    <n v="30"/>
    <x v="0"/>
    <x v="6"/>
    <n v="2"/>
    <n v="2"/>
    <n v="1"/>
    <n v="0"/>
    <n v="0"/>
    <n v="0"/>
    <n v="0"/>
    <n v="26600"/>
    <n v="20000"/>
    <x v="0"/>
    <x v="0"/>
    <x v="1"/>
    <x v="0"/>
    <x v="0"/>
  </r>
  <r>
    <n v="445"/>
    <x v="1"/>
    <x v="1"/>
    <s v="W"/>
    <n v="39700"/>
    <n v="805"/>
    <n v="-17"/>
    <n v="5"/>
    <x v="0"/>
    <x v="3"/>
    <n v="1"/>
    <n v="2"/>
    <n v="0"/>
    <n v="0"/>
    <n v="0"/>
    <n v="0"/>
    <n v="0"/>
    <n v="8700"/>
    <n v="5000"/>
    <x v="1"/>
    <x v="1"/>
    <x v="1"/>
    <x v="0"/>
    <x v="0"/>
  </r>
  <r>
    <n v="446"/>
    <x v="1"/>
    <x v="1"/>
    <s v="W"/>
    <n v="61140"/>
    <n v="306"/>
    <n v="22"/>
    <n v="-69"/>
    <x v="0"/>
    <x v="9"/>
    <n v="5"/>
    <n v="2"/>
    <n v="1"/>
    <n v="0"/>
    <n v="0"/>
    <n v="0"/>
    <n v="0"/>
    <n v="89400"/>
    <n v="80000"/>
    <x v="1"/>
    <x v="1"/>
    <x v="1"/>
    <x v="0"/>
    <x v="0"/>
  </r>
  <r>
    <n v="447"/>
    <x v="1"/>
    <x v="1"/>
    <s v="W"/>
    <n v="93190"/>
    <n v="439"/>
    <n v="82"/>
    <n v="-53"/>
    <x v="0"/>
    <x v="5"/>
    <n v="1"/>
    <n v="2"/>
    <n v="1"/>
    <n v="0"/>
    <n v="0"/>
    <n v="0"/>
    <n v="0"/>
    <n v="81400"/>
    <n v="70000"/>
    <x v="0"/>
    <x v="0"/>
    <x v="1"/>
    <x v="0"/>
    <x v="0"/>
  </r>
  <r>
    <n v="448"/>
    <x v="1"/>
    <x v="1"/>
    <s v="W"/>
    <n v="108750"/>
    <n v="384"/>
    <n v="96"/>
    <n v="-56"/>
    <x v="0"/>
    <x v="5"/>
    <n v="2"/>
    <n v="2"/>
    <n v="0"/>
    <n v="0"/>
    <n v="0"/>
    <n v="0"/>
    <n v="0"/>
    <n v="6200"/>
    <n v="3000"/>
    <x v="1"/>
    <x v="1"/>
    <x v="1"/>
    <x v="2"/>
    <x v="0"/>
  </r>
  <r>
    <n v="449"/>
    <x v="1"/>
    <x v="1"/>
    <s v="W"/>
    <n v="73820"/>
    <n v="322"/>
    <n v="-16"/>
    <n v="-14"/>
    <x v="0"/>
    <x v="9"/>
    <n v="3"/>
    <n v="3"/>
    <n v="2"/>
    <n v="0"/>
    <n v="0"/>
    <n v="0"/>
    <n v="0"/>
    <n v="52700"/>
    <n v="30000"/>
    <x v="0"/>
    <x v="0"/>
    <x v="1"/>
    <x v="0"/>
    <x v="0"/>
  </r>
  <r>
    <n v="450"/>
    <x v="1"/>
    <x v="1"/>
    <s v="W"/>
    <n v="102380"/>
    <n v="508"/>
    <n v="19"/>
    <n v="37"/>
    <x v="0"/>
    <x v="9"/>
    <n v="4"/>
    <n v="4"/>
    <n v="0"/>
    <n v="0"/>
    <n v="0"/>
    <n v="0"/>
    <n v="0"/>
    <n v="13400"/>
    <n v="8000"/>
    <x v="0"/>
    <x v="0"/>
    <x v="1"/>
    <x v="2"/>
    <x v="0"/>
  </r>
  <r>
    <n v="451"/>
    <x v="1"/>
    <x v="1"/>
    <s v="W"/>
    <n v="88360"/>
    <n v="443"/>
    <n v="1"/>
    <n v="15"/>
    <x v="0"/>
    <x v="5"/>
    <n v="2"/>
    <n v="2"/>
    <n v="0"/>
    <n v="0"/>
    <n v="0"/>
    <n v="0"/>
    <n v="0"/>
    <n v="6300"/>
    <n v="4000"/>
    <x v="0"/>
    <x v="0"/>
    <x v="1"/>
    <x v="0"/>
    <x v="0"/>
  </r>
  <r>
    <n v="452"/>
    <x v="0"/>
    <x v="0"/>
    <s v="W"/>
    <n v="56810"/>
    <n v="285"/>
    <n v="-35"/>
    <n v="-27"/>
    <x v="0"/>
    <x v="6"/>
    <n v="2"/>
    <n v="3"/>
    <n v="0"/>
    <n v="0"/>
    <n v="0"/>
    <n v="0"/>
    <n v="0"/>
    <n v="6100"/>
    <n v="2000"/>
    <x v="0"/>
    <x v="0"/>
    <x v="1"/>
    <x v="0"/>
    <x v="0"/>
  </r>
  <r>
    <n v="453"/>
    <x v="0"/>
    <x v="0"/>
    <s v="W"/>
    <n v="106610"/>
    <n v="546"/>
    <n v="26"/>
    <n v="43"/>
    <x v="0"/>
    <x v="7"/>
    <n v="2"/>
    <n v="4"/>
    <n v="0"/>
    <n v="0"/>
    <n v="0"/>
    <n v="0"/>
    <n v="0"/>
    <n v="20800"/>
    <n v="7000"/>
    <x v="1"/>
    <x v="1"/>
    <x v="1"/>
    <x v="2"/>
    <x v="0"/>
  </r>
  <r>
    <n v="454"/>
    <x v="0"/>
    <x v="0"/>
    <s v="W"/>
    <n v="61710"/>
    <n v="376"/>
    <n v="-29"/>
    <n v="-6"/>
    <x v="0"/>
    <x v="5"/>
    <n v="1"/>
    <n v="2"/>
    <n v="1"/>
    <n v="0"/>
    <n v="0"/>
    <n v="0"/>
    <n v="0"/>
    <n v="22900"/>
    <n v="10000"/>
    <x v="0"/>
    <x v="0"/>
    <x v="1"/>
    <x v="0"/>
    <x v="0"/>
  </r>
  <r>
    <n v="455"/>
    <x v="0"/>
    <x v="0"/>
    <s v="W"/>
    <n v="53900"/>
    <n v="320"/>
    <n v="-36"/>
    <n v="-20"/>
    <x v="0"/>
    <x v="2"/>
    <n v="0"/>
    <n v="2"/>
    <n v="0"/>
    <n v="0"/>
    <n v="0"/>
    <n v="0"/>
    <n v="0"/>
    <n v="4000"/>
    <n v="2000"/>
    <x v="0"/>
    <x v="0"/>
    <x v="1"/>
    <x v="0"/>
    <x v="0"/>
  </r>
  <r>
    <n v="456"/>
    <x v="0"/>
    <x v="0"/>
    <s v="W"/>
    <n v="66680"/>
    <n v="430"/>
    <n v="-17"/>
    <n v="9"/>
    <x v="0"/>
    <x v="2"/>
    <n v="1"/>
    <n v="1"/>
    <n v="0"/>
    <n v="0"/>
    <n v="0"/>
    <n v="0"/>
    <n v="0"/>
    <n v="5400"/>
    <n v="5000"/>
    <x v="0"/>
    <x v="0"/>
    <x v="1"/>
    <x v="0"/>
    <x v="0"/>
  </r>
  <r>
    <n v="457"/>
    <x v="0"/>
    <x v="0"/>
    <s v="W"/>
    <n v="43660"/>
    <n v="281"/>
    <n v="-44"/>
    <n v="-29"/>
    <x v="0"/>
    <x v="1"/>
    <n v="1"/>
    <n v="0"/>
    <n v="0"/>
    <n v="0"/>
    <n v="0"/>
    <n v="0"/>
    <n v="0"/>
    <n v="700"/>
    <n v="700"/>
    <x v="0"/>
    <x v="0"/>
    <x v="1"/>
    <x v="0"/>
    <x v="0"/>
  </r>
  <r>
    <n v="458"/>
    <x v="0"/>
    <x v="0"/>
    <s v="N"/>
    <n v="11730"/>
    <n v="59"/>
    <n v="-53"/>
    <n v="-88"/>
    <x v="0"/>
    <x v="1"/>
    <n v="1"/>
    <n v="0"/>
    <n v="0"/>
    <n v="0"/>
    <n v="0"/>
    <n v="0"/>
    <n v="0"/>
    <n v="300"/>
    <n v="300"/>
    <x v="0"/>
    <x v="0"/>
    <x v="0"/>
    <x v="0"/>
    <x v="0"/>
  </r>
  <r>
    <n v="459"/>
    <x v="0"/>
    <x v="0"/>
    <s v="N"/>
    <n v="6530"/>
    <n v="38"/>
    <n v="-72"/>
    <n v="-92"/>
    <x v="0"/>
    <x v="1"/>
    <n v="1"/>
    <n v="0"/>
    <n v="0"/>
    <n v="0"/>
    <n v="0"/>
    <n v="0"/>
    <n v="0"/>
    <n v="100"/>
    <n v="100"/>
    <x v="0"/>
    <x v="0"/>
    <x v="0"/>
    <x v="1"/>
    <x v="0"/>
  </r>
  <r>
    <n v="460"/>
    <x v="0"/>
    <x v="0"/>
    <s v="N"/>
    <n v="9280"/>
    <n v="43"/>
    <n v="-57"/>
    <n v="-90"/>
    <x v="0"/>
    <x v="1"/>
    <n v="0"/>
    <n v="1"/>
    <n v="0"/>
    <n v="0"/>
    <n v="0"/>
    <n v="0"/>
    <n v="0"/>
    <n v="2000"/>
    <n v="2000"/>
    <x v="0"/>
    <x v="0"/>
    <x v="0"/>
    <x v="1"/>
    <x v="0"/>
  </r>
  <r>
    <n v="461"/>
    <x v="0"/>
    <x v="0"/>
    <s v="W"/>
    <n v="86740"/>
    <n v="486"/>
    <n v="17"/>
    <n v="25"/>
    <x v="0"/>
    <x v="2"/>
    <n v="0"/>
    <n v="2"/>
    <n v="0"/>
    <n v="0"/>
    <n v="0"/>
    <n v="0"/>
    <n v="0"/>
    <n v="9000"/>
    <n v="7000"/>
    <x v="0"/>
    <x v="0"/>
    <x v="1"/>
    <x v="0"/>
    <x v="0"/>
  </r>
  <r>
    <n v="462"/>
    <x v="0"/>
    <x v="0"/>
    <s v="W"/>
    <n v="92380"/>
    <n v="514"/>
    <n v="25"/>
    <n v="29"/>
    <x v="0"/>
    <x v="7"/>
    <n v="5"/>
    <n v="1"/>
    <n v="0"/>
    <n v="0"/>
    <n v="0"/>
    <n v="0"/>
    <n v="0"/>
    <n v="4300"/>
    <n v="2000"/>
    <x v="0"/>
    <x v="0"/>
    <x v="1"/>
    <x v="0"/>
    <x v="0"/>
  </r>
  <r>
    <n v="463"/>
    <x v="0"/>
    <x v="0"/>
    <s v="W"/>
    <n v="52780"/>
    <n v="350"/>
    <n v="-30"/>
    <n v="-16"/>
    <x v="0"/>
    <x v="1"/>
    <n v="1"/>
    <n v="0"/>
    <n v="0"/>
    <n v="0"/>
    <n v="0"/>
    <n v="0"/>
    <n v="0"/>
    <n v="200"/>
    <n v="200"/>
    <x v="0"/>
    <x v="0"/>
    <x v="1"/>
    <x v="0"/>
    <x v="0"/>
  </r>
  <r>
    <n v="464"/>
    <x v="0"/>
    <x v="0"/>
    <s v="W"/>
    <n v="56830"/>
    <n v="394"/>
    <n v="-20"/>
    <n v="-2"/>
    <x v="0"/>
    <x v="6"/>
    <n v="2"/>
    <n v="3"/>
    <n v="0"/>
    <n v="0"/>
    <n v="0"/>
    <n v="0"/>
    <n v="0"/>
    <n v="10500"/>
    <n v="5000"/>
    <x v="0"/>
    <x v="0"/>
    <x v="1"/>
    <x v="0"/>
    <x v="0"/>
  </r>
  <r>
    <n v="465"/>
    <x v="0"/>
    <x v="0"/>
    <s v="W"/>
    <n v="80210"/>
    <n v="525"/>
    <n v="18"/>
    <n v="32"/>
    <x v="0"/>
    <x v="3"/>
    <n v="1"/>
    <n v="2"/>
    <n v="0"/>
    <n v="0"/>
    <n v="0"/>
    <n v="0"/>
    <n v="0"/>
    <n v="2700"/>
    <n v="1000"/>
    <x v="1"/>
    <x v="1"/>
    <x v="1"/>
    <x v="0"/>
    <x v="0"/>
  </r>
  <r>
    <n v="466"/>
    <x v="0"/>
    <x v="0"/>
    <s v="W"/>
    <n v="78430"/>
    <n v="455"/>
    <n v="12"/>
    <n v="8"/>
    <x v="0"/>
    <x v="6"/>
    <n v="1"/>
    <n v="3"/>
    <n v="0"/>
    <n v="1"/>
    <n v="0"/>
    <n v="0"/>
    <n v="0"/>
    <n v="207900"/>
    <n v="200000"/>
    <x v="0"/>
    <x v="0"/>
    <x v="1"/>
    <x v="0"/>
    <x v="0"/>
  </r>
  <r>
    <n v="467"/>
    <x v="0"/>
    <x v="0"/>
    <s v="W"/>
    <n v="47370"/>
    <n v="296"/>
    <n v="-30"/>
    <n v="-28"/>
    <x v="0"/>
    <x v="5"/>
    <n v="2"/>
    <n v="2"/>
    <n v="0"/>
    <n v="0"/>
    <n v="0"/>
    <n v="0"/>
    <n v="0"/>
    <n v="8800"/>
    <n v="7000"/>
    <x v="0"/>
    <x v="0"/>
    <x v="1"/>
    <x v="0"/>
    <x v="0"/>
  </r>
  <r>
    <n v="468"/>
    <x v="0"/>
    <x v="1"/>
    <s v="W"/>
    <n v="73180"/>
    <n v="488"/>
    <n v="11"/>
    <n v="20"/>
    <x v="0"/>
    <x v="6"/>
    <n v="3"/>
    <n v="2"/>
    <n v="0"/>
    <n v="0"/>
    <n v="0"/>
    <n v="0"/>
    <n v="0"/>
    <n v="9600"/>
    <n v="6000"/>
    <x v="0"/>
    <x v="0"/>
    <x v="1"/>
    <x v="0"/>
    <x v="0"/>
  </r>
  <r>
    <n v="469"/>
    <x v="0"/>
    <x v="1"/>
    <s v="W"/>
    <n v="104410"/>
    <n v="631"/>
    <n v="54"/>
    <n v="50"/>
    <x v="0"/>
    <x v="3"/>
    <n v="2"/>
    <n v="1"/>
    <n v="0"/>
    <n v="0"/>
    <n v="0"/>
    <n v="0"/>
    <n v="0"/>
    <n v="1600"/>
    <n v="1000"/>
    <x v="0"/>
    <x v="0"/>
    <x v="1"/>
    <x v="2"/>
    <x v="0"/>
  </r>
  <r>
    <n v="470"/>
    <x v="0"/>
    <x v="1"/>
    <s v="N"/>
    <n v="8190"/>
    <n v="64"/>
    <n v="-11"/>
    <n v="36"/>
    <x v="0"/>
    <x v="0"/>
    <n v="0"/>
    <n v="0"/>
    <n v="0"/>
    <n v="0"/>
    <n v="0"/>
    <n v="0"/>
    <n v="0"/>
    <n v="0"/>
    <n v="0"/>
    <x v="0"/>
    <x v="0"/>
    <x v="0"/>
    <x v="1"/>
    <x v="0"/>
  </r>
  <r>
    <n v="471"/>
    <x v="0"/>
    <x v="1"/>
    <s v="N"/>
    <n v="3410"/>
    <n v="33"/>
    <n v="-62"/>
    <n v="-32"/>
    <x v="0"/>
    <x v="0"/>
    <n v="0"/>
    <n v="0"/>
    <n v="0"/>
    <n v="0"/>
    <n v="0"/>
    <n v="0"/>
    <n v="0"/>
    <n v="0"/>
    <n v="0"/>
    <x v="0"/>
    <x v="0"/>
    <x v="0"/>
    <x v="1"/>
    <x v="0"/>
  </r>
  <r>
    <n v="472"/>
    <x v="0"/>
    <x v="1"/>
    <s v="N"/>
    <n v="1860"/>
    <n v="33"/>
    <n v="-78"/>
    <n v="-30"/>
    <x v="0"/>
    <x v="1"/>
    <n v="0"/>
    <n v="1"/>
    <n v="0"/>
    <n v="0"/>
    <n v="0"/>
    <n v="0"/>
    <n v="0"/>
    <n v="4000"/>
    <n v="4000"/>
    <x v="1"/>
    <x v="1"/>
    <x v="0"/>
    <x v="1"/>
    <x v="0"/>
  </r>
  <r>
    <n v="473"/>
    <x v="1"/>
    <x v="1"/>
    <s v="W"/>
    <n v="31620"/>
    <n v="208"/>
    <n v="-64"/>
    <n v="-45"/>
    <x v="0"/>
    <x v="2"/>
    <n v="1"/>
    <n v="0"/>
    <n v="1"/>
    <n v="0"/>
    <n v="0"/>
    <n v="0"/>
    <n v="0"/>
    <n v="40400"/>
    <n v="40000"/>
    <x v="1"/>
    <x v="1"/>
    <x v="1"/>
    <x v="0"/>
    <x v="0"/>
  </r>
  <r>
    <n v="474"/>
    <x v="1"/>
    <x v="1"/>
    <s v="W"/>
    <n v="81600"/>
    <n v="628"/>
    <n v="-1"/>
    <n v="75"/>
    <x v="0"/>
    <x v="7"/>
    <n v="3"/>
    <n v="2"/>
    <n v="1"/>
    <n v="0"/>
    <n v="0"/>
    <n v="0"/>
    <n v="0"/>
    <n v="44000"/>
    <n v="40000"/>
    <x v="0"/>
    <x v="0"/>
    <x v="1"/>
    <x v="0"/>
    <x v="0"/>
  </r>
  <r>
    <n v="475"/>
    <x v="1"/>
    <x v="1"/>
    <s v="W"/>
    <n v="42390"/>
    <n v="356"/>
    <n v="-48"/>
    <n v="-7"/>
    <x v="0"/>
    <x v="3"/>
    <n v="1"/>
    <n v="2"/>
    <n v="0"/>
    <n v="0"/>
    <n v="0"/>
    <n v="0"/>
    <n v="0"/>
    <n v="6600"/>
    <n v="3000"/>
    <x v="0"/>
    <x v="0"/>
    <x v="1"/>
    <x v="0"/>
    <x v="0"/>
  </r>
  <r>
    <n v="476"/>
    <x v="1"/>
    <x v="0"/>
    <s v="W"/>
    <n v="36400"/>
    <n v="303"/>
    <n v="-53"/>
    <n v="-21"/>
    <x v="0"/>
    <x v="2"/>
    <n v="1"/>
    <n v="1"/>
    <n v="0"/>
    <n v="0"/>
    <n v="0"/>
    <n v="0"/>
    <n v="0"/>
    <n v="1400"/>
    <n v="1000"/>
    <x v="0"/>
    <x v="0"/>
    <x v="1"/>
    <x v="0"/>
    <x v="0"/>
  </r>
  <r>
    <n v="477"/>
    <x v="0"/>
    <x v="0"/>
    <s v="W"/>
    <n v="69070"/>
    <n v="505"/>
    <n v="-4"/>
    <n v="35"/>
    <x v="0"/>
    <x v="6"/>
    <n v="3"/>
    <n v="2"/>
    <n v="0"/>
    <n v="0"/>
    <n v="0"/>
    <n v="0"/>
    <n v="0"/>
    <n v="5700"/>
    <n v="2000"/>
    <x v="0"/>
    <x v="0"/>
    <x v="1"/>
    <x v="0"/>
    <x v="0"/>
  </r>
  <r>
    <n v="478"/>
    <x v="0"/>
    <x v="0"/>
    <s v="W"/>
    <n v="40420"/>
    <n v="269"/>
    <n v="-42"/>
    <n v="-31"/>
    <x v="0"/>
    <x v="0"/>
    <n v="0"/>
    <n v="0"/>
    <n v="0"/>
    <n v="0"/>
    <n v="0"/>
    <n v="0"/>
    <n v="0"/>
    <n v="0"/>
    <n v="0"/>
    <x v="0"/>
    <x v="0"/>
    <x v="1"/>
    <x v="0"/>
    <x v="0"/>
  </r>
  <r>
    <n v="479"/>
    <x v="0"/>
    <x v="0"/>
    <s v="N"/>
    <n v="11390"/>
    <n v="89"/>
    <n v="47"/>
    <n v="94"/>
    <x v="0"/>
    <x v="1"/>
    <n v="1"/>
    <n v="0"/>
    <n v="0"/>
    <n v="0"/>
    <n v="0"/>
    <n v="0"/>
    <n v="0"/>
    <n v="300"/>
    <n v="300"/>
    <x v="0"/>
    <x v="0"/>
    <x v="0"/>
    <x v="0"/>
    <x v="0"/>
  </r>
  <r>
    <n v="480"/>
    <x v="0"/>
    <x v="0"/>
    <s v="N"/>
    <n v="5550"/>
    <n v="44"/>
    <n v="-31"/>
    <n v="-12"/>
    <x v="0"/>
    <x v="2"/>
    <n v="1"/>
    <n v="1"/>
    <n v="0"/>
    <n v="0"/>
    <n v="0"/>
    <n v="0"/>
    <n v="0"/>
    <n v="4300"/>
    <n v="4000"/>
    <x v="0"/>
    <x v="0"/>
    <x v="0"/>
    <x v="1"/>
    <x v="0"/>
  </r>
  <r>
    <n v="481"/>
    <x v="0"/>
    <x v="0"/>
    <s v="N"/>
    <n v="7040"/>
    <n v="37"/>
    <n v="-8"/>
    <n v="-26"/>
    <x v="0"/>
    <x v="2"/>
    <n v="1"/>
    <n v="1"/>
    <n v="0"/>
    <n v="0"/>
    <n v="0"/>
    <n v="0"/>
    <n v="0"/>
    <n v="5500"/>
    <n v="5000"/>
    <x v="0"/>
    <x v="0"/>
    <x v="0"/>
    <x v="1"/>
    <x v="0"/>
  </r>
  <r>
    <n v="482"/>
    <x v="0"/>
    <x v="0"/>
    <s v="W"/>
    <n v="39050"/>
    <n v="305"/>
    <n v="-40"/>
    <n v="-19"/>
    <x v="0"/>
    <x v="3"/>
    <n v="3"/>
    <n v="0"/>
    <n v="0"/>
    <n v="0"/>
    <n v="0"/>
    <n v="0"/>
    <n v="0"/>
    <n v="2000"/>
    <n v="700"/>
    <x v="0"/>
    <x v="0"/>
    <x v="1"/>
    <x v="0"/>
    <x v="0"/>
  </r>
  <r>
    <n v="483"/>
    <x v="0"/>
    <x v="0"/>
    <s v="W"/>
    <n v="55530"/>
    <n v="438"/>
    <n v="-8"/>
    <n v="18"/>
    <x v="0"/>
    <x v="1"/>
    <n v="0"/>
    <n v="1"/>
    <n v="0"/>
    <n v="0"/>
    <n v="0"/>
    <n v="0"/>
    <n v="0"/>
    <n v="2000"/>
    <n v="2000"/>
    <x v="0"/>
    <x v="0"/>
    <x v="1"/>
    <x v="0"/>
    <x v="0"/>
  </r>
  <r>
    <n v="484"/>
    <x v="0"/>
    <x v="0"/>
    <s v="W"/>
    <n v="53390"/>
    <n v="432"/>
    <n v="-7"/>
    <n v="15"/>
    <x v="0"/>
    <x v="2"/>
    <n v="1"/>
    <n v="1"/>
    <n v="0"/>
    <n v="0"/>
    <n v="0"/>
    <n v="0"/>
    <n v="0"/>
    <n v="3200"/>
    <n v="3000"/>
    <x v="0"/>
    <x v="0"/>
    <x v="1"/>
    <x v="0"/>
    <x v="0"/>
  </r>
  <r>
    <n v="485"/>
    <x v="0"/>
    <x v="0"/>
    <s v="W"/>
    <n v="37270"/>
    <n v="293"/>
    <n v="-31"/>
    <n v="-23"/>
    <x v="0"/>
    <x v="3"/>
    <n v="1"/>
    <n v="2"/>
    <n v="0"/>
    <n v="0"/>
    <n v="0"/>
    <n v="0"/>
    <n v="0"/>
    <n v="6200"/>
    <n v="4000"/>
    <x v="0"/>
    <x v="0"/>
    <x v="1"/>
    <x v="0"/>
    <x v="0"/>
  </r>
  <r>
    <n v="486"/>
    <x v="0"/>
    <x v="0"/>
    <s v="W"/>
    <n v="53170"/>
    <n v="461"/>
    <n v="9"/>
    <n v="23"/>
    <x v="0"/>
    <x v="6"/>
    <n v="2"/>
    <n v="3"/>
    <n v="0"/>
    <n v="0"/>
    <n v="0"/>
    <n v="0"/>
    <n v="0"/>
    <n v="4800"/>
    <n v="2000"/>
    <x v="0"/>
    <x v="0"/>
    <x v="1"/>
    <x v="0"/>
    <x v="0"/>
  </r>
  <r>
    <n v="487"/>
    <x v="0"/>
    <x v="0"/>
    <s v="W"/>
    <n v="42280"/>
    <n v="375"/>
    <n v="-17"/>
    <n v="-6"/>
    <x v="0"/>
    <x v="6"/>
    <n v="3"/>
    <n v="2"/>
    <n v="0"/>
    <n v="0"/>
    <n v="0"/>
    <n v="0"/>
    <n v="0"/>
    <n v="12100"/>
    <n v="7000"/>
    <x v="0"/>
    <x v="0"/>
    <x v="1"/>
    <x v="0"/>
    <x v="0"/>
  </r>
  <r>
    <n v="488"/>
    <x v="0"/>
    <x v="0"/>
    <s v="W"/>
    <n v="27980"/>
    <n v="243"/>
    <n v="-40"/>
    <n v="-35"/>
    <x v="0"/>
    <x v="7"/>
    <n v="3"/>
    <n v="3"/>
    <n v="0"/>
    <n v="0"/>
    <n v="0"/>
    <n v="0"/>
    <n v="0"/>
    <n v="7000"/>
    <n v="3000"/>
    <x v="0"/>
    <x v="0"/>
    <x v="1"/>
    <x v="0"/>
    <x v="0"/>
  </r>
  <r>
    <n v="489"/>
    <x v="0"/>
    <x v="0"/>
    <s v="W"/>
    <n v="60200"/>
    <n v="449"/>
    <n v="32"/>
    <n v="24"/>
    <x v="0"/>
    <x v="6"/>
    <n v="3"/>
    <n v="2"/>
    <n v="0"/>
    <n v="0"/>
    <n v="0"/>
    <n v="0"/>
    <n v="0"/>
    <n v="9200"/>
    <n v="5000"/>
    <x v="0"/>
    <x v="0"/>
    <x v="1"/>
    <x v="0"/>
    <x v="0"/>
  </r>
  <r>
    <n v="490"/>
    <x v="0"/>
    <x v="0"/>
    <s v="W"/>
    <n v="64290"/>
    <n v="495"/>
    <n v="34"/>
    <n v="31"/>
    <x v="0"/>
    <x v="3"/>
    <n v="1"/>
    <n v="2"/>
    <n v="0"/>
    <n v="0"/>
    <n v="0"/>
    <n v="0"/>
    <n v="0"/>
    <n v="5100"/>
    <n v="4000"/>
    <x v="0"/>
    <x v="0"/>
    <x v="1"/>
    <x v="0"/>
    <x v="0"/>
  </r>
  <r>
    <n v="491"/>
    <x v="0"/>
    <x v="0"/>
    <s v="W"/>
    <n v="33310"/>
    <n v="274"/>
    <n v="-30"/>
    <n v="-27"/>
    <x v="0"/>
    <x v="7"/>
    <n v="3"/>
    <n v="3"/>
    <n v="0"/>
    <n v="0"/>
    <n v="0"/>
    <n v="0"/>
    <n v="0"/>
    <n v="6800"/>
    <n v="3000"/>
    <x v="0"/>
    <x v="0"/>
    <x v="1"/>
    <x v="0"/>
    <x v="0"/>
  </r>
  <r>
    <n v="492"/>
    <x v="0"/>
    <x v="0"/>
    <s v="W"/>
    <n v="60420"/>
    <n v="537"/>
    <n v="30"/>
    <n v="43"/>
    <x v="0"/>
    <x v="2"/>
    <n v="1"/>
    <n v="1"/>
    <n v="0"/>
    <n v="0"/>
    <n v="0"/>
    <n v="0"/>
    <n v="0"/>
    <n v="4500"/>
    <n v="4000"/>
    <x v="0"/>
    <x v="0"/>
    <x v="1"/>
    <x v="0"/>
    <x v="0"/>
  </r>
  <r>
    <n v="493"/>
    <x v="0"/>
    <x v="0"/>
    <s v="W"/>
    <n v="49430"/>
    <n v="434"/>
    <n v="1"/>
    <n v="9"/>
    <x v="0"/>
    <x v="2"/>
    <n v="2"/>
    <n v="0"/>
    <n v="0"/>
    <n v="0"/>
    <n v="0"/>
    <n v="0"/>
    <n v="0"/>
    <n v="1500"/>
    <n v="800"/>
    <x v="0"/>
    <x v="0"/>
    <x v="1"/>
    <x v="0"/>
    <x v="0"/>
  </r>
  <r>
    <n v="494"/>
    <x v="0"/>
    <x v="0"/>
    <s v="W"/>
    <n v="20380"/>
    <n v="162"/>
    <n v="-58"/>
    <n v="-59"/>
    <x v="0"/>
    <x v="2"/>
    <n v="1"/>
    <n v="1"/>
    <n v="0"/>
    <n v="0"/>
    <n v="0"/>
    <n v="0"/>
    <n v="0"/>
    <n v="4700"/>
    <n v="4000"/>
    <x v="1"/>
    <x v="1"/>
    <x v="1"/>
    <x v="0"/>
    <x v="0"/>
  </r>
  <r>
    <n v="495"/>
    <x v="1"/>
    <x v="0"/>
    <s v="W"/>
    <n v="87140"/>
    <n v="680"/>
    <n v="94"/>
    <n v="83"/>
    <x v="0"/>
    <x v="5"/>
    <n v="2"/>
    <n v="1"/>
    <n v="1"/>
    <n v="0"/>
    <n v="0"/>
    <n v="0"/>
    <n v="0"/>
    <n v="27100"/>
    <n v="20000"/>
    <x v="0"/>
    <x v="0"/>
    <x v="1"/>
    <x v="0"/>
    <x v="0"/>
  </r>
  <r>
    <n v="496"/>
    <x v="1"/>
    <x v="0"/>
    <s v="W"/>
    <n v="24490"/>
    <n v="237"/>
    <n v="-51"/>
    <n v="-42"/>
    <x v="0"/>
    <x v="3"/>
    <n v="3"/>
    <n v="0"/>
    <n v="0"/>
    <n v="0"/>
    <n v="0"/>
    <n v="0"/>
    <n v="0"/>
    <n v="1000"/>
    <n v="500"/>
    <x v="0"/>
    <x v="0"/>
    <x v="1"/>
    <x v="0"/>
    <x v="0"/>
  </r>
  <r>
    <n v="497"/>
    <x v="1"/>
    <x v="1"/>
    <s v="N"/>
    <n v="6140"/>
    <n v="60"/>
    <n v="-17"/>
    <n v="23"/>
    <x v="0"/>
    <x v="1"/>
    <n v="1"/>
    <n v="0"/>
    <n v="0"/>
    <n v="0"/>
    <n v="0"/>
    <n v="0"/>
    <n v="0"/>
    <n v="400"/>
    <n v="400"/>
    <x v="0"/>
    <x v="0"/>
    <x v="0"/>
    <x v="1"/>
    <x v="0"/>
  </r>
  <r>
    <n v="498"/>
    <x v="0"/>
    <x v="1"/>
    <s v="N"/>
    <n v="2190"/>
    <n v="29"/>
    <n v="-69"/>
    <n v="-42"/>
    <x v="0"/>
    <x v="1"/>
    <n v="1"/>
    <n v="0"/>
    <n v="0"/>
    <n v="0"/>
    <n v="0"/>
    <n v="0"/>
    <n v="0"/>
    <n v="200"/>
    <n v="200"/>
    <x v="0"/>
    <x v="0"/>
    <x v="0"/>
    <x v="1"/>
    <x v="0"/>
  </r>
  <r>
    <n v="499"/>
    <x v="0"/>
    <x v="1"/>
    <s v="N"/>
    <n v="3020"/>
    <n v="29"/>
    <n v="-53"/>
    <n v="-40"/>
    <x v="0"/>
    <x v="0"/>
    <n v="0"/>
    <n v="0"/>
    <n v="0"/>
    <n v="0"/>
    <n v="0"/>
    <n v="0"/>
    <n v="0"/>
    <n v="0"/>
    <n v="0"/>
    <x v="0"/>
    <x v="0"/>
    <x v="0"/>
    <x v="1"/>
    <x v="0"/>
  </r>
  <r>
    <n v="500"/>
    <x v="0"/>
    <x v="1"/>
    <s v="N"/>
    <n v="1630"/>
    <n v="26"/>
    <n v="-72"/>
    <n v="-44"/>
    <x v="0"/>
    <x v="1"/>
    <n v="1"/>
    <n v="0"/>
    <n v="0"/>
    <n v="0"/>
    <n v="0"/>
    <n v="0"/>
    <n v="0"/>
    <n v="800"/>
    <n v="800"/>
    <x v="0"/>
    <x v="0"/>
    <x v="0"/>
    <x v="1"/>
    <x v="0"/>
  </r>
  <r>
    <n v="501"/>
    <x v="0"/>
    <x v="1"/>
    <s v="N"/>
    <n v="2560"/>
    <n v="38"/>
    <n v="-49"/>
    <n v="-14"/>
    <x v="0"/>
    <x v="2"/>
    <n v="1"/>
    <n v="1"/>
    <n v="0"/>
    <n v="0"/>
    <n v="0"/>
    <n v="0"/>
    <n v="0"/>
    <n v="1300"/>
    <n v="1000"/>
    <x v="0"/>
    <x v="0"/>
    <x v="0"/>
    <x v="1"/>
    <x v="0"/>
  </r>
  <r>
    <n v="502"/>
    <x v="0"/>
    <x v="0"/>
    <s v="N"/>
    <n v="3510"/>
    <n v="27"/>
    <n v="-22"/>
    <n v="-35"/>
    <x v="0"/>
    <x v="0"/>
    <n v="0"/>
    <n v="0"/>
    <n v="0"/>
    <n v="0"/>
    <n v="0"/>
    <n v="0"/>
    <n v="0"/>
    <n v="0"/>
    <n v="0"/>
    <x v="0"/>
    <x v="0"/>
    <x v="0"/>
    <x v="1"/>
    <x v="0"/>
  </r>
  <r>
    <n v="503"/>
    <x v="0"/>
    <x v="0"/>
    <s v="N"/>
    <n v="7570"/>
    <n v="69"/>
    <n v="69"/>
    <n v="67"/>
    <x v="0"/>
    <x v="1"/>
    <n v="0"/>
    <n v="1"/>
    <n v="0"/>
    <n v="0"/>
    <n v="0"/>
    <n v="0"/>
    <n v="0"/>
    <n v="5000"/>
    <n v="5000"/>
    <x v="1"/>
    <x v="1"/>
    <x v="0"/>
    <x v="1"/>
    <x v="0"/>
  </r>
  <r>
    <n v="504"/>
    <x v="1"/>
    <x v="0"/>
    <s v="W"/>
    <n v="45330"/>
    <n v="485"/>
    <n v="-4"/>
    <n v="25"/>
    <x v="0"/>
    <x v="3"/>
    <n v="0"/>
    <n v="2"/>
    <n v="0"/>
    <n v="1"/>
    <n v="0"/>
    <n v="0"/>
    <n v="0"/>
    <n v="402000"/>
    <n v="400000"/>
    <x v="0"/>
    <x v="0"/>
    <x v="1"/>
    <x v="0"/>
    <x v="0"/>
  </r>
  <r>
    <n v="505"/>
    <x v="0"/>
    <x v="1"/>
    <s v="W"/>
    <n v="32690"/>
    <n v="380"/>
    <n v="-31"/>
    <n v="-5"/>
    <x v="0"/>
    <x v="2"/>
    <n v="2"/>
    <n v="0"/>
    <n v="0"/>
    <n v="0"/>
    <n v="0"/>
    <n v="0"/>
    <n v="0"/>
    <n v="1100"/>
    <n v="700"/>
    <x v="1"/>
    <x v="1"/>
    <x v="1"/>
    <x v="0"/>
    <x v="0"/>
  </r>
  <r>
    <n v="506"/>
    <x v="0"/>
    <x v="1"/>
    <s v="W"/>
    <n v="26800"/>
    <n v="306"/>
    <n v="-44"/>
    <n v="-26"/>
    <x v="0"/>
    <x v="1"/>
    <n v="0"/>
    <n v="0"/>
    <n v="1"/>
    <n v="0"/>
    <n v="0"/>
    <n v="0"/>
    <n v="0"/>
    <n v="10000"/>
    <n v="10000"/>
    <x v="0"/>
    <x v="0"/>
    <x v="1"/>
    <x v="0"/>
    <x v="0"/>
  </r>
  <r>
    <n v="507"/>
    <x v="0"/>
    <x v="1"/>
    <s v="W"/>
    <n v="48250"/>
    <n v="573"/>
    <n v="9"/>
    <n v="44"/>
    <x v="0"/>
    <x v="3"/>
    <n v="1"/>
    <n v="2"/>
    <n v="0"/>
    <n v="0"/>
    <n v="0"/>
    <n v="0"/>
    <n v="0"/>
    <n v="12600"/>
    <n v="8000"/>
    <x v="0"/>
    <x v="0"/>
    <x v="1"/>
    <x v="0"/>
    <x v="0"/>
  </r>
  <r>
    <n v="508"/>
    <x v="0"/>
    <x v="1"/>
    <s v="N"/>
    <n v="6790"/>
    <n v="67"/>
    <n v="34"/>
    <n v="50"/>
    <x v="0"/>
    <x v="0"/>
    <n v="0"/>
    <n v="0"/>
    <n v="0"/>
    <n v="0"/>
    <n v="0"/>
    <n v="0"/>
    <n v="0"/>
    <n v="0"/>
    <n v="0"/>
    <x v="0"/>
    <x v="0"/>
    <x v="0"/>
    <x v="1"/>
    <x v="0"/>
  </r>
  <r>
    <n v="509"/>
    <x v="0"/>
    <x v="1"/>
    <s v="W"/>
    <n v="27890"/>
    <n v="276"/>
    <n v="-72"/>
    <n v="-72"/>
    <x v="0"/>
    <x v="7"/>
    <n v="3"/>
    <n v="3"/>
    <n v="0"/>
    <n v="0"/>
    <n v="0"/>
    <n v="0"/>
    <n v="0"/>
    <n v="9800"/>
    <n v="6000"/>
    <x v="0"/>
    <x v="0"/>
    <x v="1"/>
    <x v="0"/>
    <x v="0"/>
  </r>
  <r>
    <n v="510"/>
    <x v="0"/>
    <x v="1"/>
    <s v="W"/>
    <n v="54820"/>
    <n v="585"/>
    <n v="-41"/>
    <n v="-37"/>
    <x v="0"/>
    <x v="3"/>
    <n v="1"/>
    <n v="2"/>
    <n v="0"/>
    <n v="0"/>
    <n v="0"/>
    <n v="0"/>
    <n v="0"/>
    <n v="5600"/>
    <n v="3000"/>
    <x v="0"/>
    <x v="0"/>
    <x v="1"/>
    <x v="0"/>
    <x v="0"/>
  </r>
  <r>
    <n v="511"/>
    <x v="0"/>
    <x v="1"/>
    <s v="W"/>
    <n v="37840"/>
    <n v="468"/>
    <n v="-57"/>
    <n v="-47"/>
    <x v="0"/>
    <x v="2"/>
    <n v="2"/>
    <n v="0"/>
    <n v="0"/>
    <n v="0"/>
    <n v="0"/>
    <n v="0"/>
    <n v="0"/>
    <n v="1200"/>
    <n v="600"/>
    <x v="0"/>
    <x v="0"/>
    <x v="1"/>
    <x v="0"/>
    <x v="0"/>
  </r>
  <r>
    <n v="512"/>
    <x v="0"/>
    <x v="1"/>
    <s v="W"/>
    <n v="31510"/>
    <n v="323"/>
    <n v="-22"/>
    <n v="-27"/>
    <x v="0"/>
    <x v="5"/>
    <n v="3"/>
    <n v="1"/>
    <n v="0"/>
    <n v="0"/>
    <n v="0"/>
    <n v="0"/>
    <n v="0"/>
    <n v="2700"/>
    <n v="2000"/>
    <x v="0"/>
    <x v="0"/>
    <x v="1"/>
    <x v="0"/>
    <x v="0"/>
  </r>
  <r>
    <n v="513"/>
    <x v="0"/>
    <x v="0"/>
    <s v="W"/>
    <n v="36400"/>
    <n v="411"/>
    <n v="-7"/>
    <n v="-5"/>
    <x v="0"/>
    <x v="2"/>
    <n v="1"/>
    <n v="1"/>
    <n v="0"/>
    <n v="0"/>
    <n v="0"/>
    <n v="0"/>
    <n v="0"/>
    <n v="8700"/>
    <n v="8000"/>
    <x v="0"/>
    <x v="0"/>
    <x v="1"/>
    <x v="0"/>
    <x v="0"/>
  </r>
  <r>
    <n v="514"/>
    <x v="0"/>
    <x v="0"/>
    <s v="N"/>
    <n v="9470"/>
    <n v="79"/>
    <n v="-81"/>
    <n v="-84"/>
    <x v="0"/>
    <x v="1"/>
    <n v="0"/>
    <n v="1"/>
    <n v="0"/>
    <n v="0"/>
    <n v="0"/>
    <n v="0"/>
    <n v="0"/>
    <n v="2000"/>
    <n v="2000"/>
    <x v="0"/>
    <x v="0"/>
    <x v="0"/>
    <x v="1"/>
    <x v="0"/>
  </r>
  <r>
    <n v="515"/>
    <x v="0"/>
    <x v="0"/>
    <s v="W"/>
    <n v="29340"/>
    <n v="294"/>
    <n v="-25"/>
    <n v="-31"/>
    <x v="0"/>
    <x v="3"/>
    <n v="3"/>
    <n v="0"/>
    <n v="0"/>
    <n v="0"/>
    <n v="0"/>
    <n v="0"/>
    <n v="0"/>
    <n v="1400"/>
    <n v="600"/>
    <x v="0"/>
    <x v="0"/>
    <x v="1"/>
    <x v="0"/>
    <x v="0"/>
  </r>
  <r>
    <n v="516"/>
    <x v="0"/>
    <x v="0"/>
    <s v="W"/>
    <n v="44960"/>
    <n v="643"/>
    <n v="19"/>
    <n v="56"/>
    <x v="0"/>
    <x v="5"/>
    <n v="1"/>
    <n v="3"/>
    <n v="0"/>
    <n v="0"/>
    <n v="0"/>
    <n v="0"/>
    <n v="0"/>
    <n v="14400"/>
    <n v="9000"/>
    <x v="0"/>
    <x v="0"/>
    <x v="1"/>
    <x v="0"/>
    <x v="0"/>
  </r>
  <r>
    <n v="517"/>
    <x v="0"/>
    <x v="0"/>
    <s v="W"/>
    <n v="28500"/>
    <n v="337"/>
    <n v="-26"/>
    <n v="-22"/>
    <x v="0"/>
    <x v="1"/>
    <n v="1"/>
    <n v="0"/>
    <n v="0"/>
    <n v="0"/>
    <n v="0"/>
    <n v="0"/>
    <n v="0"/>
    <n v="400"/>
    <n v="400"/>
    <x v="0"/>
    <x v="0"/>
    <x v="1"/>
    <x v="0"/>
    <x v="0"/>
  </r>
  <r>
    <n v="518"/>
    <x v="0"/>
    <x v="0"/>
    <s v="W"/>
    <n v="31250"/>
    <n v="430"/>
    <n v="-16"/>
    <n v="2"/>
    <x v="0"/>
    <x v="3"/>
    <n v="0"/>
    <n v="3"/>
    <n v="0"/>
    <n v="0"/>
    <n v="0"/>
    <n v="0"/>
    <n v="0"/>
    <n v="4000"/>
    <n v="2000"/>
    <x v="1"/>
    <x v="1"/>
    <x v="1"/>
    <x v="0"/>
    <x v="0"/>
  </r>
  <r>
    <n v="519"/>
    <x v="1"/>
    <x v="0"/>
    <s v="W"/>
    <n v="33760"/>
    <n v="568"/>
    <n v="-7"/>
    <n v="35"/>
    <x v="0"/>
    <x v="3"/>
    <n v="1"/>
    <n v="1"/>
    <n v="1"/>
    <n v="0"/>
    <n v="0"/>
    <n v="0"/>
    <n v="0"/>
    <n v="81500"/>
    <n v="80000"/>
    <x v="0"/>
    <x v="0"/>
    <x v="1"/>
    <x v="0"/>
    <x v="0"/>
  </r>
  <r>
    <n v="520"/>
    <x v="1"/>
    <x v="0"/>
    <s v="W"/>
    <n v="25400"/>
    <n v="398"/>
    <n v="-29"/>
    <n v="-8"/>
    <x v="0"/>
    <x v="2"/>
    <n v="0"/>
    <n v="2"/>
    <n v="0"/>
    <n v="0"/>
    <n v="0"/>
    <n v="0"/>
    <n v="0"/>
    <n v="6000"/>
    <n v="4000"/>
    <x v="0"/>
    <x v="0"/>
    <x v="1"/>
    <x v="0"/>
    <x v="0"/>
  </r>
  <r>
    <n v="521"/>
    <x v="1"/>
    <x v="0"/>
    <s v="W"/>
    <n v="32500"/>
    <n v="474"/>
    <n v="-5"/>
    <n v="10"/>
    <x v="0"/>
    <x v="1"/>
    <n v="1"/>
    <n v="0"/>
    <n v="0"/>
    <n v="0"/>
    <n v="0"/>
    <n v="0"/>
    <n v="0"/>
    <n v="700"/>
    <n v="700"/>
    <x v="0"/>
    <x v="0"/>
    <x v="1"/>
    <x v="0"/>
    <x v="0"/>
  </r>
  <r>
    <n v="522"/>
    <x v="0"/>
    <x v="1"/>
    <s v="N"/>
    <n v="12580"/>
    <n v="120"/>
    <n v="-73"/>
    <n v="-74"/>
    <x v="0"/>
    <x v="1"/>
    <n v="1"/>
    <n v="0"/>
    <n v="0"/>
    <n v="0"/>
    <n v="0"/>
    <n v="0"/>
    <n v="0"/>
    <n v="600"/>
    <n v="600"/>
    <x v="0"/>
    <x v="0"/>
    <x v="0"/>
    <x v="0"/>
    <x v="0"/>
  </r>
  <r>
    <n v="523"/>
    <x v="0"/>
    <x v="1"/>
    <s v="N"/>
    <n v="8060"/>
    <n v="57"/>
    <n v="-81"/>
    <n v="-86"/>
    <x v="0"/>
    <x v="1"/>
    <n v="0"/>
    <n v="1"/>
    <n v="0"/>
    <n v="0"/>
    <n v="0"/>
    <n v="0"/>
    <n v="0"/>
    <n v="3000"/>
    <n v="3000"/>
    <x v="0"/>
    <x v="0"/>
    <x v="0"/>
    <x v="1"/>
    <x v="0"/>
  </r>
  <r>
    <n v="524"/>
    <x v="0"/>
    <x v="1"/>
    <s v="W"/>
    <n v="20160"/>
    <n v="262"/>
    <n v="-40"/>
    <n v="-39"/>
    <x v="0"/>
    <x v="3"/>
    <n v="3"/>
    <n v="0"/>
    <n v="0"/>
    <n v="0"/>
    <n v="0"/>
    <n v="0"/>
    <n v="0"/>
    <n v="1600"/>
    <n v="800"/>
    <x v="0"/>
    <x v="0"/>
    <x v="1"/>
    <x v="0"/>
    <x v="0"/>
  </r>
  <r>
    <n v="525"/>
    <x v="0"/>
    <x v="0"/>
    <s v="W"/>
    <n v="36020"/>
    <n v="487"/>
    <n v="15"/>
    <n v="18"/>
    <x v="0"/>
    <x v="1"/>
    <n v="1"/>
    <n v="0"/>
    <n v="0"/>
    <n v="0"/>
    <n v="0"/>
    <n v="0"/>
    <n v="0"/>
    <n v="400"/>
    <n v="400"/>
    <x v="0"/>
    <x v="0"/>
    <x v="1"/>
    <x v="0"/>
    <x v="0"/>
  </r>
  <r>
    <n v="526"/>
    <x v="0"/>
    <x v="0"/>
    <s v="W"/>
    <n v="26550"/>
    <n v="330"/>
    <n v="-17"/>
    <n v="-23"/>
    <x v="0"/>
    <x v="2"/>
    <n v="1"/>
    <n v="1"/>
    <n v="0"/>
    <n v="0"/>
    <n v="0"/>
    <n v="0"/>
    <n v="0"/>
    <n v="1700"/>
    <n v="1000"/>
    <x v="0"/>
    <x v="0"/>
    <x v="1"/>
    <x v="0"/>
    <x v="0"/>
  </r>
  <r>
    <n v="527"/>
    <x v="0"/>
    <x v="0"/>
    <s v="W"/>
    <n v="15460"/>
    <n v="208"/>
    <n v="-50"/>
    <n v="-51"/>
    <x v="0"/>
    <x v="1"/>
    <n v="0"/>
    <n v="1"/>
    <n v="0"/>
    <n v="0"/>
    <n v="0"/>
    <n v="0"/>
    <n v="0"/>
    <n v="4000"/>
    <n v="4000"/>
    <x v="0"/>
    <x v="0"/>
    <x v="1"/>
    <x v="0"/>
    <x v="0"/>
  </r>
  <r>
    <n v="528"/>
    <x v="0"/>
    <x v="0"/>
    <s v="W"/>
    <n v="23630"/>
    <n v="294"/>
    <n v="-20"/>
    <n v="-29"/>
    <x v="0"/>
    <x v="3"/>
    <n v="3"/>
    <n v="0"/>
    <n v="0"/>
    <n v="0"/>
    <n v="0"/>
    <n v="0"/>
    <n v="0"/>
    <n v="1800"/>
    <n v="900"/>
    <x v="0"/>
    <x v="0"/>
    <x v="1"/>
    <x v="0"/>
    <x v="0"/>
  </r>
  <r>
    <n v="529"/>
    <x v="0"/>
    <x v="0"/>
    <s v="W"/>
    <n v="32130"/>
    <n v="427"/>
    <n v="18"/>
    <n v="13"/>
    <x v="0"/>
    <x v="0"/>
    <n v="0"/>
    <n v="0"/>
    <n v="0"/>
    <n v="0"/>
    <n v="0"/>
    <n v="0"/>
    <n v="0"/>
    <n v="0"/>
    <n v="0"/>
    <x v="0"/>
    <x v="0"/>
    <x v="1"/>
    <x v="0"/>
    <x v="0"/>
  </r>
  <r>
    <n v="530"/>
    <x v="0"/>
    <x v="0"/>
    <s v="W"/>
    <n v="28570"/>
    <n v="336"/>
    <n v="3"/>
    <n v="-13"/>
    <x v="0"/>
    <x v="1"/>
    <n v="0"/>
    <n v="1"/>
    <n v="0"/>
    <n v="0"/>
    <n v="0"/>
    <n v="0"/>
    <n v="0"/>
    <n v="2000"/>
    <n v="2000"/>
    <x v="0"/>
    <x v="0"/>
    <x v="1"/>
    <x v="0"/>
    <x v="0"/>
  </r>
  <r>
    <n v="531"/>
    <x v="0"/>
    <x v="0"/>
    <s v="W"/>
    <n v="37640"/>
    <n v="596"/>
    <n v="37"/>
    <n v="58"/>
    <x v="0"/>
    <x v="0"/>
    <n v="0"/>
    <n v="0"/>
    <n v="0"/>
    <n v="0"/>
    <n v="0"/>
    <n v="0"/>
    <n v="0"/>
    <n v="0"/>
    <n v="0"/>
    <x v="0"/>
    <x v="0"/>
    <x v="1"/>
    <x v="0"/>
    <x v="0"/>
  </r>
  <r>
    <n v="532"/>
    <x v="0"/>
    <x v="1"/>
    <s v="W"/>
    <n v="42930"/>
    <n v="341"/>
    <n v="54"/>
    <n v="-11"/>
    <x v="0"/>
    <x v="6"/>
    <n v="2"/>
    <n v="3"/>
    <n v="0"/>
    <n v="0"/>
    <n v="0"/>
    <n v="0"/>
    <n v="0"/>
    <n v="6200"/>
    <n v="3000"/>
    <x v="0"/>
    <x v="0"/>
    <x v="1"/>
    <x v="0"/>
    <x v="0"/>
  </r>
  <r>
    <n v="533"/>
    <x v="0"/>
    <x v="1"/>
    <s v="W"/>
    <n v="14990"/>
    <n v="185"/>
    <n v="-49"/>
    <n v="-51"/>
    <x v="0"/>
    <x v="2"/>
    <n v="1"/>
    <n v="1"/>
    <n v="0"/>
    <n v="0"/>
    <n v="0"/>
    <n v="0"/>
    <n v="0"/>
    <n v="4500"/>
    <n v="4000"/>
    <x v="1"/>
    <x v="1"/>
    <x v="1"/>
    <x v="0"/>
    <x v="0"/>
  </r>
  <r>
    <n v="534"/>
    <x v="1"/>
    <x v="1"/>
    <s v="W"/>
    <n v="45470"/>
    <n v="573"/>
    <n v="64"/>
    <n v="65"/>
    <x v="0"/>
    <x v="9"/>
    <n v="5"/>
    <n v="2"/>
    <n v="1"/>
    <n v="0"/>
    <n v="0"/>
    <n v="0"/>
    <n v="0"/>
    <n v="33600"/>
    <n v="20000"/>
    <x v="0"/>
    <x v="0"/>
    <x v="1"/>
    <x v="0"/>
    <x v="0"/>
  </r>
  <r>
    <n v="535"/>
    <x v="1"/>
    <x v="1"/>
    <s v="W"/>
    <n v="13740"/>
    <n v="218"/>
    <n v="-55"/>
    <n v="-42"/>
    <x v="0"/>
    <x v="0"/>
    <n v="0"/>
    <n v="0"/>
    <n v="0"/>
    <n v="0"/>
    <n v="0"/>
    <n v="0"/>
    <n v="0"/>
    <n v="0"/>
    <n v="0"/>
    <x v="1"/>
    <x v="1"/>
    <x v="1"/>
    <x v="0"/>
    <x v="0"/>
  </r>
  <r>
    <n v="536"/>
    <x v="1"/>
    <x v="1"/>
    <s v="W"/>
    <n v="17150"/>
    <n v="198"/>
    <n v="-39"/>
    <n v="-44"/>
    <x v="0"/>
    <x v="3"/>
    <n v="1"/>
    <n v="1"/>
    <n v="1"/>
    <n v="0"/>
    <n v="0"/>
    <n v="0"/>
    <n v="0"/>
    <n v="24200"/>
    <n v="20000"/>
    <x v="0"/>
    <x v="0"/>
    <x v="1"/>
    <x v="0"/>
    <x v="0"/>
  </r>
  <r>
    <n v="537"/>
    <x v="1"/>
    <x v="0"/>
    <s v="W"/>
    <n v="44600"/>
    <n v="591"/>
    <n v="64"/>
    <n v="75"/>
    <x v="0"/>
    <x v="1"/>
    <n v="0"/>
    <n v="1"/>
    <n v="0"/>
    <n v="0"/>
    <n v="0"/>
    <n v="0"/>
    <n v="0"/>
    <n v="2000"/>
    <n v="2000"/>
    <x v="0"/>
    <x v="0"/>
    <x v="1"/>
    <x v="0"/>
    <x v="0"/>
  </r>
  <r>
    <n v="538"/>
    <x v="1"/>
    <x v="0"/>
    <s v="W"/>
    <n v="40150"/>
    <n v="525"/>
    <n v="33"/>
    <n v="40"/>
    <x v="0"/>
    <x v="0"/>
    <n v="0"/>
    <n v="0"/>
    <n v="0"/>
    <n v="0"/>
    <n v="0"/>
    <n v="0"/>
    <n v="0"/>
    <n v="0"/>
    <n v="0"/>
    <x v="0"/>
    <x v="0"/>
    <x v="1"/>
    <x v="0"/>
    <x v="0"/>
  </r>
  <r>
    <n v="539"/>
    <x v="0"/>
    <x v="0"/>
    <s v="W"/>
    <n v="17860"/>
    <n v="200"/>
    <n v="-44"/>
    <n v="-50"/>
    <x v="0"/>
    <x v="2"/>
    <n v="1"/>
    <n v="1"/>
    <n v="0"/>
    <n v="0"/>
    <n v="0"/>
    <n v="0"/>
    <n v="0"/>
    <n v="4200"/>
    <n v="4000"/>
    <x v="0"/>
    <x v="0"/>
    <x v="1"/>
    <x v="0"/>
    <x v="0"/>
  </r>
  <r>
    <n v="540"/>
    <x v="0"/>
    <x v="0"/>
    <s v="N"/>
    <n v="4190"/>
    <n v="43"/>
    <n v="-58"/>
    <n v="-49"/>
    <x v="0"/>
    <x v="0"/>
    <n v="0"/>
    <n v="0"/>
    <n v="0"/>
    <n v="0"/>
    <n v="0"/>
    <n v="0"/>
    <n v="0"/>
    <n v="0"/>
    <n v="0"/>
    <x v="0"/>
    <x v="0"/>
    <x v="0"/>
    <x v="1"/>
    <x v="0"/>
  </r>
  <r>
    <n v="541"/>
    <x v="0"/>
    <x v="0"/>
    <s v="N"/>
    <n v="1150"/>
    <n v="22"/>
    <n v="-88"/>
    <n v="-73"/>
    <x v="0"/>
    <x v="1"/>
    <n v="1"/>
    <n v="0"/>
    <n v="0"/>
    <n v="0"/>
    <n v="0"/>
    <n v="0"/>
    <n v="0"/>
    <n v="100"/>
    <n v="100"/>
    <x v="0"/>
    <x v="0"/>
    <x v="0"/>
    <x v="1"/>
    <x v="0"/>
  </r>
  <r>
    <n v="542"/>
    <x v="0"/>
    <x v="0"/>
    <s v="N"/>
    <n v="2020"/>
    <n v="18"/>
    <n v="-76"/>
    <n v="-76"/>
    <x v="0"/>
    <x v="1"/>
    <n v="1"/>
    <n v="0"/>
    <n v="0"/>
    <n v="0"/>
    <n v="0"/>
    <n v="0"/>
    <n v="0"/>
    <n v="400"/>
    <n v="400"/>
    <x v="0"/>
    <x v="0"/>
    <x v="0"/>
    <x v="1"/>
    <x v="0"/>
  </r>
  <r>
    <n v="543"/>
    <x v="0"/>
    <x v="0"/>
    <s v="N"/>
    <n v="1650"/>
    <n v="21"/>
    <n v="-79"/>
    <n v="-69"/>
    <x v="0"/>
    <x v="0"/>
    <n v="0"/>
    <n v="0"/>
    <n v="0"/>
    <n v="0"/>
    <n v="0"/>
    <n v="0"/>
    <n v="0"/>
    <n v="0"/>
    <n v="0"/>
    <x v="0"/>
    <x v="0"/>
    <x v="0"/>
    <x v="1"/>
    <x v="0"/>
  </r>
  <r>
    <n v="544"/>
    <x v="0"/>
    <x v="0"/>
    <s v="N"/>
    <n v="6040"/>
    <n v="41"/>
    <n v="-13"/>
    <n v="-33"/>
    <x v="0"/>
    <x v="2"/>
    <n v="1"/>
    <n v="1"/>
    <n v="0"/>
    <n v="0"/>
    <n v="0"/>
    <n v="0"/>
    <n v="0"/>
    <n v="3300"/>
    <n v="3000"/>
    <x v="0"/>
    <x v="0"/>
    <x v="0"/>
    <x v="1"/>
    <x v="0"/>
  </r>
  <r>
    <n v="545"/>
    <x v="0"/>
    <x v="0"/>
    <s v="W"/>
    <n v="13690"/>
    <n v="147"/>
    <n v="-66"/>
    <n v="-67"/>
    <x v="0"/>
    <x v="2"/>
    <n v="1"/>
    <n v="1"/>
    <n v="0"/>
    <n v="0"/>
    <n v="0"/>
    <n v="0"/>
    <n v="0"/>
    <n v="3300"/>
    <n v="3000"/>
    <x v="0"/>
    <x v="0"/>
    <x v="1"/>
    <x v="0"/>
    <x v="0"/>
  </r>
  <r>
    <n v="546"/>
    <x v="0"/>
    <x v="0"/>
    <s v="W"/>
    <n v="54830"/>
    <n v="694"/>
    <n v="46"/>
    <n v="68"/>
    <x v="0"/>
    <x v="6"/>
    <n v="3"/>
    <n v="2"/>
    <n v="0"/>
    <n v="0"/>
    <n v="0"/>
    <n v="0"/>
    <n v="0"/>
    <n v="4000"/>
    <n v="1000"/>
    <x v="0"/>
    <x v="0"/>
    <x v="1"/>
    <x v="0"/>
    <x v="0"/>
  </r>
  <r>
    <n v="547"/>
    <x v="0"/>
    <x v="0"/>
    <s v="W"/>
    <n v="34280"/>
    <n v="460"/>
    <n v="-12"/>
    <n v="5"/>
    <x v="0"/>
    <x v="1"/>
    <n v="0"/>
    <n v="1"/>
    <n v="0"/>
    <n v="0"/>
    <n v="0"/>
    <n v="0"/>
    <n v="0"/>
    <n v="3000"/>
    <n v="3000"/>
    <x v="0"/>
    <x v="0"/>
    <x v="1"/>
    <x v="0"/>
    <x v="0"/>
  </r>
  <r>
    <n v="548"/>
    <x v="0"/>
    <x v="0"/>
    <s v="W"/>
    <n v="24970"/>
    <n v="325"/>
    <n v="-35"/>
    <n v="-26"/>
    <x v="0"/>
    <x v="2"/>
    <n v="0"/>
    <n v="2"/>
    <n v="0"/>
    <n v="0"/>
    <n v="0"/>
    <n v="0"/>
    <n v="0"/>
    <n v="4000"/>
    <n v="3000"/>
    <x v="0"/>
    <x v="0"/>
    <x v="1"/>
    <x v="0"/>
    <x v="0"/>
  </r>
  <r>
    <n v="549"/>
    <x v="0"/>
    <x v="0"/>
    <s v="W"/>
    <n v="46740"/>
    <n v="553"/>
    <n v="27"/>
    <n v="29"/>
    <x v="0"/>
    <x v="7"/>
    <n v="3"/>
    <n v="3"/>
    <n v="0"/>
    <n v="0"/>
    <n v="0"/>
    <n v="0"/>
    <n v="0"/>
    <n v="5800"/>
    <n v="2000"/>
    <x v="0"/>
    <x v="0"/>
    <x v="1"/>
    <x v="0"/>
    <x v="0"/>
  </r>
  <r>
    <n v="550"/>
    <x v="0"/>
    <x v="0"/>
    <s v="W"/>
    <n v="23040"/>
    <n v="318"/>
    <n v="-39"/>
    <n v="-28"/>
    <x v="0"/>
    <x v="2"/>
    <n v="1"/>
    <n v="1"/>
    <n v="0"/>
    <n v="0"/>
    <n v="0"/>
    <n v="0"/>
    <n v="0"/>
    <n v="1300"/>
    <n v="1000"/>
    <x v="0"/>
    <x v="0"/>
    <x v="1"/>
    <x v="0"/>
    <x v="0"/>
  </r>
  <r>
    <n v="551"/>
    <x v="0"/>
    <x v="1"/>
    <s v="N"/>
    <n v="5380"/>
    <n v="90"/>
    <n v="-18"/>
    <n v="58"/>
    <x v="0"/>
    <x v="1"/>
    <n v="0"/>
    <n v="1"/>
    <n v="0"/>
    <n v="0"/>
    <n v="0"/>
    <n v="0"/>
    <n v="0"/>
    <n v="2000"/>
    <n v="2000"/>
    <x v="0"/>
    <x v="0"/>
    <x v="0"/>
    <x v="1"/>
    <x v="0"/>
  </r>
  <r>
    <n v="552"/>
    <x v="0"/>
    <x v="1"/>
    <s v="W"/>
    <n v="33540"/>
    <n v="570"/>
    <n v="-6"/>
    <n v="34"/>
    <x v="0"/>
    <x v="0"/>
    <n v="0"/>
    <n v="0"/>
    <n v="0"/>
    <n v="0"/>
    <n v="0"/>
    <n v="0"/>
    <n v="0"/>
    <n v="0"/>
    <n v="0"/>
    <x v="0"/>
    <x v="0"/>
    <x v="1"/>
    <x v="0"/>
    <x v="0"/>
  </r>
  <r>
    <n v="553"/>
    <x v="0"/>
    <x v="1"/>
    <s v="W"/>
    <n v="39980"/>
    <n v="629"/>
    <n v="14"/>
    <n v="43"/>
    <x v="1"/>
    <x v="2"/>
    <n v="1"/>
    <n v="1"/>
    <n v="0"/>
    <n v="0"/>
    <n v="0"/>
    <n v="0"/>
    <n v="0"/>
    <n v="2800"/>
    <n v="2000"/>
    <x v="0"/>
    <x v="0"/>
    <x v="1"/>
    <x v="0"/>
    <x v="0"/>
  </r>
  <r>
    <n v="554"/>
    <x v="0"/>
    <x v="1"/>
    <s v="W"/>
    <n v="28520"/>
    <n v="483"/>
    <n v="-19"/>
    <n v="5"/>
    <x v="1"/>
    <x v="3"/>
    <n v="3"/>
    <n v="0"/>
    <n v="0"/>
    <n v="0"/>
    <n v="0"/>
    <n v="0"/>
    <n v="0"/>
    <n v="1700"/>
    <n v="700"/>
    <x v="1"/>
    <x v="1"/>
    <x v="1"/>
    <x v="0"/>
    <x v="0"/>
  </r>
  <r>
    <n v="555"/>
    <x v="1"/>
    <x v="1"/>
    <s v="W"/>
    <n v="92780"/>
    <n v="1256"/>
    <n v="173"/>
    <n v="172"/>
    <x v="1"/>
    <x v="6"/>
    <n v="2"/>
    <n v="2"/>
    <n v="1"/>
    <n v="0"/>
    <n v="0"/>
    <n v="0"/>
    <n v="0"/>
    <n v="23500"/>
    <n v="20000"/>
    <x v="1"/>
    <x v="1"/>
    <x v="1"/>
    <x v="0"/>
    <x v="0"/>
  </r>
  <r>
    <n v="556"/>
    <x v="0"/>
    <x v="1"/>
    <s v="W"/>
    <n v="60910"/>
    <n v="882"/>
    <n v="55"/>
    <n v="62"/>
    <x v="0"/>
    <x v="2"/>
    <n v="0"/>
    <n v="1"/>
    <n v="0"/>
    <n v="1"/>
    <n v="0"/>
    <n v="0"/>
    <n v="0"/>
    <n v="303000"/>
    <n v="300000"/>
    <x v="0"/>
    <x v="0"/>
    <x v="1"/>
    <x v="0"/>
    <x v="0"/>
  </r>
  <r>
    <n v="557"/>
    <x v="0"/>
    <x v="1"/>
    <s v="W"/>
    <n v="81410"/>
    <n v="441"/>
    <n v="-19"/>
    <n v="-56"/>
    <x v="0"/>
    <x v="3"/>
    <n v="2"/>
    <n v="1"/>
    <n v="0"/>
    <n v="0"/>
    <n v="0"/>
    <n v="0"/>
    <n v="0"/>
    <n v="10200"/>
    <n v="9000"/>
    <x v="1"/>
    <x v="1"/>
    <x v="1"/>
    <x v="0"/>
    <x v="0"/>
  </r>
  <r>
    <n v="558"/>
    <x v="0"/>
    <x v="1"/>
    <s v="W"/>
    <n v="150220"/>
    <n v="709"/>
    <n v="53"/>
    <n v="-25"/>
    <x v="0"/>
    <x v="2"/>
    <n v="0"/>
    <n v="1"/>
    <n v="1"/>
    <n v="0"/>
    <n v="0"/>
    <n v="0"/>
    <n v="0"/>
    <n v="23000"/>
    <n v="20000"/>
    <x v="0"/>
    <x v="0"/>
    <x v="1"/>
    <x v="2"/>
    <x v="1"/>
  </r>
  <r>
    <n v="559"/>
    <x v="1"/>
    <x v="1"/>
    <s v="W"/>
    <n v="109110"/>
    <n v="417"/>
    <n v="6"/>
    <n v="-54"/>
    <x v="0"/>
    <x v="2"/>
    <n v="2"/>
    <n v="0"/>
    <n v="0"/>
    <n v="0"/>
    <n v="0"/>
    <n v="0"/>
    <n v="0"/>
    <n v="1300"/>
    <n v="800"/>
    <x v="0"/>
    <x v="0"/>
    <x v="1"/>
    <x v="2"/>
    <x v="0"/>
  </r>
  <r>
    <n v="560"/>
    <x v="1"/>
    <x v="1"/>
    <s v="W"/>
    <n v="70490"/>
    <n v="330"/>
    <n v="-38"/>
    <n v="-37"/>
    <x v="0"/>
    <x v="7"/>
    <n v="1"/>
    <n v="5"/>
    <n v="0"/>
    <n v="0"/>
    <n v="0"/>
    <n v="0"/>
    <n v="0"/>
    <n v="10300"/>
    <n v="3000"/>
    <x v="0"/>
    <x v="0"/>
    <x v="1"/>
    <x v="0"/>
    <x v="0"/>
  </r>
  <r>
    <n v="561"/>
    <x v="0"/>
    <x v="1"/>
    <s v="W"/>
    <n v="83570"/>
    <n v="488"/>
    <n v="-24"/>
    <n v="-3"/>
    <x v="0"/>
    <x v="3"/>
    <n v="2"/>
    <n v="1"/>
    <n v="0"/>
    <n v="0"/>
    <n v="0"/>
    <n v="0"/>
    <n v="0"/>
    <n v="1800"/>
    <n v="1000"/>
    <x v="0"/>
    <x v="0"/>
    <x v="1"/>
    <x v="0"/>
    <x v="0"/>
  </r>
  <r>
    <n v="562"/>
    <x v="0"/>
    <x v="1"/>
    <s v="W"/>
    <n v="46580"/>
    <n v="260"/>
    <n v="-56"/>
    <n v="-48"/>
    <x v="0"/>
    <x v="1"/>
    <n v="0"/>
    <n v="1"/>
    <n v="0"/>
    <n v="0"/>
    <n v="0"/>
    <n v="0"/>
    <n v="0"/>
    <n v="2000"/>
    <n v="2000"/>
    <x v="0"/>
    <x v="0"/>
    <x v="1"/>
    <x v="0"/>
    <x v="0"/>
  </r>
  <r>
    <n v="563"/>
    <x v="0"/>
    <x v="0"/>
    <s v="N"/>
    <n v="6500"/>
    <n v="67"/>
    <n v="-87"/>
    <n v="-87"/>
    <x v="0"/>
    <x v="0"/>
    <n v="0"/>
    <n v="0"/>
    <n v="0"/>
    <n v="0"/>
    <n v="0"/>
    <n v="0"/>
    <n v="0"/>
    <n v="0"/>
    <n v="0"/>
    <x v="0"/>
    <x v="0"/>
    <x v="0"/>
    <x v="1"/>
    <x v="0"/>
  </r>
  <r>
    <n v="564"/>
    <x v="0"/>
    <x v="0"/>
    <s v="N"/>
    <n v="5310"/>
    <n v="49"/>
    <n v="-88"/>
    <n v="-89"/>
    <x v="0"/>
    <x v="0"/>
    <n v="0"/>
    <n v="0"/>
    <n v="0"/>
    <n v="0"/>
    <n v="0"/>
    <n v="0"/>
    <n v="0"/>
    <n v="0"/>
    <n v="0"/>
    <x v="0"/>
    <x v="0"/>
    <x v="0"/>
    <x v="1"/>
    <x v="0"/>
  </r>
  <r>
    <n v="565"/>
    <x v="0"/>
    <x v="0"/>
    <s v="N"/>
    <n v="5770"/>
    <n v="45"/>
    <n v="-86"/>
    <n v="-89"/>
    <x v="0"/>
    <x v="1"/>
    <n v="0"/>
    <n v="1"/>
    <n v="0"/>
    <n v="0"/>
    <n v="0"/>
    <n v="0"/>
    <n v="0"/>
    <n v="2000"/>
    <n v="2000"/>
    <x v="0"/>
    <x v="0"/>
    <x v="0"/>
    <x v="1"/>
    <x v="0"/>
  </r>
  <r>
    <n v="566"/>
    <x v="0"/>
    <x v="0"/>
    <s v="W"/>
    <n v="54150"/>
    <n v="307"/>
    <n v="-46"/>
    <n v="-35"/>
    <x v="0"/>
    <x v="3"/>
    <n v="3"/>
    <n v="0"/>
    <n v="0"/>
    <n v="0"/>
    <n v="0"/>
    <n v="0"/>
    <n v="0"/>
    <n v="800"/>
    <n v="300"/>
    <x v="1"/>
    <x v="1"/>
    <x v="1"/>
    <x v="0"/>
    <x v="0"/>
  </r>
  <r>
    <n v="567"/>
    <x v="1"/>
    <x v="0"/>
    <s v="W"/>
    <n v="96070"/>
    <n v="537"/>
    <n v="3"/>
    <n v="19"/>
    <x v="0"/>
    <x v="3"/>
    <n v="1"/>
    <n v="1"/>
    <n v="1"/>
    <n v="0"/>
    <n v="0"/>
    <n v="0"/>
    <n v="0"/>
    <n v="49200"/>
    <n v="40000"/>
    <x v="0"/>
    <x v="0"/>
    <x v="1"/>
    <x v="0"/>
    <x v="0"/>
  </r>
  <r>
    <n v="568"/>
    <x v="1"/>
    <x v="0"/>
    <s v="W"/>
    <n v="40800"/>
    <n v="222"/>
    <n v="-56"/>
    <n v="-51"/>
    <x v="0"/>
    <x v="3"/>
    <n v="1"/>
    <n v="2"/>
    <n v="0"/>
    <n v="0"/>
    <n v="0"/>
    <n v="0"/>
    <n v="0"/>
    <n v="5800"/>
    <n v="3000"/>
    <x v="0"/>
    <x v="0"/>
    <x v="1"/>
    <x v="0"/>
    <x v="0"/>
  </r>
  <r>
    <n v="569"/>
    <x v="1"/>
    <x v="0"/>
    <s v="W"/>
    <n v="38070"/>
    <n v="220"/>
    <n v="-55"/>
    <n v="-48"/>
    <x v="0"/>
    <x v="2"/>
    <n v="1"/>
    <n v="1"/>
    <n v="0"/>
    <n v="0"/>
    <n v="0"/>
    <n v="0"/>
    <n v="0"/>
    <n v="7900"/>
    <n v="7000"/>
    <x v="0"/>
    <x v="0"/>
    <x v="1"/>
    <x v="0"/>
    <x v="0"/>
  </r>
  <r>
    <n v="570"/>
    <x v="0"/>
    <x v="0"/>
    <s v="W"/>
    <n v="69660"/>
    <n v="362"/>
    <n v="-10"/>
    <n v="-8"/>
    <x v="0"/>
    <x v="2"/>
    <n v="2"/>
    <n v="0"/>
    <n v="0"/>
    <n v="0"/>
    <n v="0"/>
    <n v="0"/>
    <n v="0"/>
    <n v="800"/>
    <n v="500"/>
    <x v="1"/>
    <x v="1"/>
    <x v="1"/>
    <x v="0"/>
    <x v="0"/>
  </r>
  <r>
    <n v="571"/>
    <x v="1"/>
    <x v="0"/>
    <s v="W"/>
    <n v="32310"/>
    <n v="194"/>
    <n v="-56"/>
    <n v="-49"/>
    <x v="0"/>
    <x v="5"/>
    <n v="1"/>
    <n v="2"/>
    <n v="1"/>
    <n v="0"/>
    <n v="0"/>
    <n v="0"/>
    <n v="0"/>
    <n v="28400"/>
    <n v="20000"/>
    <x v="0"/>
    <x v="0"/>
    <x v="1"/>
    <x v="0"/>
    <x v="0"/>
  </r>
  <r>
    <n v="572"/>
    <x v="1"/>
    <x v="0"/>
    <s v="W"/>
    <n v="39760"/>
    <n v="211"/>
    <n v="-38"/>
    <n v="-39"/>
    <x v="0"/>
    <x v="3"/>
    <n v="3"/>
    <n v="0"/>
    <n v="0"/>
    <n v="0"/>
    <n v="0"/>
    <n v="0"/>
    <n v="0"/>
    <n v="1600"/>
    <n v="900"/>
    <x v="0"/>
    <x v="0"/>
    <x v="1"/>
    <x v="0"/>
    <x v="0"/>
  </r>
  <r>
    <n v="573"/>
    <x v="1"/>
    <x v="0"/>
    <s v="W"/>
    <n v="74940"/>
    <n v="360"/>
    <n v="31"/>
    <n v="15"/>
    <x v="0"/>
    <x v="2"/>
    <n v="2"/>
    <n v="0"/>
    <n v="0"/>
    <n v="0"/>
    <n v="0"/>
    <n v="0"/>
    <n v="0"/>
    <n v="500"/>
    <n v="400"/>
    <x v="0"/>
    <x v="0"/>
    <x v="1"/>
    <x v="0"/>
    <x v="0"/>
  </r>
  <r>
    <n v="574"/>
    <x v="0"/>
    <x v="0"/>
    <s v="W"/>
    <n v="63950"/>
    <n v="297"/>
    <n v="11"/>
    <n v="-6"/>
    <x v="0"/>
    <x v="0"/>
    <n v="0"/>
    <n v="0"/>
    <n v="0"/>
    <n v="0"/>
    <n v="0"/>
    <n v="0"/>
    <n v="0"/>
    <n v="0"/>
    <n v="0"/>
    <x v="0"/>
    <x v="0"/>
    <x v="1"/>
    <x v="0"/>
    <x v="0"/>
  </r>
  <r>
    <n v="575"/>
    <x v="0"/>
    <x v="0"/>
    <s v="W"/>
    <n v="54030"/>
    <n v="335"/>
    <n v="-3"/>
    <n v="13"/>
    <x v="0"/>
    <x v="7"/>
    <n v="3"/>
    <n v="3"/>
    <n v="0"/>
    <n v="0"/>
    <n v="0"/>
    <n v="0"/>
    <n v="0"/>
    <n v="13300"/>
    <n v="9000"/>
    <x v="0"/>
    <x v="0"/>
    <x v="1"/>
    <x v="0"/>
    <x v="0"/>
  </r>
  <r>
    <n v="576"/>
    <x v="0"/>
    <x v="0"/>
    <s v="W"/>
    <n v="44080"/>
    <n v="339"/>
    <n v="-22"/>
    <n v="11"/>
    <x v="0"/>
    <x v="2"/>
    <n v="1"/>
    <n v="1"/>
    <n v="0"/>
    <n v="0"/>
    <n v="0"/>
    <n v="0"/>
    <n v="0"/>
    <n v="3700"/>
    <n v="3000"/>
    <x v="0"/>
    <x v="0"/>
    <x v="1"/>
    <x v="0"/>
    <x v="0"/>
  </r>
  <r>
    <n v="577"/>
    <x v="0"/>
    <x v="0"/>
    <s v="W"/>
    <n v="33580"/>
    <n v="268"/>
    <n v="-39"/>
    <n v="-13"/>
    <x v="0"/>
    <x v="1"/>
    <n v="0"/>
    <n v="1"/>
    <n v="0"/>
    <n v="0"/>
    <n v="0"/>
    <n v="0"/>
    <n v="0"/>
    <n v="4000"/>
    <n v="4000"/>
    <x v="0"/>
    <x v="0"/>
    <x v="1"/>
    <x v="0"/>
    <x v="0"/>
  </r>
  <r>
    <n v="578"/>
    <x v="0"/>
    <x v="0"/>
    <s v="W"/>
    <n v="34980"/>
    <n v="296"/>
    <n v="-29"/>
    <n v="5"/>
    <x v="0"/>
    <x v="0"/>
    <n v="0"/>
    <n v="0"/>
    <n v="0"/>
    <n v="0"/>
    <n v="0"/>
    <n v="0"/>
    <n v="0"/>
    <n v="0"/>
    <n v="0"/>
    <x v="0"/>
    <x v="0"/>
    <x v="1"/>
    <x v="0"/>
    <x v="0"/>
  </r>
  <r>
    <n v="579"/>
    <x v="0"/>
    <x v="0"/>
    <s v="W"/>
    <n v="40850"/>
    <n v="340"/>
    <n v="-16"/>
    <n v="18"/>
    <x v="0"/>
    <x v="2"/>
    <n v="2"/>
    <n v="0"/>
    <n v="0"/>
    <n v="0"/>
    <n v="0"/>
    <n v="0"/>
    <n v="0"/>
    <n v="400"/>
    <n v="200"/>
    <x v="0"/>
    <x v="0"/>
    <x v="1"/>
    <x v="0"/>
    <x v="0"/>
  </r>
  <r>
    <n v="580"/>
    <x v="0"/>
    <x v="0"/>
    <s v="N"/>
    <n v="4050"/>
    <n v="34"/>
    <n v="-31"/>
    <n v="-37"/>
    <x v="0"/>
    <x v="1"/>
    <n v="1"/>
    <n v="0"/>
    <n v="0"/>
    <n v="0"/>
    <n v="0"/>
    <n v="0"/>
    <n v="0"/>
    <n v="600"/>
    <n v="600"/>
    <x v="0"/>
    <x v="0"/>
    <x v="0"/>
    <x v="1"/>
    <x v="0"/>
  </r>
  <r>
    <n v="581"/>
    <x v="0"/>
    <x v="0"/>
    <s v="N"/>
    <n v="6320"/>
    <n v="32"/>
    <n v="11"/>
    <n v="-38"/>
    <x v="0"/>
    <x v="1"/>
    <n v="0"/>
    <n v="1"/>
    <n v="0"/>
    <n v="0"/>
    <n v="0"/>
    <n v="0"/>
    <n v="0"/>
    <n v="4000"/>
    <n v="4000"/>
    <x v="0"/>
    <x v="0"/>
    <x v="0"/>
    <x v="1"/>
    <x v="0"/>
  </r>
  <r>
    <n v="582"/>
    <x v="0"/>
    <x v="0"/>
    <s v="W"/>
    <n v="26130"/>
    <n v="220"/>
    <n v="-46"/>
    <n v="-27"/>
    <x v="0"/>
    <x v="2"/>
    <n v="1"/>
    <n v="1"/>
    <n v="0"/>
    <n v="0"/>
    <n v="0"/>
    <n v="0"/>
    <n v="0"/>
    <n v="2200"/>
    <n v="2000"/>
    <x v="0"/>
    <x v="0"/>
    <x v="1"/>
    <x v="0"/>
    <x v="0"/>
  </r>
  <r>
    <n v="583"/>
    <x v="0"/>
    <x v="0"/>
    <s v="W"/>
    <n v="34820"/>
    <n v="270"/>
    <n v="-22"/>
    <n v="-6"/>
    <x v="0"/>
    <x v="1"/>
    <n v="1"/>
    <n v="0"/>
    <n v="0"/>
    <n v="0"/>
    <n v="0"/>
    <n v="0"/>
    <n v="0"/>
    <n v="300"/>
    <n v="300"/>
    <x v="0"/>
    <x v="0"/>
    <x v="1"/>
    <x v="0"/>
    <x v="0"/>
  </r>
  <r>
    <n v="584"/>
    <x v="0"/>
    <x v="0"/>
    <s v="N"/>
    <n v="4410"/>
    <n v="76"/>
    <n v="-23"/>
    <n v="53"/>
    <x v="0"/>
    <x v="0"/>
    <n v="0"/>
    <n v="0"/>
    <n v="0"/>
    <n v="0"/>
    <n v="0"/>
    <n v="0"/>
    <n v="0"/>
    <n v="0"/>
    <n v="0"/>
    <x v="0"/>
    <x v="0"/>
    <x v="0"/>
    <x v="1"/>
    <x v="0"/>
  </r>
  <r>
    <n v="585"/>
    <x v="0"/>
    <x v="0"/>
    <s v="N"/>
    <n v="3280"/>
    <n v="40"/>
    <n v="-41"/>
    <n v="-23"/>
    <x v="0"/>
    <x v="1"/>
    <n v="1"/>
    <n v="0"/>
    <n v="0"/>
    <n v="0"/>
    <n v="0"/>
    <n v="0"/>
    <n v="0"/>
    <n v="200"/>
    <n v="200"/>
    <x v="0"/>
    <x v="0"/>
    <x v="0"/>
    <x v="1"/>
    <x v="0"/>
  </r>
  <r>
    <n v="586"/>
    <x v="0"/>
    <x v="0"/>
    <s v="N"/>
    <n v="6070"/>
    <n v="46"/>
    <n v="14"/>
    <n v="-9"/>
    <x v="0"/>
    <x v="1"/>
    <n v="0"/>
    <n v="1"/>
    <n v="0"/>
    <n v="0"/>
    <n v="0"/>
    <n v="0"/>
    <n v="0"/>
    <n v="3000"/>
    <n v="3000"/>
    <x v="0"/>
    <x v="0"/>
    <x v="0"/>
    <x v="1"/>
    <x v="0"/>
  </r>
  <r>
    <n v="587"/>
    <x v="0"/>
    <x v="0"/>
    <s v="W"/>
    <n v="17660"/>
    <n v="140"/>
    <n v="-60"/>
    <n v="-52"/>
    <x v="0"/>
    <x v="1"/>
    <n v="1"/>
    <n v="0"/>
    <n v="0"/>
    <n v="0"/>
    <n v="0"/>
    <n v="0"/>
    <n v="0"/>
    <n v="900"/>
    <n v="900"/>
    <x v="0"/>
    <x v="0"/>
    <x v="1"/>
    <x v="0"/>
    <x v="0"/>
  </r>
  <r>
    <n v="588"/>
    <x v="0"/>
    <x v="0"/>
    <s v="W"/>
    <n v="21240"/>
    <n v="138"/>
    <n v="-50"/>
    <n v="-52"/>
    <x v="0"/>
    <x v="1"/>
    <n v="1"/>
    <n v="0"/>
    <n v="0"/>
    <n v="0"/>
    <n v="0"/>
    <n v="0"/>
    <n v="0"/>
    <n v="700"/>
    <n v="700"/>
    <x v="0"/>
    <x v="0"/>
    <x v="1"/>
    <x v="0"/>
    <x v="0"/>
  </r>
  <r>
    <n v="589"/>
    <x v="0"/>
    <x v="0"/>
    <s v="W"/>
    <n v="37710"/>
    <n v="233"/>
    <n v="2"/>
    <n v="-12"/>
    <x v="0"/>
    <x v="1"/>
    <n v="0"/>
    <n v="1"/>
    <n v="0"/>
    <n v="0"/>
    <n v="0"/>
    <n v="0"/>
    <n v="0"/>
    <n v="2000"/>
    <n v="2000"/>
    <x v="0"/>
    <x v="0"/>
    <x v="1"/>
    <x v="0"/>
    <x v="0"/>
  </r>
  <r>
    <n v="590"/>
    <x v="0"/>
    <x v="0"/>
    <s v="W"/>
    <n v="20250"/>
    <n v="157"/>
    <n v="-41"/>
    <n v="-39"/>
    <x v="0"/>
    <x v="5"/>
    <n v="3"/>
    <n v="1"/>
    <n v="0"/>
    <n v="0"/>
    <n v="0"/>
    <n v="0"/>
    <n v="0"/>
    <n v="2600"/>
    <n v="1000"/>
    <x v="1"/>
    <x v="1"/>
    <x v="1"/>
    <x v="0"/>
    <x v="0"/>
  </r>
  <r>
    <n v="591"/>
    <x v="1"/>
    <x v="0"/>
    <s v="W"/>
    <n v="43940"/>
    <n v="327"/>
    <n v="41"/>
    <n v="36"/>
    <x v="0"/>
    <x v="2"/>
    <n v="0"/>
    <n v="1"/>
    <n v="1"/>
    <n v="0"/>
    <n v="0"/>
    <n v="0"/>
    <n v="0"/>
    <n v="41000"/>
    <n v="40000"/>
    <x v="0"/>
    <x v="0"/>
    <x v="1"/>
    <x v="0"/>
    <x v="0"/>
  </r>
  <r>
    <n v="592"/>
    <x v="1"/>
    <x v="0"/>
    <s v="W"/>
    <n v="31770"/>
    <n v="231"/>
    <n v="2"/>
    <n v="-3"/>
    <x v="0"/>
    <x v="3"/>
    <n v="1"/>
    <n v="2"/>
    <n v="0"/>
    <n v="0"/>
    <n v="0"/>
    <n v="0"/>
    <n v="0"/>
    <n v="10400"/>
    <n v="8000"/>
    <x v="0"/>
    <x v="0"/>
    <x v="1"/>
    <x v="0"/>
    <x v="0"/>
  </r>
  <r>
    <n v="593"/>
    <x v="1"/>
    <x v="0"/>
    <s v="W"/>
    <n v="16450"/>
    <n v="141"/>
    <n v="-47"/>
    <n v="-40"/>
    <x v="0"/>
    <x v="3"/>
    <n v="2"/>
    <n v="1"/>
    <n v="0"/>
    <n v="0"/>
    <n v="0"/>
    <n v="0"/>
    <n v="0"/>
    <n v="3800"/>
    <n v="3000"/>
    <x v="0"/>
    <x v="0"/>
    <x v="1"/>
    <x v="0"/>
    <x v="0"/>
  </r>
  <r>
    <n v="594"/>
    <x v="0"/>
    <x v="0"/>
    <s v="W"/>
    <n v="29150"/>
    <n v="259"/>
    <n v="0"/>
    <n v="18"/>
    <x v="0"/>
    <x v="1"/>
    <n v="1"/>
    <n v="0"/>
    <n v="0"/>
    <n v="0"/>
    <n v="0"/>
    <n v="0"/>
    <n v="0"/>
    <n v="600"/>
    <n v="600"/>
    <x v="1"/>
    <x v="1"/>
    <x v="1"/>
    <x v="0"/>
    <x v="0"/>
  </r>
  <r>
    <n v="595"/>
    <x v="1"/>
    <x v="0"/>
    <s v="W"/>
    <n v="39660"/>
    <n v="325"/>
    <n v="42"/>
    <n v="54"/>
    <x v="0"/>
    <x v="6"/>
    <n v="2"/>
    <n v="2"/>
    <n v="1"/>
    <n v="0"/>
    <n v="0"/>
    <n v="0"/>
    <n v="0"/>
    <n v="34000"/>
    <n v="30000"/>
    <x v="0"/>
    <x v="0"/>
    <x v="1"/>
    <x v="0"/>
    <x v="0"/>
  </r>
  <r>
    <n v="596"/>
    <x v="1"/>
    <x v="0"/>
    <s v="W"/>
    <n v="19220"/>
    <n v="149"/>
    <n v="-34"/>
    <n v="-33"/>
    <x v="0"/>
    <x v="7"/>
    <n v="2"/>
    <n v="4"/>
    <n v="0"/>
    <n v="0"/>
    <n v="0"/>
    <n v="0"/>
    <n v="0"/>
    <n v="10700"/>
    <n v="5000"/>
    <x v="0"/>
    <x v="0"/>
    <x v="1"/>
    <x v="0"/>
    <x v="0"/>
  </r>
  <r>
    <n v="597"/>
    <x v="1"/>
    <x v="0"/>
    <s v="W"/>
    <n v="40200"/>
    <n v="334"/>
    <n v="45"/>
    <n v="59"/>
    <x v="0"/>
    <x v="1"/>
    <n v="1"/>
    <n v="0"/>
    <n v="0"/>
    <n v="0"/>
    <n v="0"/>
    <n v="0"/>
    <n v="0"/>
    <n v="900"/>
    <n v="900"/>
    <x v="1"/>
    <x v="1"/>
    <x v="1"/>
    <x v="0"/>
    <x v="0"/>
  </r>
  <r>
    <n v="598"/>
    <x v="1"/>
    <x v="0"/>
    <s v="W"/>
    <n v="47010"/>
    <n v="375"/>
    <n v="57"/>
    <n v="63"/>
    <x v="0"/>
    <x v="5"/>
    <n v="2"/>
    <n v="1"/>
    <n v="0"/>
    <n v="1"/>
    <n v="0"/>
    <n v="0"/>
    <n v="0"/>
    <n v="204400"/>
    <n v="200000"/>
    <x v="0"/>
    <x v="0"/>
    <x v="1"/>
    <x v="0"/>
    <x v="0"/>
  </r>
  <r>
    <n v="599"/>
    <x v="1"/>
    <x v="0"/>
    <s v="W"/>
    <n v="8610"/>
    <n v="79"/>
    <n v="-74"/>
    <n v="-69"/>
    <x v="0"/>
    <x v="1"/>
    <n v="0"/>
    <n v="1"/>
    <n v="0"/>
    <n v="0"/>
    <n v="0"/>
    <n v="0"/>
    <n v="0"/>
    <n v="5000"/>
    <n v="5000"/>
    <x v="0"/>
    <x v="0"/>
    <x v="1"/>
    <x v="1"/>
    <x v="0"/>
  </r>
  <r>
    <n v="600"/>
    <x v="1"/>
    <x v="0"/>
    <s v="W"/>
    <n v="27810"/>
    <n v="265"/>
    <n v="-6"/>
    <n v="11"/>
    <x v="0"/>
    <x v="1"/>
    <n v="1"/>
    <n v="0"/>
    <n v="0"/>
    <n v="0"/>
    <n v="0"/>
    <n v="0"/>
    <n v="0"/>
    <n v="500"/>
    <n v="500"/>
    <x v="0"/>
    <x v="0"/>
    <x v="1"/>
    <x v="0"/>
    <x v="0"/>
  </r>
  <r>
    <n v="601"/>
    <x v="0"/>
    <x v="0"/>
    <s v="W"/>
    <n v="36600"/>
    <n v="341"/>
    <n v="20"/>
    <n v="37"/>
    <x v="0"/>
    <x v="3"/>
    <n v="0"/>
    <n v="3"/>
    <n v="0"/>
    <n v="0"/>
    <n v="0"/>
    <n v="0"/>
    <n v="0"/>
    <n v="13000"/>
    <n v="7000"/>
    <x v="0"/>
    <x v="0"/>
    <x v="1"/>
    <x v="0"/>
    <x v="0"/>
  </r>
  <r>
    <n v="602"/>
    <x v="0"/>
    <x v="0"/>
    <s v="N"/>
    <n v="5640"/>
    <n v="58"/>
    <n v="6"/>
    <n v="17"/>
    <x v="0"/>
    <x v="1"/>
    <n v="0"/>
    <n v="1"/>
    <n v="0"/>
    <n v="0"/>
    <n v="0"/>
    <n v="0"/>
    <n v="0"/>
    <n v="5000"/>
    <n v="5000"/>
    <x v="0"/>
    <x v="0"/>
    <x v="0"/>
    <x v="1"/>
    <x v="0"/>
  </r>
  <r>
    <n v="603"/>
    <x v="0"/>
    <x v="0"/>
    <s v="W"/>
    <n v="27870"/>
    <n v="238"/>
    <n v="-6"/>
    <n v="-5"/>
    <x v="0"/>
    <x v="0"/>
    <n v="0"/>
    <n v="0"/>
    <n v="0"/>
    <n v="0"/>
    <n v="0"/>
    <n v="0"/>
    <n v="0"/>
    <n v="0"/>
    <n v="0"/>
    <x v="0"/>
    <x v="0"/>
    <x v="1"/>
    <x v="0"/>
    <x v="0"/>
  </r>
  <r>
    <n v="604"/>
    <x v="0"/>
    <x v="0"/>
    <s v="W"/>
    <n v="34150"/>
    <n v="346"/>
    <n v="17"/>
    <n v="38"/>
    <x v="0"/>
    <x v="2"/>
    <n v="1"/>
    <n v="1"/>
    <n v="0"/>
    <n v="0"/>
    <n v="0"/>
    <n v="0"/>
    <n v="0"/>
    <n v="6300"/>
    <n v="6000"/>
    <x v="0"/>
    <x v="0"/>
    <x v="1"/>
    <x v="0"/>
    <x v="0"/>
  </r>
  <r>
    <n v="605"/>
    <x v="0"/>
    <x v="0"/>
    <s v="N"/>
    <n v="3040"/>
    <n v="63"/>
    <n v="-43"/>
    <n v="26"/>
    <x v="0"/>
    <x v="0"/>
    <n v="0"/>
    <n v="0"/>
    <n v="0"/>
    <n v="0"/>
    <n v="0"/>
    <n v="0"/>
    <n v="0"/>
    <n v="0"/>
    <n v="0"/>
    <x v="0"/>
    <x v="0"/>
    <x v="0"/>
    <x v="1"/>
    <x v="0"/>
  </r>
  <r>
    <n v="606"/>
    <x v="0"/>
    <x v="0"/>
    <s v="N"/>
    <n v="2410"/>
    <n v="39"/>
    <n v="-52"/>
    <n v="-24"/>
    <x v="0"/>
    <x v="0"/>
    <n v="0"/>
    <n v="0"/>
    <n v="0"/>
    <n v="0"/>
    <n v="0"/>
    <n v="0"/>
    <n v="0"/>
    <n v="0"/>
    <n v="0"/>
    <x v="0"/>
    <x v="0"/>
    <x v="0"/>
    <x v="1"/>
    <x v="0"/>
  </r>
  <r>
    <n v="607"/>
    <x v="0"/>
    <x v="0"/>
    <s v="N"/>
    <n v="3960"/>
    <n v="35"/>
    <n v="-14"/>
    <n v="-27"/>
    <x v="0"/>
    <x v="1"/>
    <n v="0"/>
    <n v="1"/>
    <n v="0"/>
    <n v="0"/>
    <n v="0"/>
    <n v="0"/>
    <n v="0"/>
    <n v="1000"/>
    <n v="1000"/>
    <x v="0"/>
    <x v="0"/>
    <x v="0"/>
    <x v="1"/>
    <x v="0"/>
  </r>
  <r>
    <n v="608"/>
    <x v="0"/>
    <x v="0"/>
    <s v="N"/>
    <n v="4420"/>
    <n v="60"/>
    <n v="-2"/>
    <n v="28"/>
    <x v="0"/>
    <x v="0"/>
    <n v="0"/>
    <n v="0"/>
    <n v="0"/>
    <n v="0"/>
    <n v="0"/>
    <n v="0"/>
    <n v="0"/>
    <n v="0"/>
    <n v="0"/>
    <x v="1"/>
    <x v="1"/>
    <x v="0"/>
    <x v="1"/>
    <x v="0"/>
  </r>
  <r>
    <n v="609"/>
    <x v="1"/>
    <x v="0"/>
    <s v="W"/>
    <n v="49520"/>
    <n v="405"/>
    <n v="60"/>
    <n v="49"/>
    <x v="0"/>
    <x v="5"/>
    <n v="0"/>
    <n v="3"/>
    <n v="1"/>
    <n v="0"/>
    <n v="0"/>
    <n v="0"/>
    <n v="0"/>
    <n v="72000"/>
    <n v="60000"/>
    <x v="0"/>
    <x v="0"/>
    <x v="1"/>
    <x v="0"/>
    <x v="0"/>
  </r>
  <r>
    <n v="610"/>
    <x v="1"/>
    <x v="1"/>
    <s v="W"/>
    <n v="51910"/>
    <n v="495"/>
    <n v="57"/>
    <n v="73"/>
    <x v="1"/>
    <x v="0"/>
    <n v="0"/>
    <n v="0"/>
    <n v="0"/>
    <n v="0"/>
    <n v="0"/>
    <n v="0"/>
    <n v="0"/>
    <n v="0"/>
    <n v="0"/>
    <x v="0"/>
    <x v="0"/>
    <x v="1"/>
    <x v="0"/>
    <x v="0"/>
  </r>
  <r>
    <n v="611"/>
    <x v="1"/>
    <x v="1"/>
    <s v="W"/>
    <n v="13600"/>
    <n v="215"/>
    <n v="-60"/>
    <n v="-29"/>
    <x v="1"/>
    <x v="2"/>
    <n v="1"/>
    <n v="1"/>
    <n v="0"/>
    <n v="0"/>
    <n v="0"/>
    <n v="0"/>
    <n v="0"/>
    <n v="3600"/>
    <n v="3000"/>
    <x v="0"/>
    <x v="0"/>
    <x v="1"/>
    <x v="0"/>
    <x v="0"/>
  </r>
  <r>
    <n v="612"/>
    <x v="0"/>
    <x v="1"/>
    <s v="W"/>
    <n v="40140"/>
    <n v="417"/>
    <n v="19"/>
    <n v="35"/>
    <x v="0"/>
    <x v="7"/>
    <n v="2"/>
    <n v="4"/>
    <n v="0"/>
    <n v="0"/>
    <n v="0"/>
    <n v="0"/>
    <n v="0"/>
    <n v="11300"/>
    <n v="4000"/>
    <x v="0"/>
    <x v="0"/>
    <x v="1"/>
    <x v="0"/>
    <x v="0"/>
  </r>
  <r>
    <n v="613"/>
    <x v="0"/>
    <x v="1"/>
    <s v="W"/>
    <n v="31390"/>
    <n v="376"/>
    <n v="-7"/>
    <n v="18"/>
    <x v="0"/>
    <x v="2"/>
    <n v="0"/>
    <n v="2"/>
    <n v="0"/>
    <n v="0"/>
    <n v="0"/>
    <n v="0"/>
    <n v="0"/>
    <n v="6000"/>
    <n v="4000"/>
    <x v="1"/>
    <x v="1"/>
    <x v="1"/>
    <x v="0"/>
    <x v="0"/>
  </r>
  <r>
    <n v="614"/>
    <x v="1"/>
    <x v="0"/>
    <s v="W"/>
    <n v="11230"/>
    <n v="103"/>
    <n v="-65"/>
    <n v="-68"/>
    <x v="0"/>
    <x v="5"/>
    <n v="1"/>
    <n v="2"/>
    <n v="1"/>
    <n v="0"/>
    <n v="0"/>
    <n v="0"/>
    <n v="0"/>
    <n v="25200"/>
    <n v="20000"/>
    <x v="1"/>
    <x v="1"/>
    <x v="1"/>
    <x v="0"/>
    <x v="0"/>
  </r>
  <r>
    <n v="615"/>
    <x v="1"/>
    <x v="0"/>
    <s v="W"/>
    <n v="23200"/>
    <n v="264"/>
    <n v="-28"/>
    <n v="-18"/>
    <x v="0"/>
    <x v="3"/>
    <n v="2"/>
    <n v="0"/>
    <n v="1"/>
    <n v="0"/>
    <n v="0"/>
    <n v="0"/>
    <n v="0"/>
    <n v="40600"/>
    <n v="40000"/>
    <x v="0"/>
    <x v="0"/>
    <x v="1"/>
    <x v="0"/>
    <x v="0"/>
  </r>
  <r>
    <n v="616"/>
    <x v="1"/>
    <x v="0"/>
    <s v="W"/>
    <n v="26670"/>
    <n v="444"/>
    <n v="-17"/>
    <n v="39"/>
    <x v="0"/>
    <x v="0"/>
    <n v="0"/>
    <n v="0"/>
    <n v="0"/>
    <n v="0"/>
    <n v="0"/>
    <n v="0"/>
    <n v="0"/>
    <n v="0"/>
    <n v="0"/>
    <x v="0"/>
    <x v="0"/>
    <x v="1"/>
    <x v="0"/>
    <x v="0"/>
  </r>
  <r>
    <n v="617"/>
    <x v="1"/>
    <x v="0"/>
    <s v="W"/>
    <n v="26860"/>
    <n v="282"/>
    <n v="-46"/>
    <n v="-44"/>
    <x v="0"/>
    <x v="2"/>
    <n v="0"/>
    <n v="2"/>
    <n v="0"/>
    <n v="0"/>
    <n v="0"/>
    <n v="0"/>
    <n v="0"/>
    <n v="5000"/>
    <n v="3000"/>
    <x v="0"/>
    <x v="0"/>
    <x v="1"/>
    <x v="0"/>
    <x v="0"/>
  </r>
  <r>
    <n v="618"/>
    <x v="0"/>
    <x v="0"/>
    <s v="W"/>
    <n v="21760"/>
    <n v="250"/>
    <n v="-54"/>
    <n v="-48"/>
    <x v="0"/>
    <x v="2"/>
    <n v="2"/>
    <n v="0"/>
    <n v="0"/>
    <n v="0"/>
    <n v="0"/>
    <n v="0"/>
    <n v="0"/>
    <n v="600"/>
    <n v="400"/>
    <x v="1"/>
    <x v="1"/>
    <x v="1"/>
    <x v="0"/>
    <x v="0"/>
  </r>
  <r>
    <n v="619"/>
    <x v="1"/>
    <x v="0"/>
    <s v="W"/>
    <n v="17570"/>
    <n v="211"/>
    <n v="-61"/>
    <n v="-53"/>
    <x v="0"/>
    <x v="5"/>
    <n v="3"/>
    <n v="0"/>
    <n v="1"/>
    <n v="0"/>
    <n v="0"/>
    <n v="0"/>
    <n v="0"/>
    <n v="70800"/>
    <n v="70000"/>
    <x v="0"/>
    <x v="0"/>
    <x v="1"/>
    <x v="0"/>
    <x v="0"/>
  </r>
  <r>
    <n v="620"/>
    <x v="1"/>
    <x v="0"/>
    <s v="W"/>
    <n v="11800"/>
    <n v="133"/>
    <n v="-47"/>
    <n v="-46"/>
    <x v="0"/>
    <x v="2"/>
    <n v="1"/>
    <n v="1"/>
    <n v="0"/>
    <n v="0"/>
    <n v="0"/>
    <n v="0"/>
    <n v="0"/>
    <n v="3300"/>
    <n v="3000"/>
    <x v="0"/>
    <x v="0"/>
    <x v="1"/>
    <x v="0"/>
    <x v="0"/>
  </r>
  <r>
    <n v="621"/>
    <x v="1"/>
    <x v="0"/>
    <s v="W"/>
    <n v="40250"/>
    <n v="451"/>
    <n v="91"/>
    <n v="91"/>
    <x v="0"/>
    <x v="5"/>
    <n v="3"/>
    <n v="1"/>
    <n v="0"/>
    <n v="0"/>
    <n v="0"/>
    <n v="0"/>
    <n v="0"/>
    <n v="2900"/>
    <n v="2000"/>
    <x v="0"/>
    <x v="0"/>
    <x v="1"/>
    <x v="0"/>
    <x v="0"/>
  </r>
  <r>
    <n v="622"/>
    <x v="0"/>
    <x v="0"/>
    <s v="W"/>
    <n v="45180"/>
    <n v="370"/>
    <n v="98"/>
    <n v="44"/>
    <x v="0"/>
    <x v="5"/>
    <n v="2"/>
    <n v="2"/>
    <n v="0"/>
    <n v="0"/>
    <n v="0"/>
    <n v="0"/>
    <n v="0"/>
    <n v="5800"/>
    <n v="3000"/>
    <x v="0"/>
    <x v="0"/>
    <x v="1"/>
    <x v="0"/>
    <x v="0"/>
  </r>
  <r>
    <n v="623"/>
    <x v="0"/>
    <x v="0"/>
    <s v="W"/>
    <n v="25650"/>
    <n v="157"/>
    <n v="2"/>
    <n v="-42"/>
    <x v="0"/>
    <x v="5"/>
    <n v="1"/>
    <n v="3"/>
    <n v="0"/>
    <n v="0"/>
    <n v="0"/>
    <n v="0"/>
    <n v="0"/>
    <n v="16900"/>
    <n v="8000"/>
    <x v="0"/>
    <x v="0"/>
    <x v="1"/>
    <x v="0"/>
    <x v="0"/>
  </r>
  <r>
    <n v="624"/>
    <x v="0"/>
    <x v="0"/>
    <s v="W"/>
    <n v="48530"/>
    <n v="485"/>
    <n v="90"/>
    <n v="87"/>
    <x v="0"/>
    <x v="2"/>
    <n v="1"/>
    <n v="1"/>
    <n v="0"/>
    <n v="0"/>
    <n v="0"/>
    <n v="0"/>
    <n v="0"/>
    <n v="1300"/>
    <n v="1000"/>
    <x v="0"/>
    <x v="0"/>
    <x v="1"/>
    <x v="0"/>
    <x v="0"/>
  </r>
  <r>
    <n v="625"/>
    <x v="0"/>
    <x v="0"/>
    <s v="W"/>
    <n v="45350"/>
    <n v="469"/>
    <n v="14"/>
    <n v="21"/>
    <x v="0"/>
    <x v="5"/>
    <n v="1"/>
    <n v="3"/>
    <n v="0"/>
    <n v="0"/>
    <n v="0"/>
    <n v="0"/>
    <n v="0"/>
    <n v="6400"/>
    <n v="3000"/>
    <x v="0"/>
    <x v="0"/>
    <x v="1"/>
    <x v="0"/>
    <x v="0"/>
  </r>
  <r>
    <n v="626"/>
    <x v="0"/>
    <x v="1"/>
    <s v="W"/>
    <n v="31710"/>
    <n v="352"/>
    <n v="-20"/>
    <n v="-9"/>
    <x v="0"/>
    <x v="2"/>
    <n v="2"/>
    <n v="0"/>
    <n v="0"/>
    <n v="0"/>
    <n v="0"/>
    <n v="0"/>
    <n v="0"/>
    <n v="1000"/>
    <n v="500"/>
    <x v="0"/>
    <x v="0"/>
    <x v="1"/>
    <x v="0"/>
    <x v="0"/>
  </r>
  <r>
    <n v="627"/>
    <x v="0"/>
    <x v="1"/>
    <s v="N"/>
    <n v="4520"/>
    <n v="50"/>
    <n v="-82"/>
    <n v="-80"/>
    <x v="0"/>
    <x v="0"/>
    <n v="0"/>
    <n v="0"/>
    <n v="0"/>
    <n v="0"/>
    <n v="0"/>
    <n v="0"/>
    <n v="0"/>
    <n v="0"/>
    <n v="0"/>
    <x v="0"/>
    <x v="0"/>
    <x v="0"/>
    <x v="1"/>
    <x v="0"/>
  </r>
  <r>
    <n v="628"/>
    <x v="0"/>
    <x v="1"/>
    <s v="N"/>
    <n v="7400"/>
    <n v="47"/>
    <n v="-68"/>
    <n v="-80"/>
    <x v="0"/>
    <x v="1"/>
    <n v="0"/>
    <n v="1"/>
    <n v="0"/>
    <n v="0"/>
    <n v="0"/>
    <n v="0"/>
    <n v="0"/>
    <n v="3000"/>
    <n v="3000"/>
    <x v="0"/>
    <x v="0"/>
    <x v="0"/>
    <x v="1"/>
    <x v="0"/>
  </r>
  <r>
    <n v="629"/>
    <x v="0"/>
    <x v="1"/>
    <s v="W"/>
    <n v="20160"/>
    <n v="243"/>
    <n v="-47"/>
    <n v="-36"/>
    <x v="0"/>
    <x v="2"/>
    <n v="1"/>
    <n v="1"/>
    <n v="0"/>
    <n v="0"/>
    <n v="0"/>
    <n v="0"/>
    <n v="0"/>
    <n v="2700"/>
    <n v="2000"/>
    <x v="1"/>
    <x v="1"/>
    <x v="1"/>
    <x v="0"/>
    <x v="0"/>
  </r>
  <r>
    <n v="630"/>
    <x v="1"/>
    <x v="1"/>
    <s v="W"/>
    <n v="50890"/>
    <n v="602"/>
    <n v="42"/>
    <n v="69"/>
    <x v="0"/>
    <x v="2"/>
    <n v="1"/>
    <n v="0"/>
    <n v="1"/>
    <n v="0"/>
    <n v="0"/>
    <n v="0"/>
    <n v="0"/>
    <n v="70500"/>
    <n v="70000"/>
    <x v="0"/>
    <x v="0"/>
    <x v="1"/>
    <x v="0"/>
    <x v="0"/>
  </r>
  <r>
    <n v="631"/>
    <x v="1"/>
    <x v="0"/>
    <s v="W"/>
    <n v="40880"/>
    <n v="519"/>
    <n v="12"/>
    <n v="40"/>
    <x v="0"/>
    <x v="1"/>
    <n v="1"/>
    <n v="0"/>
    <n v="0"/>
    <n v="0"/>
    <n v="0"/>
    <n v="0"/>
    <n v="0"/>
    <n v="600"/>
    <n v="600"/>
    <x v="0"/>
    <x v="0"/>
    <x v="1"/>
    <x v="0"/>
    <x v="0"/>
  </r>
  <r>
    <n v="632"/>
    <x v="1"/>
    <x v="0"/>
    <s v="W"/>
    <n v="30430"/>
    <n v="308"/>
    <n v="-16"/>
    <n v="-19"/>
    <x v="0"/>
    <x v="2"/>
    <n v="1"/>
    <n v="1"/>
    <n v="0"/>
    <n v="0"/>
    <n v="0"/>
    <n v="0"/>
    <n v="0"/>
    <n v="4500"/>
    <n v="4000"/>
    <x v="0"/>
    <x v="0"/>
    <x v="1"/>
    <x v="0"/>
    <x v="0"/>
  </r>
  <r>
    <n v="633"/>
    <x v="0"/>
    <x v="0"/>
    <s v="W"/>
    <n v="71080"/>
    <n v="767"/>
    <n v="88"/>
    <n v="94"/>
    <x v="0"/>
    <x v="6"/>
    <n v="3"/>
    <n v="2"/>
    <n v="0"/>
    <n v="0"/>
    <n v="0"/>
    <n v="0"/>
    <n v="0"/>
    <n v="4600"/>
    <n v="2000"/>
    <x v="1"/>
    <x v="1"/>
    <x v="1"/>
    <x v="0"/>
    <x v="0"/>
  </r>
  <r>
    <n v="634"/>
    <x v="1"/>
    <x v="0"/>
    <s v="W"/>
    <n v="65490"/>
    <n v="735"/>
    <n v="60"/>
    <n v="72"/>
    <x v="0"/>
    <x v="3"/>
    <n v="0"/>
    <n v="2"/>
    <n v="1"/>
    <n v="0"/>
    <n v="0"/>
    <n v="0"/>
    <n v="0"/>
    <n v="72000"/>
    <n v="60000"/>
    <x v="0"/>
    <x v="0"/>
    <x v="1"/>
    <x v="0"/>
    <x v="0"/>
  </r>
  <r>
    <n v="635"/>
    <x v="1"/>
    <x v="0"/>
    <s v="W"/>
    <n v="31440"/>
    <n v="361"/>
    <n v="-27"/>
    <n v="-22"/>
    <x v="0"/>
    <x v="3"/>
    <n v="2"/>
    <n v="1"/>
    <n v="0"/>
    <n v="0"/>
    <n v="0"/>
    <n v="0"/>
    <n v="0"/>
    <n v="4600"/>
    <n v="4000"/>
    <x v="0"/>
    <x v="0"/>
    <x v="1"/>
    <x v="0"/>
    <x v="0"/>
  </r>
  <r>
    <n v="636"/>
    <x v="1"/>
    <x v="0"/>
    <s v="W"/>
    <n v="51660"/>
    <n v="626"/>
    <n v="19"/>
    <n v="29"/>
    <x v="0"/>
    <x v="1"/>
    <n v="1"/>
    <n v="0"/>
    <n v="0"/>
    <n v="0"/>
    <n v="0"/>
    <n v="0"/>
    <n v="0"/>
    <n v="500"/>
    <n v="500"/>
    <x v="0"/>
    <x v="0"/>
    <x v="1"/>
    <x v="0"/>
    <x v="0"/>
  </r>
  <r>
    <n v="637"/>
    <x v="0"/>
    <x v="0"/>
    <s v="W"/>
    <n v="45080"/>
    <n v="468"/>
    <n v="3"/>
    <n v="-6"/>
    <x v="0"/>
    <x v="3"/>
    <n v="2"/>
    <n v="1"/>
    <n v="0"/>
    <n v="0"/>
    <n v="0"/>
    <n v="0"/>
    <n v="0"/>
    <n v="2000"/>
    <n v="1000"/>
    <x v="0"/>
    <x v="0"/>
    <x v="1"/>
    <x v="0"/>
    <x v="0"/>
  </r>
  <r>
    <n v="638"/>
    <x v="0"/>
    <x v="0"/>
    <s v="W"/>
    <n v="48100"/>
    <n v="582"/>
    <n v="10"/>
    <n v="17"/>
    <x v="0"/>
    <x v="5"/>
    <n v="2"/>
    <n v="2"/>
    <n v="0"/>
    <n v="0"/>
    <n v="0"/>
    <n v="0"/>
    <n v="0"/>
    <n v="12100"/>
    <n v="7000"/>
    <x v="0"/>
    <x v="0"/>
    <x v="1"/>
    <x v="0"/>
    <x v="0"/>
  </r>
  <r>
    <n v="639"/>
    <x v="0"/>
    <x v="0"/>
    <s v="W"/>
    <n v="90330"/>
    <n v="913"/>
    <n v="98"/>
    <n v="75"/>
    <x v="0"/>
    <x v="5"/>
    <n v="2"/>
    <n v="2"/>
    <n v="0"/>
    <n v="0"/>
    <n v="0"/>
    <n v="0"/>
    <n v="0"/>
    <n v="14100"/>
    <n v="7000"/>
    <x v="0"/>
    <x v="0"/>
    <x v="1"/>
    <x v="0"/>
    <x v="0"/>
  </r>
  <r>
    <n v="640"/>
    <x v="0"/>
    <x v="0"/>
    <s v="W"/>
    <n v="50090"/>
    <n v="699"/>
    <n v="-5"/>
    <n v="19"/>
    <x v="0"/>
    <x v="3"/>
    <n v="1"/>
    <n v="2"/>
    <n v="0"/>
    <n v="0"/>
    <n v="0"/>
    <n v="0"/>
    <n v="0"/>
    <n v="12600"/>
    <n v="7000"/>
    <x v="1"/>
    <x v="1"/>
    <x v="1"/>
    <x v="0"/>
    <x v="0"/>
  </r>
  <r>
    <n v="641"/>
    <x v="1"/>
    <x v="1"/>
    <s v="W"/>
    <n v="36430"/>
    <n v="500"/>
    <n v="-31"/>
    <n v="-16"/>
    <x v="0"/>
    <x v="2"/>
    <n v="0"/>
    <n v="1"/>
    <n v="1"/>
    <n v="0"/>
    <n v="0"/>
    <n v="0"/>
    <n v="0"/>
    <n v="94000"/>
    <n v="90000"/>
    <x v="0"/>
    <x v="0"/>
    <x v="1"/>
    <x v="0"/>
    <x v="0"/>
  </r>
  <r>
    <n v="642"/>
    <x v="1"/>
    <x v="1"/>
    <s v="W"/>
    <n v="65150"/>
    <n v="952"/>
    <n v="25"/>
    <n v="60"/>
    <x v="0"/>
    <x v="5"/>
    <n v="3"/>
    <n v="1"/>
    <n v="0"/>
    <n v="0"/>
    <n v="0"/>
    <n v="0"/>
    <n v="0"/>
    <n v="4100"/>
    <n v="2000"/>
    <x v="0"/>
    <x v="0"/>
    <x v="1"/>
    <x v="0"/>
    <x v="0"/>
  </r>
  <r>
    <n v="643"/>
    <x v="1"/>
    <x v="1"/>
    <s v="W"/>
    <n v="40030"/>
    <n v="577"/>
    <n v="-28"/>
    <n v="-13"/>
    <x v="0"/>
    <x v="0"/>
    <n v="0"/>
    <n v="0"/>
    <n v="0"/>
    <n v="0"/>
    <n v="0"/>
    <n v="0"/>
    <n v="0"/>
    <n v="0"/>
    <n v="0"/>
    <x v="0"/>
    <x v="0"/>
    <x v="1"/>
    <x v="0"/>
    <x v="0"/>
  </r>
  <r>
    <n v="644"/>
    <x v="0"/>
    <x v="1"/>
    <s v="W"/>
    <n v="45170"/>
    <n v="579"/>
    <n v="-14"/>
    <n v="-10"/>
    <x v="0"/>
    <x v="1"/>
    <n v="0"/>
    <n v="1"/>
    <n v="0"/>
    <n v="0"/>
    <n v="0"/>
    <n v="0"/>
    <n v="0"/>
    <n v="2000"/>
    <n v="2000"/>
    <x v="0"/>
    <x v="0"/>
    <x v="1"/>
    <x v="0"/>
    <x v="0"/>
  </r>
  <r>
    <n v="645"/>
    <x v="0"/>
    <x v="1"/>
    <s v="W"/>
    <n v="93510"/>
    <n v="1375"/>
    <n v="86"/>
    <n v="120"/>
    <x v="1"/>
    <x v="3"/>
    <n v="2"/>
    <n v="1"/>
    <n v="0"/>
    <n v="0"/>
    <n v="0"/>
    <n v="0"/>
    <n v="0"/>
    <n v="5700"/>
    <n v="5000"/>
    <x v="0"/>
    <x v="0"/>
    <x v="1"/>
    <x v="0"/>
    <x v="0"/>
  </r>
  <r>
    <n v="646"/>
    <x v="0"/>
    <x v="1"/>
    <s v="W"/>
    <n v="59240"/>
    <n v="941"/>
    <n v="5"/>
    <n v="29"/>
    <x v="0"/>
    <x v="3"/>
    <n v="1"/>
    <n v="2"/>
    <n v="0"/>
    <n v="0"/>
    <n v="0"/>
    <n v="0"/>
    <n v="0"/>
    <n v="5200"/>
    <n v="3000"/>
    <x v="0"/>
    <x v="0"/>
    <x v="1"/>
    <x v="0"/>
    <x v="0"/>
  </r>
  <r>
    <n v="647"/>
    <x v="0"/>
    <x v="1"/>
    <s v="N"/>
    <n v="11130"/>
    <n v="126"/>
    <n v="-47"/>
    <n v="-40"/>
    <x v="0"/>
    <x v="3"/>
    <n v="1"/>
    <n v="2"/>
    <n v="0"/>
    <n v="0"/>
    <n v="0"/>
    <n v="0"/>
    <n v="0"/>
    <n v="4900"/>
    <n v="3000"/>
    <x v="0"/>
    <x v="0"/>
    <x v="0"/>
    <x v="0"/>
    <x v="0"/>
  </r>
  <r>
    <n v="648"/>
    <x v="0"/>
    <x v="1"/>
    <s v="N"/>
    <n v="2960"/>
    <n v="49"/>
    <n v="-62"/>
    <n v="-34"/>
    <x v="0"/>
    <x v="0"/>
    <n v="0"/>
    <n v="0"/>
    <n v="0"/>
    <n v="0"/>
    <n v="0"/>
    <n v="0"/>
    <n v="0"/>
    <n v="0"/>
    <n v="0"/>
    <x v="0"/>
    <x v="0"/>
    <x v="0"/>
    <x v="1"/>
    <x v="0"/>
  </r>
  <r>
    <n v="649"/>
    <x v="0"/>
    <x v="1"/>
    <s v="N"/>
    <n v="10520"/>
    <n v="72"/>
    <n v="46"/>
    <n v="1"/>
    <x v="0"/>
    <x v="1"/>
    <n v="0"/>
    <n v="1"/>
    <n v="0"/>
    <n v="0"/>
    <n v="0"/>
    <n v="0"/>
    <n v="0"/>
    <n v="5000"/>
    <n v="5000"/>
    <x v="0"/>
    <x v="0"/>
    <x v="0"/>
    <x v="0"/>
    <x v="0"/>
  </r>
  <r>
    <n v="650"/>
    <x v="0"/>
    <x v="1"/>
    <s v="W"/>
    <n v="44770"/>
    <n v="770"/>
    <n v="-22"/>
    <n v="2"/>
    <x v="0"/>
    <x v="1"/>
    <n v="0"/>
    <n v="1"/>
    <n v="0"/>
    <n v="0"/>
    <n v="0"/>
    <n v="0"/>
    <n v="0"/>
    <n v="1000"/>
    <n v="1000"/>
    <x v="1"/>
    <x v="1"/>
    <x v="1"/>
    <x v="0"/>
    <x v="0"/>
  </r>
  <r>
    <n v="651"/>
    <x v="1"/>
    <x v="0"/>
    <s v="W"/>
    <n v="79790"/>
    <n v="1419"/>
    <n v="39"/>
    <n v="80"/>
    <x v="0"/>
    <x v="3"/>
    <n v="2"/>
    <n v="0"/>
    <n v="1"/>
    <n v="0"/>
    <n v="0"/>
    <n v="0"/>
    <n v="0"/>
    <n v="21200"/>
    <n v="20000"/>
    <x v="0"/>
    <x v="0"/>
    <x v="1"/>
    <x v="0"/>
    <x v="0"/>
  </r>
  <r>
    <n v="652"/>
    <x v="1"/>
    <x v="0"/>
    <s v="W"/>
    <n v="58160"/>
    <n v="897"/>
    <n v="-4"/>
    <n v="3"/>
    <x v="0"/>
    <x v="3"/>
    <n v="2"/>
    <n v="1"/>
    <n v="0"/>
    <n v="0"/>
    <n v="0"/>
    <n v="0"/>
    <n v="0"/>
    <n v="1900"/>
    <n v="1000"/>
    <x v="0"/>
    <x v="0"/>
    <x v="1"/>
    <x v="0"/>
    <x v="0"/>
  </r>
  <r>
    <n v="653"/>
    <x v="1"/>
    <x v="0"/>
    <s v="W"/>
    <n v="51230"/>
    <n v="944"/>
    <n v="-10"/>
    <n v="8"/>
    <x v="0"/>
    <x v="2"/>
    <n v="0"/>
    <n v="2"/>
    <n v="0"/>
    <n v="0"/>
    <n v="0"/>
    <n v="0"/>
    <n v="0"/>
    <n v="5000"/>
    <n v="3000"/>
    <x v="1"/>
    <x v="1"/>
    <x v="1"/>
    <x v="0"/>
    <x v="0"/>
  </r>
  <r>
    <n v="654"/>
    <x v="1"/>
    <x v="0"/>
    <s v="W"/>
    <n v="55890"/>
    <n v="1204"/>
    <n v="-3"/>
    <n v="34"/>
    <x v="0"/>
    <x v="6"/>
    <n v="0"/>
    <n v="2"/>
    <n v="3"/>
    <n v="0"/>
    <n v="0"/>
    <n v="0"/>
    <n v="0"/>
    <n v="149000"/>
    <n v="80000"/>
    <x v="0"/>
    <x v="0"/>
    <x v="1"/>
    <x v="0"/>
    <x v="0"/>
  </r>
  <r>
    <n v="655"/>
    <x v="1"/>
    <x v="0"/>
    <s v="W"/>
    <n v="29900"/>
    <n v="665"/>
    <n v="-50"/>
    <n v="-31"/>
    <x v="0"/>
    <x v="1"/>
    <n v="1"/>
    <n v="0"/>
    <n v="0"/>
    <n v="0"/>
    <n v="0"/>
    <n v="0"/>
    <n v="0"/>
    <n v="900"/>
    <n v="900"/>
    <x v="1"/>
    <x v="1"/>
    <x v="1"/>
    <x v="0"/>
    <x v="0"/>
  </r>
  <r>
    <n v="656"/>
    <x v="1"/>
    <x v="1"/>
    <s v="N"/>
    <n v="8660"/>
    <n v="205"/>
    <n v="16"/>
    <n v="188"/>
    <x v="1"/>
    <x v="1"/>
    <n v="0"/>
    <n v="0"/>
    <n v="1"/>
    <n v="0"/>
    <n v="0"/>
    <n v="0"/>
    <n v="0"/>
    <n v="10000"/>
    <n v="10000"/>
    <x v="0"/>
    <x v="0"/>
    <x v="0"/>
    <x v="1"/>
    <x v="0"/>
  </r>
  <r>
    <n v="657"/>
    <x v="0"/>
    <x v="1"/>
    <s v="W"/>
    <n v="23290"/>
    <n v="592"/>
    <n v="-58"/>
    <n v="-37"/>
    <x v="1"/>
    <x v="1"/>
    <n v="1"/>
    <n v="0"/>
    <n v="0"/>
    <n v="0"/>
    <n v="0"/>
    <n v="0"/>
    <n v="0"/>
    <n v="500"/>
    <n v="500"/>
    <x v="0"/>
    <x v="0"/>
    <x v="1"/>
    <x v="0"/>
    <x v="0"/>
  </r>
  <r>
    <n v="658"/>
    <x v="0"/>
    <x v="1"/>
    <s v="W"/>
    <n v="21000"/>
    <n v="523"/>
    <n v="-61"/>
    <n v="-44"/>
    <x v="1"/>
    <x v="1"/>
    <n v="0"/>
    <n v="1"/>
    <n v="0"/>
    <n v="0"/>
    <n v="0"/>
    <n v="0"/>
    <n v="0"/>
    <n v="8000"/>
    <n v="8000"/>
    <x v="0"/>
    <x v="0"/>
    <x v="1"/>
    <x v="0"/>
    <x v="0"/>
  </r>
  <r>
    <n v="659"/>
    <x v="0"/>
    <x v="1"/>
    <s v="W"/>
    <n v="24570"/>
    <n v="434"/>
    <n v="-52"/>
    <n v="-53"/>
    <x v="0"/>
    <x v="2"/>
    <n v="1"/>
    <n v="1"/>
    <n v="0"/>
    <n v="0"/>
    <n v="0"/>
    <n v="0"/>
    <n v="0"/>
    <n v="3600"/>
    <n v="3000"/>
    <x v="0"/>
    <x v="0"/>
    <x v="1"/>
    <x v="0"/>
    <x v="0"/>
  </r>
  <r>
    <n v="660"/>
    <x v="0"/>
    <x v="1"/>
    <s v="W"/>
    <n v="56350"/>
    <n v="999"/>
    <n v="26"/>
    <n v="19"/>
    <x v="0"/>
    <x v="2"/>
    <n v="2"/>
    <n v="0"/>
    <n v="0"/>
    <n v="0"/>
    <n v="0"/>
    <n v="0"/>
    <n v="0"/>
    <n v="1000"/>
    <n v="800"/>
    <x v="0"/>
    <x v="0"/>
    <x v="1"/>
    <x v="0"/>
    <x v="0"/>
  </r>
  <r>
    <n v="661"/>
    <x v="0"/>
    <x v="0"/>
    <s v="W"/>
    <n v="31900"/>
    <n v="643"/>
    <n v="-28"/>
    <n v="-24"/>
    <x v="0"/>
    <x v="2"/>
    <n v="2"/>
    <n v="0"/>
    <n v="0"/>
    <n v="0"/>
    <n v="0"/>
    <n v="0"/>
    <n v="0"/>
    <n v="1100"/>
    <n v="700"/>
    <x v="0"/>
    <x v="0"/>
    <x v="1"/>
    <x v="0"/>
    <x v="0"/>
  </r>
  <r>
    <n v="662"/>
    <x v="0"/>
    <x v="0"/>
    <s v="W"/>
    <n v="23920"/>
    <n v="359"/>
    <n v="-45"/>
    <n v="-57"/>
    <x v="0"/>
    <x v="1"/>
    <n v="0"/>
    <n v="1"/>
    <n v="0"/>
    <n v="0"/>
    <n v="0"/>
    <n v="0"/>
    <n v="0"/>
    <n v="5000"/>
    <n v="5000"/>
    <x v="0"/>
    <x v="0"/>
    <x v="1"/>
    <x v="0"/>
    <x v="0"/>
  </r>
  <r>
    <n v="663"/>
    <x v="0"/>
    <x v="1"/>
    <s v="W"/>
    <n v="65240"/>
    <n v="1008"/>
    <n v="73"/>
    <n v="39"/>
    <x v="0"/>
    <x v="5"/>
    <n v="3"/>
    <n v="1"/>
    <n v="0"/>
    <n v="0"/>
    <n v="0"/>
    <n v="0"/>
    <n v="0"/>
    <n v="2500"/>
    <n v="1000"/>
    <x v="0"/>
    <x v="0"/>
    <x v="1"/>
    <x v="0"/>
    <x v="0"/>
  </r>
  <r>
    <n v="664"/>
    <x v="0"/>
    <x v="1"/>
    <s v="W"/>
    <n v="49070"/>
    <n v="587"/>
    <n v="28"/>
    <n v="-20"/>
    <x v="0"/>
    <x v="2"/>
    <n v="1"/>
    <n v="1"/>
    <n v="0"/>
    <n v="0"/>
    <n v="0"/>
    <n v="0"/>
    <n v="0"/>
    <n v="2400"/>
    <n v="2000"/>
    <x v="0"/>
    <x v="0"/>
    <x v="1"/>
    <x v="0"/>
    <x v="0"/>
  </r>
  <r>
    <n v="665"/>
    <x v="0"/>
    <x v="1"/>
    <s v="W"/>
    <n v="122820"/>
    <n v="1191"/>
    <n v="-39"/>
    <n v="-40"/>
    <x v="0"/>
    <x v="1"/>
    <n v="0"/>
    <n v="1"/>
    <n v="0"/>
    <n v="0"/>
    <n v="0"/>
    <n v="0"/>
    <n v="0"/>
    <n v="3000"/>
    <n v="3000"/>
    <x v="0"/>
    <x v="0"/>
    <x v="1"/>
    <x v="2"/>
    <x v="1"/>
  </r>
  <r>
    <n v="666"/>
    <x v="0"/>
    <x v="1"/>
    <s v="W"/>
    <n v="132520"/>
    <n v="1174"/>
    <n v="-31"/>
    <n v="-39"/>
    <x v="0"/>
    <x v="1"/>
    <n v="1"/>
    <n v="0"/>
    <n v="0"/>
    <n v="0"/>
    <n v="0"/>
    <n v="0"/>
    <n v="0"/>
    <n v="200"/>
    <n v="200"/>
    <x v="0"/>
    <x v="0"/>
    <x v="1"/>
    <x v="2"/>
    <x v="1"/>
  </r>
  <r>
    <n v="667"/>
    <x v="0"/>
    <x v="1"/>
    <s v="N"/>
    <n v="25710"/>
    <n v="258"/>
    <n v="-74"/>
    <n v="-74"/>
    <x v="0"/>
    <x v="1"/>
    <n v="0"/>
    <n v="1"/>
    <n v="0"/>
    <n v="0"/>
    <n v="0"/>
    <n v="0"/>
    <n v="0"/>
    <n v="7000"/>
    <n v="7000"/>
    <x v="0"/>
    <x v="0"/>
    <x v="0"/>
    <x v="0"/>
    <x v="0"/>
  </r>
  <r>
    <n v="668"/>
    <x v="0"/>
    <x v="0"/>
    <s v="N"/>
    <n v="17700"/>
    <n v="174"/>
    <n v="-81"/>
    <n v="-81"/>
    <x v="0"/>
    <x v="1"/>
    <n v="0"/>
    <n v="1"/>
    <n v="0"/>
    <n v="0"/>
    <n v="0"/>
    <n v="0"/>
    <n v="0"/>
    <n v="2000"/>
    <n v="2000"/>
    <x v="0"/>
    <x v="0"/>
    <x v="0"/>
    <x v="0"/>
    <x v="0"/>
  </r>
  <r>
    <n v="669"/>
    <x v="0"/>
    <x v="0"/>
    <s v="N"/>
    <n v="72300"/>
    <n v="155"/>
    <n v="-14"/>
    <n v="-82"/>
    <x v="0"/>
    <x v="1"/>
    <n v="0"/>
    <n v="1"/>
    <n v="0"/>
    <n v="0"/>
    <n v="0"/>
    <n v="0"/>
    <n v="0"/>
    <n v="5000"/>
    <n v="5000"/>
    <x v="0"/>
    <x v="0"/>
    <x v="0"/>
    <x v="0"/>
    <x v="0"/>
  </r>
  <r>
    <n v="670"/>
    <x v="0"/>
    <x v="0"/>
    <s v="N"/>
    <n v="16960"/>
    <n v="130"/>
    <n v="-56"/>
    <n v="-34"/>
    <x v="0"/>
    <x v="1"/>
    <n v="0"/>
    <n v="1"/>
    <n v="0"/>
    <n v="0"/>
    <n v="0"/>
    <n v="0"/>
    <n v="0"/>
    <n v="4000"/>
    <n v="4000"/>
    <x v="0"/>
    <x v="0"/>
    <x v="0"/>
    <x v="0"/>
    <x v="0"/>
  </r>
  <r>
    <n v="671"/>
    <x v="0"/>
    <x v="0"/>
    <s v="W"/>
    <n v="87700"/>
    <n v="935"/>
    <n v="-53"/>
    <n v="-49"/>
    <x v="0"/>
    <x v="2"/>
    <n v="1"/>
    <n v="1"/>
    <n v="0"/>
    <n v="0"/>
    <n v="0"/>
    <n v="0"/>
    <n v="0"/>
    <n v="1600"/>
    <n v="1000"/>
    <x v="0"/>
    <x v="0"/>
    <x v="1"/>
    <x v="0"/>
    <x v="0"/>
  </r>
  <r>
    <n v="672"/>
    <x v="0"/>
    <x v="0"/>
    <s v="W"/>
    <n v="118860"/>
    <n v="1122"/>
    <n v="4"/>
    <n v="2"/>
    <x v="0"/>
    <x v="0"/>
    <n v="0"/>
    <n v="0"/>
    <n v="0"/>
    <n v="0"/>
    <n v="0"/>
    <n v="0"/>
    <n v="0"/>
    <n v="0"/>
    <n v="0"/>
    <x v="0"/>
    <x v="0"/>
    <x v="1"/>
    <x v="2"/>
    <x v="1"/>
  </r>
  <r>
    <n v="673"/>
    <x v="0"/>
    <x v="0"/>
    <s v="W"/>
    <n v="102710"/>
    <n v="1159"/>
    <n v="-11"/>
    <n v="5"/>
    <x v="0"/>
    <x v="1"/>
    <n v="1"/>
    <n v="0"/>
    <n v="0"/>
    <n v="0"/>
    <n v="0"/>
    <n v="0"/>
    <n v="0"/>
    <n v="400"/>
    <n v="400"/>
    <x v="0"/>
    <x v="0"/>
    <x v="1"/>
    <x v="2"/>
    <x v="0"/>
  </r>
  <r>
    <n v="674"/>
    <x v="0"/>
    <x v="0"/>
    <s v="W"/>
    <n v="95050"/>
    <n v="860"/>
    <n v="-16"/>
    <n v="-22"/>
    <x v="0"/>
    <x v="2"/>
    <n v="0"/>
    <n v="2"/>
    <n v="0"/>
    <n v="0"/>
    <n v="0"/>
    <n v="0"/>
    <n v="0"/>
    <n v="5000"/>
    <n v="3000"/>
    <x v="0"/>
    <x v="0"/>
    <x v="1"/>
    <x v="0"/>
    <x v="0"/>
  </r>
  <r>
    <n v="675"/>
    <x v="0"/>
    <x v="0"/>
    <s v="W"/>
    <n v="182210"/>
    <n v="1766"/>
    <n v="63"/>
    <n v="63"/>
    <x v="0"/>
    <x v="7"/>
    <n v="1"/>
    <n v="5"/>
    <n v="0"/>
    <n v="0"/>
    <n v="0"/>
    <n v="0"/>
    <n v="0"/>
    <n v="17800"/>
    <n v="7000"/>
    <x v="0"/>
    <x v="0"/>
    <x v="1"/>
    <x v="2"/>
    <x v="1"/>
  </r>
  <r>
    <n v="676"/>
    <x v="0"/>
    <x v="0"/>
    <s v="W"/>
    <n v="95020"/>
    <n v="859"/>
    <n v="-20"/>
    <n v="-25"/>
    <x v="0"/>
    <x v="1"/>
    <n v="1"/>
    <n v="0"/>
    <n v="0"/>
    <n v="0"/>
    <n v="0"/>
    <n v="0"/>
    <n v="0"/>
    <n v="600"/>
    <n v="600"/>
    <x v="0"/>
    <x v="0"/>
    <x v="1"/>
    <x v="0"/>
    <x v="0"/>
  </r>
  <r>
    <n v="677"/>
    <x v="0"/>
    <x v="0"/>
    <s v="N"/>
    <n v="29290"/>
    <n v="235"/>
    <n v="-20"/>
    <n v="24"/>
    <x v="0"/>
    <x v="1"/>
    <n v="1"/>
    <n v="0"/>
    <n v="0"/>
    <n v="0"/>
    <n v="0"/>
    <n v="0"/>
    <n v="0"/>
    <n v="500"/>
    <n v="500"/>
    <x v="0"/>
    <x v="0"/>
    <x v="0"/>
    <x v="0"/>
    <x v="0"/>
  </r>
  <r>
    <n v="678"/>
    <x v="0"/>
    <x v="0"/>
    <s v="N"/>
    <n v="11440"/>
    <n v="121"/>
    <n v="-68"/>
    <n v="-37"/>
    <x v="0"/>
    <x v="0"/>
    <n v="0"/>
    <n v="0"/>
    <n v="0"/>
    <n v="0"/>
    <n v="0"/>
    <n v="0"/>
    <n v="0"/>
    <n v="0"/>
    <n v="0"/>
    <x v="0"/>
    <x v="0"/>
    <x v="0"/>
    <x v="0"/>
    <x v="0"/>
  </r>
  <r>
    <n v="679"/>
    <x v="0"/>
    <x v="0"/>
    <s v="N"/>
    <n v="26800"/>
    <n v="94"/>
    <n v="-18"/>
    <n v="-49"/>
    <x v="0"/>
    <x v="1"/>
    <n v="0"/>
    <n v="1"/>
    <n v="0"/>
    <n v="0"/>
    <n v="0"/>
    <n v="0"/>
    <n v="0"/>
    <n v="3000"/>
    <n v="3000"/>
    <x v="0"/>
    <x v="0"/>
    <x v="0"/>
    <x v="0"/>
    <x v="0"/>
  </r>
  <r>
    <n v="680"/>
    <x v="0"/>
    <x v="0"/>
    <s v="N"/>
    <n v="43650"/>
    <n v="334"/>
    <n v="38"/>
    <n v="90"/>
    <x v="0"/>
    <x v="0"/>
    <n v="0"/>
    <n v="0"/>
    <n v="0"/>
    <n v="0"/>
    <n v="0"/>
    <n v="0"/>
    <n v="0"/>
    <n v="0"/>
    <n v="0"/>
    <x v="0"/>
    <x v="0"/>
    <x v="0"/>
    <x v="0"/>
    <x v="0"/>
  </r>
  <r>
    <n v="681"/>
    <x v="0"/>
    <x v="0"/>
    <s v="W"/>
    <n v="154830"/>
    <n v="1252"/>
    <n v="33"/>
    <n v="11"/>
    <x v="0"/>
    <x v="2"/>
    <n v="2"/>
    <n v="0"/>
    <n v="0"/>
    <n v="0"/>
    <n v="0"/>
    <n v="0"/>
    <n v="0"/>
    <n v="1100"/>
    <n v="700"/>
    <x v="0"/>
    <x v="0"/>
    <x v="1"/>
    <x v="2"/>
    <x v="1"/>
  </r>
  <r>
    <n v="682"/>
    <x v="0"/>
    <x v="1"/>
    <s v="W"/>
    <n v="121720"/>
    <n v="1170"/>
    <n v="1"/>
    <n v="2"/>
    <x v="0"/>
    <x v="1"/>
    <n v="0"/>
    <n v="1"/>
    <n v="0"/>
    <n v="0"/>
    <n v="0"/>
    <n v="0"/>
    <n v="0"/>
    <n v="5000"/>
    <n v="5000"/>
    <x v="0"/>
    <x v="0"/>
    <x v="1"/>
    <x v="2"/>
    <x v="1"/>
  </r>
  <r>
    <n v="683"/>
    <x v="0"/>
    <x v="1"/>
    <s v="W"/>
    <n v="111950"/>
    <n v="997"/>
    <n v="-8"/>
    <n v="-13"/>
    <x v="0"/>
    <x v="5"/>
    <n v="3"/>
    <n v="1"/>
    <n v="0"/>
    <n v="0"/>
    <n v="0"/>
    <n v="0"/>
    <n v="0"/>
    <n v="4400"/>
    <n v="3000"/>
    <x v="0"/>
    <x v="0"/>
    <x v="1"/>
    <x v="2"/>
    <x v="0"/>
  </r>
  <r>
    <n v="684"/>
    <x v="0"/>
    <x v="1"/>
    <s v="W"/>
    <n v="190960"/>
    <n v="1651"/>
    <n v="58"/>
    <n v="45"/>
    <x v="0"/>
    <x v="2"/>
    <n v="0"/>
    <n v="2"/>
    <n v="0"/>
    <n v="0"/>
    <n v="0"/>
    <n v="0"/>
    <n v="0"/>
    <n v="11000"/>
    <n v="9000"/>
    <x v="0"/>
    <x v="0"/>
    <x v="1"/>
    <x v="2"/>
    <x v="1"/>
  </r>
  <r>
    <n v="685"/>
    <x v="0"/>
    <x v="1"/>
    <s v="W"/>
    <n v="95620"/>
    <n v="996"/>
    <n v="-26"/>
    <n v="-17"/>
    <x v="0"/>
    <x v="0"/>
    <n v="0"/>
    <n v="0"/>
    <n v="0"/>
    <n v="0"/>
    <n v="0"/>
    <n v="0"/>
    <n v="0"/>
    <n v="0"/>
    <n v="0"/>
    <x v="0"/>
    <x v="0"/>
    <x v="1"/>
    <x v="0"/>
    <x v="0"/>
  </r>
  <r>
    <n v="686"/>
    <x v="0"/>
    <x v="1"/>
    <s v="W"/>
    <n v="133430"/>
    <n v="1074"/>
    <n v="5"/>
    <n v="-9"/>
    <x v="0"/>
    <x v="7"/>
    <n v="2"/>
    <n v="4"/>
    <n v="0"/>
    <n v="0"/>
    <n v="0"/>
    <n v="0"/>
    <n v="0"/>
    <n v="16700"/>
    <n v="8000"/>
    <x v="0"/>
    <x v="0"/>
    <x v="1"/>
    <x v="2"/>
    <x v="1"/>
  </r>
  <r>
    <n v="687"/>
    <x v="0"/>
    <x v="1"/>
    <s v="W"/>
    <n v="253510"/>
    <n v="2069"/>
    <n v="98"/>
    <n v="76"/>
    <x v="0"/>
    <x v="5"/>
    <n v="2"/>
    <n v="2"/>
    <n v="0"/>
    <n v="0"/>
    <n v="0"/>
    <n v="0"/>
    <n v="0"/>
    <n v="7100"/>
    <n v="4000"/>
    <x v="0"/>
    <x v="0"/>
    <x v="1"/>
    <x v="2"/>
    <x v="1"/>
  </r>
  <r>
    <n v="688"/>
    <x v="0"/>
    <x v="1"/>
    <s v="W"/>
    <n v="121870"/>
    <n v="935"/>
    <n v="-15"/>
    <n v="-26"/>
    <x v="0"/>
    <x v="2"/>
    <n v="2"/>
    <n v="0"/>
    <n v="0"/>
    <n v="0"/>
    <n v="0"/>
    <n v="0"/>
    <n v="0"/>
    <n v="900"/>
    <n v="500"/>
    <x v="0"/>
    <x v="0"/>
    <x v="1"/>
    <x v="2"/>
    <x v="1"/>
  </r>
  <r>
    <n v="689"/>
    <x v="0"/>
    <x v="1"/>
    <s v="W"/>
    <n v="148160"/>
    <n v="1282"/>
    <n v="1"/>
    <n v="0"/>
    <x v="0"/>
    <x v="2"/>
    <n v="2"/>
    <n v="0"/>
    <n v="0"/>
    <n v="0"/>
    <n v="0"/>
    <n v="0"/>
    <n v="0"/>
    <n v="1300"/>
    <n v="900"/>
    <x v="0"/>
    <x v="0"/>
    <x v="1"/>
    <x v="2"/>
    <x v="1"/>
  </r>
  <r>
    <n v="690"/>
    <x v="0"/>
    <x v="1"/>
    <s v="W"/>
    <n v="156780"/>
    <n v="1301"/>
    <n v="10"/>
    <n v="6"/>
    <x v="0"/>
    <x v="5"/>
    <n v="3"/>
    <n v="1"/>
    <n v="0"/>
    <n v="0"/>
    <n v="0"/>
    <n v="0"/>
    <n v="0"/>
    <n v="4700"/>
    <n v="3000"/>
    <x v="0"/>
    <x v="0"/>
    <x v="1"/>
    <x v="2"/>
    <x v="1"/>
  </r>
  <r>
    <n v="691"/>
    <x v="0"/>
    <x v="1"/>
    <s v="N"/>
    <n v="23000"/>
    <n v="157"/>
    <n v="-28"/>
    <n v="-17"/>
    <x v="0"/>
    <x v="1"/>
    <n v="0"/>
    <n v="1"/>
    <n v="0"/>
    <n v="0"/>
    <n v="0"/>
    <n v="0"/>
    <n v="0"/>
    <n v="2000"/>
    <n v="2000"/>
    <x v="0"/>
    <x v="0"/>
    <x v="0"/>
    <x v="0"/>
    <x v="0"/>
  </r>
  <r>
    <n v="692"/>
    <x v="0"/>
    <x v="0"/>
    <s v="W"/>
    <n v="107100"/>
    <n v="1003"/>
    <n v="-28"/>
    <n v="-21"/>
    <x v="0"/>
    <x v="3"/>
    <n v="3"/>
    <n v="0"/>
    <n v="0"/>
    <n v="0"/>
    <n v="0"/>
    <n v="0"/>
    <n v="0"/>
    <n v="1600"/>
    <n v="600"/>
    <x v="1"/>
    <x v="1"/>
    <x v="1"/>
    <x v="2"/>
    <x v="0"/>
  </r>
  <r>
    <n v="693"/>
    <x v="1"/>
    <x v="0"/>
    <s v="W"/>
    <n v="127110"/>
    <n v="1140"/>
    <n v="-12"/>
    <n v="-9"/>
    <x v="0"/>
    <x v="3"/>
    <n v="1"/>
    <n v="1"/>
    <n v="1"/>
    <n v="0"/>
    <n v="0"/>
    <n v="0"/>
    <n v="0"/>
    <n v="22600"/>
    <n v="20000"/>
    <x v="1"/>
    <x v="1"/>
    <x v="1"/>
    <x v="2"/>
    <x v="1"/>
  </r>
  <r>
    <n v="694"/>
    <x v="1"/>
    <x v="0"/>
    <s v="W"/>
    <n v="163510"/>
    <n v="1534"/>
    <n v="13"/>
    <n v="23"/>
    <x v="0"/>
    <x v="2"/>
    <n v="0"/>
    <n v="1"/>
    <n v="1"/>
    <n v="0"/>
    <n v="0"/>
    <n v="0"/>
    <n v="0"/>
    <n v="72000"/>
    <n v="70000"/>
    <x v="0"/>
    <x v="0"/>
    <x v="1"/>
    <x v="2"/>
    <x v="1"/>
  </r>
  <r>
    <n v="695"/>
    <x v="1"/>
    <x v="0"/>
    <s v="W"/>
    <n v="134890"/>
    <n v="1411"/>
    <n v="-10"/>
    <n v="9"/>
    <x v="0"/>
    <x v="1"/>
    <n v="0"/>
    <n v="1"/>
    <n v="0"/>
    <n v="0"/>
    <n v="0"/>
    <n v="0"/>
    <n v="0"/>
    <n v="6000"/>
    <n v="6000"/>
    <x v="1"/>
    <x v="1"/>
    <x v="1"/>
    <x v="2"/>
    <x v="1"/>
  </r>
  <r>
    <n v="696"/>
    <x v="1"/>
    <x v="1"/>
    <s v="W"/>
    <n v="306400"/>
    <n v="2522"/>
    <n v="112"/>
    <n v="98"/>
    <x v="1"/>
    <x v="3"/>
    <n v="2"/>
    <n v="0"/>
    <n v="1"/>
    <n v="0"/>
    <n v="0"/>
    <n v="0"/>
    <n v="0"/>
    <n v="31000"/>
    <n v="30000"/>
    <x v="1"/>
    <x v="1"/>
    <x v="1"/>
    <x v="2"/>
    <x v="1"/>
  </r>
  <r>
    <n v="697"/>
    <x v="1"/>
    <x v="1"/>
    <s v="W"/>
    <n v="83490"/>
    <n v="898"/>
    <n v="-49"/>
    <n v="-37"/>
    <x v="1"/>
    <x v="2"/>
    <n v="1"/>
    <n v="0"/>
    <n v="0"/>
    <n v="1"/>
    <n v="0"/>
    <n v="0"/>
    <n v="0"/>
    <n v="100300"/>
    <n v="100000"/>
    <x v="1"/>
    <x v="1"/>
    <x v="1"/>
    <x v="0"/>
    <x v="0"/>
  </r>
  <r>
    <n v="698"/>
    <x v="1"/>
    <x v="1"/>
    <s v="W"/>
    <n v="92760"/>
    <n v="967"/>
    <n v="-42"/>
    <n v="-31"/>
    <x v="1"/>
    <x v="6"/>
    <n v="3"/>
    <n v="1"/>
    <n v="1"/>
    <n v="0"/>
    <n v="0"/>
    <n v="0"/>
    <n v="0"/>
    <n v="65800"/>
    <n v="60000"/>
    <x v="0"/>
    <x v="0"/>
    <x v="1"/>
    <x v="0"/>
    <x v="0"/>
  </r>
  <r>
    <n v="699"/>
    <x v="1"/>
    <x v="1"/>
    <s v="W"/>
    <n v="105810"/>
    <n v="958"/>
    <n v="-27"/>
    <n v="-26"/>
    <x v="0"/>
    <x v="3"/>
    <n v="1"/>
    <n v="2"/>
    <n v="0"/>
    <n v="0"/>
    <n v="0"/>
    <n v="0"/>
    <n v="0"/>
    <n v="14900"/>
    <n v="8000"/>
    <x v="0"/>
    <x v="0"/>
    <x v="1"/>
    <x v="2"/>
    <x v="0"/>
  </r>
  <r>
    <n v="700"/>
    <x v="1"/>
    <x v="1"/>
    <s v="W"/>
    <n v="128260"/>
    <n v="1235"/>
    <n v="-10"/>
    <n v="-5"/>
    <x v="0"/>
    <x v="1"/>
    <n v="0"/>
    <n v="1"/>
    <n v="0"/>
    <n v="0"/>
    <n v="0"/>
    <n v="0"/>
    <n v="0"/>
    <n v="1000"/>
    <n v="1000"/>
    <x v="0"/>
    <x v="0"/>
    <x v="1"/>
    <x v="2"/>
    <x v="1"/>
  </r>
  <r>
    <n v="701"/>
    <x v="0"/>
    <x v="0"/>
    <s v="W"/>
    <n v="95280"/>
    <n v="1031"/>
    <n v="-32"/>
    <n v="-21"/>
    <x v="0"/>
    <x v="2"/>
    <n v="1"/>
    <n v="1"/>
    <n v="0"/>
    <n v="0"/>
    <n v="0"/>
    <n v="0"/>
    <n v="0"/>
    <n v="3600"/>
    <n v="3000"/>
    <x v="1"/>
    <x v="1"/>
    <x v="1"/>
    <x v="0"/>
    <x v="0"/>
  </r>
  <r>
    <n v="702"/>
    <x v="1"/>
    <x v="0"/>
    <s v="W"/>
    <n v="186280"/>
    <n v="1921"/>
    <n v="39"/>
    <n v="51"/>
    <x v="0"/>
    <x v="3"/>
    <n v="1"/>
    <n v="1"/>
    <n v="1"/>
    <n v="0"/>
    <n v="0"/>
    <n v="0"/>
    <n v="0"/>
    <n v="72500"/>
    <n v="70000"/>
    <x v="0"/>
    <x v="0"/>
    <x v="1"/>
    <x v="2"/>
    <x v="1"/>
  </r>
  <r>
    <n v="703"/>
    <x v="1"/>
    <x v="0"/>
    <s v="W"/>
    <n v="195950"/>
    <n v="1913"/>
    <n v="38"/>
    <n v="40"/>
    <x v="0"/>
    <x v="5"/>
    <n v="3"/>
    <n v="1"/>
    <n v="0"/>
    <n v="0"/>
    <n v="0"/>
    <n v="0"/>
    <n v="0"/>
    <n v="2700"/>
    <n v="1000"/>
    <x v="0"/>
    <x v="0"/>
    <x v="1"/>
    <x v="2"/>
    <x v="1"/>
  </r>
  <r>
    <n v="704"/>
    <x v="1"/>
    <x v="0"/>
    <s v="W"/>
    <n v="117120"/>
    <n v="1095"/>
    <n v="-22"/>
    <n v="-24"/>
    <x v="0"/>
    <x v="3"/>
    <n v="2"/>
    <n v="1"/>
    <n v="0"/>
    <n v="0"/>
    <n v="0"/>
    <n v="0"/>
    <n v="0"/>
    <n v="5700"/>
    <n v="4000"/>
    <x v="0"/>
    <x v="0"/>
    <x v="1"/>
    <x v="2"/>
    <x v="1"/>
  </r>
  <r>
    <n v="705"/>
    <x v="0"/>
    <x v="1"/>
    <s v="W"/>
    <n v="273200"/>
    <n v="2387"/>
    <n v="89"/>
    <n v="71"/>
    <x v="0"/>
    <x v="2"/>
    <n v="1"/>
    <n v="1"/>
    <n v="0"/>
    <n v="0"/>
    <n v="0"/>
    <n v="0"/>
    <n v="0"/>
    <n v="3400"/>
    <n v="3000"/>
    <x v="0"/>
    <x v="0"/>
    <x v="1"/>
    <x v="2"/>
    <x v="1"/>
  </r>
  <r>
    <n v="706"/>
    <x v="0"/>
    <x v="1"/>
    <s v="W"/>
    <n v="121400"/>
    <n v="1063"/>
    <n v="-23"/>
    <n v="-29"/>
    <x v="0"/>
    <x v="2"/>
    <n v="0"/>
    <n v="2"/>
    <n v="0"/>
    <n v="0"/>
    <n v="0"/>
    <n v="0"/>
    <n v="0"/>
    <n v="8000"/>
    <n v="6000"/>
    <x v="0"/>
    <x v="0"/>
    <x v="1"/>
    <x v="2"/>
    <x v="1"/>
  </r>
  <r>
    <n v="707"/>
    <x v="0"/>
    <x v="1"/>
    <s v="W"/>
    <n v="200350"/>
    <n v="1668"/>
    <n v="43"/>
    <n v="24"/>
    <x v="0"/>
    <x v="0"/>
    <n v="0"/>
    <n v="0"/>
    <n v="0"/>
    <n v="0"/>
    <n v="0"/>
    <n v="0"/>
    <n v="0"/>
    <n v="0"/>
    <n v="0"/>
    <x v="0"/>
    <x v="0"/>
    <x v="1"/>
    <x v="2"/>
    <x v="1"/>
  </r>
  <r>
    <n v="708"/>
    <x v="0"/>
    <x v="0"/>
    <s v="W"/>
    <n v="130940"/>
    <n v="1397"/>
    <n v="-14"/>
    <n v="-2"/>
    <x v="0"/>
    <x v="1"/>
    <n v="0"/>
    <n v="1"/>
    <n v="0"/>
    <n v="0"/>
    <n v="0"/>
    <n v="0"/>
    <n v="0"/>
    <n v="2000"/>
    <n v="2000"/>
    <x v="0"/>
    <x v="0"/>
    <x v="1"/>
    <x v="2"/>
    <x v="1"/>
  </r>
  <r>
    <n v="709"/>
    <x v="0"/>
    <x v="0"/>
    <s v="N"/>
    <n v="38450"/>
    <n v="343"/>
    <n v="26"/>
    <n v="85"/>
    <x v="0"/>
    <x v="1"/>
    <n v="0"/>
    <n v="1"/>
    <n v="0"/>
    <n v="0"/>
    <n v="0"/>
    <n v="0"/>
    <n v="0"/>
    <n v="1000"/>
    <n v="1000"/>
    <x v="0"/>
    <x v="0"/>
    <x v="0"/>
    <x v="0"/>
    <x v="0"/>
  </r>
  <r>
    <n v="710"/>
    <x v="0"/>
    <x v="0"/>
    <s v="N"/>
    <n v="12490"/>
    <n v="122"/>
    <n v="-59"/>
    <n v="-39"/>
    <x v="0"/>
    <x v="1"/>
    <n v="1"/>
    <n v="0"/>
    <n v="0"/>
    <n v="0"/>
    <n v="0"/>
    <n v="0"/>
    <n v="0"/>
    <n v="700"/>
    <n v="700"/>
    <x v="1"/>
    <x v="1"/>
    <x v="0"/>
    <x v="0"/>
    <x v="0"/>
  </r>
  <r>
    <n v="711"/>
    <x v="1"/>
    <x v="0"/>
    <s v="N"/>
    <n v="12380"/>
    <n v="126"/>
    <n v="-56"/>
    <n v="-35"/>
    <x v="0"/>
    <x v="1"/>
    <n v="0"/>
    <n v="0"/>
    <n v="1"/>
    <n v="0"/>
    <n v="0"/>
    <n v="0"/>
    <n v="0"/>
    <n v="70000"/>
    <n v="70000"/>
    <x v="0"/>
    <x v="0"/>
    <x v="0"/>
    <x v="0"/>
    <x v="0"/>
  </r>
  <r>
    <n v="712"/>
    <x v="1"/>
    <x v="0"/>
    <s v="N"/>
    <n v="12150"/>
    <n v="118"/>
    <n v="-52"/>
    <n v="-36"/>
    <x v="0"/>
    <x v="1"/>
    <n v="0"/>
    <n v="1"/>
    <n v="0"/>
    <n v="0"/>
    <n v="0"/>
    <n v="0"/>
    <n v="0"/>
    <n v="3000"/>
    <n v="3000"/>
    <x v="0"/>
    <x v="0"/>
    <x v="0"/>
    <x v="0"/>
    <x v="0"/>
  </r>
  <r>
    <n v="713"/>
    <x v="1"/>
    <x v="0"/>
    <s v="W"/>
    <n v="166220"/>
    <n v="1762"/>
    <n v="7"/>
    <n v="20"/>
    <x v="0"/>
    <x v="0"/>
    <n v="0"/>
    <n v="0"/>
    <n v="0"/>
    <n v="0"/>
    <n v="0"/>
    <n v="0"/>
    <n v="0"/>
    <n v="0"/>
    <n v="0"/>
    <x v="1"/>
    <x v="1"/>
    <x v="1"/>
    <x v="2"/>
    <x v="1"/>
  </r>
  <r>
    <n v="714"/>
    <x v="1"/>
    <x v="0"/>
    <s v="W"/>
    <n v="265250"/>
    <n v="2852"/>
    <n v="64"/>
    <n v="84"/>
    <x v="0"/>
    <x v="2"/>
    <n v="0"/>
    <n v="1"/>
    <n v="1"/>
    <n v="0"/>
    <n v="0"/>
    <n v="0"/>
    <n v="0"/>
    <n v="23000"/>
    <n v="20000"/>
    <x v="0"/>
    <x v="0"/>
    <x v="1"/>
    <x v="2"/>
    <x v="1"/>
  </r>
  <r>
    <n v="715"/>
    <x v="1"/>
    <x v="0"/>
    <s v="W"/>
    <n v="162190"/>
    <n v="1702"/>
    <n v="-7"/>
    <n v="0"/>
    <x v="0"/>
    <x v="0"/>
    <n v="0"/>
    <n v="0"/>
    <n v="0"/>
    <n v="0"/>
    <n v="0"/>
    <n v="0"/>
    <n v="0"/>
    <n v="0"/>
    <n v="0"/>
    <x v="0"/>
    <x v="0"/>
    <x v="1"/>
    <x v="2"/>
    <x v="1"/>
  </r>
  <r>
    <n v="716"/>
    <x v="1"/>
    <x v="0"/>
    <s v="W"/>
    <n v="127010"/>
    <n v="1388"/>
    <n v="-30"/>
    <n v="-22"/>
    <x v="0"/>
    <x v="3"/>
    <n v="0"/>
    <n v="3"/>
    <n v="0"/>
    <n v="0"/>
    <n v="0"/>
    <n v="0"/>
    <n v="0"/>
    <n v="9000"/>
    <n v="5000"/>
    <x v="1"/>
    <x v="1"/>
    <x v="1"/>
    <x v="2"/>
    <x v="1"/>
  </r>
  <r>
    <n v="717"/>
    <x v="1"/>
    <x v="0"/>
    <s v="W"/>
    <n v="229070"/>
    <n v="2597"/>
    <n v="30"/>
    <n v="51"/>
    <x v="0"/>
    <x v="2"/>
    <n v="0"/>
    <n v="0"/>
    <n v="2"/>
    <n v="0"/>
    <n v="0"/>
    <n v="0"/>
    <n v="0"/>
    <n v="100000"/>
    <n v="80000"/>
    <x v="0"/>
    <x v="0"/>
    <x v="1"/>
    <x v="2"/>
    <x v="1"/>
  </r>
  <r>
    <n v="718"/>
    <x v="1"/>
    <x v="0"/>
    <s v="W"/>
    <n v="167100"/>
    <n v="1690"/>
    <n v="-7"/>
    <n v="-6"/>
    <x v="0"/>
    <x v="1"/>
    <n v="0"/>
    <n v="1"/>
    <n v="0"/>
    <n v="0"/>
    <n v="0"/>
    <n v="0"/>
    <n v="0"/>
    <n v="7000"/>
    <n v="7000"/>
    <x v="1"/>
    <x v="1"/>
    <x v="1"/>
    <x v="2"/>
    <x v="1"/>
  </r>
  <r>
    <n v="719"/>
    <x v="1"/>
    <x v="0"/>
    <s v="W"/>
    <n v="132470"/>
    <n v="1552"/>
    <n v="-28"/>
    <n v="-16"/>
    <x v="0"/>
    <x v="6"/>
    <n v="2"/>
    <n v="2"/>
    <n v="1"/>
    <n v="0"/>
    <n v="0"/>
    <n v="0"/>
    <n v="0"/>
    <n v="54800"/>
    <n v="50000"/>
    <x v="0"/>
    <x v="0"/>
    <x v="1"/>
    <x v="2"/>
    <x v="1"/>
  </r>
  <r>
    <n v="720"/>
    <x v="1"/>
    <x v="0"/>
    <s v="W"/>
    <n v="254750"/>
    <n v="2932"/>
    <n v="50"/>
    <n v="66"/>
    <x v="0"/>
    <x v="1"/>
    <n v="0"/>
    <n v="1"/>
    <n v="0"/>
    <n v="0"/>
    <n v="0"/>
    <n v="0"/>
    <n v="0"/>
    <n v="2000"/>
    <n v="2000"/>
    <x v="1"/>
    <x v="1"/>
    <x v="1"/>
    <x v="2"/>
    <x v="1"/>
  </r>
  <r>
    <n v="721"/>
    <x v="1"/>
    <x v="0"/>
    <s v="W"/>
    <n v="151210"/>
    <n v="1727"/>
    <n v="-18"/>
    <n v="-12"/>
    <x v="0"/>
    <x v="5"/>
    <n v="1"/>
    <n v="2"/>
    <n v="1"/>
    <n v="0"/>
    <n v="0"/>
    <n v="0"/>
    <n v="0"/>
    <n v="31800"/>
    <n v="20000"/>
    <x v="0"/>
    <x v="0"/>
    <x v="1"/>
    <x v="2"/>
    <x v="1"/>
  </r>
  <r>
    <n v="722"/>
    <x v="1"/>
    <x v="0"/>
    <s v="W"/>
    <n v="118110"/>
    <n v="1660"/>
    <n v="-34"/>
    <n v="-15"/>
    <x v="0"/>
    <x v="1"/>
    <n v="0"/>
    <n v="1"/>
    <n v="0"/>
    <n v="0"/>
    <n v="0"/>
    <n v="0"/>
    <n v="0"/>
    <n v="2000"/>
    <n v="2000"/>
    <x v="1"/>
    <x v="1"/>
    <x v="1"/>
    <x v="2"/>
    <x v="1"/>
  </r>
  <r>
    <n v="723"/>
    <x v="1"/>
    <x v="0"/>
    <s v="W"/>
    <n v="118120"/>
    <n v="1716"/>
    <n v="-33"/>
    <n v="-14"/>
    <x v="0"/>
    <x v="1"/>
    <n v="0"/>
    <n v="0"/>
    <n v="1"/>
    <n v="0"/>
    <n v="0"/>
    <n v="0"/>
    <n v="0"/>
    <n v="20000"/>
    <n v="20000"/>
    <x v="0"/>
    <x v="0"/>
    <x v="1"/>
    <x v="2"/>
    <x v="1"/>
  </r>
  <r>
    <n v="724"/>
    <x v="1"/>
    <x v="0"/>
    <s v="W"/>
    <n v="185910"/>
    <n v="2451"/>
    <n v="8"/>
    <n v="24"/>
    <x v="0"/>
    <x v="9"/>
    <n v="4"/>
    <n v="4"/>
    <n v="0"/>
    <n v="0"/>
    <n v="0"/>
    <n v="0"/>
    <n v="0"/>
    <n v="11300"/>
    <n v="4000"/>
    <x v="0"/>
    <x v="0"/>
    <x v="1"/>
    <x v="2"/>
    <x v="1"/>
  </r>
  <r>
    <n v="725"/>
    <x v="1"/>
    <x v="0"/>
    <s v="W"/>
    <n v="197590"/>
    <n v="2804"/>
    <n v="20"/>
    <n v="44"/>
    <x v="0"/>
    <x v="9"/>
    <n v="8"/>
    <n v="0"/>
    <n v="0"/>
    <n v="0"/>
    <n v="0"/>
    <n v="0"/>
    <n v="0"/>
    <n v="4700"/>
    <n v="800"/>
    <x v="0"/>
    <x v="0"/>
    <x v="1"/>
    <x v="2"/>
    <x v="1"/>
  </r>
  <r>
    <n v="726"/>
    <x v="0"/>
    <x v="0"/>
    <s v="N"/>
    <n v="26780"/>
    <n v="345"/>
    <n v="18"/>
    <n v="94"/>
    <x v="0"/>
    <x v="0"/>
    <n v="0"/>
    <n v="0"/>
    <n v="0"/>
    <n v="0"/>
    <n v="0"/>
    <n v="0"/>
    <n v="0"/>
    <n v="0"/>
    <n v="0"/>
    <x v="0"/>
    <x v="0"/>
    <x v="0"/>
    <x v="0"/>
    <x v="0"/>
  </r>
  <r>
    <n v="727"/>
    <x v="0"/>
    <x v="0"/>
    <s v="N"/>
    <n v="9670"/>
    <n v="186"/>
    <n v="-59"/>
    <n v="-7"/>
    <x v="0"/>
    <x v="0"/>
    <n v="0"/>
    <n v="0"/>
    <n v="0"/>
    <n v="0"/>
    <n v="0"/>
    <n v="0"/>
    <n v="0"/>
    <n v="0"/>
    <n v="0"/>
    <x v="0"/>
    <x v="0"/>
    <x v="0"/>
    <x v="1"/>
    <x v="0"/>
  </r>
  <r>
    <n v="728"/>
    <x v="0"/>
    <x v="0"/>
    <s v="N"/>
    <n v="9980"/>
    <n v="170"/>
    <n v="-54"/>
    <n v="-13"/>
    <x v="0"/>
    <x v="1"/>
    <n v="0"/>
    <n v="1"/>
    <n v="0"/>
    <n v="0"/>
    <n v="0"/>
    <n v="0"/>
    <n v="0"/>
    <n v="1000"/>
    <n v="1000"/>
    <x v="0"/>
    <x v="0"/>
    <x v="0"/>
    <x v="1"/>
    <x v="0"/>
  </r>
  <r>
    <n v="729"/>
    <x v="0"/>
    <x v="0"/>
    <s v="N"/>
    <n v="8760"/>
    <n v="133"/>
    <n v="-59"/>
    <n v="-33"/>
    <x v="0"/>
    <x v="1"/>
    <n v="1"/>
    <n v="0"/>
    <n v="0"/>
    <n v="0"/>
    <n v="0"/>
    <n v="0"/>
    <n v="0"/>
    <n v="600"/>
    <n v="600"/>
    <x v="0"/>
    <x v="0"/>
    <x v="0"/>
    <x v="1"/>
    <x v="0"/>
  </r>
  <r>
    <n v="730"/>
    <x v="0"/>
    <x v="0"/>
    <s v="N"/>
    <n v="7370"/>
    <n v="110"/>
    <n v="-63"/>
    <n v="-46"/>
    <x v="0"/>
    <x v="0"/>
    <n v="0"/>
    <n v="0"/>
    <n v="0"/>
    <n v="0"/>
    <n v="0"/>
    <n v="0"/>
    <n v="0"/>
    <n v="0"/>
    <n v="0"/>
    <x v="0"/>
    <x v="0"/>
    <x v="0"/>
    <x v="1"/>
    <x v="0"/>
  </r>
  <r>
    <n v="731"/>
    <x v="0"/>
    <x v="0"/>
    <s v="N"/>
    <n v="4580"/>
    <n v="91"/>
    <n v="-72"/>
    <n v="-50"/>
    <x v="0"/>
    <x v="1"/>
    <n v="0"/>
    <n v="1"/>
    <n v="0"/>
    <n v="0"/>
    <n v="0"/>
    <n v="0"/>
    <n v="0"/>
    <n v="1000"/>
    <n v="1000"/>
    <x v="0"/>
    <x v="0"/>
    <x v="0"/>
    <x v="1"/>
    <x v="0"/>
  </r>
  <r>
    <n v="732"/>
    <x v="0"/>
    <x v="0"/>
    <s v="N"/>
    <n v="4610"/>
    <n v="78"/>
    <n v="-68"/>
    <n v="-55"/>
    <x v="0"/>
    <x v="0"/>
    <n v="0"/>
    <n v="0"/>
    <n v="0"/>
    <n v="0"/>
    <n v="0"/>
    <n v="0"/>
    <n v="0"/>
    <n v="0"/>
    <n v="0"/>
    <x v="0"/>
    <x v="0"/>
    <x v="0"/>
    <x v="1"/>
    <x v="0"/>
  </r>
  <r>
    <n v="733"/>
    <x v="0"/>
    <x v="0"/>
    <s v="N"/>
    <n v="6040"/>
    <n v="112"/>
    <n v="-44"/>
    <n v="-24"/>
    <x v="0"/>
    <x v="2"/>
    <n v="1"/>
    <n v="1"/>
    <n v="0"/>
    <n v="0"/>
    <n v="0"/>
    <n v="0"/>
    <n v="0"/>
    <n v="2400"/>
    <n v="2000"/>
    <x v="1"/>
    <x v="1"/>
    <x v="0"/>
    <x v="1"/>
    <x v="0"/>
  </r>
  <r>
    <n v="734"/>
    <x v="1"/>
    <x v="0"/>
    <s v="W"/>
    <n v="68920"/>
    <n v="1004"/>
    <n v="-59"/>
    <n v="-51"/>
    <x v="0"/>
    <x v="3"/>
    <n v="0"/>
    <n v="2"/>
    <n v="1"/>
    <n v="0"/>
    <n v="0"/>
    <n v="0"/>
    <n v="0"/>
    <n v="66000"/>
    <n v="60000"/>
    <x v="0"/>
    <x v="0"/>
    <x v="1"/>
    <x v="0"/>
    <x v="0"/>
  </r>
  <r>
    <n v="735"/>
    <x v="1"/>
    <x v="0"/>
    <s v="W"/>
    <n v="134870"/>
    <n v="2096"/>
    <n v="-17"/>
    <n v="4"/>
    <x v="0"/>
    <x v="5"/>
    <n v="2"/>
    <n v="2"/>
    <n v="0"/>
    <n v="0"/>
    <n v="0"/>
    <n v="0"/>
    <n v="0"/>
    <n v="5100"/>
    <n v="3000"/>
    <x v="0"/>
    <x v="0"/>
    <x v="1"/>
    <x v="2"/>
    <x v="1"/>
  </r>
  <r>
    <n v="736"/>
    <x v="1"/>
    <x v="0"/>
    <s v="W"/>
    <n v="71650"/>
    <n v="1173"/>
    <n v="-53"/>
    <n v="-40"/>
    <x v="0"/>
    <x v="1"/>
    <n v="0"/>
    <n v="1"/>
    <n v="0"/>
    <n v="0"/>
    <n v="0"/>
    <n v="0"/>
    <n v="0"/>
    <n v="7000"/>
    <n v="7000"/>
    <x v="0"/>
    <x v="0"/>
    <x v="1"/>
    <x v="0"/>
    <x v="0"/>
  </r>
  <r>
    <n v="737"/>
    <x v="0"/>
    <x v="0"/>
    <s v="W"/>
    <n v="159910"/>
    <n v="2345"/>
    <n v="12"/>
    <n v="23"/>
    <x v="0"/>
    <x v="3"/>
    <n v="1"/>
    <n v="2"/>
    <n v="0"/>
    <n v="0"/>
    <n v="0"/>
    <n v="0"/>
    <n v="0"/>
    <n v="4400"/>
    <n v="3000"/>
    <x v="0"/>
    <x v="0"/>
    <x v="1"/>
    <x v="2"/>
    <x v="1"/>
  </r>
  <r>
    <n v="738"/>
    <x v="0"/>
    <x v="0"/>
    <s v="W"/>
    <n v="172530"/>
    <n v="2873"/>
    <n v="18"/>
    <n v="44"/>
    <x v="0"/>
    <x v="3"/>
    <n v="2"/>
    <n v="1"/>
    <n v="0"/>
    <n v="0"/>
    <n v="0"/>
    <n v="0"/>
    <n v="0"/>
    <n v="2300"/>
    <n v="1000"/>
    <x v="0"/>
    <x v="0"/>
    <x v="1"/>
    <x v="2"/>
    <x v="1"/>
  </r>
  <r>
    <n v="739"/>
    <x v="0"/>
    <x v="0"/>
    <s v="W"/>
    <n v="93120"/>
    <n v="1238"/>
    <n v="-32"/>
    <n v="-38"/>
    <x v="0"/>
    <x v="1"/>
    <n v="0"/>
    <n v="1"/>
    <n v="0"/>
    <n v="0"/>
    <n v="0"/>
    <n v="0"/>
    <n v="0"/>
    <n v="2000"/>
    <n v="2000"/>
    <x v="0"/>
    <x v="0"/>
    <x v="1"/>
    <x v="0"/>
    <x v="0"/>
  </r>
  <r>
    <n v="740"/>
    <x v="0"/>
    <x v="0"/>
    <s v="W"/>
    <n v="27830"/>
    <n v="190"/>
    <n v="-79"/>
    <n v="-90"/>
    <x v="0"/>
    <x v="5"/>
    <n v="0"/>
    <n v="4"/>
    <n v="0"/>
    <n v="0"/>
    <n v="0"/>
    <n v="0"/>
    <n v="0"/>
    <n v="19000"/>
    <n v="8000"/>
    <x v="0"/>
    <x v="0"/>
    <x v="1"/>
    <x v="0"/>
    <x v="0"/>
  </r>
  <r>
    <n v="741"/>
    <x v="0"/>
    <x v="0"/>
    <s v="W"/>
    <n v="44320"/>
    <n v="269"/>
    <n v="-64"/>
    <n v="-85"/>
    <x v="0"/>
    <x v="2"/>
    <n v="0"/>
    <n v="2"/>
    <n v="0"/>
    <n v="0"/>
    <n v="0"/>
    <n v="0"/>
    <n v="0"/>
    <n v="3000"/>
    <n v="2000"/>
    <x v="0"/>
    <x v="0"/>
    <x v="1"/>
    <x v="0"/>
    <x v="0"/>
  </r>
  <r>
    <n v="742"/>
    <x v="0"/>
    <x v="0"/>
    <s v="W"/>
    <n v="26830"/>
    <n v="192"/>
    <n v="-77"/>
    <n v="-88"/>
    <x v="0"/>
    <x v="1"/>
    <n v="1"/>
    <n v="0"/>
    <n v="0"/>
    <n v="0"/>
    <n v="0"/>
    <n v="0"/>
    <n v="0"/>
    <n v="600"/>
    <n v="600"/>
    <x v="0"/>
    <x v="0"/>
    <x v="1"/>
    <x v="0"/>
    <x v="0"/>
  </r>
  <r>
    <n v="743"/>
    <x v="0"/>
    <x v="0"/>
    <s v="W"/>
    <n v="29240"/>
    <n v="217"/>
    <n v="-71"/>
    <n v="-85"/>
    <x v="0"/>
    <x v="2"/>
    <n v="0"/>
    <n v="2"/>
    <n v="0"/>
    <n v="0"/>
    <n v="0"/>
    <n v="0"/>
    <n v="0"/>
    <n v="8000"/>
    <n v="5000"/>
    <x v="0"/>
    <x v="0"/>
    <x v="1"/>
    <x v="0"/>
    <x v="0"/>
  </r>
  <r>
    <n v="744"/>
    <x v="0"/>
    <x v="0"/>
    <s v="W"/>
    <n v="47740"/>
    <n v="276"/>
    <n v="-42"/>
    <n v="-76"/>
    <x v="0"/>
    <x v="5"/>
    <n v="1"/>
    <n v="3"/>
    <n v="0"/>
    <n v="0"/>
    <n v="0"/>
    <n v="0"/>
    <n v="0"/>
    <n v="7800"/>
    <n v="3000"/>
    <x v="0"/>
    <x v="0"/>
    <x v="1"/>
    <x v="0"/>
    <x v="0"/>
  </r>
  <r>
    <n v="745"/>
    <x v="0"/>
    <x v="0"/>
    <s v="W"/>
    <n v="36520"/>
    <n v="209"/>
    <n v="-55"/>
    <n v="-81"/>
    <x v="0"/>
    <x v="3"/>
    <n v="2"/>
    <n v="1"/>
    <n v="0"/>
    <n v="0"/>
    <n v="0"/>
    <n v="0"/>
    <n v="0"/>
    <n v="9800"/>
    <n v="9000"/>
    <x v="0"/>
    <x v="0"/>
    <x v="1"/>
    <x v="0"/>
    <x v="0"/>
  </r>
  <r>
    <n v="746"/>
    <x v="0"/>
    <x v="0"/>
    <s v="W"/>
    <n v="28360"/>
    <n v="181"/>
    <n v="-60"/>
    <n v="-80"/>
    <x v="0"/>
    <x v="2"/>
    <n v="1"/>
    <n v="1"/>
    <n v="0"/>
    <n v="0"/>
    <n v="0"/>
    <n v="0"/>
    <n v="0"/>
    <n v="3800"/>
    <n v="3000"/>
    <x v="0"/>
    <x v="0"/>
    <x v="1"/>
    <x v="0"/>
    <x v="0"/>
  </r>
  <r>
    <n v="747"/>
    <x v="0"/>
    <x v="0"/>
    <s v="W"/>
    <n v="29990"/>
    <n v="203"/>
    <n v="-55"/>
    <n v="-75"/>
    <x v="0"/>
    <x v="3"/>
    <n v="1"/>
    <n v="2"/>
    <n v="0"/>
    <n v="0"/>
    <n v="0"/>
    <n v="0"/>
    <n v="0"/>
    <n v="9400"/>
    <n v="6000"/>
    <x v="0"/>
    <x v="0"/>
    <x v="1"/>
    <x v="0"/>
    <x v="0"/>
  </r>
  <r>
    <n v="748"/>
    <x v="0"/>
    <x v="0"/>
    <s v="W"/>
    <n v="21060"/>
    <n v="106"/>
    <n v="-61"/>
    <n v="-82"/>
    <x v="0"/>
    <x v="0"/>
    <n v="0"/>
    <n v="0"/>
    <n v="0"/>
    <n v="0"/>
    <n v="0"/>
    <n v="0"/>
    <n v="0"/>
    <n v="0"/>
    <n v="0"/>
    <x v="0"/>
    <x v="0"/>
    <x v="1"/>
    <x v="0"/>
    <x v="0"/>
  </r>
  <r>
    <n v="749"/>
    <x v="0"/>
    <x v="0"/>
    <s v="W"/>
    <n v="18240"/>
    <n v="87"/>
    <n v="-53"/>
    <n v="-72"/>
    <x v="0"/>
    <x v="2"/>
    <n v="1"/>
    <n v="1"/>
    <n v="0"/>
    <n v="0"/>
    <n v="0"/>
    <n v="0"/>
    <n v="0"/>
    <n v="2500"/>
    <n v="2000"/>
    <x v="0"/>
    <x v="0"/>
    <x v="1"/>
    <x v="0"/>
    <x v="0"/>
  </r>
  <r>
    <n v="750"/>
    <x v="0"/>
    <x v="0"/>
    <s v="W"/>
    <n v="33660"/>
    <n v="248"/>
    <n v="9"/>
    <n v="28"/>
    <x v="0"/>
    <x v="5"/>
    <n v="2"/>
    <n v="2"/>
    <n v="0"/>
    <n v="0"/>
    <n v="0"/>
    <n v="0"/>
    <n v="0"/>
    <n v="11100"/>
    <n v="8000"/>
    <x v="0"/>
    <x v="0"/>
    <x v="1"/>
    <x v="0"/>
    <x v="0"/>
  </r>
  <r>
    <n v="751"/>
    <x v="0"/>
    <x v="0"/>
    <s v="W"/>
    <n v="21670"/>
    <n v="132"/>
    <n v="-31"/>
    <n v="-34"/>
    <x v="0"/>
    <x v="3"/>
    <n v="2"/>
    <n v="1"/>
    <n v="0"/>
    <n v="0"/>
    <n v="0"/>
    <n v="0"/>
    <n v="0"/>
    <n v="3400"/>
    <n v="2000"/>
    <x v="0"/>
    <x v="0"/>
    <x v="1"/>
    <x v="0"/>
    <x v="0"/>
  </r>
  <r>
    <n v="752"/>
    <x v="0"/>
    <x v="0"/>
    <s v="N"/>
    <n v="5990"/>
    <n v="53"/>
    <n v="-42"/>
    <n v="-64"/>
    <x v="0"/>
    <x v="0"/>
    <n v="0"/>
    <n v="0"/>
    <n v="0"/>
    <n v="0"/>
    <n v="0"/>
    <n v="0"/>
    <n v="0"/>
    <n v="0"/>
    <n v="0"/>
    <x v="0"/>
    <x v="0"/>
    <x v="0"/>
    <x v="1"/>
    <x v="0"/>
  </r>
  <r>
    <n v="753"/>
    <x v="0"/>
    <x v="0"/>
    <s v="N"/>
    <n v="6430"/>
    <n v="30"/>
    <n v="-33"/>
    <n v="-79"/>
    <x v="0"/>
    <x v="1"/>
    <n v="1"/>
    <n v="0"/>
    <n v="0"/>
    <n v="0"/>
    <n v="0"/>
    <n v="0"/>
    <n v="0"/>
    <n v="300"/>
    <n v="300"/>
    <x v="0"/>
    <x v="0"/>
    <x v="0"/>
    <x v="1"/>
    <x v="0"/>
  </r>
  <r>
    <n v="754"/>
    <x v="0"/>
    <x v="0"/>
    <s v="N"/>
    <n v="3020"/>
    <n v="19"/>
    <n v="-66"/>
    <n v="-85"/>
    <x v="0"/>
    <x v="1"/>
    <n v="0"/>
    <n v="1"/>
    <n v="0"/>
    <n v="0"/>
    <n v="0"/>
    <n v="0"/>
    <n v="0"/>
    <n v="2000"/>
    <n v="2000"/>
    <x v="0"/>
    <x v="0"/>
    <x v="0"/>
    <x v="1"/>
    <x v="0"/>
  </r>
  <r>
    <n v="755"/>
    <x v="0"/>
    <x v="0"/>
    <s v="W"/>
    <n v="23400"/>
    <n v="140"/>
    <n v="-20"/>
    <n v="-24"/>
    <x v="0"/>
    <x v="3"/>
    <n v="3"/>
    <n v="0"/>
    <n v="0"/>
    <n v="0"/>
    <n v="0"/>
    <n v="0"/>
    <n v="0"/>
    <n v="2000"/>
    <n v="800"/>
    <x v="0"/>
    <x v="0"/>
    <x v="1"/>
    <x v="0"/>
    <x v="0"/>
  </r>
  <r>
    <n v="756"/>
    <x v="0"/>
    <x v="0"/>
    <s v="W"/>
    <n v="45990"/>
    <n v="349"/>
    <n v="59"/>
    <n v="94"/>
    <x v="0"/>
    <x v="3"/>
    <n v="2"/>
    <n v="1"/>
    <n v="0"/>
    <n v="0"/>
    <n v="0"/>
    <n v="0"/>
    <n v="0"/>
    <n v="4200"/>
    <n v="3000"/>
    <x v="0"/>
    <x v="0"/>
    <x v="1"/>
    <x v="0"/>
    <x v="0"/>
  </r>
  <r>
    <n v="757"/>
    <x v="0"/>
    <x v="0"/>
    <s v="W"/>
    <n v="19570"/>
    <n v="153"/>
    <n v="-36"/>
    <n v="-21"/>
    <x v="0"/>
    <x v="1"/>
    <n v="1"/>
    <n v="0"/>
    <n v="0"/>
    <n v="0"/>
    <n v="0"/>
    <n v="0"/>
    <n v="0"/>
    <n v="700"/>
    <n v="700"/>
    <x v="0"/>
    <x v="0"/>
    <x v="1"/>
    <x v="0"/>
    <x v="0"/>
  </r>
  <r>
    <n v="758"/>
    <x v="0"/>
    <x v="0"/>
    <s v="W"/>
    <n v="32550"/>
    <n v="167"/>
    <n v="17"/>
    <n v="-8"/>
    <x v="0"/>
    <x v="8"/>
    <n v="5"/>
    <n v="4"/>
    <n v="0"/>
    <n v="0"/>
    <n v="0"/>
    <n v="0"/>
    <n v="0"/>
    <n v="13200"/>
    <n v="6000"/>
    <x v="0"/>
    <x v="0"/>
    <x v="1"/>
    <x v="0"/>
    <x v="0"/>
  </r>
  <r>
    <n v="759"/>
    <x v="0"/>
    <x v="1"/>
    <s v="W"/>
    <n v="53860"/>
    <n v="346"/>
    <n v="96"/>
    <n v="96"/>
    <x v="0"/>
    <x v="6"/>
    <n v="1"/>
    <n v="4"/>
    <n v="0"/>
    <n v="0"/>
    <n v="0"/>
    <n v="0"/>
    <n v="0"/>
    <n v="13700"/>
    <n v="9000"/>
    <x v="0"/>
    <x v="0"/>
    <x v="1"/>
    <x v="0"/>
    <x v="0"/>
  </r>
  <r>
    <n v="760"/>
    <x v="0"/>
    <x v="1"/>
    <s v="W"/>
    <n v="37810"/>
    <n v="238"/>
    <n v="26"/>
    <n v="23"/>
    <x v="0"/>
    <x v="7"/>
    <n v="5"/>
    <n v="1"/>
    <n v="0"/>
    <n v="0"/>
    <n v="0"/>
    <n v="0"/>
    <n v="0"/>
    <n v="5400"/>
    <n v="2000"/>
    <x v="0"/>
    <x v="0"/>
    <x v="1"/>
    <x v="0"/>
    <x v="0"/>
  </r>
  <r>
    <n v="761"/>
    <x v="0"/>
    <x v="1"/>
    <s v="W"/>
    <n v="10130"/>
    <n v="133"/>
    <n v="-67"/>
    <n v="-32"/>
    <x v="0"/>
    <x v="1"/>
    <n v="0"/>
    <n v="1"/>
    <n v="0"/>
    <n v="0"/>
    <n v="0"/>
    <n v="0"/>
    <n v="0"/>
    <n v="2000"/>
    <n v="2000"/>
    <x v="0"/>
    <x v="0"/>
    <x v="1"/>
    <x v="0"/>
    <x v="0"/>
  </r>
  <r>
    <n v="762"/>
    <x v="0"/>
    <x v="1"/>
    <s v="W"/>
    <n v="57860"/>
    <n v="383"/>
    <n v="95"/>
    <n v="92"/>
    <x v="0"/>
    <x v="2"/>
    <n v="1"/>
    <n v="1"/>
    <n v="0"/>
    <n v="0"/>
    <n v="0"/>
    <n v="0"/>
    <n v="0"/>
    <n v="4700"/>
    <n v="4000"/>
    <x v="0"/>
    <x v="0"/>
    <x v="1"/>
    <x v="0"/>
    <x v="0"/>
  </r>
  <r>
    <n v="763"/>
    <x v="0"/>
    <x v="1"/>
    <s v="W"/>
    <n v="42470"/>
    <n v="326"/>
    <n v="26"/>
    <n v="42"/>
    <x v="0"/>
    <x v="2"/>
    <n v="2"/>
    <n v="0"/>
    <n v="0"/>
    <n v="0"/>
    <n v="0"/>
    <n v="0"/>
    <n v="0"/>
    <n v="1200"/>
    <n v="700"/>
    <x v="0"/>
    <x v="0"/>
    <x v="1"/>
    <x v="0"/>
    <x v="0"/>
  </r>
  <r>
    <n v="764"/>
    <x v="0"/>
    <x v="1"/>
    <s v="W"/>
    <n v="42840"/>
    <n v="248"/>
    <n v="24"/>
    <n v="5"/>
    <x v="0"/>
    <x v="3"/>
    <n v="0"/>
    <n v="3"/>
    <n v="0"/>
    <n v="0"/>
    <n v="0"/>
    <n v="0"/>
    <n v="0"/>
    <n v="4000"/>
    <n v="2000"/>
    <x v="0"/>
    <x v="0"/>
    <x v="1"/>
    <x v="0"/>
    <x v="0"/>
  </r>
  <r>
    <n v="765"/>
    <x v="0"/>
    <x v="1"/>
    <s v="N"/>
    <n v="13060"/>
    <n v="81"/>
    <n v="96"/>
    <n v="-18"/>
    <x v="0"/>
    <x v="0"/>
    <n v="0"/>
    <n v="0"/>
    <n v="0"/>
    <n v="0"/>
    <n v="0"/>
    <n v="0"/>
    <n v="0"/>
    <n v="0"/>
    <n v="0"/>
    <x v="0"/>
    <x v="0"/>
    <x v="0"/>
    <x v="0"/>
    <x v="0"/>
  </r>
  <r>
    <n v="766"/>
    <x v="0"/>
    <x v="1"/>
    <s v="W"/>
    <n v="15930"/>
    <n v="177"/>
    <n v="-57"/>
    <n v="-29"/>
    <x v="0"/>
    <x v="2"/>
    <n v="1"/>
    <n v="1"/>
    <n v="0"/>
    <n v="0"/>
    <n v="0"/>
    <n v="0"/>
    <n v="0"/>
    <n v="2600"/>
    <n v="2000"/>
    <x v="0"/>
    <x v="0"/>
    <x v="1"/>
    <x v="0"/>
    <x v="0"/>
  </r>
  <r>
    <n v="767"/>
    <x v="0"/>
    <x v="1"/>
    <s v="W"/>
    <n v="60340"/>
    <n v="495"/>
    <n v="68"/>
    <n v="96"/>
    <x v="0"/>
    <x v="6"/>
    <n v="3"/>
    <n v="2"/>
    <n v="0"/>
    <n v="0"/>
    <n v="0"/>
    <n v="0"/>
    <n v="0"/>
    <n v="12500"/>
    <n v="8000"/>
    <x v="0"/>
    <x v="0"/>
    <x v="1"/>
    <x v="0"/>
    <x v="0"/>
  </r>
  <r>
    <n v="768"/>
    <x v="0"/>
    <x v="1"/>
    <s v="W"/>
    <n v="39690"/>
    <n v="416"/>
    <n v="6"/>
    <n v="56"/>
    <x v="0"/>
    <x v="2"/>
    <n v="1"/>
    <n v="1"/>
    <n v="0"/>
    <n v="0"/>
    <n v="0"/>
    <n v="0"/>
    <n v="0"/>
    <n v="1700"/>
    <n v="1000"/>
    <x v="0"/>
    <x v="0"/>
    <x v="1"/>
    <x v="0"/>
    <x v="0"/>
  </r>
  <r>
    <n v="769"/>
    <x v="0"/>
    <x v="1"/>
    <s v="W"/>
    <n v="32930"/>
    <n v="271"/>
    <n v="-16"/>
    <n v="-7"/>
    <x v="0"/>
    <x v="1"/>
    <n v="0"/>
    <n v="1"/>
    <n v="0"/>
    <n v="0"/>
    <n v="0"/>
    <n v="0"/>
    <n v="0"/>
    <n v="3000"/>
    <n v="3000"/>
    <x v="0"/>
    <x v="0"/>
    <x v="1"/>
    <x v="0"/>
    <x v="0"/>
  </r>
  <r>
    <n v="770"/>
    <x v="0"/>
    <x v="0"/>
    <s v="W"/>
    <n v="18210"/>
    <n v="150"/>
    <n v="-54"/>
    <n v="-51"/>
    <x v="0"/>
    <x v="3"/>
    <n v="1"/>
    <n v="2"/>
    <n v="0"/>
    <n v="0"/>
    <n v="0"/>
    <n v="0"/>
    <n v="0"/>
    <n v="7700"/>
    <n v="5000"/>
    <x v="0"/>
    <x v="0"/>
    <x v="1"/>
    <x v="0"/>
    <x v="0"/>
  </r>
  <r>
    <n v="771"/>
    <x v="0"/>
    <x v="0"/>
    <s v="W"/>
    <n v="24790"/>
    <n v="236"/>
    <n v="-31"/>
    <n v="-17"/>
    <x v="0"/>
    <x v="1"/>
    <n v="1"/>
    <n v="0"/>
    <n v="0"/>
    <n v="0"/>
    <n v="0"/>
    <n v="0"/>
    <n v="0"/>
    <n v="600"/>
    <n v="600"/>
    <x v="0"/>
    <x v="0"/>
    <x v="1"/>
    <x v="0"/>
    <x v="0"/>
  </r>
  <r>
    <n v="772"/>
    <x v="0"/>
    <x v="0"/>
    <s v="W"/>
    <n v="43490"/>
    <n v="352"/>
    <n v="26"/>
    <n v="24"/>
    <x v="0"/>
    <x v="0"/>
    <n v="0"/>
    <n v="0"/>
    <n v="0"/>
    <n v="0"/>
    <n v="0"/>
    <n v="0"/>
    <n v="0"/>
    <n v="0"/>
    <n v="0"/>
    <x v="0"/>
    <x v="0"/>
    <x v="1"/>
    <x v="0"/>
    <x v="0"/>
  </r>
  <r>
    <n v="773"/>
    <x v="0"/>
    <x v="0"/>
    <s v="N"/>
    <n v="10850"/>
    <n v="131"/>
    <n v="55"/>
    <n v="49"/>
    <x v="0"/>
    <x v="0"/>
    <n v="0"/>
    <n v="0"/>
    <n v="0"/>
    <n v="0"/>
    <n v="0"/>
    <n v="0"/>
    <n v="0"/>
    <n v="0"/>
    <n v="0"/>
    <x v="0"/>
    <x v="0"/>
    <x v="0"/>
    <x v="0"/>
    <x v="0"/>
  </r>
  <r>
    <n v="774"/>
    <x v="0"/>
    <x v="0"/>
    <s v="N"/>
    <n v="3770"/>
    <n v="50"/>
    <n v="-47"/>
    <n v="-40"/>
    <x v="0"/>
    <x v="0"/>
    <n v="0"/>
    <n v="0"/>
    <n v="0"/>
    <n v="0"/>
    <n v="0"/>
    <n v="0"/>
    <n v="0"/>
    <n v="0"/>
    <n v="0"/>
    <x v="0"/>
    <x v="0"/>
    <x v="0"/>
    <x v="1"/>
    <x v="0"/>
  </r>
  <r>
    <n v="775"/>
    <x v="0"/>
    <x v="0"/>
    <s v="N"/>
    <n v="3650"/>
    <n v="41"/>
    <n v="-44"/>
    <n v="-46"/>
    <x v="0"/>
    <x v="1"/>
    <n v="0"/>
    <n v="1"/>
    <n v="0"/>
    <n v="0"/>
    <n v="0"/>
    <n v="0"/>
    <n v="0"/>
    <n v="4000"/>
    <n v="4000"/>
    <x v="0"/>
    <x v="0"/>
    <x v="0"/>
    <x v="1"/>
    <x v="0"/>
  </r>
  <r>
    <n v="776"/>
    <x v="0"/>
    <x v="0"/>
    <s v="W"/>
    <n v="8380"/>
    <n v="47"/>
    <n v="-78"/>
    <n v="-85"/>
    <x v="0"/>
    <x v="1"/>
    <n v="0"/>
    <n v="1"/>
    <n v="0"/>
    <n v="0"/>
    <n v="0"/>
    <n v="0"/>
    <n v="0"/>
    <n v="6000"/>
    <n v="6000"/>
    <x v="0"/>
    <x v="0"/>
    <x v="1"/>
    <x v="1"/>
    <x v="0"/>
  </r>
  <r>
    <n v="777"/>
    <x v="0"/>
    <x v="1"/>
    <s v="W"/>
    <n v="61110"/>
    <n v="439"/>
    <n v="86"/>
    <n v="62"/>
    <x v="0"/>
    <x v="5"/>
    <n v="4"/>
    <n v="0"/>
    <n v="0"/>
    <n v="0"/>
    <n v="0"/>
    <n v="0"/>
    <n v="0"/>
    <n v="1600"/>
    <n v="600"/>
    <x v="0"/>
    <x v="0"/>
    <x v="1"/>
    <x v="0"/>
    <x v="0"/>
  </r>
  <r>
    <n v="778"/>
    <x v="0"/>
    <x v="1"/>
    <s v="W"/>
    <n v="39880"/>
    <n v="342"/>
    <n v="15"/>
    <n v="21"/>
    <x v="0"/>
    <x v="3"/>
    <n v="1"/>
    <n v="2"/>
    <n v="0"/>
    <n v="0"/>
    <n v="0"/>
    <n v="0"/>
    <n v="0"/>
    <n v="2800"/>
    <n v="1000"/>
    <x v="0"/>
    <x v="0"/>
    <x v="1"/>
    <x v="0"/>
    <x v="0"/>
  </r>
  <r>
    <n v="779"/>
    <x v="0"/>
    <x v="1"/>
    <s v="W"/>
    <n v="19170"/>
    <n v="158"/>
    <n v="-44"/>
    <n v="-46"/>
    <x v="0"/>
    <x v="2"/>
    <n v="1"/>
    <n v="1"/>
    <n v="0"/>
    <n v="0"/>
    <n v="0"/>
    <n v="0"/>
    <n v="0"/>
    <n v="4500"/>
    <n v="4000"/>
    <x v="0"/>
    <x v="0"/>
    <x v="1"/>
    <x v="0"/>
    <x v="0"/>
  </r>
  <r>
    <n v="780"/>
    <x v="0"/>
    <x v="0"/>
    <s v="W"/>
    <n v="17750"/>
    <n v="151"/>
    <n v="-49"/>
    <n v="-48"/>
    <x v="0"/>
    <x v="1"/>
    <n v="1"/>
    <n v="0"/>
    <n v="0"/>
    <n v="0"/>
    <n v="0"/>
    <n v="0"/>
    <n v="0"/>
    <n v="400"/>
    <n v="400"/>
    <x v="0"/>
    <x v="0"/>
    <x v="1"/>
    <x v="0"/>
    <x v="0"/>
  </r>
  <r>
    <n v="781"/>
    <x v="0"/>
    <x v="0"/>
    <s v="W"/>
    <n v="41740"/>
    <n v="331"/>
    <n v="37"/>
    <n v="29"/>
    <x v="0"/>
    <x v="2"/>
    <n v="2"/>
    <n v="0"/>
    <n v="0"/>
    <n v="0"/>
    <n v="0"/>
    <n v="0"/>
    <n v="0"/>
    <n v="1100"/>
    <n v="700"/>
    <x v="0"/>
    <x v="0"/>
    <x v="1"/>
    <x v="0"/>
    <x v="0"/>
  </r>
  <r>
    <n v="782"/>
    <x v="0"/>
    <x v="0"/>
    <s v="W"/>
    <n v="35800"/>
    <n v="341"/>
    <n v="16"/>
    <n v="38"/>
    <x v="0"/>
    <x v="0"/>
    <n v="0"/>
    <n v="0"/>
    <n v="0"/>
    <n v="0"/>
    <n v="0"/>
    <n v="0"/>
    <n v="0"/>
    <n v="0"/>
    <n v="0"/>
    <x v="0"/>
    <x v="0"/>
    <x v="1"/>
    <x v="0"/>
    <x v="0"/>
  </r>
  <r>
    <n v="783"/>
    <x v="0"/>
    <x v="1"/>
    <s v="W"/>
    <n v="48820"/>
    <n v="446"/>
    <n v="57"/>
    <n v="75"/>
    <x v="1"/>
    <x v="6"/>
    <n v="4"/>
    <n v="1"/>
    <n v="0"/>
    <n v="0"/>
    <n v="0"/>
    <n v="0"/>
    <n v="0"/>
    <n v="3900"/>
    <n v="2000"/>
    <x v="0"/>
    <x v="0"/>
    <x v="1"/>
    <x v="0"/>
    <x v="0"/>
  </r>
  <r>
    <n v="784"/>
    <x v="0"/>
    <x v="1"/>
    <s v="W"/>
    <n v="29470"/>
    <n v="347"/>
    <n v="-14"/>
    <n v="22"/>
    <x v="1"/>
    <x v="0"/>
    <n v="0"/>
    <n v="0"/>
    <n v="0"/>
    <n v="0"/>
    <n v="0"/>
    <n v="0"/>
    <n v="0"/>
    <n v="0"/>
    <n v="0"/>
    <x v="0"/>
    <x v="0"/>
    <x v="1"/>
    <x v="0"/>
    <x v="0"/>
  </r>
  <r>
    <n v="785"/>
    <x v="0"/>
    <x v="1"/>
    <s v="W"/>
    <n v="23050"/>
    <n v="202"/>
    <n v="-33"/>
    <n v="-32"/>
    <x v="1"/>
    <x v="5"/>
    <n v="2"/>
    <n v="2"/>
    <n v="0"/>
    <n v="0"/>
    <n v="0"/>
    <n v="0"/>
    <n v="0"/>
    <n v="5100"/>
    <n v="3000"/>
    <x v="0"/>
    <x v="0"/>
    <x v="1"/>
    <x v="0"/>
    <x v="0"/>
  </r>
  <r>
    <n v="786"/>
    <x v="0"/>
    <x v="1"/>
    <s v="W"/>
    <n v="37820"/>
    <n v="347"/>
    <n v="16"/>
    <n v="24"/>
    <x v="0"/>
    <x v="3"/>
    <n v="2"/>
    <n v="1"/>
    <n v="0"/>
    <n v="0"/>
    <n v="0"/>
    <n v="0"/>
    <n v="0"/>
    <n v="4000"/>
    <n v="3000"/>
    <x v="0"/>
    <x v="0"/>
    <x v="1"/>
    <x v="0"/>
    <x v="0"/>
  </r>
  <r>
    <n v="787"/>
    <x v="0"/>
    <x v="1"/>
    <s v="W"/>
    <n v="33800"/>
    <n v="316"/>
    <n v="-5"/>
    <n v="2"/>
    <x v="0"/>
    <x v="2"/>
    <n v="1"/>
    <n v="1"/>
    <n v="0"/>
    <n v="0"/>
    <n v="0"/>
    <n v="0"/>
    <n v="0"/>
    <n v="3400"/>
    <n v="3000"/>
    <x v="0"/>
    <x v="0"/>
    <x v="1"/>
    <x v="0"/>
    <x v="0"/>
  </r>
  <r>
    <n v="788"/>
    <x v="0"/>
    <x v="0"/>
    <s v="W"/>
    <n v="13830"/>
    <n v="145"/>
    <n v="-58"/>
    <n v="-51"/>
    <x v="0"/>
    <x v="3"/>
    <n v="2"/>
    <n v="1"/>
    <n v="0"/>
    <n v="0"/>
    <n v="0"/>
    <n v="0"/>
    <n v="0"/>
    <n v="3900"/>
    <n v="3000"/>
    <x v="0"/>
    <x v="0"/>
    <x v="1"/>
    <x v="0"/>
    <x v="0"/>
  </r>
  <r>
    <n v="789"/>
    <x v="0"/>
    <x v="0"/>
    <s v="W"/>
    <n v="46170"/>
    <n v="404"/>
    <n v="53"/>
    <n v="45"/>
    <x v="0"/>
    <x v="1"/>
    <n v="1"/>
    <n v="0"/>
    <n v="0"/>
    <n v="0"/>
    <n v="0"/>
    <n v="0"/>
    <n v="0"/>
    <n v="700"/>
    <n v="700"/>
    <x v="0"/>
    <x v="0"/>
    <x v="1"/>
    <x v="0"/>
    <x v="0"/>
  </r>
  <r>
    <n v="790"/>
    <x v="0"/>
    <x v="0"/>
    <s v="W"/>
    <n v="35510"/>
    <n v="313"/>
    <n v="8"/>
    <n v="3"/>
    <x v="0"/>
    <x v="1"/>
    <n v="1"/>
    <n v="0"/>
    <n v="0"/>
    <n v="0"/>
    <n v="0"/>
    <n v="0"/>
    <n v="0"/>
    <n v="500"/>
    <n v="500"/>
    <x v="0"/>
    <x v="0"/>
    <x v="1"/>
    <x v="0"/>
    <x v="0"/>
  </r>
  <r>
    <n v="791"/>
    <x v="0"/>
    <x v="0"/>
    <s v="W"/>
    <n v="31040"/>
    <n v="322"/>
    <n v="-10"/>
    <n v="1"/>
    <x v="0"/>
    <x v="6"/>
    <n v="2"/>
    <n v="3"/>
    <n v="0"/>
    <n v="0"/>
    <n v="0"/>
    <n v="0"/>
    <n v="0"/>
    <n v="9000"/>
    <n v="4000"/>
    <x v="0"/>
    <x v="0"/>
    <x v="1"/>
    <x v="0"/>
    <x v="0"/>
  </r>
  <r>
    <n v="792"/>
    <x v="0"/>
    <x v="0"/>
    <s v="W"/>
    <n v="47690"/>
    <n v="518"/>
    <n v="42"/>
    <n v="63"/>
    <x v="0"/>
    <x v="7"/>
    <n v="4"/>
    <n v="2"/>
    <n v="0"/>
    <n v="0"/>
    <n v="0"/>
    <n v="0"/>
    <n v="0"/>
    <n v="7400"/>
    <n v="3000"/>
    <x v="0"/>
    <x v="0"/>
    <x v="1"/>
    <x v="0"/>
    <x v="0"/>
  </r>
  <r>
    <n v="793"/>
    <x v="0"/>
    <x v="0"/>
    <s v="W"/>
    <n v="28130"/>
    <n v="347"/>
    <n v="-19"/>
    <n v="3"/>
    <x v="0"/>
    <x v="3"/>
    <n v="2"/>
    <n v="1"/>
    <n v="0"/>
    <n v="0"/>
    <n v="0"/>
    <n v="0"/>
    <n v="0"/>
    <n v="3100"/>
    <n v="2000"/>
    <x v="0"/>
    <x v="0"/>
    <x v="1"/>
    <x v="0"/>
    <x v="0"/>
  </r>
  <r>
    <n v="794"/>
    <x v="0"/>
    <x v="0"/>
    <s v="N"/>
    <n v="4760"/>
    <n v="94"/>
    <n v="-23"/>
    <n v="37"/>
    <x v="0"/>
    <x v="0"/>
    <n v="0"/>
    <n v="0"/>
    <n v="0"/>
    <n v="0"/>
    <n v="0"/>
    <n v="0"/>
    <n v="0"/>
    <n v="0"/>
    <n v="0"/>
    <x v="0"/>
    <x v="0"/>
    <x v="0"/>
    <x v="1"/>
    <x v="0"/>
  </r>
  <r>
    <n v="795"/>
    <x v="0"/>
    <x v="0"/>
    <s v="N"/>
    <n v="3860"/>
    <n v="77"/>
    <n v="-38"/>
    <n v="12"/>
    <x v="0"/>
    <x v="0"/>
    <n v="0"/>
    <n v="0"/>
    <n v="0"/>
    <n v="0"/>
    <n v="0"/>
    <n v="0"/>
    <n v="0"/>
    <n v="0"/>
    <n v="0"/>
    <x v="0"/>
    <x v="0"/>
    <x v="0"/>
    <x v="1"/>
    <x v="0"/>
  </r>
  <r>
    <n v="796"/>
    <x v="0"/>
    <x v="0"/>
    <s v="N"/>
    <n v="2210"/>
    <n v="34"/>
    <n v="-64"/>
    <n v="-51"/>
    <x v="0"/>
    <x v="2"/>
    <n v="1"/>
    <n v="1"/>
    <n v="0"/>
    <n v="0"/>
    <n v="0"/>
    <n v="0"/>
    <n v="0"/>
    <n v="3400"/>
    <n v="3000"/>
    <x v="0"/>
    <x v="0"/>
    <x v="0"/>
    <x v="1"/>
    <x v="0"/>
  </r>
  <r>
    <n v="797"/>
    <x v="0"/>
    <x v="0"/>
    <s v="W"/>
    <n v="12610"/>
    <n v="157"/>
    <n v="-61"/>
    <n v="-52"/>
    <x v="0"/>
    <x v="1"/>
    <n v="0"/>
    <n v="1"/>
    <n v="0"/>
    <n v="0"/>
    <n v="0"/>
    <n v="0"/>
    <n v="0"/>
    <n v="2000"/>
    <n v="2000"/>
    <x v="0"/>
    <x v="0"/>
    <x v="1"/>
    <x v="0"/>
    <x v="0"/>
  </r>
  <r>
    <n v="798"/>
    <x v="0"/>
    <x v="0"/>
    <s v="W"/>
    <n v="39390"/>
    <n v="460"/>
    <n v="27"/>
    <n v="50"/>
    <x v="0"/>
    <x v="7"/>
    <n v="5"/>
    <n v="1"/>
    <n v="0"/>
    <n v="0"/>
    <n v="0"/>
    <n v="0"/>
    <n v="0"/>
    <n v="4800"/>
    <n v="2000"/>
    <x v="0"/>
    <x v="0"/>
    <x v="1"/>
    <x v="0"/>
    <x v="0"/>
  </r>
  <r>
    <n v="799"/>
    <x v="0"/>
    <x v="0"/>
    <s v="W"/>
    <n v="19630"/>
    <n v="295"/>
    <n v="-40"/>
    <n v="-11"/>
    <x v="0"/>
    <x v="3"/>
    <n v="2"/>
    <n v="1"/>
    <n v="0"/>
    <n v="0"/>
    <n v="0"/>
    <n v="0"/>
    <n v="0"/>
    <n v="8300"/>
    <n v="7000"/>
    <x v="0"/>
    <x v="0"/>
    <x v="1"/>
    <x v="0"/>
    <x v="0"/>
  </r>
  <r>
    <n v="800"/>
    <x v="0"/>
    <x v="0"/>
    <s v="W"/>
    <n v="26130"/>
    <n v="260"/>
    <n v="-15"/>
    <n v="-21"/>
    <x v="0"/>
    <x v="7"/>
    <n v="3"/>
    <n v="3"/>
    <n v="0"/>
    <n v="0"/>
    <n v="0"/>
    <n v="0"/>
    <n v="0"/>
    <n v="7700"/>
    <n v="3000"/>
    <x v="0"/>
    <x v="0"/>
    <x v="1"/>
    <x v="0"/>
    <x v="0"/>
  </r>
  <r>
    <n v="801"/>
    <x v="0"/>
    <x v="0"/>
    <s v="W"/>
    <n v="19420"/>
    <n v="279"/>
    <n v="-35"/>
    <n v="-13"/>
    <x v="0"/>
    <x v="5"/>
    <n v="3"/>
    <n v="1"/>
    <n v="0"/>
    <n v="0"/>
    <n v="0"/>
    <n v="0"/>
    <n v="0"/>
    <n v="2800"/>
    <n v="1000"/>
    <x v="0"/>
    <x v="0"/>
    <x v="1"/>
    <x v="0"/>
    <x v="0"/>
  </r>
  <r>
    <n v="802"/>
    <x v="0"/>
    <x v="0"/>
    <s v="W"/>
    <n v="18960"/>
    <n v="178"/>
    <n v="-38"/>
    <n v="-47"/>
    <x v="0"/>
    <x v="3"/>
    <n v="2"/>
    <n v="1"/>
    <n v="0"/>
    <n v="0"/>
    <n v="0"/>
    <n v="0"/>
    <n v="0"/>
    <n v="5800"/>
    <n v="5000"/>
    <x v="1"/>
    <x v="1"/>
    <x v="1"/>
    <x v="0"/>
    <x v="0"/>
  </r>
  <r>
    <n v="803"/>
    <x v="1"/>
    <x v="1"/>
    <s v="W"/>
    <n v="26290"/>
    <n v="104"/>
    <n v="-6"/>
    <n v="-67"/>
    <x v="0"/>
    <x v="6"/>
    <n v="2"/>
    <n v="2"/>
    <n v="1"/>
    <n v="0"/>
    <n v="0"/>
    <n v="0"/>
    <n v="0"/>
    <n v="25300"/>
    <n v="20000"/>
    <x v="0"/>
    <x v="0"/>
    <x v="1"/>
    <x v="0"/>
    <x v="0"/>
  </r>
  <r>
    <n v="804"/>
    <x v="1"/>
    <x v="1"/>
    <s v="W"/>
    <n v="18580"/>
    <n v="121"/>
    <n v="-31"/>
    <n v="-59"/>
    <x v="0"/>
    <x v="2"/>
    <n v="2"/>
    <n v="0"/>
    <n v="0"/>
    <n v="0"/>
    <n v="0"/>
    <n v="0"/>
    <n v="0"/>
    <n v="1200"/>
    <n v="800"/>
    <x v="0"/>
    <x v="0"/>
    <x v="1"/>
    <x v="0"/>
    <x v="0"/>
  </r>
  <r>
    <n v="805"/>
    <x v="1"/>
    <x v="1"/>
    <s v="W"/>
    <n v="9130"/>
    <n v="68"/>
    <n v="-64"/>
    <n v="-75"/>
    <x v="0"/>
    <x v="3"/>
    <n v="2"/>
    <n v="1"/>
    <n v="0"/>
    <n v="0"/>
    <n v="0"/>
    <n v="0"/>
    <n v="0"/>
    <n v="2000"/>
    <n v="1000"/>
    <x v="0"/>
    <x v="0"/>
    <x v="1"/>
    <x v="1"/>
    <x v="0"/>
  </r>
  <r>
    <n v="806"/>
    <x v="0"/>
    <x v="1"/>
    <s v="N"/>
    <n v="6340"/>
    <n v="18"/>
    <n v="10"/>
    <n v="-70"/>
    <x v="0"/>
    <x v="2"/>
    <n v="1"/>
    <n v="1"/>
    <n v="0"/>
    <n v="0"/>
    <n v="0"/>
    <n v="0"/>
    <n v="0"/>
    <n v="9300"/>
    <n v="9000"/>
    <x v="0"/>
    <x v="0"/>
    <x v="0"/>
    <x v="1"/>
    <x v="0"/>
  </r>
  <r>
    <n v="807"/>
    <x v="0"/>
    <x v="1"/>
    <s v="N"/>
    <n v="1200"/>
    <n v="15"/>
    <n v="-79"/>
    <n v="-74"/>
    <x v="0"/>
    <x v="0"/>
    <n v="0"/>
    <n v="0"/>
    <n v="0"/>
    <n v="0"/>
    <n v="0"/>
    <n v="0"/>
    <n v="0"/>
    <n v="0"/>
    <n v="0"/>
    <x v="0"/>
    <x v="0"/>
    <x v="0"/>
    <x v="1"/>
    <x v="0"/>
  </r>
  <r>
    <n v="808"/>
    <x v="0"/>
    <x v="1"/>
    <s v="N"/>
    <n v="1020"/>
    <n v="10"/>
    <n v="-81"/>
    <n v="-82"/>
    <x v="0"/>
    <x v="0"/>
    <n v="0"/>
    <n v="0"/>
    <n v="0"/>
    <n v="0"/>
    <n v="0"/>
    <n v="0"/>
    <n v="0"/>
    <n v="0"/>
    <n v="0"/>
    <x v="0"/>
    <x v="0"/>
    <x v="0"/>
    <x v="1"/>
    <x v="0"/>
  </r>
  <r>
    <n v="809"/>
    <x v="0"/>
    <x v="0"/>
    <s v="N"/>
    <n v="2360"/>
    <n v="16"/>
    <n v="-54"/>
    <n v="-71"/>
    <x v="0"/>
    <x v="0"/>
    <n v="0"/>
    <n v="0"/>
    <n v="0"/>
    <n v="0"/>
    <n v="0"/>
    <n v="0"/>
    <n v="0"/>
    <n v="0"/>
    <n v="0"/>
    <x v="0"/>
    <x v="0"/>
    <x v="0"/>
    <x v="1"/>
    <x v="0"/>
  </r>
  <r>
    <n v="810"/>
    <x v="0"/>
    <x v="0"/>
    <s v="N"/>
    <n v="1070"/>
    <n v="17"/>
    <n v="-73"/>
    <n v="-65"/>
    <x v="0"/>
    <x v="0"/>
    <n v="0"/>
    <n v="0"/>
    <n v="0"/>
    <n v="0"/>
    <n v="0"/>
    <n v="0"/>
    <n v="0"/>
    <n v="0"/>
    <n v="0"/>
    <x v="0"/>
    <x v="0"/>
    <x v="0"/>
    <x v="1"/>
    <x v="0"/>
  </r>
  <r>
    <n v="811"/>
    <x v="0"/>
    <x v="0"/>
    <s v="N"/>
    <n v="500"/>
    <n v="7"/>
    <n v="-83"/>
    <n v="-82"/>
    <x v="0"/>
    <x v="0"/>
    <n v="0"/>
    <n v="0"/>
    <n v="0"/>
    <n v="0"/>
    <n v="0"/>
    <n v="0"/>
    <n v="0"/>
    <n v="0"/>
    <n v="0"/>
    <x v="0"/>
    <x v="0"/>
    <x v="0"/>
    <x v="4"/>
    <x v="0"/>
  </r>
  <r>
    <n v="812"/>
    <x v="0"/>
    <x v="0"/>
    <s v="N"/>
    <n v="340"/>
    <n v="6"/>
    <n v="-87"/>
    <n v="-85"/>
    <x v="0"/>
    <x v="0"/>
    <n v="0"/>
    <n v="0"/>
    <n v="0"/>
    <n v="0"/>
    <n v="0"/>
    <n v="0"/>
    <n v="0"/>
    <n v="0"/>
    <n v="0"/>
    <x v="0"/>
    <x v="0"/>
    <x v="0"/>
    <x v="4"/>
    <x v="0"/>
  </r>
  <r>
    <n v="813"/>
    <x v="0"/>
    <x v="0"/>
    <s v="N"/>
    <n v="100"/>
    <n v="4"/>
    <n v="-96"/>
    <n v="-90"/>
    <x v="0"/>
    <x v="0"/>
    <n v="0"/>
    <n v="0"/>
    <n v="0"/>
    <n v="0"/>
    <n v="0"/>
    <n v="0"/>
    <n v="0"/>
    <n v="0"/>
    <n v="0"/>
    <x v="0"/>
    <x v="0"/>
    <x v="0"/>
    <x v="4"/>
    <x v="0"/>
  </r>
  <r>
    <n v="814"/>
    <x v="0"/>
    <x v="0"/>
    <s v="N"/>
    <n v="720"/>
    <n v="2"/>
    <n v="-62"/>
    <n v="-95"/>
    <x v="0"/>
    <x v="0"/>
    <n v="0"/>
    <n v="0"/>
    <n v="0"/>
    <n v="0"/>
    <n v="0"/>
    <n v="0"/>
    <n v="0"/>
    <n v="0"/>
    <n v="0"/>
    <x v="0"/>
    <x v="0"/>
    <x v="0"/>
    <x v="4"/>
    <x v="0"/>
  </r>
  <r>
    <n v="815"/>
    <x v="0"/>
    <x v="0"/>
    <s v="N"/>
    <n v="950"/>
    <n v="4"/>
    <n v="-40"/>
    <n v="-90"/>
    <x v="0"/>
    <x v="0"/>
    <n v="0"/>
    <n v="0"/>
    <n v="0"/>
    <n v="0"/>
    <n v="0"/>
    <n v="0"/>
    <n v="0"/>
    <n v="0"/>
    <n v="0"/>
    <x v="0"/>
    <x v="0"/>
    <x v="0"/>
    <x v="4"/>
    <x v="0"/>
  </r>
  <r>
    <n v="816"/>
    <x v="0"/>
    <x v="0"/>
    <s v="N"/>
    <n v="430"/>
    <n v="3"/>
    <n v="-71"/>
    <n v="-92"/>
    <x v="0"/>
    <x v="0"/>
    <n v="0"/>
    <n v="0"/>
    <n v="0"/>
    <n v="0"/>
    <n v="0"/>
    <n v="0"/>
    <n v="0"/>
    <n v="0"/>
    <n v="0"/>
    <x v="0"/>
    <x v="0"/>
    <x v="0"/>
    <x v="4"/>
    <x v="0"/>
  </r>
  <r>
    <n v="817"/>
    <x v="0"/>
    <x v="0"/>
    <s v="N"/>
    <n v="290"/>
    <n v="3"/>
    <n v="-67"/>
    <n v="-92"/>
    <x v="0"/>
    <x v="1"/>
    <n v="0"/>
    <n v="1"/>
    <n v="0"/>
    <n v="0"/>
    <n v="0"/>
    <n v="0"/>
    <n v="0"/>
    <n v="3000"/>
    <n v="3000"/>
    <x v="0"/>
    <x v="0"/>
    <x v="0"/>
    <x v="4"/>
    <x v="0"/>
  </r>
  <r>
    <n v="818"/>
    <x v="0"/>
    <x v="0"/>
    <s v="N"/>
    <n v="3330"/>
    <n v="37"/>
    <n v="-42"/>
    <n v="-39"/>
    <x v="0"/>
    <x v="2"/>
    <n v="2"/>
    <n v="0"/>
    <n v="0"/>
    <n v="0"/>
    <n v="0"/>
    <n v="0"/>
    <n v="0"/>
    <n v="1200"/>
    <n v="900"/>
    <x v="0"/>
    <x v="0"/>
    <x v="0"/>
    <x v="1"/>
    <x v="0"/>
  </r>
  <r>
    <n v="819"/>
    <x v="0"/>
    <x v="0"/>
    <s v="W"/>
    <n v="11740"/>
    <n v="46"/>
    <n v="-90"/>
    <n v="-96"/>
    <x v="0"/>
    <x v="1"/>
    <n v="0"/>
    <n v="1"/>
    <n v="0"/>
    <n v="0"/>
    <n v="0"/>
    <n v="0"/>
    <n v="0"/>
    <n v="4000"/>
    <n v="4000"/>
    <x v="0"/>
    <x v="0"/>
    <x v="1"/>
    <x v="0"/>
    <x v="0"/>
  </r>
  <r>
    <n v="820"/>
    <x v="0"/>
    <x v="0"/>
    <s v="N"/>
    <n v="850"/>
    <n v="6"/>
    <n v="-85"/>
    <n v="-90"/>
    <x v="0"/>
    <x v="0"/>
    <n v="0"/>
    <n v="0"/>
    <n v="0"/>
    <n v="0"/>
    <n v="0"/>
    <n v="0"/>
    <n v="0"/>
    <n v="0"/>
    <n v="0"/>
    <x v="0"/>
    <x v="0"/>
    <x v="0"/>
    <x v="4"/>
    <x v="0"/>
  </r>
  <r>
    <n v="821"/>
    <x v="0"/>
    <x v="0"/>
    <s v="W"/>
    <n v="5240"/>
    <n v="18"/>
    <n v="-96"/>
    <n v="-96"/>
    <x v="0"/>
    <x v="1"/>
    <n v="1"/>
    <n v="0"/>
    <n v="0"/>
    <n v="0"/>
    <n v="0"/>
    <n v="0"/>
    <n v="0"/>
    <n v="600"/>
    <n v="600"/>
    <x v="0"/>
    <x v="0"/>
    <x v="1"/>
    <x v="1"/>
    <x v="0"/>
  </r>
  <r>
    <n v="822"/>
    <x v="0"/>
    <x v="0"/>
    <s v="W"/>
    <n v="17910"/>
    <n v="86"/>
    <n v="-85"/>
    <n v="-79"/>
    <x v="0"/>
    <x v="5"/>
    <n v="0"/>
    <n v="4"/>
    <n v="0"/>
    <n v="0"/>
    <n v="0"/>
    <n v="0"/>
    <n v="0"/>
    <n v="12000"/>
    <n v="6000"/>
    <x v="0"/>
    <x v="0"/>
    <x v="1"/>
    <x v="0"/>
    <x v="0"/>
  </r>
  <r>
    <n v="823"/>
    <x v="0"/>
    <x v="0"/>
    <s v="W"/>
    <n v="145440"/>
    <n v="358"/>
    <n v="-3"/>
    <n v="-28"/>
    <x v="0"/>
    <x v="0"/>
    <n v="0"/>
    <n v="0"/>
    <n v="0"/>
    <n v="0"/>
    <n v="0"/>
    <n v="0"/>
    <n v="0"/>
    <n v="0"/>
    <n v="0"/>
    <x v="0"/>
    <x v="0"/>
    <x v="1"/>
    <x v="2"/>
    <x v="1"/>
  </r>
  <r>
    <n v="824"/>
    <x v="0"/>
    <x v="1"/>
    <s v="N"/>
    <n v="67480"/>
    <n v="141"/>
    <n v="-10"/>
    <n v="-44"/>
    <x v="0"/>
    <x v="3"/>
    <n v="2"/>
    <n v="1"/>
    <n v="0"/>
    <n v="0"/>
    <n v="0"/>
    <n v="0"/>
    <n v="0"/>
    <n v="2800"/>
    <n v="2000"/>
    <x v="0"/>
    <x v="0"/>
    <x v="0"/>
    <x v="0"/>
    <x v="0"/>
  </r>
  <r>
    <n v="825"/>
    <x v="0"/>
    <x v="1"/>
    <s v="W"/>
    <n v="239660"/>
    <n v="501"/>
    <n v="60"/>
    <n v="3"/>
    <x v="0"/>
    <x v="1"/>
    <n v="0"/>
    <n v="1"/>
    <n v="0"/>
    <n v="0"/>
    <n v="0"/>
    <n v="0"/>
    <n v="0"/>
    <n v="8000"/>
    <n v="8000"/>
    <x v="0"/>
    <x v="0"/>
    <x v="1"/>
    <x v="2"/>
    <x v="1"/>
  </r>
  <r>
    <n v="826"/>
    <x v="0"/>
    <x v="1"/>
    <s v="W"/>
    <n v="229690"/>
    <n v="485"/>
    <n v="45"/>
    <n v="0"/>
    <x v="0"/>
    <x v="5"/>
    <n v="3"/>
    <n v="1"/>
    <n v="0"/>
    <n v="0"/>
    <n v="0"/>
    <n v="0"/>
    <n v="0"/>
    <n v="2500"/>
    <n v="1000"/>
    <x v="0"/>
    <x v="0"/>
    <x v="1"/>
    <x v="2"/>
    <x v="1"/>
  </r>
  <r>
    <n v="827"/>
    <x v="0"/>
    <x v="1"/>
    <s v="N"/>
    <n v="49410"/>
    <n v="74"/>
    <n v="-33"/>
    <n v="-69"/>
    <x v="0"/>
    <x v="2"/>
    <n v="0"/>
    <n v="2"/>
    <n v="0"/>
    <n v="0"/>
    <n v="0"/>
    <n v="0"/>
    <n v="0"/>
    <n v="6000"/>
    <n v="3000"/>
    <x v="0"/>
    <x v="0"/>
    <x v="0"/>
    <x v="0"/>
    <x v="0"/>
  </r>
  <r>
    <n v="828"/>
    <x v="0"/>
    <x v="1"/>
    <s v="W"/>
    <n v="197620"/>
    <n v="406"/>
    <n v="19"/>
    <n v="-16"/>
    <x v="0"/>
    <x v="0"/>
    <n v="0"/>
    <n v="0"/>
    <n v="0"/>
    <n v="0"/>
    <n v="0"/>
    <n v="0"/>
    <n v="0"/>
    <n v="0"/>
    <n v="0"/>
    <x v="0"/>
    <x v="0"/>
    <x v="1"/>
    <x v="2"/>
    <x v="1"/>
  </r>
  <r>
    <n v="829"/>
    <x v="0"/>
    <x v="1"/>
    <s v="N"/>
    <n v="68200"/>
    <n v="137"/>
    <n v="-5"/>
    <n v="-38"/>
    <x v="0"/>
    <x v="0"/>
    <n v="0"/>
    <n v="0"/>
    <n v="0"/>
    <n v="0"/>
    <n v="0"/>
    <n v="0"/>
    <n v="0"/>
    <n v="0"/>
    <n v="0"/>
    <x v="0"/>
    <x v="0"/>
    <x v="0"/>
    <x v="0"/>
    <x v="0"/>
  </r>
  <r>
    <n v="830"/>
    <x v="0"/>
    <x v="1"/>
    <s v="N"/>
    <n v="53380"/>
    <n v="108"/>
    <n v="-13"/>
    <n v="-8"/>
    <x v="0"/>
    <x v="3"/>
    <n v="2"/>
    <n v="1"/>
    <n v="0"/>
    <n v="0"/>
    <n v="0"/>
    <n v="0"/>
    <n v="0"/>
    <n v="1700"/>
    <n v="1000"/>
    <x v="0"/>
    <x v="0"/>
    <x v="0"/>
    <x v="0"/>
    <x v="0"/>
  </r>
  <r>
    <n v="831"/>
    <x v="0"/>
    <x v="1"/>
    <s v="W"/>
    <n v="179710"/>
    <n v="274"/>
    <n v="5"/>
    <n v="-42"/>
    <x v="0"/>
    <x v="5"/>
    <n v="3"/>
    <n v="1"/>
    <n v="0"/>
    <n v="0"/>
    <n v="0"/>
    <n v="0"/>
    <n v="0"/>
    <n v="3000"/>
    <n v="2000"/>
    <x v="0"/>
    <x v="0"/>
    <x v="1"/>
    <x v="2"/>
    <x v="1"/>
  </r>
  <r>
    <n v="832"/>
    <x v="0"/>
    <x v="1"/>
    <s v="N"/>
    <n v="29650"/>
    <n v="93"/>
    <n v="-51"/>
    <n v="-20"/>
    <x v="0"/>
    <x v="0"/>
    <n v="0"/>
    <n v="0"/>
    <n v="0"/>
    <n v="0"/>
    <n v="0"/>
    <n v="0"/>
    <n v="0"/>
    <n v="0"/>
    <n v="0"/>
    <x v="0"/>
    <x v="0"/>
    <x v="0"/>
    <x v="0"/>
    <x v="0"/>
  </r>
  <r>
    <n v="833"/>
    <x v="0"/>
    <x v="1"/>
    <s v="W"/>
    <n v="111510"/>
    <n v="169"/>
    <n v="-36"/>
    <n v="-63"/>
    <x v="0"/>
    <x v="2"/>
    <n v="0"/>
    <n v="2"/>
    <n v="0"/>
    <n v="0"/>
    <n v="0"/>
    <n v="0"/>
    <n v="0"/>
    <n v="5000"/>
    <n v="3000"/>
    <x v="0"/>
    <x v="0"/>
    <x v="1"/>
    <x v="2"/>
    <x v="0"/>
  </r>
  <r>
    <n v="834"/>
    <x v="0"/>
    <x v="1"/>
    <s v="N"/>
    <n v="18400"/>
    <n v="46"/>
    <n v="-68"/>
    <n v="-60"/>
    <x v="0"/>
    <x v="0"/>
    <n v="0"/>
    <n v="0"/>
    <n v="0"/>
    <n v="0"/>
    <n v="0"/>
    <n v="0"/>
    <n v="0"/>
    <n v="0"/>
    <n v="0"/>
    <x v="0"/>
    <x v="0"/>
    <x v="0"/>
    <x v="0"/>
    <x v="0"/>
  </r>
  <r>
    <n v="835"/>
    <x v="0"/>
    <x v="1"/>
    <s v="N"/>
    <n v="6980"/>
    <n v="30"/>
    <n v="-87"/>
    <n v="-72"/>
    <x v="0"/>
    <x v="0"/>
    <n v="0"/>
    <n v="0"/>
    <n v="0"/>
    <n v="0"/>
    <n v="0"/>
    <n v="0"/>
    <n v="0"/>
    <n v="0"/>
    <n v="0"/>
    <x v="0"/>
    <x v="0"/>
    <x v="0"/>
    <x v="1"/>
    <x v="0"/>
  </r>
  <r>
    <n v="836"/>
    <x v="0"/>
    <x v="1"/>
    <s v="N"/>
    <n v="13120"/>
    <n v="19"/>
    <n v="-73"/>
    <n v="-81"/>
    <x v="0"/>
    <x v="0"/>
    <n v="0"/>
    <n v="0"/>
    <n v="0"/>
    <n v="0"/>
    <n v="0"/>
    <n v="0"/>
    <n v="0"/>
    <n v="0"/>
    <n v="0"/>
    <x v="0"/>
    <x v="0"/>
    <x v="0"/>
    <x v="0"/>
    <x v="0"/>
  </r>
  <r>
    <n v="837"/>
    <x v="0"/>
    <x v="0"/>
    <s v="N"/>
    <n v="9050"/>
    <n v="17"/>
    <n v="-79"/>
    <n v="-81"/>
    <x v="0"/>
    <x v="0"/>
    <n v="0"/>
    <n v="0"/>
    <n v="0"/>
    <n v="0"/>
    <n v="0"/>
    <n v="0"/>
    <n v="0"/>
    <n v="0"/>
    <n v="0"/>
    <x v="0"/>
    <x v="0"/>
    <x v="0"/>
    <x v="1"/>
    <x v="0"/>
  </r>
  <r>
    <n v="838"/>
    <x v="0"/>
    <x v="0"/>
    <s v="N"/>
    <n v="15400"/>
    <n v="24"/>
    <n v="-59"/>
    <n v="-69"/>
    <x v="0"/>
    <x v="1"/>
    <n v="0"/>
    <n v="1"/>
    <n v="0"/>
    <n v="0"/>
    <n v="0"/>
    <n v="0"/>
    <n v="0"/>
    <n v="1000"/>
    <n v="1000"/>
    <x v="0"/>
    <x v="0"/>
    <x v="0"/>
    <x v="0"/>
    <x v="0"/>
  </r>
  <r>
    <n v="839"/>
    <x v="0"/>
    <x v="0"/>
    <s v="N"/>
    <n v="38800"/>
    <n v="38"/>
    <n v="17"/>
    <n v="-45"/>
    <x v="0"/>
    <x v="2"/>
    <n v="1"/>
    <n v="1"/>
    <n v="0"/>
    <n v="0"/>
    <n v="0"/>
    <n v="0"/>
    <n v="0"/>
    <n v="1700"/>
    <n v="1000"/>
    <x v="0"/>
    <x v="0"/>
    <x v="0"/>
    <x v="0"/>
    <x v="0"/>
  </r>
  <r>
    <n v="840"/>
    <x v="0"/>
    <x v="0"/>
    <s v="W"/>
    <n v="104210"/>
    <n v="185"/>
    <n v="-39"/>
    <n v="-56"/>
    <x v="0"/>
    <x v="2"/>
    <n v="2"/>
    <n v="0"/>
    <n v="0"/>
    <n v="0"/>
    <n v="0"/>
    <n v="0"/>
    <n v="0"/>
    <n v="500"/>
    <n v="300"/>
    <x v="0"/>
    <x v="0"/>
    <x v="1"/>
    <x v="2"/>
    <x v="0"/>
  </r>
  <r>
    <n v="841"/>
    <x v="0"/>
    <x v="0"/>
    <s v="W"/>
    <n v="73930"/>
    <n v="94"/>
    <n v="-55"/>
    <n v="-76"/>
    <x v="0"/>
    <x v="1"/>
    <n v="0"/>
    <n v="1"/>
    <n v="0"/>
    <n v="0"/>
    <n v="0"/>
    <n v="0"/>
    <n v="0"/>
    <n v="1000"/>
    <n v="1000"/>
    <x v="0"/>
    <x v="0"/>
    <x v="1"/>
    <x v="0"/>
    <x v="0"/>
  </r>
  <r>
    <n v="842"/>
    <x v="0"/>
    <x v="0"/>
    <s v="N"/>
    <n v="42300"/>
    <n v="55"/>
    <n v="37"/>
    <n v="-10"/>
    <x v="0"/>
    <x v="1"/>
    <n v="0"/>
    <n v="1"/>
    <n v="0"/>
    <n v="0"/>
    <n v="0"/>
    <n v="0"/>
    <n v="0"/>
    <n v="4000"/>
    <n v="4000"/>
    <x v="0"/>
    <x v="0"/>
    <x v="0"/>
    <x v="0"/>
    <x v="0"/>
  </r>
  <r>
    <n v="843"/>
    <x v="0"/>
    <x v="0"/>
    <s v="W"/>
    <n v="178220"/>
    <n v="371"/>
    <n v="13"/>
    <n v="7"/>
    <x v="0"/>
    <x v="2"/>
    <n v="2"/>
    <n v="0"/>
    <n v="0"/>
    <n v="0"/>
    <n v="0"/>
    <n v="0"/>
    <n v="0"/>
    <n v="800"/>
    <n v="400"/>
    <x v="0"/>
    <x v="0"/>
    <x v="1"/>
    <x v="2"/>
    <x v="1"/>
  </r>
  <r>
    <n v="844"/>
    <x v="0"/>
    <x v="1"/>
    <s v="W"/>
    <n v="121520"/>
    <n v="247"/>
    <n v="-25"/>
    <n v="-26"/>
    <x v="0"/>
    <x v="1"/>
    <n v="1"/>
    <n v="0"/>
    <n v="0"/>
    <n v="0"/>
    <n v="0"/>
    <n v="0"/>
    <n v="0"/>
    <n v="400"/>
    <n v="400"/>
    <x v="0"/>
    <x v="0"/>
    <x v="1"/>
    <x v="2"/>
    <x v="1"/>
  </r>
  <r>
    <n v="845"/>
    <x v="0"/>
    <x v="1"/>
    <s v="N"/>
    <n v="22270"/>
    <n v="53"/>
    <n v="-23"/>
    <n v="-3"/>
    <x v="0"/>
    <x v="1"/>
    <n v="0"/>
    <n v="1"/>
    <n v="0"/>
    <n v="0"/>
    <n v="0"/>
    <n v="0"/>
    <n v="0"/>
    <n v="4000"/>
    <n v="4000"/>
    <x v="0"/>
    <x v="0"/>
    <x v="0"/>
    <x v="0"/>
    <x v="0"/>
  </r>
  <r>
    <n v="846"/>
    <x v="0"/>
    <x v="1"/>
    <s v="W"/>
    <n v="254510"/>
    <n v="417"/>
    <n v="61"/>
    <n v="35"/>
    <x v="0"/>
    <x v="2"/>
    <n v="2"/>
    <n v="0"/>
    <n v="0"/>
    <n v="0"/>
    <n v="0"/>
    <n v="0"/>
    <n v="0"/>
    <n v="500"/>
    <n v="300"/>
    <x v="0"/>
    <x v="0"/>
    <x v="1"/>
    <x v="2"/>
    <x v="1"/>
  </r>
  <r>
    <n v="847"/>
    <x v="0"/>
    <x v="1"/>
    <s v="W"/>
    <n v="180530"/>
    <n v="324"/>
    <n v="7"/>
    <n v="3"/>
    <x v="0"/>
    <x v="0"/>
    <n v="0"/>
    <n v="0"/>
    <n v="0"/>
    <n v="0"/>
    <n v="0"/>
    <n v="0"/>
    <n v="0"/>
    <n v="0"/>
    <n v="0"/>
    <x v="0"/>
    <x v="0"/>
    <x v="1"/>
    <x v="2"/>
    <x v="1"/>
  </r>
  <r>
    <n v="848"/>
    <x v="0"/>
    <x v="1"/>
    <s v="N"/>
    <n v="24750"/>
    <n v="62"/>
    <n v="-1"/>
    <n v="28"/>
    <x v="0"/>
    <x v="1"/>
    <n v="0"/>
    <n v="1"/>
    <n v="0"/>
    <n v="0"/>
    <n v="0"/>
    <n v="0"/>
    <n v="0"/>
    <n v="2000"/>
    <n v="2000"/>
    <x v="0"/>
    <x v="0"/>
    <x v="0"/>
    <x v="0"/>
    <x v="0"/>
  </r>
  <r>
    <n v="849"/>
    <x v="0"/>
    <x v="1"/>
    <s v="W"/>
    <n v="362360"/>
    <n v="575"/>
    <n v="122"/>
    <n v="93"/>
    <x v="1"/>
    <x v="5"/>
    <n v="2"/>
    <n v="2"/>
    <n v="0"/>
    <n v="0"/>
    <n v="0"/>
    <n v="0"/>
    <n v="0"/>
    <n v="10400"/>
    <n v="7000"/>
    <x v="0"/>
    <x v="0"/>
    <x v="1"/>
    <x v="2"/>
    <x v="1"/>
  </r>
  <r>
    <n v="850"/>
    <x v="0"/>
    <x v="1"/>
    <s v="W"/>
    <n v="140610"/>
    <n v="254"/>
    <n v="-20"/>
    <n v="-17"/>
    <x v="1"/>
    <x v="1"/>
    <n v="1"/>
    <n v="0"/>
    <n v="0"/>
    <n v="0"/>
    <n v="0"/>
    <n v="0"/>
    <n v="0"/>
    <n v="800"/>
    <n v="800"/>
    <x v="0"/>
    <x v="0"/>
    <x v="1"/>
    <x v="2"/>
    <x v="1"/>
  </r>
  <r>
    <n v="851"/>
    <x v="0"/>
    <x v="1"/>
    <s v="N"/>
    <n v="26720"/>
    <n v="53"/>
    <n v="21"/>
    <n v="21"/>
    <x v="1"/>
    <x v="1"/>
    <n v="0"/>
    <n v="1"/>
    <n v="0"/>
    <n v="0"/>
    <n v="0"/>
    <n v="0"/>
    <n v="0"/>
    <n v="1000"/>
    <n v="1000"/>
    <x v="0"/>
    <x v="0"/>
    <x v="0"/>
    <x v="0"/>
    <x v="0"/>
  </r>
  <r>
    <n v="852"/>
    <x v="0"/>
    <x v="1"/>
    <s v="W"/>
    <n v="211440"/>
    <n v="403"/>
    <n v="24"/>
    <n v="38"/>
    <x v="0"/>
    <x v="5"/>
    <n v="2"/>
    <n v="2"/>
    <n v="0"/>
    <n v="0"/>
    <n v="0"/>
    <n v="0"/>
    <n v="0"/>
    <n v="7300"/>
    <n v="4000"/>
    <x v="0"/>
    <x v="0"/>
    <x v="1"/>
    <x v="2"/>
    <x v="1"/>
  </r>
  <r>
    <n v="853"/>
    <x v="0"/>
    <x v="1"/>
    <s v="W"/>
    <n v="189170"/>
    <n v="371"/>
    <n v="9"/>
    <n v="22"/>
    <x v="0"/>
    <x v="1"/>
    <n v="0"/>
    <n v="1"/>
    <n v="0"/>
    <n v="0"/>
    <n v="0"/>
    <n v="0"/>
    <n v="0"/>
    <n v="1000"/>
    <n v="1000"/>
    <x v="0"/>
    <x v="0"/>
    <x v="1"/>
    <x v="2"/>
    <x v="1"/>
  </r>
  <r>
    <n v="854"/>
    <x v="0"/>
    <x v="1"/>
    <s v="W"/>
    <n v="232470"/>
    <n v="361"/>
    <n v="28"/>
    <n v="11"/>
    <x v="0"/>
    <x v="3"/>
    <n v="2"/>
    <n v="1"/>
    <n v="0"/>
    <n v="0"/>
    <n v="0"/>
    <n v="0"/>
    <n v="0"/>
    <n v="4000"/>
    <n v="3000"/>
    <x v="0"/>
    <x v="0"/>
    <x v="1"/>
    <x v="2"/>
    <x v="1"/>
  </r>
  <r>
    <n v="855"/>
    <x v="0"/>
    <x v="1"/>
    <s v="W"/>
    <n v="240350"/>
    <n v="458"/>
    <n v="24"/>
    <n v="34"/>
    <x v="0"/>
    <x v="5"/>
    <n v="3"/>
    <n v="1"/>
    <n v="0"/>
    <n v="0"/>
    <n v="0"/>
    <n v="0"/>
    <n v="0"/>
    <n v="3000"/>
    <n v="2000"/>
    <x v="0"/>
    <x v="0"/>
    <x v="1"/>
    <x v="2"/>
    <x v="1"/>
  </r>
  <r>
    <n v="856"/>
    <x v="0"/>
    <x v="1"/>
    <s v="N"/>
    <n v="40820"/>
    <n v="78"/>
    <n v="87"/>
    <n v="95"/>
    <x v="0"/>
    <x v="0"/>
    <n v="0"/>
    <n v="0"/>
    <n v="0"/>
    <n v="0"/>
    <n v="0"/>
    <n v="0"/>
    <n v="0"/>
    <n v="0"/>
    <n v="0"/>
    <x v="0"/>
    <x v="0"/>
    <x v="0"/>
    <x v="0"/>
    <x v="0"/>
  </r>
  <r>
    <n v="857"/>
    <x v="0"/>
    <x v="1"/>
    <s v="N"/>
    <n v="19790"/>
    <n v="43"/>
    <n v="-18"/>
    <n v="0"/>
    <x v="0"/>
    <x v="0"/>
    <n v="0"/>
    <n v="0"/>
    <n v="0"/>
    <n v="0"/>
    <n v="0"/>
    <n v="0"/>
    <n v="0"/>
    <n v="0"/>
    <n v="0"/>
    <x v="0"/>
    <x v="0"/>
    <x v="0"/>
    <x v="0"/>
    <x v="0"/>
  </r>
  <r>
    <n v="858"/>
    <x v="0"/>
    <x v="1"/>
    <s v="N"/>
    <n v="11230"/>
    <n v="26"/>
    <n v="-56"/>
    <n v="-41"/>
    <x v="0"/>
    <x v="0"/>
    <n v="0"/>
    <n v="0"/>
    <n v="0"/>
    <n v="0"/>
    <n v="0"/>
    <n v="0"/>
    <n v="0"/>
    <n v="0"/>
    <n v="0"/>
    <x v="0"/>
    <x v="0"/>
    <x v="0"/>
    <x v="0"/>
    <x v="0"/>
  </r>
  <r>
    <n v="859"/>
    <x v="0"/>
    <x v="1"/>
    <s v="N"/>
    <n v="19120"/>
    <n v="36"/>
    <n v="-24"/>
    <n v="-20"/>
    <x v="0"/>
    <x v="0"/>
    <n v="0"/>
    <n v="0"/>
    <n v="0"/>
    <n v="0"/>
    <n v="0"/>
    <n v="0"/>
    <n v="0"/>
    <n v="0"/>
    <n v="0"/>
    <x v="0"/>
    <x v="0"/>
    <x v="0"/>
    <x v="0"/>
    <x v="0"/>
  </r>
  <r>
    <n v="860"/>
    <x v="0"/>
    <x v="1"/>
    <s v="N"/>
    <n v="12120"/>
    <n v="24"/>
    <n v="-54"/>
    <n v="-49"/>
    <x v="0"/>
    <x v="1"/>
    <n v="1"/>
    <n v="0"/>
    <n v="0"/>
    <n v="0"/>
    <n v="0"/>
    <n v="0"/>
    <n v="0"/>
    <n v="300"/>
    <n v="300"/>
    <x v="0"/>
    <x v="0"/>
    <x v="0"/>
    <x v="0"/>
    <x v="0"/>
  </r>
  <r>
    <n v="861"/>
    <x v="0"/>
    <x v="1"/>
    <s v="W"/>
    <n v="147570"/>
    <n v="259"/>
    <n v="-30"/>
    <n v="-31"/>
    <x v="0"/>
    <x v="3"/>
    <n v="2"/>
    <n v="1"/>
    <n v="0"/>
    <n v="0"/>
    <n v="0"/>
    <n v="0"/>
    <n v="0"/>
    <n v="2000"/>
    <n v="1000"/>
    <x v="0"/>
    <x v="0"/>
    <x v="1"/>
    <x v="2"/>
    <x v="1"/>
  </r>
  <r>
    <n v="862"/>
    <x v="0"/>
    <x v="0"/>
    <s v="W"/>
    <n v="140890"/>
    <n v="230"/>
    <n v="-32"/>
    <n v="-37"/>
    <x v="0"/>
    <x v="2"/>
    <n v="2"/>
    <n v="0"/>
    <n v="0"/>
    <n v="0"/>
    <n v="0"/>
    <n v="0"/>
    <n v="0"/>
    <n v="600"/>
    <n v="400"/>
    <x v="0"/>
    <x v="0"/>
    <x v="1"/>
    <x v="2"/>
    <x v="1"/>
  </r>
  <r>
    <n v="863"/>
    <x v="0"/>
    <x v="0"/>
    <s v="N"/>
    <n v="16210"/>
    <n v="44"/>
    <n v="-37"/>
    <n v="-6"/>
    <x v="0"/>
    <x v="1"/>
    <n v="0"/>
    <n v="1"/>
    <n v="0"/>
    <n v="0"/>
    <n v="0"/>
    <n v="0"/>
    <n v="0"/>
    <n v="9000"/>
    <n v="9000"/>
    <x v="0"/>
    <x v="0"/>
    <x v="0"/>
    <x v="0"/>
    <x v="0"/>
  </r>
  <r>
    <n v="864"/>
    <x v="0"/>
    <x v="0"/>
    <s v="W"/>
    <n v="122030"/>
    <n v="211"/>
    <n v="-42"/>
    <n v="-42"/>
    <x v="0"/>
    <x v="1"/>
    <n v="1"/>
    <n v="0"/>
    <n v="0"/>
    <n v="0"/>
    <n v="0"/>
    <n v="0"/>
    <n v="0"/>
    <n v="500"/>
    <n v="500"/>
    <x v="0"/>
    <x v="0"/>
    <x v="1"/>
    <x v="2"/>
    <x v="1"/>
  </r>
  <r>
    <n v="865"/>
    <x v="0"/>
    <x v="0"/>
    <s v="W"/>
    <n v="154470"/>
    <n v="263"/>
    <n v="-21"/>
    <n v="-24"/>
    <x v="0"/>
    <x v="3"/>
    <n v="1"/>
    <n v="2"/>
    <n v="0"/>
    <n v="0"/>
    <n v="0"/>
    <n v="0"/>
    <n v="0"/>
    <n v="8400"/>
    <n v="6000"/>
    <x v="0"/>
    <x v="0"/>
    <x v="1"/>
    <x v="2"/>
    <x v="1"/>
  </r>
  <r>
    <n v="866"/>
    <x v="0"/>
    <x v="0"/>
    <s v="W"/>
    <n v="54980"/>
    <n v="115"/>
    <n v="-72"/>
    <n v="-66"/>
    <x v="0"/>
    <x v="1"/>
    <n v="1"/>
    <n v="0"/>
    <n v="0"/>
    <n v="0"/>
    <n v="0"/>
    <n v="0"/>
    <n v="0"/>
    <n v="600"/>
    <n v="600"/>
    <x v="0"/>
    <x v="0"/>
    <x v="1"/>
    <x v="0"/>
    <x v="0"/>
  </r>
  <r>
    <n v="867"/>
    <x v="0"/>
    <x v="0"/>
    <s v="W"/>
    <n v="103460"/>
    <n v="208"/>
    <n v="-37"/>
    <n v="-29"/>
    <x v="0"/>
    <x v="0"/>
    <n v="0"/>
    <n v="0"/>
    <n v="0"/>
    <n v="0"/>
    <n v="0"/>
    <n v="0"/>
    <n v="0"/>
    <n v="0"/>
    <n v="0"/>
    <x v="0"/>
    <x v="0"/>
    <x v="1"/>
    <x v="2"/>
    <x v="0"/>
  </r>
  <r>
    <n v="868"/>
    <x v="0"/>
    <x v="0"/>
    <s v="W"/>
    <n v="85240"/>
    <n v="140"/>
    <n v="-47"/>
    <n v="-51"/>
    <x v="0"/>
    <x v="1"/>
    <n v="1"/>
    <n v="0"/>
    <n v="0"/>
    <n v="0"/>
    <n v="0"/>
    <n v="0"/>
    <n v="0"/>
    <n v="200"/>
    <n v="200"/>
    <x v="0"/>
    <x v="0"/>
    <x v="1"/>
    <x v="0"/>
    <x v="0"/>
  </r>
  <r>
    <n v="869"/>
    <x v="0"/>
    <x v="0"/>
    <s v="N"/>
    <n v="39890"/>
    <n v="66"/>
    <n v="69"/>
    <n v="39"/>
    <x v="0"/>
    <x v="1"/>
    <n v="1"/>
    <n v="0"/>
    <n v="0"/>
    <n v="0"/>
    <n v="0"/>
    <n v="0"/>
    <n v="0"/>
    <n v="400"/>
    <n v="400"/>
    <x v="0"/>
    <x v="0"/>
    <x v="0"/>
    <x v="0"/>
    <x v="0"/>
  </r>
  <r>
    <n v="870"/>
    <x v="0"/>
    <x v="0"/>
    <s v="W"/>
    <n v="120690"/>
    <n v="150"/>
    <n v="-18"/>
    <n v="-43"/>
    <x v="0"/>
    <x v="0"/>
    <n v="0"/>
    <n v="0"/>
    <n v="0"/>
    <n v="0"/>
    <n v="0"/>
    <n v="0"/>
    <n v="0"/>
    <n v="0"/>
    <n v="0"/>
    <x v="0"/>
    <x v="0"/>
    <x v="1"/>
    <x v="2"/>
    <x v="1"/>
  </r>
  <r>
    <n v="871"/>
    <x v="0"/>
    <x v="0"/>
    <s v="W"/>
    <n v="70740"/>
    <n v="154"/>
    <n v="-50"/>
    <n v="-36"/>
    <x v="0"/>
    <x v="0"/>
    <n v="0"/>
    <n v="0"/>
    <n v="0"/>
    <n v="0"/>
    <n v="0"/>
    <n v="0"/>
    <n v="0"/>
    <n v="0"/>
    <n v="0"/>
    <x v="0"/>
    <x v="0"/>
    <x v="1"/>
    <x v="0"/>
    <x v="0"/>
  </r>
  <r>
    <n v="872"/>
    <x v="0"/>
    <x v="0"/>
    <s v="W"/>
    <n v="82480"/>
    <n v="172"/>
    <n v="-34"/>
    <n v="-21"/>
    <x v="0"/>
    <x v="1"/>
    <n v="0"/>
    <n v="1"/>
    <n v="0"/>
    <n v="0"/>
    <n v="0"/>
    <n v="0"/>
    <n v="0"/>
    <n v="1000"/>
    <n v="1000"/>
    <x v="0"/>
    <x v="0"/>
    <x v="1"/>
    <x v="0"/>
    <x v="0"/>
  </r>
  <r>
    <n v="873"/>
    <x v="0"/>
    <x v="0"/>
    <s v="W"/>
    <n v="161390"/>
    <n v="314"/>
    <n v="49"/>
    <n v="65"/>
    <x v="0"/>
    <x v="0"/>
    <n v="0"/>
    <n v="0"/>
    <n v="0"/>
    <n v="0"/>
    <n v="0"/>
    <n v="0"/>
    <n v="0"/>
    <n v="0"/>
    <n v="0"/>
    <x v="0"/>
    <x v="0"/>
    <x v="1"/>
    <x v="2"/>
    <x v="1"/>
  </r>
  <r>
    <n v="874"/>
    <x v="0"/>
    <x v="0"/>
    <s v="W"/>
    <n v="101050"/>
    <n v="213"/>
    <n v="-8"/>
    <n v="9"/>
    <x v="0"/>
    <x v="0"/>
    <n v="0"/>
    <n v="0"/>
    <n v="0"/>
    <n v="0"/>
    <n v="0"/>
    <n v="0"/>
    <n v="0"/>
    <n v="0"/>
    <n v="0"/>
    <x v="0"/>
    <x v="0"/>
    <x v="1"/>
    <x v="2"/>
    <x v="0"/>
  </r>
  <r>
    <n v="875"/>
    <x v="0"/>
    <x v="0"/>
    <s v="W"/>
    <n v="60100"/>
    <n v="94"/>
    <n v="-43"/>
    <n v="-52"/>
    <x v="0"/>
    <x v="2"/>
    <n v="2"/>
    <n v="0"/>
    <n v="0"/>
    <n v="0"/>
    <n v="0"/>
    <n v="0"/>
    <n v="0"/>
    <n v="1000"/>
    <n v="800"/>
    <x v="0"/>
    <x v="0"/>
    <x v="1"/>
    <x v="0"/>
    <x v="0"/>
  </r>
  <r>
    <n v="876"/>
    <x v="0"/>
    <x v="0"/>
    <s v="W"/>
    <n v="82460"/>
    <n v="154"/>
    <n v="-17"/>
    <n v="-16"/>
    <x v="0"/>
    <x v="0"/>
    <n v="0"/>
    <n v="0"/>
    <n v="0"/>
    <n v="0"/>
    <n v="0"/>
    <n v="0"/>
    <n v="0"/>
    <n v="0"/>
    <n v="0"/>
    <x v="0"/>
    <x v="0"/>
    <x v="1"/>
    <x v="0"/>
    <x v="0"/>
  </r>
  <r>
    <n v="877"/>
    <x v="0"/>
    <x v="0"/>
    <s v="W"/>
    <n v="65320"/>
    <n v="128"/>
    <n v="-29"/>
    <n v="-25"/>
    <x v="0"/>
    <x v="1"/>
    <n v="1"/>
    <n v="0"/>
    <n v="0"/>
    <n v="0"/>
    <n v="0"/>
    <n v="0"/>
    <n v="0"/>
    <n v="800"/>
    <n v="800"/>
    <x v="0"/>
    <x v="0"/>
    <x v="1"/>
    <x v="0"/>
    <x v="0"/>
  </r>
  <r>
    <n v="878"/>
    <x v="0"/>
    <x v="0"/>
    <s v="N"/>
    <n v="18870"/>
    <n v="47"/>
    <n v="-19"/>
    <n v="-3"/>
    <x v="0"/>
    <x v="2"/>
    <n v="1"/>
    <n v="1"/>
    <n v="0"/>
    <n v="0"/>
    <n v="0"/>
    <n v="0"/>
    <n v="0"/>
    <n v="4800"/>
    <n v="4000"/>
    <x v="0"/>
    <x v="0"/>
    <x v="0"/>
    <x v="0"/>
    <x v="0"/>
  </r>
  <r>
    <n v="879"/>
    <x v="0"/>
    <x v="0"/>
    <s v="N"/>
    <n v="21900"/>
    <n v="60"/>
    <n v="-5"/>
    <n v="25"/>
    <x v="0"/>
    <x v="0"/>
    <n v="0"/>
    <n v="0"/>
    <n v="0"/>
    <n v="0"/>
    <n v="0"/>
    <n v="0"/>
    <n v="0"/>
    <n v="0"/>
    <n v="0"/>
    <x v="0"/>
    <x v="0"/>
    <x v="0"/>
    <x v="0"/>
    <x v="0"/>
  </r>
  <r>
    <n v="880"/>
    <x v="0"/>
    <x v="0"/>
    <s v="N"/>
    <n v="20700"/>
    <n v="37"/>
    <n v="-9"/>
    <n v="-22"/>
    <x v="0"/>
    <x v="0"/>
    <n v="0"/>
    <n v="0"/>
    <n v="0"/>
    <n v="0"/>
    <n v="0"/>
    <n v="0"/>
    <n v="0"/>
    <n v="0"/>
    <n v="0"/>
    <x v="0"/>
    <x v="0"/>
    <x v="0"/>
    <x v="0"/>
    <x v="0"/>
  </r>
  <r>
    <n v="881"/>
    <x v="0"/>
    <x v="0"/>
    <s v="W"/>
    <n v="51950"/>
    <n v="144"/>
    <n v="-44"/>
    <n v="-17"/>
    <x v="0"/>
    <x v="2"/>
    <n v="0"/>
    <n v="2"/>
    <n v="0"/>
    <n v="0"/>
    <n v="0"/>
    <n v="0"/>
    <n v="0"/>
    <n v="3000"/>
    <n v="2000"/>
    <x v="0"/>
    <x v="0"/>
    <x v="1"/>
    <x v="0"/>
    <x v="0"/>
  </r>
  <r>
    <n v="882"/>
    <x v="0"/>
    <x v="0"/>
    <s v="W"/>
    <n v="129190"/>
    <n v="278"/>
    <n v="47"/>
    <n v="67"/>
    <x v="0"/>
    <x v="5"/>
    <n v="1"/>
    <n v="3"/>
    <n v="0"/>
    <n v="0"/>
    <n v="0"/>
    <n v="0"/>
    <n v="0"/>
    <n v="13500"/>
    <n v="8000"/>
    <x v="0"/>
    <x v="0"/>
    <x v="1"/>
    <x v="2"/>
    <x v="1"/>
  </r>
  <r>
    <n v="883"/>
    <x v="0"/>
    <x v="0"/>
    <s v="W"/>
    <n v="125340"/>
    <n v="292"/>
    <n v="35"/>
    <n v="62"/>
    <x v="0"/>
    <x v="0"/>
    <n v="0"/>
    <n v="0"/>
    <n v="0"/>
    <n v="0"/>
    <n v="0"/>
    <n v="0"/>
    <n v="0"/>
    <n v="0"/>
    <n v="0"/>
    <x v="0"/>
    <x v="0"/>
    <x v="1"/>
    <x v="2"/>
    <x v="1"/>
  </r>
  <r>
    <n v="884"/>
    <x v="0"/>
    <x v="0"/>
    <s v="W"/>
    <n v="48630"/>
    <n v="126"/>
    <n v="-48"/>
    <n v="-35"/>
    <x v="0"/>
    <x v="0"/>
    <n v="0"/>
    <n v="0"/>
    <n v="0"/>
    <n v="0"/>
    <n v="0"/>
    <n v="0"/>
    <n v="0"/>
    <n v="0"/>
    <n v="0"/>
    <x v="0"/>
    <x v="0"/>
    <x v="1"/>
    <x v="0"/>
    <x v="0"/>
  </r>
  <r>
    <n v="885"/>
    <x v="0"/>
    <x v="0"/>
    <s v="N"/>
    <n v="39660"/>
    <n v="86"/>
    <n v="80"/>
    <n v="87"/>
    <x v="0"/>
    <x v="0"/>
    <n v="0"/>
    <n v="0"/>
    <n v="0"/>
    <n v="0"/>
    <n v="0"/>
    <n v="0"/>
    <n v="0"/>
    <n v="0"/>
    <n v="0"/>
    <x v="0"/>
    <x v="0"/>
    <x v="0"/>
    <x v="0"/>
    <x v="0"/>
  </r>
  <r>
    <n v="886"/>
    <x v="0"/>
    <x v="0"/>
    <s v="W"/>
    <n v="101040"/>
    <n v="213"/>
    <n v="11"/>
    <n v="11"/>
    <x v="0"/>
    <x v="2"/>
    <n v="1"/>
    <n v="1"/>
    <n v="0"/>
    <n v="0"/>
    <n v="0"/>
    <n v="0"/>
    <n v="0"/>
    <n v="1700"/>
    <n v="1000"/>
    <x v="0"/>
    <x v="0"/>
    <x v="1"/>
    <x v="2"/>
    <x v="0"/>
  </r>
  <r>
    <n v="887"/>
    <x v="0"/>
    <x v="0"/>
    <s v="W"/>
    <n v="20090"/>
    <n v="74"/>
    <n v="-78"/>
    <n v="-62"/>
    <x v="0"/>
    <x v="0"/>
    <n v="0"/>
    <n v="0"/>
    <n v="0"/>
    <n v="0"/>
    <n v="0"/>
    <n v="0"/>
    <n v="0"/>
    <n v="0"/>
    <n v="0"/>
    <x v="0"/>
    <x v="0"/>
    <x v="1"/>
    <x v="0"/>
    <x v="0"/>
  </r>
  <r>
    <n v="888"/>
    <x v="0"/>
    <x v="0"/>
    <s v="W"/>
    <n v="105160"/>
    <n v="284"/>
    <n v="34"/>
    <n v="66"/>
    <x v="0"/>
    <x v="1"/>
    <n v="0"/>
    <n v="1"/>
    <n v="0"/>
    <n v="0"/>
    <n v="0"/>
    <n v="0"/>
    <n v="0"/>
    <n v="6000"/>
    <n v="6000"/>
    <x v="0"/>
    <x v="0"/>
    <x v="1"/>
    <x v="2"/>
    <x v="0"/>
  </r>
  <r>
    <n v="889"/>
    <x v="0"/>
    <x v="0"/>
    <s v="W"/>
    <n v="35200"/>
    <n v="93"/>
    <n v="-55"/>
    <n v="-48"/>
    <x v="0"/>
    <x v="1"/>
    <n v="0"/>
    <n v="1"/>
    <n v="0"/>
    <n v="0"/>
    <n v="0"/>
    <n v="0"/>
    <n v="0"/>
    <n v="5000"/>
    <n v="5000"/>
    <x v="0"/>
    <x v="0"/>
    <x v="1"/>
    <x v="0"/>
    <x v="0"/>
  </r>
  <r>
    <n v="890"/>
    <x v="0"/>
    <x v="0"/>
    <s v="N"/>
    <n v="22300"/>
    <n v="55"/>
    <n v="2"/>
    <n v="17"/>
    <x v="0"/>
    <x v="0"/>
    <n v="0"/>
    <n v="0"/>
    <n v="0"/>
    <n v="0"/>
    <n v="0"/>
    <n v="0"/>
    <n v="0"/>
    <n v="0"/>
    <n v="0"/>
    <x v="0"/>
    <x v="0"/>
    <x v="0"/>
    <x v="0"/>
    <x v="0"/>
  </r>
  <r>
    <n v="891"/>
    <x v="0"/>
    <x v="0"/>
    <s v="N"/>
    <n v="30650"/>
    <n v="80"/>
    <n v="38"/>
    <n v="66"/>
    <x v="0"/>
    <x v="1"/>
    <n v="1"/>
    <n v="0"/>
    <n v="0"/>
    <n v="0"/>
    <n v="0"/>
    <n v="0"/>
    <n v="0"/>
    <n v="500"/>
    <n v="500"/>
    <x v="0"/>
    <x v="0"/>
    <x v="0"/>
    <x v="0"/>
    <x v="0"/>
  </r>
  <r>
    <n v="892"/>
    <x v="0"/>
    <x v="1"/>
    <s v="N"/>
    <n v="20840"/>
    <n v="52"/>
    <n v="-14"/>
    <n v="-3"/>
    <x v="0"/>
    <x v="0"/>
    <n v="0"/>
    <n v="0"/>
    <n v="0"/>
    <n v="0"/>
    <n v="0"/>
    <n v="0"/>
    <n v="0"/>
    <n v="0"/>
    <n v="0"/>
    <x v="0"/>
    <x v="0"/>
    <x v="0"/>
    <x v="0"/>
    <x v="0"/>
  </r>
  <r>
    <n v="893"/>
    <x v="0"/>
    <x v="1"/>
    <s v="N"/>
    <n v="29560"/>
    <n v="112"/>
    <n v="22"/>
    <n v="103"/>
    <x v="1"/>
    <x v="0"/>
    <n v="0"/>
    <n v="0"/>
    <n v="0"/>
    <n v="0"/>
    <n v="0"/>
    <n v="0"/>
    <n v="0"/>
    <n v="0"/>
    <n v="0"/>
    <x v="0"/>
    <x v="0"/>
    <x v="0"/>
    <x v="0"/>
    <x v="0"/>
  </r>
  <r>
    <n v="894"/>
    <x v="0"/>
    <x v="1"/>
    <s v="N"/>
    <n v="28210"/>
    <n v="83"/>
    <n v="8"/>
    <n v="30"/>
    <x v="0"/>
    <x v="1"/>
    <n v="0"/>
    <n v="1"/>
    <n v="0"/>
    <n v="0"/>
    <n v="0"/>
    <n v="0"/>
    <n v="0"/>
    <n v="3000"/>
    <n v="3000"/>
    <x v="0"/>
    <x v="0"/>
    <x v="0"/>
    <x v="0"/>
    <x v="0"/>
  </r>
  <r>
    <n v="895"/>
    <x v="0"/>
    <x v="1"/>
    <s v="N"/>
    <n v="14350"/>
    <n v="36"/>
    <n v="-47"/>
    <n v="-47"/>
    <x v="0"/>
    <x v="0"/>
    <n v="0"/>
    <n v="0"/>
    <n v="0"/>
    <n v="0"/>
    <n v="0"/>
    <n v="0"/>
    <n v="0"/>
    <n v="0"/>
    <n v="0"/>
    <x v="0"/>
    <x v="0"/>
    <x v="0"/>
    <x v="0"/>
    <x v="0"/>
  </r>
  <r>
    <n v="896"/>
    <x v="0"/>
    <x v="1"/>
    <s v="N"/>
    <n v="32830"/>
    <n v="85"/>
    <n v="33"/>
    <n v="31"/>
    <x v="0"/>
    <x v="0"/>
    <n v="0"/>
    <n v="0"/>
    <n v="0"/>
    <n v="0"/>
    <n v="0"/>
    <n v="0"/>
    <n v="0"/>
    <n v="0"/>
    <n v="0"/>
    <x v="0"/>
    <x v="0"/>
    <x v="0"/>
    <x v="0"/>
    <x v="0"/>
  </r>
  <r>
    <n v="897"/>
    <x v="0"/>
    <x v="1"/>
    <s v="W"/>
    <n v="66640"/>
    <n v="155"/>
    <n v="-13"/>
    <n v="-13"/>
    <x v="0"/>
    <x v="1"/>
    <n v="1"/>
    <n v="0"/>
    <n v="0"/>
    <n v="0"/>
    <n v="0"/>
    <n v="0"/>
    <n v="0"/>
    <n v="400"/>
    <n v="400"/>
    <x v="0"/>
    <x v="0"/>
    <x v="1"/>
    <x v="0"/>
    <x v="0"/>
  </r>
  <r>
    <n v="898"/>
    <x v="0"/>
    <x v="1"/>
    <s v="N"/>
    <n v="48440"/>
    <n v="76"/>
    <n v="86"/>
    <n v="11"/>
    <x v="0"/>
    <x v="0"/>
    <n v="0"/>
    <n v="0"/>
    <n v="0"/>
    <n v="0"/>
    <n v="0"/>
    <n v="0"/>
    <n v="0"/>
    <n v="0"/>
    <n v="0"/>
    <x v="0"/>
    <x v="0"/>
    <x v="0"/>
    <x v="0"/>
    <x v="0"/>
  </r>
  <r>
    <n v="899"/>
    <x v="0"/>
    <x v="1"/>
    <s v="N"/>
    <n v="26470"/>
    <n v="37"/>
    <n v="-8"/>
    <n v="-47"/>
    <x v="0"/>
    <x v="2"/>
    <n v="2"/>
    <n v="0"/>
    <n v="0"/>
    <n v="0"/>
    <n v="0"/>
    <n v="0"/>
    <n v="0"/>
    <n v="900"/>
    <n v="600"/>
    <x v="0"/>
    <x v="0"/>
    <x v="0"/>
    <x v="0"/>
    <x v="0"/>
  </r>
  <r>
    <n v="900"/>
    <x v="0"/>
    <x v="1"/>
    <s v="N"/>
    <n v="3430"/>
    <n v="18"/>
    <n v="-88"/>
    <n v="-74"/>
    <x v="0"/>
    <x v="0"/>
    <n v="0"/>
    <n v="0"/>
    <n v="0"/>
    <n v="0"/>
    <n v="0"/>
    <n v="0"/>
    <n v="0"/>
    <n v="0"/>
    <n v="0"/>
    <x v="0"/>
    <x v="0"/>
    <x v="0"/>
    <x v="1"/>
    <x v="0"/>
  </r>
  <r>
    <n v="901"/>
    <x v="0"/>
    <x v="1"/>
    <s v="N"/>
    <n v="12270"/>
    <n v="24"/>
    <n v="-52"/>
    <n v="-62"/>
    <x v="0"/>
    <x v="0"/>
    <n v="0"/>
    <n v="0"/>
    <n v="0"/>
    <n v="0"/>
    <n v="0"/>
    <n v="0"/>
    <n v="0"/>
    <n v="0"/>
    <n v="0"/>
    <x v="0"/>
    <x v="0"/>
    <x v="0"/>
    <x v="0"/>
    <x v="0"/>
  </r>
  <r>
    <n v="902"/>
    <x v="0"/>
    <x v="1"/>
    <s v="N"/>
    <n v="34050"/>
    <n v="68"/>
    <n v="38"/>
    <n v="13"/>
    <x v="0"/>
    <x v="0"/>
    <n v="0"/>
    <n v="0"/>
    <n v="0"/>
    <n v="0"/>
    <n v="0"/>
    <n v="0"/>
    <n v="0"/>
    <n v="0"/>
    <n v="0"/>
    <x v="0"/>
    <x v="0"/>
    <x v="0"/>
    <x v="0"/>
    <x v="0"/>
  </r>
  <r>
    <n v="903"/>
    <x v="0"/>
    <x v="0"/>
    <s v="N"/>
    <n v="28020"/>
    <n v="51"/>
    <n v="12"/>
    <n v="-14"/>
    <x v="0"/>
    <x v="0"/>
    <n v="0"/>
    <n v="0"/>
    <n v="0"/>
    <n v="0"/>
    <n v="0"/>
    <n v="0"/>
    <n v="0"/>
    <n v="0"/>
    <n v="0"/>
    <x v="0"/>
    <x v="0"/>
    <x v="0"/>
    <x v="0"/>
    <x v="0"/>
  </r>
  <r>
    <n v="904"/>
    <x v="0"/>
    <x v="1"/>
    <s v="N"/>
    <n v="44790"/>
    <n v="57"/>
    <n v="74"/>
    <n v="-3"/>
    <x v="0"/>
    <x v="0"/>
    <n v="0"/>
    <n v="0"/>
    <n v="0"/>
    <n v="0"/>
    <n v="0"/>
    <n v="0"/>
    <n v="0"/>
    <n v="0"/>
    <n v="0"/>
    <x v="0"/>
    <x v="0"/>
    <x v="0"/>
    <x v="0"/>
    <x v="0"/>
  </r>
  <r>
    <n v="905"/>
    <x v="0"/>
    <x v="1"/>
    <s v="W"/>
    <n v="68130"/>
    <n v="162"/>
    <n v="-9"/>
    <n v="-9"/>
    <x v="0"/>
    <x v="2"/>
    <n v="2"/>
    <n v="0"/>
    <n v="0"/>
    <n v="0"/>
    <n v="0"/>
    <n v="0"/>
    <n v="0"/>
    <n v="1000"/>
    <n v="600"/>
    <x v="0"/>
    <x v="0"/>
    <x v="1"/>
    <x v="0"/>
    <x v="0"/>
  </r>
  <r>
    <n v="906"/>
    <x v="0"/>
    <x v="1"/>
    <s v="W"/>
    <n v="107250"/>
    <n v="168"/>
    <n v="43"/>
    <n v="-8"/>
    <x v="0"/>
    <x v="0"/>
    <n v="0"/>
    <n v="0"/>
    <n v="0"/>
    <n v="0"/>
    <n v="0"/>
    <n v="0"/>
    <n v="0"/>
    <n v="0"/>
    <n v="0"/>
    <x v="0"/>
    <x v="0"/>
    <x v="1"/>
    <x v="2"/>
    <x v="0"/>
  </r>
  <r>
    <n v="907"/>
    <x v="0"/>
    <x v="1"/>
    <s v="N"/>
    <n v="72460"/>
    <n v="150"/>
    <n v="166"/>
    <n v="180"/>
    <x v="1"/>
    <x v="1"/>
    <n v="0"/>
    <n v="1"/>
    <n v="0"/>
    <n v="0"/>
    <n v="0"/>
    <n v="0"/>
    <n v="0"/>
    <n v="1000"/>
    <n v="1000"/>
    <x v="0"/>
    <x v="0"/>
    <x v="0"/>
    <x v="0"/>
    <x v="0"/>
  </r>
  <r>
    <n v="908"/>
    <x v="0"/>
    <x v="1"/>
    <s v="N"/>
    <n v="58410"/>
    <n v="113"/>
    <n v="84"/>
    <n v="88"/>
    <x v="0"/>
    <x v="0"/>
    <n v="0"/>
    <n v="0"/>
    <n v="0"/>
    <n v="0"/>
    <n v="0"/>
    <n v="0"/>
    <n v="0"/>
    <n v="0"/>
    <n v="0"/>
    <x v="0"/>
    <x v="0"/>
    <x v="0"/>
    <x v="0"/>
    <x v="0"/>
  </r>
  <r>
    <n v="909"/>
    <x v="0"/>
    <x v="1"/>
    <s v="N"/>
    <n v="52000"/>
    <n v="134"/>
    <n v="44"/>
    <n v="97"/>
    <x v="0"/>
    <x v="0"/>
    <n v="0"/>
    <n v="0"/>
    <n v="0"/>
    <n v="0"/>
    <n v="0"/>
    <n v="0"/>
    <n v="0"/>
    <n v="0"/>
    <n v="0"/>
    <x v="1"/>
    <x v="1"/>
    <x v="0"/>
    <x v="0"/>
    <x v="0"/>
  </r>
  <r>
    <n v="910"/>
    <x v="1"/>
    <x v="1"/>
    <s v="N"/>
    <n v="48590"/>
    <n v="134"/>
    <n v="28"/>
    <n v="84"/>
    <x v="1"/>
    <x v="1"/>
    <n v="0"/>
    <n v="0"/>
    <n v="1"/>
    <n v="0"/>
    <n v="0"/>
    <n v="0"/>
    <n v="0"/>
    <n v="20000"/>
    <n v="20000"/>
    <x v="0"/>
    <x v="0"/>
    <x v="0"/>
    <x v="0"/>
    <x v="0"/>
  </r>
  <r>
    <n v="911"/>
    <x v="1"/>
    <x v="1"/>
    <s v="N"/>
    <n v="19370"/>
    <n v="63"/>
    <n v="-49"/>
    <n v="-20"/>
    <x v="1"/>
    <x v="0"/>
    <n v="0"/>
    <n v="0"/>
    <n v="0"/>
    <n v="0"/>
    <n v="0"/>
    <n v="0"/>
    <n v="0"/>
    <n v="0"/>
    <n v="0"/>
    <x v="0"/>
    <x v="0"/>
    <x v="0"/>
    <x v="0"/>
    <x v="0"/>
  </r>
  <r>
    <n v="912"/>
    <x v="1"/>
    <x v="1"/>
    <s v="N"/>
    <n v="14770"/>
    <n v="48"/>
    <n v="-60"/>
    <n v="-41"/>
    <x v="1"/>
    <x v="0"/>
    <n v="0"/>
    <n v="0"/>
    <n v="0"/>
    <n v="0"/>
    <n v="0"/>
    <n v="0"/>
    <n v="0"/>
    <n v="0"/>
    <n v="0"/>
    <x v="0"/>
    <x v="0"/>
    <x v="0"/>
    <x v="0"/>
    <x v="0"/>
  </r>
  <r>
    <n v="913"/>
    <x v="0"/>
    <x v="1"/>
    <s v="N"/>
    <n v="15050"/>
    <n v="52"/>
    <n v="-61"/>
    <n v="-38"/>
    <x v="0"/>
    <x v="0"/>
    <n v="0"/>
    <n v="0"/>
    <n v="0"/>
    <n v="0"/>
    <n v="0"/>
    <n v="0"/>
    <n v="0"/>
    <n v="0"/>
    <n v="0"/>
    <x v="0"/>
    <x v="0"/>
    <x v="0"/>
    <x v="0"/>
    <x v="0"/>
  </r>
  <r>
    <n v="914"/>
    <x v="0"/>
    <x v="1"/>
    <s v="N"/>
    <n v="18800"/>
    <n v="67"/>
    <n v="-51"/>
    <n v="-23"/>
    <x v="0"/>
    <x v="0"/>
    <n v="0"/>
    <n v="0"/>
    <n v="0"/>
    <n v="0"/>
    <n v="0"/>
    <n v="0"/>
    <n v="0"/>
    <n v="0"/>
    <n v="0"/>
    <x v="0"/>
    <x v="0"/>
    <x v="0"/>
    <x v="0"/>
    <x v="0"/>
  </r>
  <r>
    <n v="915"/>
    <x v="0"/>
    <x v="0"/>
    <s v="N"/>
    <n v="29500"/>
    <n v="92"/>
    <n v="-21"/>
    <n v="6"/>
    <x v="0"/>
    <x v="1"/>
    <n v="1"/>
    <n v="0"/>
    <n v="0"/>
    <n v="0"/>
    <n v="0"/>
    <n v="0"/>
    <n v="0"/>
    <n v="300"/>
    <n v="300"/>
    <x v="0"/>
    <x v="0"/>
    <x v="0"/>
    <x v="0"/>
    <x v="0"/>
  </r>
  <r>
    <n v="916"/>
    <x v="0"/>
    <x v="0"/>
    <s v="N"/>
    <n v="12950"/>
    <n v="41"/>
    <n v="-65"/>
    <n v="-55"/>
    <x v="0"/>
    <x v="0"/>
    <n v="0"/>
    <n v="0"/>
    <n v="0"/>
    <n v="0"/>
    <n v="0"/>
    <n v="0"/>
    <n v="0"/>
    <n v="0"/>
    <n v="0"/>
    <x v="0"/>
    <x v="0"/>
    <x v="0"/>
    <x v="0"/>
    <x v="0"/>
  </r>
  <r>
    <n v="917"/>
    <x v="0"/>
    <x v="0"/>
    <s v="N"/>
    <n v="20730"/>
    <n v="48"/>
    <n v="-39"/>
    <n v="-46"/>
    <x v="0"/>
    <x v="1"/>
    <n v="1"/>
    <n v="0"/>
    <n v="0"/>
    <n v="0"/>
    <n v="0"/>
    <n v="0"/>
    <n v="0"/>
    <n v="400"/>
    <n v="400"/>
    <x v="0"/>
    <x v="0"/>
    <x v="0"/>
    <x v="0"/>
    <x v="0"/>
  </r>
  <r>
    <n v="918"/>
    <x v="0"/>
    <x v="0"/>
    <s v="N"/>
    <n v="41340"/>
    <n v="89"/>
    <n v="42"/>
    <n v="12"/>
    <x v="0"/>
    <x v="0"/>
    <n v="0"/>
    <n v="0"/>
    <n v="0"/>
    <n v="0"/>
    <n v="0"/>
    <n v="0"/>
    <n v="0"/>
    <n v="0"/>
    <n v="0"/>
    <x v="0"/>
    <x v="0"/>
    <x v="0"/>
    <x v="0"/>
    <x v="0"/>
  </r>
  <r>
    <n v="919"/>
    <x v="0"/>
    <x v="0"/>
    <s v="N"/>
    <n v="18410"/>
    <n v="30"/>
    <n v="-33"/>
    <n v="-61"/>
    <x v="0"/>
    <x v="0"/>
    <n v="0"/>
    <n v="0"/>
    <n v="0"/>
    <n v="0"/>
    <n v="0"/>
    <n v="0"/>
    <n v="0"/>
    <n v="0"/>
    <n v="0"/>
    <x v="0"/>
    <x v="0"/>
    <x v="0"/>
    <x v="0"/>
    <x v="0"/>
  </r>
  <r>
    <n v="920"/>
    <x v="0"/>
    <x v="0"/>
    <s v="N"/>
    <n v="9490"/>
    <n v="26"/>
    <n v="-60"/>
    <n v="-61"/>
    <x v="0"/>
    <x v="0"/>
    <n v="0"/>
    <n v="0"/>
    <n v="0"/>
    <n v="0"/>
    <n v="0"/>
    <n v="0"/>
    <n v="0"/>
    <n v="0"/>
    <n v="0"/>
    <x v="0"/>
    <x v="0"/>
    <x v="0"/>
    <x v="1"/>
    <x v="0"/>
  </r>
  <r>
    <n v="921"/>
    <x v="0"/>
    <x v="0"/>
    <s v="N"/>
    <n v="6370"/>
    <n v="34"/>
    <n v="-68"/>
    <n v="-39"/>
    <x v="0"/>
    <x v="0"/>
    <n v="0"/>
    <n v="0"/>
    <n v="0"/>
    <n v="0"/>
    <n v="0"/>
    <n v="0"/>
    <n v="0"/>
    <n v="0"/>
    <n v="0"/>
    <x v="0"/>
    <x v="0"/>
    <x v="0"/>
    <x v="1"/>
    <x v="0"/>
  </r>
  <r>
    <n v="922"/>
    <x v="0"/>
    <x v="0"/>
    <s v="N"/>
    <n v="9430"/>
    <n v="44"/>
    <n v="-50"/>
    <n v="-17"/>
    <x v="0"/>
    <x v="0"/>
    <n v="0"/>
    <n v="0"/>
    <n v="0"/>
    <n v="0"/>
    <n v="0"/>
    <n v="0"/>
    <n v="0"/>
    <n v="0"/>
    <n v="0"/>
    <x v="0"/>
    <x v="0"/>
    <x v="0"/>
    <x v="1"/>
    <x v="0"/>
  </r>
  <r>
    <n v="923"/>
    <x v="0"/>
    <x v="0"/>
    <s v="N"/>
    <n v="30130"/>
    <n v="82"/>
    <n v="65"/>
    <n v="57"/>
    <x v="0"/>
    <x v="3"/>
    <n v="3"/>
    <n v="0"/>
    <n v="0"/>
    <n v="0"/>
    <n v="0"/>
    <n v="0"/>
    <n v="0"/>
    <n v="500"/>
    <n v="200"/>
    <x v="0"/>
    <x v="0"/>
    <x v="0"/>
    <x v="0"/>
    <x v="0"/>
  </r>
  <r>
    <n v="924"/>
    <x v="0"/>
    <x v="0"/>
    <s v="N"/>
    <n v="12880"/>
    <n v="62"/>
    <n v="-35"/>
    <n v="12"/>
    <x v="0"/>
    <x v="0"/>
    <n v="0"/>
    <n v="0"/>
    <n v="0"/>
    <n v="0"/>
    <n v="0"/>
    <n v="0"/>
    <n v="0"/>
    <n v="0"/>
    <n v="0"/>
    <x v="0"/>
    <x v="0"/>
    <x v="0"/>
    <x v="0"/>
    <x v="0"/>
  </r>
  <r>
    <n v="925"/>
    <x v="0"/>
    <x v="0"/>
    <s v="N"/>
    <n v="16480"/>
    <n v="44"/>
    <n v="-14"/>
    <n v="-20"/>
    <x v="0"/>
    <x v="0"/>
    <n v="0"/>
    <n v="0"/>
    <n v="0"/>
    <n v="0"/>
    <n v="0"/>
    <n v="0"/>
    <n v="0"/>
    <n v="0"/>
    <n v="0"/>
    <x v="0"/>
    <x v="0"/>
    <x v="0"/>
    <x v="0"/>
    <x v="0"/>
  </r>
  <r>
    <n v="926"/>
    <x v="0"/>
    <x v="1"/>
    <s v="N"/>
    <n v="19040"/>
    <n v="50"/>
    <n v="7"/>
    <n v="0"/>
    <x v="0"/>
    <x v="0"/>
    <n v="0"/>
    <n v="0"/>
    <n v="0"/>
    <n v="0"/>
    <n v="0"/>
    <n v="0"/>
    <n v="0"/>
    <n v="0"/>
    <n v="0"/>
    <x v="0"/>
    <x v="0"/>
    <x v="0"/>
    <x v="0"/>
    <x v="0"/>
  </r>
  <r>
    <n v="927"/>
    <x v="0"/>
    <x v="1"/>
    <s v="N"/>
    <n v="15570"/>
    <n v="41"/>
    <n v="-16"/>
    <n v="-19"/>
    <x v="0"/>
    <x v="0"/>
    <n v="0"/>
    <n v="0"/>
    <n v="0"/>
    <n v="0"/>
    <n v="0"/>
    <n v="0"/>
    <n v="0"/>
    <n v="0"/>
    <n v="0"/>
    <x v="0"/>
    <x v="0"/>
    <x v="0"/>
    <x v="0"/>
    <x v="0"/>
  </r>
  <r>
    <n v="928"/>
    <x v="0"/>
    <x v="1"/>
    <s v="N"/>
    <n v="20250"/>
    <n v="45"/>
    <n v="13"/>
    <n v="-10"/>
    <x v="0"/>
    <x v="0"/>
    <n v="0"/>
    <n v="0"/>
    <n v="0"/>
    <n v="0"/>
    <n v="0"/>
    <n v="0"/>
    <n v="0"/>
    <n v="0"/>
    <n v="0"/>
    <x v="0"/>
    <x v="0"/>
    <x v="0"/>
    <x v="0"/>
    <x v="0"/>
  </r>
  <r>
    <n v="929"/>
    <x v="0"/>
    <x v="1"/>
    <s v="N"/>
    <n v="19030"/>
    <n v="46"/>
    <n v="20"/>
    <n v="0"/>
    <x v="0"/>
    <x v="1"/>
    <n v="0"/>
    <n v="1"/>
    <n v="0"/>
    <n v="0"/>
    <n v="0"/>
    <n v="0"/>
    <n v="0"/>
    <n v="9000"/>
    <n v="9000"/>
    <x v="0"/>
    <x v="0"/>
    <x v="0"/>
    <x v="0"/>
    <x v="0"/>
  </r>
  <r>
    <n v="930"/>
    <x v="0"/>
    <x v="1"/>
    <s v="N"/>
    <n v="21730"/>
    <n v="56"/>
    <n v="37"/>
    <n v="18"/>
    <x v="0"/>
    <x v="0"/>
    <n v="0"/>
    <n v="0"/>
    <n v="0"/>
    <n v="0"/>
    <n v="0"/>
    <n v="0"/>
    <n v="0"/>
    <n v="0"/>
    <n v="0"/>
    <x v="0"/>
    <x v="0"/>
    <x v="0"/>
    <x v="0"/>
    <x v="0"/>
  </r>
  <r>
    <n v="931"/>
    <x v="0"/>
    <x v="1"/>
    <s v="N"/>
    <n v="24550"/>
    <n v="62"/>
    <n v="44"/>
    <n v="23"/>
    <x v="0"/>
    <x v="0"/>
    <n v="0"/>
    <n v="0"/>
    <n v="0"/>
    <n v="0"/>
    <n v="0"/>
    <n v="0"/>
    <n v="0"/>
    <n v="0"/>
    <n v="0"/>
    <x v="0"/>
    <x v="0"/>
    <x v="0"/>
    <x v="0"/>
    <x v="0"/>
  </r>
  <r>
    <n v="932"/>
    <x v="0"/>
    <x v="1"/>
    <s v="N"/>
    <n v="15300"/>
    <n v="29"/>
    <n v="-19"/>
    <n v="-45"/>
    <x v="0"/>
    <x v="0"/>
    <n v="0"/>
    <n v="0"/>
    <n v="0"/>
    <n v="0"/>
    <n v="0"/>
    <n v="0"/>
    <n v="0"/>
    <n v="0"/>
    <n v="0"/>
    <x v="0"/>
    <x v="0"/>
    <x v="0"/>
    <x v="0"/>
    <x v="0"/>
  </r>
  <r>
    <n v="933"/>
    <x v="0"/>
    <x v="1"/>
    <s v="N"/>
    <n v="32240"/>
    <n v="61"/>
    <n v="65"/>
    <n v="18"/>
    <x v="0"/>
    <x v="0"/>
    <n v="0"/>
    <n v="0"/>
    <n v="0"/>
    <n v="0"/>
    <n v="0"/>
    <n v="0"/>
    <n v="0"/>
    <n v="0"/>
    <n v="0"/>
    <x v="0"/>
    <x v="0"/>
    <x v="0"/>
    <x v="0"/>
    <x v="0"/>
  </r>
  <r>
    <n v="934"/>
    <x v="0"/>
    <x v="1"/>
    <s v="N"/>
    <n v="27490"/>
    <n v="55"/>
    <n v="39"/>
    <n v="11"/>
    <x v="0"/>
    <x v="0"/>
    <n v="0"/>
    <n v="0"/>
    <n v="0"/>
    <n v="0"/>
    <n v="0"/>
    <n v="0"/>
    <n v="0"/>
    <n v="0"/>
    <n v="0"/>
    <x v="0"/>
    <x v="0"/>
    <x v="0"/>
    <x v="0"/>
    <x v="0"/>
  </r>
  <r>
    <n v="935"/>
    <x v="0"/>
    <x v="1"/>
    <s v="N"/>
    <n v="48650"/>
    <n v="73"/>
    <n v="-51"/>
    <n v="-51"/>
    <x v="0"/>
    <x v="0"/>
    <n v="0"/>
    <n v="0"/>
    <n v="0"/>
    <n v="0"/>
    <n v="0"/>
    <n v="0"/>
    <n v="0"/>
    <n v="0"/>
    <n v="0"/>
    <x v="0"/>
    <x v="0"/>
    <x v="0"/>
    <x v="0"/>
    <x v="0"/>
  </r>
  <r>
    <n v="936"/>
    <x v="0"/>
    <x v="1"/>
    <s v="N"/>
    <n v="147400"/>
    <n v="189"/>
    <n v="55"/>
    <n v="33"/>
    <x v="0"/>
    <x v="1"/>
    <n v="1"/>
    <n v="0"/>
    <n v="0"/>
    <n v="0"/>
    <n v="0"/>
    <n v="0"/>
    <n v="0"/>
    <n v="700"/>
    <n v="700"/>
    <x v="0"/>
    <x v="0"/>
    <x v="0"/>
    <x v="2"/>
    <x v="1"/>
  </r>
  <r>
    <n v="937"/>
    <x v="0"/>
    <x v="1"/>
    <s v="N"/>
    <n v="175660"/>
    <n v="251"/>
    <n v="76"/>
    <n v="72"/>
    <x v="0"/>
    <x v="0"/>
    <n v="0"/>
    <n v="0"/>
    <n v="0"/>
    <n v="0"/>
    <n v="0"/>
    <n v="0"/>
    <n v="0"/>
    <n v="0"/>
    <n v="0"/>
    <x v="0"/>
    <x v="0"/>
    <x v="0"/>
    <x v="2"/>
    <x v="1"/>
  </r>
  <r>
    <n v="938"/>
    <x v="0"/>
    <x v="1"/>
    <s v="N"/>
    <n v="44730"/>
    <n v="79"/>
    <n v="-58"/>
    <n v="-49"/>
    <x v="0"/>
    <x v="0"/>
    <n v="0"/>
    <n v="0"/>
    <n v="0"/>
    <n v="0"/>
    <n v="0"/>
    <n v="0"/>
    <n v="0"/>
    <n v="0"/>
    <n v="0"/>
    <x v="0"/>
    <x v="0"/>
    <x v="0"/>
    <x v="0"/>
    <x v="0"/>
  </r>
  <r>
    <n v="939"/>
    <x v="0"/>
    <x v="0"/>
    <s v="N"/>
    <n v="25510"/>
    <n v="60"/>
    <n v="-75"/>
    <n v="-60"/>
    <x v="0"/>
    <x v="0"/>
    <n v="0"/>
    <n v="0"/>
    <n v="0"/>
    <n v="0"/>
    <n v="0"/>
    <n v="0"/>
    <n v="0"/>
    <n v="0"/>
    <n v="0"/>
    <x v="0"/>
    <x v="0"/>
    <x v="0"/>
    <x v="0"/>
    <x v="0"/>
  </r>
  <r>
    <n v="940"/>
    <x v="0"/>
    <x v="0"/>
    <s v="N"/>
    <n v="13960"/>
    <n v="36"/>
    <n v="-85"/>
    <n v="-74"/>
    <x v="0"/>
    <x v="0"/>
    <n v="0"/>
    <n v="0"/>
    <n v="0"/>
    <n v="0"/>
    <n v="0"/>
    <n v="0"/>
    <n v="0"/>
    <n v="0"/>
    <n v="0"/>
    <x v="0"/>
    <x v="0"/>
    <x v="0"/>
    <x v="0"/>
    <x v="0"/>
  </r>
  <r>
    <n v="941"/>
    <x v="0"/>
    <x v="0"/>
    <s v="N"/>
    <n v="4760"/>
    <n v="35"/>
    <n v="-94"/>
    <n v="-73"/>
    <x v="0"/>
    <x v="0"/>
    <n v="0"/>
    <n v="0"/>
    <n v="0"/>
    <n v="0"/>
    <n v="0"/>
    <n v="0"/>
    <n v="0"/>
    <n v="0"/>
    <n v="0"/>
    <x v="0"/>
    <x v="0"/>
    <x v="0"/>
    <x v="1"/>
    <x v="0"/>
  </r>
  <r>
    <n v="942"/>
    <x v="0"/>
    <x v="0"/>
    <s v="N"/>
    <n v="4790"/>
    <n v="21"/>
    <n v="-94"/>
    <n v="-82"/>
    <x v="0"/>
    <x v="0"/>
    <n v="0"/>
    <n v="0"/>
    <n v="0"/>
    <n v="0"/>
    <n v="0"/>
    <n v="0"/>
    <n v="0"/>
    <n v="0"/>
    <n v="0"/>
    <x v="0"/>
    <x v="0"/>
    <x v="0"/>
    <x v="1"/>
    <x v="0"/>
  </r>
  <r>
    <n v="943"/>
    <x v="0"/>
    <x v="0"/>
    <s v="N"/>
    <n v="9550"/>
    <n v="24"/>
    <n v="-86"/>
    <n v="-77"/>
    <x v="0"/>
    <x v="0"/>
    <n v="0"/>
    <n v="0"/>
    <n v="0"/>
    <n v="0"/>
    <n v="0"/>
    <n v="0"/>
    <n v="0"/>
    <n v="0"/>
    <n v="0"/>
    <x v="0"/>
    <x v="0"/>
    <x v="0"/>
    <x v="1"/>
    <x v="0"/>
  </r>
  <r>
    <n v="944"/>
    <x v="0"/>
    <x v="0"/>
    <s v="N"/>
    <n v="10100"/>
    <n v="23"/>
    <n v="-82"/>
    <n v="-75"/>
    <x v="0"/>
    <x v="0"/>
    <n v="0"/>
    <n v="0"/>
    <n v="0"/>
    <n v="0"/>
    <n v="0"/>
    <n v="0"/>
    <n v="0"/>
    <n v="0"/>
    <n v="0"/>
    <x v="0"/>
    <x v="0"/>
    <x v="0"/>
    <x v="0"/>
    <x v="0"/>
  </r>
  <r>
    <n v="945"/>
    <x v="0"/>
    <x v="0"/>
    <s v="N"/>
    <n v="11620"/>
    <n v="23"/>
    <n v="-76"/>
    <n v="-71"/>
    <x v="0"/>
    <x v="0"/>
    <n v="0"/>
    <n v="0"/>
    <n v="0"/>
    <n v="0"/>
    <n v="0"/>
    <n v="0"/>
    <n v="0"/>
    <n v="0"/>
    <n v="0"/>
    <x v="0"/>
    <x v="0"/>
    <x v="0"/>
    <x v="0"/>
    <x v="0"/>
  </r>
  <r>
    <n v="946"/>
    <x v="0"/>
    <x v="0"/>
    <s v="N"/>
    <n v="6910"/>
    <n v="25"/>
    <n v="-85"/>
    <n v="-66"/>
    <x v="0"/>
    <x v="0"/>
    <n v="0"/>
    <n v="0"/>
    <n v="0"/>
    <n v="0"/>
    <n v="0"/>
    <n v="0"/>
    <n v="0"/>
    <n v="0"/>
    <n v="0"/>
    <x v="0"/>
    <x v="0"/>
    <x v="0"/>
    <x v="1"/>
    <x v="0"/>
  </r>
  <r>
    <n v="947"/>
    <x v="0"/>
    <x v="0"/>
    <s v="N"/>
    <n v="8960"/>
    <n v="28"/>
    <n v="-71"/>
    <n v="-51"/>
    <x v="0"/>
    <x v="0"/>
    <n v="0"/>
    <n v="0"/>
    <n v="0"/>
    <n v="0"/>
    <n v="0"/>
    <n v="0"/>
    <n v="0"/>
    <n v="0"/>
    <n v="0"/>
    <x v="0"/>
    <x v="0"/>
    <x v="0"/>
    <x v="1"/>
    <x v="0"/>
  </r>
  <r>
    <n v="948"/>
    <x v="0"/>
    <x v="0"/>
    <s v="N"/>
    <n v="12760"/>
    <n v="26"/>
    <n v="-9"/>
    <n v="-35"/>
    <x v="0"/>
    <x v="0"/>
    <n v="0"/>
    <n v="0"/>
    <n v="0"/>
    <n v="0"/>
    <n v="0"/>
    <n v="0"/>
    <n v="0"/>
    <n v="0"/>
    <n v="0"/>
    <x v="0"/>
    <x v="0"/>
    <x v="0"/>
    <x v="0"/>
    <x v="0"/>
  </r>
  <r>
    <n v="949"/>
    <x v="0"/>
    <x v="0"/>
    <s v="N"/>
    <n v="12620"/>
    <n v="37"/>
    <n v="16"/>
    <n v="-8"/>
    <x v="0"/>
    <x v="0"/>
    <n v="0"/>
    <n v="0"/>
    <n v="0"/>
    <n v="0"/>
    <n v="0"/>
    <n v="0"/>
    <n v="0"/>
    <n v="0"/>
    <n v="0"/>
    <x v="0"/>
    <x v="0"/>
    <x v="0"/>
    <x v="0"/>
    <x v="0"/>
  </r>
  <r>
    <n v="950"/>
    <x v="0"/>
    <x v="0"/>
    <s v="N"/>
    <n v="7400"/>
    <n v="24"/>
    <n v="-23"/>
    <n v="-40"/>
    <x v="0"/>
    <x v="0"/>
    <n v="0"/>
    <n v="0"/>
    <n v="0"/>
    <n v="0"/>
    <n v="0"/>
    <n v="0"/>
    <n v="0"/>
    <n v="0"/>
    <n v="0"/>
    <x v="0"/>
    <x v="0"/>
    <x v="0"/>
    <x v="1"/>
    <x v="0"/>
  </r>
  <r>
    <n v="951"/>
    <x v="0"/>
    <x v="0"/>
    <s v="N"/>
    <n v="9070"/>
    <n v="28"/>
    <n v="1"/>
    <n v="-30"/>
    <x v="0"/>
    <x v="0"/>
    <n v="0"/>
    <n v="0"/>
    <n v="0"/>
    <n v="0"/>
    <n v="0"/>
    <n v="0"/>
    <n v="0"/>
    <n v="0"/>
    <n v="0"/>
    <x v="0"/>
    <x v="0"/>
    <x v="0"/>
    <x v="1"/>
    <x v="0"/>
  </r>
  <r>
    <n v="952"/>
    <x v="0"/>
    <x v="0"/>
    <s v="N"/>
    <n v="18250"/>
    <n v="67"/>
    <n v="95"/>
    <n v="68"/>
    <x v="0"/>
    <x v="0"/>
    <n v="0"/>
    <n v="0"/>
    <n v="0"/>
    <n v="0"/>
    <n v="0"/>
    <n v="0"/>
    <n v="0"/>
    <n v="0"/>
    <n v="0"/>
    <x v="0"/>
    <x v="0"/>
    <x v="0"/>
    <x v="0"/>
    <x v="0"/>
  </r>
  <r>
    <n v="953"/>
    <x v="0"/>
    <x v="0"/>
    <s v="N"/>
    <n v="11190"/>
    <n v="27"/>
    <n v="4"/>
    <n v="-32"/>
    <x v="0"/>
    <x v="0"/>
    <n v="0"/>
    <n v="0"/>
    <n v="0"/>
    <n v="0"/>
    <n v="0"/>
    <n v="0"/>
    <n v="0"/>
    <n v="0"/>
    <n v="0"/>
    <x v="0"/>
    <x v="0"/>
    <x v="0"/>
    <x v="0"/>
    <x v="0"/>
  </r>
  <r>
    <n v="954"/>
    <x v="0"/>
    <x v="1"/>
    <s v="N"/>
    <n v="10760"/>
    <n v="28"/>
    <n v="-1"/>
    <n v="-30"/>
    <x v="0"/>
    <x v="0"/>
    <n v="0"/>
    <n v="0"/>
    <n v="0"/>
    <n v="0"/>
    <n v="0"/>
    <n v="0"/>
    <n v="0"/>
    <n v="0"/>
    <n v="0"/>
    <x v="0"/>
    <x v="0"/>
    <x v="0"/>
    <x v="0"/>
    <x v="0"/>
  </r>
  <r>
    <n v="955"/>
    <x v="0"/>
    <x v="1"/>
    <s v="N"/>
    <n v="11230"/>
    <n v="27"/>
    <n v="2"/>
    <n v="-32"/>
    <x v="0"/>
    <x v="0"/>
    <n v="0"/>
    <n v="0"/>
    <n v="0"/>
    <n v="0"/>
    <n v="0"/>
    <n v="0"/>
    <n v="0"/>
    <n v="0"/>
    <n v="0"/>
    <x v="0"/>
    <x v="0"/>
    <x v="0"/>
    <x v="0"/>
    <x v="0"/>
  </r>
  <r>
    <n v="956"/>
    <x v="0"/>
    <x v="1"/>
    <s v="N"/>
    <n v="12430"/>
    <n v="32"/>
    <n v="14"/>
    <n v="-20"/>
    <x v="0"/>
    <x v="0"/>
    <n v="0"/>
    <n v="0"/>
    <n v="0"/>
    <n v="0"/>
    <n v="0"/>
    <n v="0"/>
    <n v="0"/>
    <n v="0"/>
    <n v="0"/>
    <x v="0"/>
    <x v="0"/>
    <x v="0"/>
    <x v="0"/>
    <x v="0"/>
  </r>
  <r>
    <n v="957"/>
    <x v="0"/>
    <x v="1"/>
    <s v="N"/>
    <n v="13080"/>
    <n v="42"/>
    <n v="14"/>
    <n v="5"/>
    <x v="0"/>
    <x v="0"/>
    <n v="0"/>
    <n v="0"/>
    <n v="0"/>
    <n v="0"/>
    <n v="0"/>
    <n v="0"/>
    <n v="0"/>
    <n v="0"/>
    <n v="0"/>
    <x v="0"/>
    <x v="0"/>
    <x v="0"/>
    <x v="0"/>
    <x v="0"/>
  </r>
  <r>
    <n v="958"/>
    <x v="0"/>
    <x v="1"/>
    <s v="N"/>
    <n v="14670"/>
    <n v="44"/>
    <n v="23"/>
    <n v="10"/>
    <x v="0"/>
    <x v="0"/>
    <n v="0"/>
    <n v="0"/>
    <n v="0"/>
    <n v="0"/>
    <n v="0"/>
    <n v="0"/>
    <n v="0"/>
    <n v="0"/>
    <n v="0"/>
    <x v="0"/>
    <x v="0"/>
    <x v="0"/>
    <x v="0"/>
    <x v="0"/>
  </r>
  <r>
    <n v="959"/>
    <x v="0"/>
    <x v="1"/>
    <s v="N"/>
    <n v="8110"/>
    <n v="29"/>
    <n v="-33"/>
    <n v="-28"/>
    <x v="0"/>
    <x v="0"/>
    <n v="0"/>
    <n v="0"/>
    <n v="0"/>
    <n v="0"/>
    <n v="0"/>
    <n v="0"/>
    <n v="0"/>
    <n v="0"/>
    <n v="0"/>
    <x v="0"/>
    <x v="0"/>
    <x v="0"/>
    <x v="1"/>
    <x v="0"/>
  </r>
  <r>
    <n v="960"/>
    <x v="0"/>
    <x v="1"/>
    <s v="N"/>
    <n v="9350"/>
    <n v="44"/>
    <n v="-20"/>
    <n v="10"/>
    <x v="0"/>
    <x v="0"/>
    <n v="0"/>
    <n v="0"/>
    <n v="0"/>
    <n v="0"/>
    <n v="0"/>
    <n v="0"/>
    <n v="0"/>
    <n v="0"/>
    <n v="0"/>
    <x v="0"/>
    <x v="0"/>
    <x v="0"/>
    <x v="1"/>
    <x v="0"/>
  </r>
  <r>
    <n v="961"/>
    <x v="0"/>
    <x v="1"/>
    <s v="N"/>
    <n v="11500"/>
    <n v="30"/>
    <n v="-3"/>
    <n v="-25"/>
    <x v="0"/>
    <x v="0"/>
    <n v="0"/>
    <n v="0"/>
    <n v="0"/>
    <n v="0"/>
    <n v="0"/>
    <n v="0"/>
    <n v="0"/>
    <n v="0"/>
    <n v="0"/>
    <x v="0"/>
    <x v="0"/>
    <x v="0"/>
    <x v="0"/>
    <x v="0"/>
  </r>
  <r>
    <n v="962"/>
    <x v="0"/>
    <x v="1"/>
    <s v="N"/>
    <n v="7990"/>
    <n v="20"/>
    <n v="-34"/>
    <n v="-50"/>
    <x v="0"/>
    <x v="0"/>
    <n v="0"/>
    <n v="0"/>
    <n v="0"/>
    <n v="0"/>
    <n v="0"/>
    <n v="0"/>
    <n v="0"/>
    <n v="0"/>
    <n v="0"/>
    <x v="0"/>
    <x v="0"/>
    <x v="0"/>
    <x v="1"/>
    <x v="0"/>
  </r>
  <r>
    <n v="963"/>
    <x v="0"/>
    <x v="0"/>
    <s v="N"/>
    <n v="7590"/>
    <n v="20"/>
    <n v="-31"/>
    <n v="-50"/>
    <x v="0"/>
    <x v="0"/>
    <n v="0"/>
    <n v="0"/>
    <n v="0"/>
    <n v="0"/>
    <n v="0"/>
    <n v="0"/>
    <n v="0"/>
    <n v="0"/>
    <n v="0"/>
    <x v="0"/>
    <x v="0"/>
    <x v="0"/>
    <x v="1"/>
    <x v="0"/>
  </r>
  <r>
    <n v="964"/>
    <x v="0"/>
    <x v="0"/>
    <s v="N"/>
    <n v="6760"/>
    <n v="24"/>
    <n v="-37"/>
    <n v="-40"/>
    <x v="0"/>
    <x v="0"/>
    <n v="0"/>
    <n v="0"/>
    <n v="0"/>
    <n v="0"/>
    <n v="0"/>
    <n v="0"/>
    <n v="0"/>
    <n v="0"/>
    <n v="0"/>
    <x v="0"/>
    <x v="0"/>
    <x v="0"/>
    <x v="1"/>
    <x v="0"/>
  </r>
  <r>
    <n v="965"/>
    <x v="0"/>
    <x v="0"/>
    <s v="N"/>
    <n v="6460"/>
    <n v="27"/>
    <n v="-37"/>
    <n v="-32"/>
    <x v="0"/>
    <x v="0"/>
    <n v="0"/>
    <n v="0"/>
    <n v="0"/>
    <n v="0"/>
    <n v="0"/>
    <n v="0"/>
    <n v="0"/>
    <n v="0"/>
    <n v="0"/>
    <x v="0"/>
    <x v="0"/>
    <x v="0"/>
    <x v="1"/>
    <x v="0"/>
  </r>
  <r>
    <n v="966"/>
    <x v="0"/>
    <x v="0"/>
    <s v="N"/>
    <n v="19260"/>
    <n v="53"/>
    <n v="97"/>
    <n v="32"/>
    <x v="0"/>
    <x v="0"/>
    <n v="0"/>
    <n v="0"/>
    <n v="0"/>
    <n v="0"/>
    <n v="0"/>
    <n v="0"/>
    <n v="0"/>
    <n v="0"/>
    <n v="0"/>
    <x v="0"/>
    <x v="0"/>
    <x v="0"/>
    <x v="0"/>
    <x v="0"/>
  </r>
  <r>
    <n v="967"/>
    <x v="0"/>
    <x v="0"/>
    <s v="N"/>
    <n v="14810"/>
    <n v="45"/>
    <n v="41"/>
    <n v="12"/>
    <x v="0"/>
    <x v="0"/>
    <n v="0"/>
    <n v="0"/>
    <n v="0"/>
    <n v="0"/>
    <n v="0"/>
    <n v="0"/>
    <n v="0"/>
    <n v="0"/>
    <n v="0"/>
    <x v="0"/>
    <x v="0"/>
    <x v="0"/>
    <x v="0"/>
    <x v="0"/>
  </r>
  <r>
    <n v="968"/>
    <x v="0"/>
    <x v="1"/>
    <s v="N"/>
    <n v="20020"/>
    <n v="49"/>
    <n v="88"/>
    <n v="22"/>
    <x v="1"/>
    <x v="0"/>
    <n v="0"/>
    <n v="0"/>
    <n v="0"/>
    <n v="0"/>
    <n v="0"/>
    <n v="0"/>
    <n v="0"/>
    <n v="0"/>
    <n v="0"/>
    <x v="0"/>
    <x v="0"/>
    <x v="0"/>
    <x v="0"/>
    <x v="0"/>
  </r>
  <r>
    <n v="969"/>
    <x v="0"/>
    <x v="1"/>
    <s v="N"/>
    <n v="11400"/>
    <n v="50"/>
    <n v="14"/>
    <n v="0"/>
    <x v="1"/>
    <x v="0"/>
    <n v="0"/>
    <n v="0"/>
    <n v="0"/>
    <n v="0"/>
    <n v="0"/>
    <n v="0"/>
    <n v="0"/>
    <n v="0"/>
    <n v="0"/>
    <x v="0"/>
    <x v="0"/>
    <x v="0"/>
    <x v="0"/>
    <x v="0"/>
  </r>
  <r>
    <n v="970"/>
    <x v="0"/>
    <x v="1"/>
    <s v="N"/>
    <n v="11500"/>
    <n v="35"/>
    <n v="13"/>
    <n v="-30"/>
    <x v="1"/>
    <x v="0"/>
    <n v="0"/>
    <n v="0"/>
    <n v="0"/>
    <n v="0"/>
    <n v="0"/>
    <n v="0"/>
    <n v="0"/>
    <n v="0"/>
    <n v="0"/>
    <x v="0"/>
    <x v="0"/>
    <x v="0"/>
    <x v="0"/>
    <x v="0"/>
  </r>
  <r>
    <n v="971"/>
    <x v="0"/>
    <x v="1"/>
    <s v="N"/>
    <n v="5250"/>
    <n v="66"/>
    <n v="-49"/>
    <n v="36"/>
    <x v="0"/>
    <x v="0"/>
    <n v="0"/>
    <n v="0"/>
    <n v="0"/>
    <n v="0"/>
    <n v="0"/>
    <n v="0"/>
    <n v="0"/>
    <n v="0"/>
    <n v="0"/>
    <x v="0"/>
    <x v="0"/>
    <x v="0"/>
    <x v="1"/>
    <x v="0"/>
  </r>
  <r>
    <n v="972"/>
    <x v="0"/>
    <x v="1"/>
    <s v="N"/>
    <n v="19420"/>
    <n v="60"/>
    <n v="98"/>
    <n v="20"/>
    <x v="0"/>
    <x v="0"/>
    <n v="0"/>
    <n v="0"/>
    <n v="0"/>
    <n v="0"/>
    <n v="0"/>
    <n v="0"/>
    <n v="0"/>
    <n v="0"/>
    <n v="0"/>
    <x v="0"/>
    <x v="0"/>
    <x v="0"/>
    <x v="0"/>
    <x v="0"/>
  </r>
  <r>
    <n v="973"/>
    <x v="0"/>
    <x v="1"/>
    <s v="N"/>
    <n v="5250"/>
    <n v="66"/>
    <n v="-49"/>
    <n v="36"/>
    <x v="0"/>
    <x v="0"/>
    <n v="0"/>
    <n v="0"/>
    <n v="0"/>
    <n v="0"/>
    <n v="0"/>
    <n v="0"/>
    <n v="0"/>
    <n v="0"/>
    <n v="0"/>
    <x v="0"/>
    <x v="0"/>
    <x v="0"/>
    <x v="1"/>
    <x v="0"/>
  </r>
  <r>
    <n v="974"/>
    <x v="0"/>
    <x v="1"/>
    <s v="N"/>
    <n v="19420"/>
    <n v="60"/>
    <n v="98"/>
    <n v="20"/>
    <x v="0"/>
    <x v="0"/>
    <n v="0"/>
    <n v="0"/>
    <n v="0"/>
    <n v="0"/>
    <n v="0"/>
    <n v="0"/>
    <n v="0"/>
    <n v="0"/>
    <n v="0"/>
    <x v="0"/>
    <x v="0"/>
    <x v="0"/>
    <x v="0"/>
    <x v="0"/>
  </r>
  <r>
    <n v="975"/>
    <x v="0"/>
    <x v="1"/>
    <s v="N"/>
    <n v="20060"/>
    <n v="57"/>
    <n v="87"/>
    <n v="12"/>
    <x v="0"/>
    <x v="0"/>
    <n v="0"/>
    <n v="0"/>
    <n v="0"/>
    <n v="0"/>
    <n v="0"/>
    <n v="0"/>
    <n v="0"/>
    <n v="0"/>
    <n v="0"/>
    <x v="0"/>
    <x v="0"/>
    <x v="0"/>
    <x v="0"/>
    <x v="0"/>
  </r>
  <r>
    <n v="976"/>
    <x v="0"/>
    <x v="1"/>
    <s v="N"/>
    <n v="7970"/>
    <n v="44"/>
    <n v="-32"/>
    <n v="-15"/>
    <x v="0"/>
    <x v="0"/>
    <n v="0"/>
    <n v="0"/>
    <n v="0"/>
    <n v="0"/>
    <n v="0"/>
    <n v="0"/>
    <n v="0"/>
    <n v="0"/>
    <n v="0"/>
    <x v="0"/>
    <x v="0"/>
    <x v="0"/>
    <x v="1"/>
    <x v="0"/>
  </r>
  <r>
    <n v="977"/>
    <x v="0"/>
    <x v="0"/>
    <s v="N"/>
    <n v="10330"/>
    <n v="35"/>
    <n v="-11"/>
    <n v="-32"/>
    <x v="0"/>
    <x v="0"/>
    <n v="0"/>
    <n v="0"/>
    <n v="0"/>
    <n v="0"/>
    <n v="0"/>
    <n v="0"/>
    <n v="0"/>
    <n v="0"/>
    <n v="0"/>
    <x v="0"/>
    <x v="0"/>
    <x v="0"/>
    <x v="0"/>
    <x v="0"/>
  </r>
  <r>
    <n v="978"/>
    <x v="0"/>
    <x v="0"/>
    <s v="N"/>
    <n v="18600"/>
    <n v="29"/>
    <n v="60"/>
    <n v="-42"/>
    <x v="0"/>
    <x v="0"/>
    <n v="0"/>
    <n v="0"/>
    <n v="0"/>
    <n v="0"/>
    <n v="0"/>
    <n v="0"/>
    <n v="0"/>
    <n v="0"/>
    <n v="0"/>
    <x v="0"/>
    <x v="0"/>
    <x v="0"/>
    <x v="0"/>
    <x v="0"/>
  </r>
  <r>
    <n v="979"/>
    <x v="0"/>
    <x v="0"/>
    <s v="N"/>
    <n v="4120"/>
    <n v="23"/>
    <n v="-67"/>
    <n v="-52"/>
    <x v="0"/>
    <x v="0"/>
    <n v="0"/>
    <n v="0"/>
    <n v="0"/>
    <n v="0"/>
    <n v="0"/>
    <n v="0"/>
    <n v="0"/>
    <n v="0"/>
    <n v="0"/>
    <x v="0"/>
    <x v="0"/>
    <x v="0"/>
    <x v="1"/>
    <x v="0"/>
  </r>
  <r>
    <n v="980"/>
    <x v="0"/>
    <x v="0"/>
    <s v="N"/>
    <n v="6790"/>
    <n v="17"/>
    <n v="-43"/>
    <n v="-62"/>
    <x v="0"/>
    <x v="0"/>
    <n v="0"/>
    <n v="0"/>
    <n v="0"/>
    <n v="0"/>
    <n v="0"/>
    <n v="0"/>
    <n v="0"/>
    <n v="0"/>
    <n v="0"/>
    <x v="0"/>
    <x v="0"/>
    <x v="0"/>
    <x v="1"/>
    <x v="0"/>
  </r>
  <r>
    <n v="981"/>
    <x v="0"/>
    <x v="0"/>
    <s v="N"/>
    <n v="4910"/>
    <n v="25"/>
    <n v="-58"/>
    <n v="-40"/>
    <x v="0"/>
    <x v="0"/>
    <n v="0"/>
    <n v="0"/>
    <n v="0"/>
    <n v="0"/>
    <n v="0"/>
    <n v="0"/>
    <n v="0"/>
    <n v="0"/>
    <n v="0"/>
    <x v="0"/>
    <x v="0"/>
    <x v="0"/>
    <x v="1"/>
    <x v="0"/>
  </r>
  <r>
    <n v="982"/>
    <x v="0"/>
    <x v="0"/>
    <s v="N"/>
    <n v="16410"/>
    <n v="32"/>
    <n v="51"/>
    <n v="-20"/>
    <x v="0"/>
    <x v="0"/>
    <n v="0"/>
    <n v="0"/>
    <n v="0"/>
    <n v="0"/>
    <n v="0"/>
    <n v="0"/>
    <n v="0"/>
    <n v="0"/>
    <n v="0"/>
    <x v="0"/>
    <x v="0"/>
    <x v="0"/>
    <x v="0"/>
    <x v="0"/>
  </r>
  <r>
    <n v="983"/>
    <x v="0"/>
    <x v="0"/>
    <s v="N"/>
    <n v="8280"/>
    <n v="30"/>
    <n v="-27"/>
    <n v="-25"/>
    <x v="0"/>
    <x v="0"/>
    <n v="0"/>
    <n v="0"/>
    <n v="0"/>
    <n v="0"/>
    <n v="0"/>
    <n v="0"/>
    <n v="0"/>
    <n v="0"/>
    <n v="0"/>
    <x v="0"/>
    <x v="0"/>
    <x v="0"/>
    <x v="1"/>
    <x v="0"/>
  </r>
  <r>
    <n v="984"/>
    <x v="0"/>
    <x v="0"/>
    <s v="N"/>
    <n v="3610"/>
    <n v="16"/>
    <n v="-69"/>
    <n v="-60"/>
    <x v="0"/>
    <x v="0"/>
    <n v="0"/>
    <n v="0"/>
    <n v="0"/>
    <n v="0"/>
    <n v="0"/>
    <n v="0"/>
    <n v="0"/>
    <n v="0"/>
    <n v="0"/>
    <x v="0"/>
    <x v="0"/>
    <x v="0"/>
    <x v="1"/>
    <x v="0"/>
  </r>
  <r>
    <n v="985"/>
    <x v="0"/>
    <x v="0"/>
    <s v="N"/>
    <n v="3410"/>
    <n v="16"/>
    <n v="-66"/>
    <n v="-60"/>
    <x v="0"/>
    <x v="0"/>
    <n v="0"/>
    <n v="0"/>
    <n v="0"/>
    <n v="0"/>
    <n v="0"/>
    <n v="0"/>
    <n v="0"/>
    <n v="0"/>
    <n v="0"/>
    <x v="0"/>
    <x v="0"/>
    <x v="0"/>
    <x v="1"/>
    <x v="0"/>
  </r>
  <r>
    <n v="986"/>
    <x v="0"/>
    <x v="0"/>
    <s v="N"/>
    <n v="7400"/>
    <n v="25"/>
    <n v="-12"/>
    <n v="-38"/>
    <x v="0"/>
    <x v="0"/>
    <n v="0"/>
    <n v="0"/>
    <n v="0"/>
    <n v="0"/>
    <n v="0"/>
    <n v="0"/>
    <n v="0"/>
    <n v="0"/>
    <n v="0"/>
    <x v="0"/>
    <x v="0"/>
    <x v="0"/>
    <x v="1"/>
    <x v="0"/>
  </r>
  <r>
    <n v="987"/>
    <x v="0"/>
    <x v="0"/>
    <s v="N"/>
    <n v="6650"/>
    <n v="27"/>
    <n v="-21"/>
    <n v="-32"/>
    <x v="0"/>
    <x v="0"/>
    <n v="0"/>
    <n v="0"/>
    <n v="0"/>
    <n v="0"/>
    <n v="0"/>
    <n v="0"/>
    <n v="0"/>
    <n v="0"/>
    <n v="0"/>
    <x v="0"/>
    <x v="0"/>
    <x v="0"/>
    <x v="1"/>
    <x v="0"/>
  </r>
  <r>
    <n v="988"/>
    <x v="0"/>
    <x v="0"/>
    <s v="N"/>
    <n v="5930"/>
    <n v="31"/>
    <n v="-26"/>
    <n v="-22"/>
    <x v="0"/>
    <x v="0"/>
    <n v="0"/>
    <n v="0"/>
    <n v="0"/>
    <n v="0"/>
    <n v="0"/>
    <n v="0"/>
    <n v="0"/>
    <n v="0"/>
    <n v="0"/>
    <x v="0"/>
    <x v="0"/>
    <x v="0"/>
    <x v="1"/>
    <x v="0"/>
  </r>
  <r>
    <n v="989"/>
    <x v="0"/>
    <x v="0"/>
    <s v="N"/>
    <n v="7530"/>
    <n v="32"/>
    <n v="12"/>
    <n v="-20"/>
    <x v="0"/>
    <x v="0"/>
    <n v="0"/>
    <n v="0"/>
    <n v="0"/>
    <n v="0"/>
    <n v="0"/>
    <n v="0"/>
    <n v="0"/>
    <n v="0"/>
    <n v="0"/>
    <x v="0"/>
    <x v="0"/>
    <x v="0"/>
    <x v="1"/>
    <x v="0"/>
  </r>
  <r>
    <n v="990"/>
    <x v="0"/>
    <x v="0"/>
    <s v="N"/>
    <n v="5170"/>
    <n v="19"/>
    <n v="-27"/>
    <n v="-52"/>
    <x v="0"/>
    <x v="0"/>
    <n v="0"/>
    <n v="0"/>
    <n v="0"/>
    <n v="0"/>
    <n v="0"/>
    <n v="0"/>
    <n v="0"/>
    <n v="0"/>
    <n v="0"/>
    <x v="0"/>
    <x v="0"/>
    <x v="0"/>
    <x v="1"/>
    <x v="0"/>
  </r>
  <r>
    <n v="991"/>
    <x v="0"/>
    <x v="0"/>
    <s v="N"/>
    <n v="3760"/>
    <n v="22"/>
    <n v="-46"/>
    <n v="-45"/>
    <x v="0"/>
    <x v="0"/>
    <n v="0"/>
    <n v="0"/>
    <n v="0"/>
    <n v="0"/>
    <n v="0"/>
    <n v="0"/>
    <n v="0"/>
    <n v="0"/>
    <n v="0"/>
    <x v="0"/>
    <x v="0"/>
    <x v="0"/>
    <x v="1"/>
    <x v="0"/>
  </r>
  <r>
    <n v="992"/>
    <x v="0"/>
    <x v="0"/>
    <s v="N"/>
    <n v="1160"/>
    <n v="20"/>
    <n v="-83"/>
    <n v="-50"/>
    <x v="0"/>
    <x v="0"/>
    <n v="0"/>
    <n v="0"/>
    <n v="0"/>
    <n v="0"/>
    <n v="0"/>
    <n v="0"/>
    <n v="0"/>
    <n v="0"/>
    <n v="0"/>
    <x v="0"/>
    <x v="0"/>
    <x v="0"/>
    <x v="1"/>
    <x v="0"/>
  </r>
  <r>
    <n v="993"/>
    <x v="0"/>
    <x v="0"/>
    <s v="N"/>
    <n v="5400"/>
    <n v="39"/>
    <n v="2"/>
    <n v="-2"/>
    <x v="0"/>
    <x v="0"/>
    <n v="0"/>
    <n v="0"/>
    <n v="0"/>
    <n v="0"/>
    <n v="0"/>
    <n v="0"/>
    <n v="0"/>
    <n v="0"/>
    <n v="0"/>
    <x v="0"/>
    <x v="0"/>
    <x v="0"/>
    <x v="1"/>
    <x v="0"/>
  </r>
  <r>
    <n v="994"/>
    <x v="0"/>
    <x v="0"/>
    <s v="N"/>
    <n v="1270"/>
    <n v="9"/>
    <n v="-75"/>
    <n v="-78"/>
    <x v="0"/>
    <x v="0"/>
    <n v="0"/>
    <n v="0"/>
    <n v="0"/>
    <n v="0"/>
    <n v="0"/>
    <n v="0"/>
    <n v="0"/>
    <n v="0"/>
    <n v="0"/>
    <x v="0"/>
    <x v="0"/>
    <x v="0"/>
    <x v="1"/>
    <x v="0"/>
  </r>
  <r>
    <n v="995"/>
    <x v="0"/>
    <x v="0"/>
    <s v="N"/>
    <n v="2870"/>
    <n v="22"/>
    <n v="-40"/>
    <n v="-45"/>
    <x v="0"/>
    <x v="0"/>
    <n v="0"/>
    <n v="0"/>
    <n v="0"/>
    <n v="0"/>
    <n v="0"/>
    <n v="0"/>
    <n v="0"/>
    <n v="0"/>
    <n v="0"/>
    <x v="0"/>
    <x v="0"/>
    <x v="0"/>
    <x v="1"/>
    <x v="0"/>
  </r>
  <r>
    <n v="996"/>
    <x v="0"/>
    <x v="0"/>
    <s v="N"/>
    <n v="1600"/>
    <n v="11"/>
    <n v="-66"/>
    <n v="-72"/>
    <x v="0"/>
    <x v="0"/>
    <n v="0"/>
    <n v="0"/>
    <n v="0"/>
    <n v="0"/>
    <n v="0"/>
    <n v="0"/>
    <n v="0"/>
    <n v="0"/>
    <n v="0"/>
    <x v="0"/>
    <x v="0"/>
    <x v="0"/>
    <x v="1"/>
    <x v="0"/>
  </r>
  <r>
    <n v="997"/>
    <x v="0"/>
    <x v="0"/>
    <s v="N"/>
    <n v="2720"/>
    <n v="23"/>
    <n v="-34"/>
    <n v="-42"/>
    <x v="0"/>
    <x v="0"/>
    <n v="0"/>
    <n v="0"/>
    <n v="0"/>
    <n v="0"/>
    <n v="0"/>
    <n v="0"/>
    <n v="0"/>
    <n v="0"/>
    <n v="0"/>
    <x v="0"/>
    <x v="0"/>
    <x v="0"/>
    <x v="1"/>
    <x v="0"/>
  </r>
  <r>
    <n v="998"/>
    <x v="0"/>
    <x v="0"/>
    <s v="N"/>
    <n v="4310"/>
    <n v="29"/>
    <n v="15"/>
    <n v="-28"/>
    <x v="0"/>
    <x v="0"/>
    <n v="0"/>
    <n v="0"/>
    <n v="0"/>
    <n v="0"/>
    <n v="0"/>
    <n v="0"/>
    <n v="0"/>
    <n v="0"/>
    <n v="0"/>
    <x v="0"/>
    <x v="0"/>
    <x v="0"/>
    <x v="1"/>
    <x v="0"/>
  </r>
  <r>
    <n v="999"/>
    <x v="0"/>
    <x v="0"/>
    <s v="N"/>
    <n v="4240"/>
    <n v="25"/>
    <n v="19"/>
    <n v="-38"/>
    <x v="0"/>
    <x v="0"/>
    <n v="0"/>
    <n v="0"/>
    <n v="0"/>
    <n v="0"/>
    <n v="0"/>
    <n v="0"/>
    <n v="0"/>
    <n v="0"/>
    <n v="0"/>
    <x v="0"/>
    <x v="0"/>
    <x v="0"/>
    <x v="1"/>
    <x v="0"/>
  </r>
  <r>
    <n v="1000"/>
    <x v="0"/>
    <x v="0"/>
    <s v="N"/>
    <n v="3420"/>
    <n v="14"/>
    <n v="5"/>
    <n v="-65"/>
    <x v="0"/>
    <x v="0"/>
    <n v="0"/>
    <n v="0"/>
    <n v="0"/>
    <n v="0"/>
    <n v="0"/>
    <n v="0"/>
    <n v="0"/>
    <n v="0"/>
    <n v="0"/>
    <x v="0"/>
    <x v="0"/>
    <x v="0"/>
    <x v="1"/>
    <x v="0"/>
  </r>
  <r>
    <n v="1001"/>
    <x v="0"/>
    <x v="0"/>
    <s v="N"/>
    <n v="2910"/>
    <n v="24"/>
    <n v="-5"/>
    <n v="-40"/>
    <x v="0"/>
    <x v="0"/>
    <n v="0"/>
    <n v="0"/>
    <n v="0"/>
    <n v="0"/>
    <n v="0"/>
    <n v="0"/>
    <n v="0"/>
    <n v="0"/>
    <n v="0"/>
    <x v="0"/>
    <x v="0"/>
    <x v="0"/>
    <x v="1"/>
    <x v="0"/>
  </r>
  <r>
    <n v="1002"/>
    <x v="0"/>
    <x v="0"/>
    <s v="N"/>
    <n v="1560"/>
    <n v="15"/>
    <n v="-48"/>
    <n v="-62"/>
    <x v="0"/>
    <x v="0"/>
    <n v="0"/>
    <n v="0"/>
    <n v="0"/>
    <n v="0"/>
    <n v="0"/>
    <n v="0"/>
    <n v="0"/>
    <n v="0"/>
    <n v="0"/>
    <x v="0"/>
    <x v="0"/>
    <x v="0"/>
    <x v="1"/>
    <x v="0"/>
  </r>
  <r>
    <n v="1003"/>
    <x v="0"/>
    <x v="0"/>
    <s v="N"/>
    <n v="3460"/>
    <n v="47"/>
    <n v="14"/>
    <n v="18"/>
    <x v="0"/>
    <x v="0"/>
    <n v="0"/>
    <n v="0"/>
    <n v="0"/>
    <n v="0"/>
    <n v="0"/>
    <n v="0"/>
    <n v="0"/>
    <n v="0"/>
    <n v="0"/>
    <x v="0"/>
    <x v="0"/>
    <x v="0"/>
    <x v="1"/>
    <x v="0"/>
  </r>
  <r>
    <n v="1004"/>
    <x v="0"/>
    <x v="0"/>
    <s v="N"/>
    <n v="5020"/>
    <n v="32"/>
    <n v="77"/>
    <n v="-20"/>
    <x v="0"/>
    <x v="0"/>
    <n v="0"/>
    <n v="0"/>
    <n v="0"/>
    <n v="0"/>
    <n v="0"/>
    <n v="0"/>
    <n v="0"/>
    <n v="0"/>
    <n v="0"/>
    <x v="0"/>
    <x v="0"/>
    <x v="0"/>
    <x v="1"/>
    <x v="0"/>
  </r>
  <r>
    <n v="1005"/>
    <x v="0"/>
    <x v="0"/>
    <s v="N"/>
    <n v="2430"/>
    <n v="19"/>
    <n v="-24"/>
    <n v="-52"/>
    <x v="0"/>
    <x v="0"/>
    <n v="0"/>
    <n v="0"/>
    <n v="0"/>
    <n v="0"/>
    <n v="0"/>
    <n v="0"/>
    <n v="0"/>
    <n v="0"/>
    <n v="0"/>
    <x v="0"/>
    <x v="0"/>
    <x v="0"/>
    <x v="1"/>
    <x v="0"/>
  </r>
  <r>
    <n v="1006"/>
    <x v="0"/>
    <x v="0"/>
    <s v="N"/>
    <n v="2260"/>
    <n v="17"/>
    <n v="-29"/>
    <n v="-58"/>
    <x v="0"/>
    <x v="0"/>
    <n v="0"/>
    <n v="0"/>
    <n v="0"/>
    <n v="0"/>
    <n v="0"/>
    <n v="0"/>
    <n v="0"/>
    <n v="0"/>
    <n v="0"/>
    <x v="0"/>
    <x v="0"/>
    <x v="0"/>
    <x v="1"/>
    <x v="0"/>
  </r>
  <r>
    <n v="1007"/>
    <x v="0"/>
    <x v="0"/>
    <s v="N"/>
    <n v="1480"/>
    <n v="7"/>
    <n v="-54"/>
    <n v="-82"/>
    <x v="0"/>
    <x v="0"/>
    <n v="0"/>
    <n v="0"/>
    <n v="0"/>
    <n v="0"/>
    <n v="0"/>
    <n v="0"/>
    <n v="0"/>
    <n v="0"/>
    <n v="0"/>
    <x v="0"/>
    <x v="0"/>
    <x v="0"/>
    <x v="1"/>
    <x v="0"/>
  </r>
  <r>
    <n v="1008"/>
    <x v="0"/>
    <x v="0"/>
    <s v="N"/>
    <n v="920"/>
    <n v="9"/>
    <n v="-71"/>
    <n v="-78"/>
    <x v="0"/>
    <x v="0"/>
    <n v="0"/>
    <n v="0"/>
    <n v="0"/>
    <n v="0"/>
    <n v="0"/>
    <n v="0"/>
    <n v="0"/>
    <n v="0"/>
    <n v="0"/>
    <x v="0"/>
    <x v="0"/>
    <x v="0"/>
    <x v="4"/>
    <x v="0"/>
  </r>
  <r>
    <n v="1009"/>
    <x v="0"/>
    <x v="0"/>
    <s v="N"/>
    <n v="1180"/>
    <n v="14"/>
    <n v="-57"/>
    <n v="-65"/>
    <x v="0"/>
    <x v="0"/>
    <n v="0"/>
    <n v="0"/>
    <n v="0"/>
    <n v="0"/>
    <n v="0"/>
    <n v="0"/>
    <n v="0"/>
    <n v="0"/>
    <n v="0"/>
    <x v="0"/>
    <x v="0"/>
    <x v="0"/>
    <x v="1"/>
    <x v="0"/>
  </r>
  <r>
    <n v="1010"/>
    <x v="0"/>
    <x v="0"/>
    <s v="N"/>
    <n v="2290"/>
    <n v="6"/>
    <n v="-7"/>
    <n v="-85"/>
    <x v="0"/>
    <x v="0"/>
    <n v="0"/>
    <n v="0"/>
    <n v="0"/>
    <n v="0"/>
    <n v="0"/>
    <n v="0"/>
    <n v="0"/>
    <n v="0"/>
    <n v="0"/>
    <x v="0"/>
    <x v="0"/>
    <x v="0"/>
    <x v="1"/>
    <x v="0"/>
  </r>
  <r>
    <n v="1011"/>
    <x v="0"/>
    <x v="0"/>
    <s v="N"/>
    <n v="4080"/>
    <n v="19"/>
    <n v="73"/>
    <n v="-52"/>
    <x v="0"/>
    <x v="0"/>
    <n v="0"/>
    <n v="0"/>
    <n v="0"/>
    <n v="0"/>
    <n v="0"/>
    <n v="0"/>
    <n v="0"/>
    <n v="0"/>
    <n v="0"/>
    <x v="0"/>
    <x v="0"/>
    <x v="0"/>
    <x v="1"/>
    <x v="0"/>
  </r>
  <r>
    <n v="1012"/>
    <x v="0"/>
    <x v="0"/>
    <s v="N"/>
    <n v="3380"/>
    <n v="14"/>
    <n v="37"/>
    <n v="-65"/>
    <x v="0"/>
    <x v="0"/>
    <n v="0"/>
    <n v="0"/>
    <n v="0"/>
    <n v="0"/>
    <n v="0"/>
    <n v="0"/>
    <n v="0"/>
    <n v="0"/>
    <n v="0"/>
    <x v="0"/>
    <x v="0"/>
    <x v="0"/>
    <x v="1"/>
    <x v="0"/>
  </r>
  <r>
    <n v="1013"/>
    <x v="0"/>
    <x v="0"/>
    <s v="N"/>
    <n v="920"/>
    <n v="9"/>
    <n v="-65"/>
    <n v="-78"/>
    <x v="0"/>
    <x v="0"/>
    <n v="0"/>
    <n v="0"/>
    <n v="0"/>
    <n v="0"/>
    <n v="0"/>
    <n v="0"/>
    <n v="0"/>
    <n v="0"/>
    <n v="0"/>
    <x v="0"/>
    <x v="0"/>
    <x v="0"/>
    <x v="4"/>
    <x v="0"/>
  </r>
  <r>
    <n v="1014"/>
    <x v="0"/>
    <x v="0"/>
    <s v="N"/>
    <n v="3840"/>
    <n v="13"/>
    <n v="60"/>
    <n v="-68"/>
    <x v="0"/>
    <x v="0"/>
    <n v="0"/>
    <n v="0"/>
    <n v="0"/>
    <n v="0"/>
    <n v="0"/>
    <n v="0"/>
    <n v="0"/>
    <n v="0"/>
    <n v="0"/>
    <x v="0"/>
    <x v="0"/>
    <x v="0"/>
    <x v="1"/>
    <x v="0"/>
  </r>
  <r>
    <n v="1015"/>
    <x v="0"/>
    <x v="0"/>
    <s v="N"/>
    <n v="2540"/>
    <n v="19"/>
    <n v="12"/>
    <n v="-52"/>
    <x v="0"/>
    <x v="0"/>
    <n v="0"/>
    <n v="0"/>
    <n v="0"/>
    <n v="0"/>
    <n v="0"/>
    <n v="0"/>
    <n v="0"/>
    <n v="0"/>
    <n v="0"/>
    <x v="0"/>
    <x v="0"/>
    <x v="0"/>
    <x v="1"/>
    <x v="0"/>
  </r>
  <r>
    <n v="1016"/>
    <x v="0"/>
    <x v="0"/>
    <s v="N"/>
    <n v="590"/>
    <n v="11"/>
    <n v="-74"/>
    <n v="-72"/>
    <x v="0"/>
    <x v="0"/>
    <n v="0"/>
    <n v="0"/>
    <n v="0"/>
    <n v="0"/>
    <n v="0"/>
    <n v="0"/>
    <n v="0"/>
    <n v="0"/>
    <n v="0"/>
    <x v="0"/>
    <x v="0"/>
    <x v="0"/>
    <x v="4"/>
    <x v="0"/>
  </r>
  <r>
    <n v="1017"/>
    <x v="0"/>
    <x v="0"/>
    <s v="N"/>
    <n v="3720"/>
    <n v="43"/>
    <n v="75"/>
    <n v="8"/>
    <x v="0"/>
    <x v="0"/>
    <n v="0"/>
    <n v="0"/>
    <n v="0"/>
    <n v="0"/>
    <n v="0"/>
    <n v="0"/>
    <n v="0"/>
    <n v="0"/>
    <n v="0"/>
    <x v="0"/>
    <x v="0"/>
    <x v="0"/>
    <x v="1"/>
    <x v="0"/>
  </r>
  <r>
    <n v="1018"/>
    <x v="0"/>
    <x v="0"/>
    <s v="N"/>
    <n v="590"/>
    <n v="11"/>
    <n v="-74"/>
    <n v="-72"/>
    <x v="0"/>
    <x v="0"/>
    <n v="0"/>
    <n v="0"/>
    <n v="0"/>
    <n v="0"/>
    <n v="0"/>
    <n v="0"/>
    <n v="0"/>
    <n v="0"/>
    <n v="0"/>
    <x v="0"/>
    <x v="0"/>
    <x v="0"/>
    <x v="4"/>
    <x v="0"/>
  </r>
  <r>
    <n v="1019"/>
    <x v="0"/>
    <x v="0"/>
    <s v="N"/>
    <n v="3720"/>
    <n v="43"/>
    <n v="75"/>
    <n v="8"/>
    <x v="0"/>
    <x v="0"/>
    <n v="0"/>
    <n v="0"/>
    <n v="0"/>
    <n v="0"/>
    <n v="0"/>
    <n v="0"/>
    <n v="0"/>
    <n v="0"/>
    <n v="0"/>
    <x v="0"/>
    <x v="0"/>
    <x v="0"/>
    <x v="1"/>
    <x v="0"/>
  </r>
  <r>
    <n v="1020"/>
    <x v="0"/>
    <x v="0"/>
    <s v="N"/>
    <n v="2340"/>
    <n v="19"/>
    <n v="0"/>
    <n v="-52"/>
    <x v="0"/>
    <x v="0"/>
    <n v="0"/>
    <n v="0"/>
    <n v="0"/>
    <n v="0"/>
    <n v="0"/>
    <n v="0"/>
    <n v="0"/>
    <n v="0"/>
    <n v="0"/>
    <x v="0"/>
    <x v="0"/>
    <x v="0"/>
    <x v="1"/>
    <x v="0"/>
  </r>
  <r>
    <n v="1021"/>
    <x v="0"/>
    <x v="0"/>
    <s v="N"/>
    <n v="2610"/>
    <n v="39"/>
    <n v="5"/>
    <n v="-2"/>
    <x v="0"/>
    <x v="0"/>
    <n v="0"/>
    <n v="0"/>
    <n v="0"/>
    <n v="0"/>
    <n v="0"/>
    <n v="0"/>
    <n v="0"/>
    <n v="0"/>
    <n v="0"/>
    <x v="0"/>
    <x v="0"/>
    <x v="0"/>
    <x v="1"/>
    <x v="0"/>
  </r>
  <r>
    <n v="1022"/>
    <x v="0"/>
    <x v="0"/>
    <s v="N"/>
    <n v="3030"/>
    <n v="29"/>
    <n v="15"/>
    <n v="-28"/>
    <x v="0"/>
    <x v="0"/>
    <n v="0"/>
    <n v="0"/>
    <n v="0"/>
    <n v="0"/>
    <n v="0"/>
    <n v="0"/>
    <n v="0"/>
    <n v="0"/>
    <n v="0"/>
    <x v="0"/>
    <x v="0"/>
    <x v="0"/>
    <x v="1"/>
    <x v="0"/>
  </r>
  <r>
    <n v="1023"/>
    <x v="0"/>
    <x v="0"/>
    <s v="N"/>
    <n v="3430"/>
    <n v="23"/>
    <n v="27"/>
    <n v="-42"/>
    <x v="0"/>
    <x v="0"/>
    <n v="0"/>
    <n v="0"/>
    <n v="0"/>
    <n v="0"/>
    <n v="0"/>
    <n v="0"/>
    <n v="0"/>
    <n v="0"/>
    <n v="0"/>
    <x v="0"/>
    <x v="0"/>
    <x v="0"/>
    <x v="1"/>
    <x v="0"/>
  </r>
  <r>
    <n v="1024"/>
    <x v="0"/>
    <x v="0"/>
    <s v="N"/>
    <n v="3330"/>
    <n v="17"/>
    <n v="26"/>
    <n v="-58"/>
    <x v="0"/>
    <x v="0"/>
    <n v="0"/>
    <n v="0"/>
    <n v="0"/>
    <n v="0"/>
    <n v="0"/>
    <n v="0"/>
    <n v="0"/>
    <n v="0"/>
    <n v="0"/>
    <x v="0"/>
    <x v="0"/>
    <x v="0"/>
    <x v="1"/>
    <x v="0"/>
  </r>
  <r>
    <n v="1025"/>
    <x v="0"/>
    <x v="0"/>
    <s v="N"/>
    <n v="1950"/>
    <n v="19"/>
    <n v="-26"/>
    <n v="-52"/>
    <x v="0"/>
    <x v="0"/>
    <n v="0"/>
    <n v="0"/>
    <n v="0"/>
    <n v="0"/>
    <n v="0"/>
    <n v="0"/>
    <n v="0"/>
    <n v="0"/>
    <n v="0"/>
    <x v="0"/>
    <x v="0"/>
    <x v="0"/>
    <x v="1"/>
    <x v="0"/>
  </r>
  <r>
    <n v="1026"/>
    <x v="0"/>
    <x v="0"/>
    <s v="N"/>
    <n v="3610"/>
    <n v="20"/>
    <n v="32"/>
    <n v="-50"/>
    <x v="0"/>
    <x v="0"/>
    <n v="0"/>
    <n v="0"/>
    <n v="0"/>
    <n v="0"/>
    <n v="0"/>
    <n v="0"/>
    <n v="0"/>
    <n v="0"/>
    <n v="0"/>
    <x v="0"/>
    <x v="0"/>
    <x v="0"/>
    <x v="1"/>
    <x v="0"/>
  </r>
  <r>
    <n v="1027"/>
    <x v="0"/>
    <x v="0"/>
    <s v="N"/>
    <n v="3530"/>
    <n v="27"/>
    <n v="30"/>
    <n v="-32"/>
    <x v="0"/>
    <x v="0"/>
    <n v="0"/>
    <n v="0"/>
    <n v="0"/>
    <n v="0"/>
    <n v="0"/>
    <n v="0"/>
    <n v="0"/>
    <n v="0"/>
    <n v="0"/>
    <x v="0"/>
    <x v="0"/>
    <x v="0"/>
    <x v="1"/>
    <x v="0"/>
  </r>
  <r>
    <n v="1028"/>
    <x v="0"/>
    <x v="0"/>
    <s v="N"/>
    <n v="1150"/>
    <n v="6"/>
    <n v="-59"/>
    <n v="-85"/>
    <x v="0"/>
    <x v="0"/>
    <n v="0"/>
    <n v="0"/>
    <n v="0"/>
    <n v="0"/>
    <n v="0"/>
    <n v="0"/>
    <n v="0"/>
    <n v="0"/>
    <n v="0"/>
    <x v="0"/>
    <x v="0"/>
    <x v="0"/>
    <x v="1"/>
    <x v="0"/>
  </r>
  <r>
    <n v="1029"/>
    <x v="0"/>
    <x v="0"/>
    <s v="N"/>
    <n v="2180"/>
    <n v="10"/>
    <n v="-24"/>
    <n v="-75"/>
    <x v="0"/>
    <x v="0"/>
    <n v="0"/>
    <n v="0"/>
    <n v="0"/>
    <n v="0"/>
    <n v="0"/>
    <n v="0"/>
    <n v="0"/>
    <n v="0"/>
    <n v="0"/>
    <x v="0"/>
    <x v="0"/>
    <x v="0"/>
    <x v="1"/>
    <x v="0"/>
  </r>
  <r>
    <n v="1030"/>
    <x v="0"/>
    <x v="0"/>
    <s v="N"/>
    <n v="2760"/>
    <n v="24"/>
    <n v="2"/>
    <n v="-40"/>
    <x v="0"/>
    <x v="0"/>
    <n v="0"/>
    <n v="0"/>
    <n v="0"/>
    <n v="0"/>
    <n v="0"/>
    <n v="0"/>
    <n v="0"/>
    <n v="0"/>
    <n v="0"/>
    <x v="0"/>
    <x v="0"/>
    <x v="0"/>
    <x v="1"/>
    <x v="0"/>
  </r>
  <r>
    <n v="1031"/>
    <x v="0"/>
    <x v="0"/>
    <s v="N"/>
    <n v="2740"/>
    <n v="17"/>
    <n v="0"/>
    <n v="-58"/>
    <x v="0"/>
    <x v="0"/>
    <n v="0"/>
    <n v="0"/>
    <n v="0"/>
    <n v="0"/>
    <n v="0"/>
    <n v="0"/>
    <n v="0"/>
    <n v="0"/>
    <n v="0"/>
    <x v="0"/>
    <x v="0"/>
    <x v="0"/>
    <x v="1"/>
    <x v="0"/>
  </r>
  <r>
    <n v="1032"/>
    <x v="0"/>
    <x v="0"/>
    <s v="N"/>
    <n v="750"/>
    <n v="15"/>
    <n v="-73"/>
    <n v="-62"/>
    <x v="0"/>
    <x v="0"/>
    <n v="0"/>
    <n v="0"/>
    <n v="0"/>
    <n v="0"/>
    <n v="0"/>
    <n v="0"/>
    <n v="0"/>
    <n v="0"/>
    <n v="0"/>
    <x v="0"/>
    <x v="0"/>
    <x v="0"/>
    <x v="4"/>
    <x v="0"/>
  </r>
  <r>
    <n v="1033"/>
    <x v="0"/>
    <x v="0"/>
    <s v="N"/>
    <n v="5050"/>
    <n v="55"/>
    <n v="99"/>
    <n v="38"/>
    <x v="0"/>
    <x v="0"/>
    <n v="0"/>
    <n v="0"/>
    <n v="0"/>
    <n v="0"/>
    <n v="0"/>
    <n v="0"/>
    <n v="0"/>
    <n v="0"/>
    <n v="0"/>
    <x v="0"/>
    <x v="0"/>
    <x v="0"/>
    <x v="1"/>
    <x v="0"/>
  </r>
  <r>
    <n v="1034"/>
    <x v="0"/>
    <x v="0"/>
    <s v="N"/>
    <n v="1920"/>
    <n v="32"/>
    <n v="-29"/>
    <n v="-20"/>
    <x v="0"/>
    <x v="0"/>
    <n v="0"/>
    <n v="0"/>
    <n v="0"/>
    <n v="0"/>
    <n v="0"/>
    <n v="0"/>
    <n v="0"/>
    <n v="0"/>
    <n v="0"/>
    <x v="0"/>
    <x v="0"/>
    <x v="0"/>
    <x v="1"/>
    <x v="0"/>
  </r>
  <r>
    <n v="1035"/>
    <x v="0"/>
    <x v="0"/>
    <s v="N"/>
    <n v="2820"/>
    <n v="25"/>
    <n v="10"/>
    <n v="-38"/>
    <x v="0"/>
    <x v="0"/>
    <n v="0"/>
    <n v="0"/>
    <n v="0"/>
    <n v="0"/>
    <n v="0"/>
    <n v="0"/>
    <n v="0"/>
    <n v="0"/>
    <n v="0"/>
    <x v="0"/>
    <x v="0"/>
    <x v="0"/>
    <x v="1"/>
    <x v="0"/>
  </r>
  <r>
    <n v="1036"/>
    <x v="0"/>
    <x v="0"/>
    <s v="N"/>
    <n v="3300"/>
    <n v="15"/>
    <n v="24"/>
    <n v="-62"/>
    <x v="0"/>
    <x v="0"/>
    <n v="0"/>
    <n v="0"/>
    <n v="0"/>
    <n v="0"/>
    <n v="0"/>
    <n v="0"/>
    <n v="0"/>
    <n v="0"/>
    <n v="0"/>
    <x v="0"/>
    <x v="0"/>
    <x v="0"/>
    <x v="1"/>
    <x v="0"/>
  </r>
  <r>
    <n v="1037"/>
    <x v="0"/>
    <x v="0"/>
    <s v="N"/>
    <n v="2150"/>
    <n v="13"/>
    <n v="-18"/>
    <n v="-68"/>
    <x v="0"/>
    <x v="0"/>
    <n v="0"/>
    <n v="0"/>
    <n v="0"/>
    <n v="0"/>
    <n v="0"/>
    <n v="0"/>
    <n v="0"/>
    <n v="0"/>
    <n v="0"/>
    <x v="0"/>
    <x v="0"/>
    <x v="0"/>
    <x v="1"/>
    <x v="0"/>
  </r>
  <r>
    <n v="1038"/>
    <x v="0"/>
    <x v="0"/>
    <s v="N"/>
    <n v="3310"/>
    <n v="17"/>
    <n v="33"/>
    <n v="-58"/>
    <x v="0"/>
    <x v="0"/>
    <n v="0"/>
    <n v="0"/>
    <n v="0"/>
    <n v="0"/>
    <n v="0"/>
    <n v="0"/>
    <n v="0"/>
    <n v="0"/>
    <n v="0"/>
    <x v="0"/>
    <x v="0"/>
    <x v="0"/>
    <x v="1"/>
    <x v="0"/>
  </r>
  <r>
    <n v="1039"/>
    <x v="0"/>
    <x v="0"/>
    <s v="N"/>
    <n v="2290"/>
    <n v="29"/>
    <n v="-15"/>
    <n v="-28"/>
    <x v="0"/>
    <x v="0"/>
    <n v="0"/>
    <n v="0"/>
    <n v="0"/>
    <n v="0"/>
    <n v="0"/>
    <n v="0"/>
    <n v="0"/>
    <n v="0"/>
    <n v="0"/>
    <x v="0"/>
    <x v="0"/>
    <x v="0"/>
    <x v="1"/>
    <x v="0"/>
  </r>
  <r>
    <n v="1040"/>
    <x v="0"/>
    <x v="0"/>
    <s v="N"/>
    <n v="1380"/>
    <n v="56"/>
    <n v="-49"/>
    <n v="40"/>
    <x v="0"/>
    <x v="0"/>
    <n v="0"/>
    <n v="0"/>
    <n v="0"/>
    <n v="0"/>
    <n v="0"/>
    <n v="0"/>
    <n v="0"/>
    <n v="0"/>
    <n v="0"/>
    <x v="0"/>
    <x v="0"/>
    <x v="0"/>
    <x v="1"/>
    <x v="0"/>
  </r>
  <r>
    <n v="1041"/>
    <x v="0"/>
    <x v="0"/>
    <s v="N"/>
    <n v="2780"/>
    <n v="19"/>
    <n v="8"/>
    <n v="-52"/>
    <x v="0"/>
    <x v="0"/>
    <n v="0"/>
    <n v="0"/>
    <n v="0"/>
    <n v="0"/>
    <n v="0"/>
    <n v="0"/>
    <n v="0"/>
    <n v="0"/>
    <n v="0"/>
    <x v="0"/>
    <x v="0"/>
    <x v="0"/>
    <x v="1"/>
    <x v="0"/>
  </r>
  <r>
    <n v="1042"/>
    <x v="0"/>
    <x v="0"/>
    <s v="N"/>
    <n v="2920"/>
    <n v="16"/>
    <n v="13"/>
    <n v="-60"/>
    <x v="0"/>
    <x v="0"/>
    <n v="0"/>
    <n v="0"/>
    <n v="0"/>
    <n v="0"/>
    <n v="0"/>
    <n v="0"/>
    <n v="0"/>
    <n v="0"/>
    <n v="0"/>
    <x v="0"/>
    <x v="0"/>
    <x v="0"/>
    <x v="1"/>
    <x v="0"/>
  </r>
  <r>
    <n v="1043"/>
    <x v="0"/>
    <x v="0"/>
    <s v="N"/>
    <n v="2700"/>
    <n v="14"/>
    <n v="-3"/>
    <n v="-65"/>
    <x v="0"/>
    <x v="0"/>
    <n v="0"/>
    <n v="0"/>
    <n v="0"/>
    <n v="0"/>
    <n v="0"/>
    <n v="0"/>
    <n v="0"/>
    <n v="0"/>
    <n v="0"/>
    <x v="0"/>
    <x v="0"/>
    <x v="0"/>
    <x v="1"/>
    <x v="0"/>
  </r>
  <r>
    <n v="1044"/>
    <x v="0"/>
    <x v="0"/>
    <s v="N"/>
    <n v="780"/>
    <n v="6"/>
    <n v="-70"/>
    <n v="-85"/>
    <x v="0"/>
    <x v="0"/>
    <n v="0"/>
    <n v="0"/>
    <n v="0"/>
    <n v="0"/>
    <n v="0"/>
    <n v="0"/>
    <n v="0"/>
    <n v="0"/>
    <n v="0"/>
    <x v="0"/>
    <x v="0"/>
    <x v="0"/>
    <x v="4"/>
    <x v="0"/>
  </r>
  <r>
    <n v="1045"/>
    <x v="0"/>
    <x v="0"/>
    <s v="N"/>
    <n v="2810"/>
    <n v="7"/>
    <n v="15"/>
    <n v="-82"/>
    <x v="0"/>
    <x v="0"/>
    <n v="0"/>
    <n v="0"/>
    <n v="0"/>
    <n v="0"/>
    <n v="0"/>
    <n v="0"/>
    <n v="0"/>
    <n v="0"/>
    <n v="0"/>
    <x v="0"/>
    <x v="0"/>
    <x v="0"/>
    <x v="1"/>
    <x v="0"/>
  </r>
  <r>
    <n v="1046"/>
    <x v="0"/>
    <x v="0"/>
    <s v="N"/>
    <n v="2350"/>
    <n v="19"/>
    <n v="-4"/>
    <n v="-52"/>
    <x v="0"/>
    <x v="0"/>
    <n v="0"/>
    <n v="0"/>
    <n v="0"/>
    <n v="0"/>
    <n v="0"/>
    <n v="0"/>
    <n v="0"/>
    <n v="0"/>
    <n v="0"/>
    <x v="0"/>
    <x v="0"/>
    <x v="0"/>
    <x v="1"/>
    <x v="0"/>
  </r>
  <r>
    <n v="1047"/>
    <x v="0"/>
    <x v="0"/>
    <s v="N"/>
    <n v="1490"/>
    <n v="10"/>
    <n v="-37"/>
    <n v="-75"/>
    <x v="0"/>
    <x v="0"/>
    <n v="0"/>
    <n v="0"/>
    <n v="0"/>
    <n v="0"/>
    <n v="0"/>
    <n v="0"/>
    <n v="0"/>
    <n v="0"/>
    <n v="0"/>
    <x v="0"/>
    <x v="0"/>
    <x v="0"/>
    <x v="1"/>
    <x v="0"/>
  </r>
  <r>
    <n v="1048"/>
    <x v="0"/>
    <x v="0"/>
    <s v="N"/>
    <n v="1970"/>
    <n v="17"/>
    <n v="-14"/>
    <n v="-58"/>
    <x v="0"/>
    <x v="0"/>
    <n v="0"/>
    <n v="0"/>
    <n v="0"/>
    <n v="0"/>
    <n v="0"/>
    <n v="0"/>
    <n v="0"/>
    <n v="0"/>
    <n v="0"/>
    <x v="0"/>
    <x v="0"/>
    <x v="0"/>
    <x v="1"/>
    <x v="0"/>
  </r>
  <r>
    <n v="1049"/>
    <x v="0"/>
    <x v="0"/>
    <s v="N"/>
    <n v="3890"/>
    <n v="46"/>
    <n v="81"/>
    <n v="15"/>
    <x v="0"/>
    <x v="0"/>
    <n v="0"/>
    <n v="0"/>
    <n v="0"/>
    <n v="0"/>
    <n v="0"/>
    <n v="0"/>
    <n v="0"/>
    <n v="0"/>
    <n v="0"/>
    <x v="0"/>
    <x v="0"/>
    <x v="0"/>
    <x v="1"/>
    <x v="0"/>
  </r>
  <r>
    <n v="1050"/>
    <x v="0"/>
    <x v="0"/>
    <s v="N"/>
    <n v="1340"/>
    <n v="21"/>
    <n v="-42"/>
    <n v="-48"/>
    <x v="0"/>
    <x v="0"/>
    <n v="0"/>
    <n v="0"/>
    <n v="0"/>
    <n v="0"/>
    <n v="0"/>
    <n v="0"/>
    <n v="0"/>
    <n v="0"/>
    <n v="0"/>
    <x v="0"/>
    <x v="0"/>
    <x v="0"/>
    <x v="1"/>
    <x v="0"/>
  </r>
  <r>
    <n v="1051"/>
    <x v="0"/>
    <x v="0"/>
    <s v="N"/>
    <n v="1620"/>
    <n v="11"/>
    <n v="-30"/>
    <n v="-72"/>
    <x v="0"/>
    <x v="0"/>
    <n v="0"/>
    <n v="0"/>
    <n v="0"/>
    <n v="0"/>
    <n v="0"/>
    <n v="0"/>
    <n v="0"/>
    <n v="0"/>
    <n v="0"/>
    <x v="0"/>
    <x v="0"/>
    <x v="0"/>
    <x v="1"/>
    <x v="0"/>
  </r>
  <r>
    <n v="1052"/>
    <x v="0"/>
    <x v="0"/>
    <s v="N"/>
    <n v="2570"/>
    <n v="10"/>
    <n v="18"/>
    <n v="-75"/>
    <x v="0"/>
    <x v="0"/>
    <n v="0"/>
    <n v="0"/>
    <n v="0"/>
    <n v="0"/>
    <n v="0"/>
    <n v="0"/>
    <n v="0"/>
    <n v="0"/>
    <n v="0"/>
    <x v="0"/>
    <x v="0"/>
    <x v="0"/>
    <x v="1"/>
    <x v="0"/>
  </r>
  <r>
    <n v="1053"/>
    <x v="0"/>
    <x v="0"/>
    <s v="N"/>
    <n v="1190"/>
    <n v="9"/>
    <n v="-45"/>
    <n v="-78"/>
    <x v="0"/>
    <x v="0"/>
    <n v="0"/>
    <n v="0"/>
    <n v="0"/>
    <n v="0"/>
    <n v="0"/>
    <n v="0"/>
    <n v="0"/>
    <n v="0"/>
    <n v="0"/>
    <x v="0"/>
    <x v="0"/>
    <x v="0"/>
    <x v="1"/>
    <x v="0"/>
  </r>
  <r>
    <n v="1054"/>
    <x v="0"/>
    <x v="0"/>
    <s v="N"/>
    <n v="2680"/>
    <n v="14"/>
    <n v="34"/>
    <n v="-65"/>
    <x v="0"/>
    <x v="0"/>
    <n v="0"/>
    <n v="0"/>
    <n v="0"/>
    <n v="0"/>
    <n v="0"/>
    <n v="0"/>
    <n v="0"/>
    <n v="0"/>
    <n v="0"/>
    <x v="0"/>
    <x v="0"/>
    <x v="0"/>
    <x v="1"/>
    <x v="0"/>
  </r>
  <r>
    <n v="1055"/>
    <x v="0"/>
    <x v="0"/>
    <s v="N"/>
    <n v="3390"/>
    <n v="13"/>
    <n v="55"/>
    <n v="-68"/>
    <x v="0"/>
    <x v="0"/>
    <n v="0"/>
    <n v="0"/>
    <n v="0"/>
    <n v="0"/>
    <n v="0"/>
    <n v="0"/>
    <n v="0"/>
    <n v="0"/>
    <n v="0"/>
    <x v="0"/>
    <x v="0"/>
    <x v="0"/>
    <x v="1"/>
    <x v="0"/>
  </r>
  <r>
    <n v="1056"/>
    <x v="0"/>
    <x v="0"/>
    <s v="N"/>
    <n v="4390"/>
    <n v="16"/>
    <n v="95"/>
    <n v="-60"/>
    <x v="0"/>
    <x v="0"/>
    <n v="0"/>
    <n v="0"/>
    <n v="0"/>
    <n v="0"/>
    <n v="0"/>
    <n v="0"/>
    <n v="0"/>
    <n v="0"/>
    <n v="0"/>
    <x v="0"/>
    <x v="0"/>
    <x v="0"/>
    <x v="1"/>
    <x v="0"/>
  </r>
  <r>
    <n v="1057"/>
    <x v="0"/>
    <x v="0"/>
    <s v="N"/>
    <n v="1870"/>
    <n v="11"/>
    <n v="-24"/>
    <n v="-72"/>
    <x v="0"/>
    <x v="0"/>
    <n v="0"/>
    <n v="0"/>
    <n v="0"/>
    <n v="0"/>
    <n v="0"/>
    <n v="0"/>
    <n v="0"/>
    <n v="0"/>
    <n v="0"/>
    <x v="0"/>
    <x v="0"/>
    <x v="0"/>
    <x v="1"/>
    <x v="0"/>
  </r>
  <r>
    <n v="1058"/>
    <x v="0"/>
    <x v="0"/>
    <s v="N"/>
    <n v="2650"/>
    <n v="18"/>
    <n v="7"/>
    <n v="-55"/>
    <x v="0"/>
    <x v="0"/>
    <n v="0"/>
    <n v="0"/>
    <n v="0"/>
    <n v="0"/>
    <n v="0"/>
    <n v="0"/>
    <n v="0"/>
    <n v="0"/>
    <n v="0"/>
    <x v="0"/>
    <x v="0"/>
    <x v="0"/>
    <x v="1"/>
    <x v="0"/>
  </r>
  <r>
    <n v="1059"/>
    <x v="0"/>
    <x v="0"/>
    <s v="N"/>
    <n v="3680"/>
    <n v="22"/>
    <n v="44"/>
    <n v="-45"/>
    <x v="0"/>
    <x v="0"/>
    <n v="0"/>
    <n v="0"/>
    <n v="0"/>
    <n v="0"/>
    <n v="0"/>
    <n v="0"/>
    <n v="0"/>
    <n v="0"/>
    <n v="0"/>
    <x v="0"/>
    <x v="0"/>
    <x v="0"/>
    <x v="1"/>
    <x v="0"/>
  </r>
  <r>
    <n v="1060"/>
    <x v="0"/>
    <x v="0"/>
    <s v="N"/>
    <n v="2850"/>
    <n v="10"/>
    <n v="12"/>
    <n v="-75"/>
    <x v="0"/>
    <x v="0"/>
    <n v="0"/>
    <n v="0"/>
    <n v="0"/>
    <n v="0"/>
    <n v="0"/>
    <n v="0"/>
    <n v="0"/>
    <n v="0"/>
    <n v="0"/>
    <x v="0"/>
    <x v="0"/>
    <x v="0"/>
    <x v="1"/>
    <x v="0"/>
  </r>
  <r>
    <n v="1061"/>
    <x v="0"/>
    <x v="0"/>
    <s v="N"/>
    <n v="2070"/>
    <n v="14"/>
    <n v="-23"/>
    <n v="-65"/>
    <x v="0"/>
    <x v="0"/>
    <n v="0"/>
    <n v="0"/>
    <n v="0"/>
    <n v="0"/>
    <n v="0"/>
    <n v="0"/>
    <n v="0"/>
    <n v="0"/>
    <n v="0"/>
    <x v="0"/>
    <x v="0"/>
    <x v="0"/>
    <x v="1"/>
    <x v="0"/>
  </r>
  <r>
    <n v="1062"/>
    <x v="0"/>
    <x v="0"/>
    <s v="N"/>
    <n v="4720"/>
    <n v="26"/>
    <n v="73"/>
    <n v="-35"/>
    <x v="0"/>
    <x v="0"/>
    <n v="0"/>
    <n v="0"/>
    <n v="0"/>
    <n v="0"/>
    <n v="0"/>
    <n v="0"/>
    <n v="0"/>
    <n v="0"/>
    <n v="0"/>
    <x v="0"/>
    <x v="0"/>
    <x v="0"/>
    <x v="1"/>
    <x v="0"/>
  </r>
  <r>
    <n v="1063"/>
    <x v="0"/>
    <x v="0"/>
    <s v="N"/>
    <n v="1070"/>
    <n v="10"/>
    <n v="-64"/>
    <n v="-75"/>
    <x v="0"/>
    <x v="0"/>
    <n v="0"/>
    <n v="0"/>
    <n v="0"/>
    <n v="0"/>
    <n v="0"/>
    <n v="0"/>
    <n v="0"/>
    <n v="0"/>
    <n v="0"/>
    <x v="0"/>
    <x v="0"/>
    <x v="0"/>
    <x v="1"/>
    <x v="0"/>
  </r>
  <r>
    <n v="1064"/>
    <x v="0"/>
    <x v="0"/>
    <s v="N"/>
    <n v="3110"/>
    <n v="23"/>
    <n v="6"/>
    <n v="-42"/>
    <x v="0"/>
    <x v="0"/>
    <n v="0"/>
    <n v="0"/>
    <n v="0"/>
    <n v="0"/>
    <n v="0"/>
    <n v="0"/>
    <n v="0"/>
    <n v="0"/>
    <n v="0"/>
    <x v="0"/>
    <x v="0"/>
    <x v="0"/>
    <x v="1"/>
    <x v="0"/>
  </r>
  <r>
    <n v="1065"/>
    <x v="0"/>
    <x v="0"/>
    <s v="N"/>
    <n v="3100"/>
    <n v="22"/>
    <n v="4"/>
    <n v="-45"/>
    <x v="0"/>
    <x v="0"/>
    <n v="0"/>
    <n v="0"/>
    <n v="0"/>
    <n v="0"/>
    <n v="0"/>
    <n v="0"/>
    <n v="0"/>
    <n v="0"/>
    <n v="0"/>
    <x v="0"/>
    <x v="0"/>
    <x v="0"/>
    <x v="1"/>
    <x v="0"/>
  </r>
  <r>
    <n v="1066"/>
    <x v="0"/>
    <x v="0"/>
    <s v="N"/>
    <n v="3130"/>
    <n v="25"/>
    <n v="6"/>
    <n v="-38"/>
    <x v="0"/>
    <x v="0"/>
    <n v="0"/>
    <n v="0"/>
    <n v="0"/>
    <n v="0"/>
    <n v="0"/>
    <n v="0"/>
    <n v="0"/>
    <n v="0"/>
    <n v="0"/>
    <x v="0"/>
    <x v="0"/>
    <x v="0"/>
    <x v="1"/>
    <x v="0"/>
  </r>
  <r>
    <n v="1067"/>
    <x v="0"/>
    <x v="0"/>
    <s v="N"/>
    <n v="2890"/>
    <n v="28"/>
    <n v="2"/>
    <n v="-30"/>
    <x v="0"/>
    <x v="0"/>
    <n v="0"/>
    <n v="0"/>
    <n v="0"/>
    <n v="0"/>
    <n v="0"/>
    <n v="0"/>
    <n v="0"/>
    <n v="0"/>
    <n v="0"/>
    <x v="0"/>
    <x v="0"/>
    <x v="0"/>
    <x v="1"/>
    <x v="0"/>
  </r>
  <r>
    <n v="1068"/>
    <x v="0"/>
    <x v="0"/>
    <s v="N"/>
    <n v="2870"/>
    <n v="21"/>
    <n v="-2"/>
    <n v="-48"/>
    <x v="0"/>
    <x v="0"/>
    <n v="0"/>
    <n v="0"/>
    <n v="0"/>
    <n v="0"/>
    <n v="0"/>
    <n v="0"/>
    <n v="0"/>
    <n v="0"/>
    <n v="0"/>
    <x v="0"/>
    <x v="0"/>
    <x v="0"/>
    <x v="1"/>
    <x v="0"/>
  </r>
  <r>
    <n v="1069"/>
    <x v="0"/>
    <x v="0"/>
    <s v="N"/>
    <n v="3090"/>
    <n v="18"/>
    <n v="5"/>
    <n v="-55"/>
    <x v="0"/>
    <x v="0"/>
    <n v="0"/>
    <n v="0"/>
    <n v="0"/>
    <n v="0"/>
    <n v="0"/>
    <n v="0"/>
    <n v="0"/>
    <n v="0"/>
    <n v="0"/>
    <x v="0"/>
    <x v="0"/>
    <x v="0"/>
    <x v="1"/>
    <x v="0"/>
  </r>
  <r>
    <n v="1070"/>
    <x v="0"/>
    <x v="0"/>
    <s v="N"/>
    <n v="3510"/>
    <n v="19"/>
    <n v="22"/>
    <n v="-52"/>
    <x v="0"/>
    <x v="0"/>
    <n v="0"/>
    <n v="0"/>
    <n v="0"/>
    <n v="0"/>
    <n v="0"/>
    <n v="0"/>
    <n v="0"/>
    <n v="0"/>
    <n v="0"/>
    <x v="0"/>
    <x v="0"/>
    <x v="0"/>
    <x v="1"/>
    <x v="0"/>
  </r>
  <r>
    <n v="1071"/>
    <x v="0"/>
    <x v="0"/>
    <s v="N"/>
    <n v="2970"/>
    <n v="19"/>
    <n v="0"/>
    <n v="-52"/>
    <x v="0"/>
    <x v="0"/>
    <n v="0"/>
    <n v="0"/>
    <n v="0"/>
    <n v="0"/>
    <n v="0"/>
    <n v="0"/>
    <n v="0"/>
    <n v="0"/>
    <n v="0"/>
    <x v="0"/>
    <x v="0"/>
    <x v="0"/>
    <x v="1"/>
    <x v="0"/>
  </r>
  <r>
    <n v="1072"/>
    <x v="0"/>
    <x v="0"/>
    <s v="N"/>
    <n v="4290"/>
    <n v="45"/>
    <n v="41"/>
    <n v="12"/>
    <x v="0"/>
    <x v="0"/>
    <n v="0"/>
    <n v="0"/>
    <n v="0"/>
    <n v="0"/>
    <n v="0"/>
    <n v="0"/>
    <n v="0"/>
    <n v="0"/>
    <n v="0"/>
    <x v="0"/>
    <x v="0"/>
    <x v="0"/>
    <x v="1"/>
    <x v="0"/>
  </r>
  <r>
    <n v="1073"/>
    <x v="0"/>
    <x v="0"/>
    <s v="N"/>
    <n v="2510"/>
    <n v="17"/>
    <n v="-16"/>
    <n v="-58"/>
    <x v="0"/>
    <x v="0"/>
    <n v="0"/>
    <n v="0"/>
    <n v="0"/>
    <n v="0"/>
    <n v="0"/>
    <n v="0"/>
    <n v="0"/>
    <n v="0"/>
    <n v="0"/>
    <x v="0"/>
    <x v="0"/>
    <x v="0"/>
    <x v="1"/>
    <x v="0"/>
  </r>
  <r>
    <n v="1074"/>
    <x v="0"/>
    <x v="0"/>
    <s v="N"/>
    <n v="2920"/>
    <n v="20"/>
    <n v="-7"/>
    <n v="-50"/>
    <x v="0"/>
    <x v="0"/>
    <n v="0"/>
    <n v="0"/>
    <n v="0"/>
    <n v="0"/>
    <n v="0"/>
    <n v="0"/>
    <n v="0"/>
    <n v="0"/>
    <n v="0"/>
    <x v="0"/>
    <x v="0"/>
    <x v="0"/>
    <x v="1"/>
    <x v="0"/>
  </r>
  <r>
    <n v="1075"/>
    <x v="0"/>
    <x v="0"/>
    <s v="N"/>
    <n v="6150"/>
    <n v="25"/>
    <n v="97"/>
    <n v="-38"/>
    <x v="0"/>
    <x v="0"/>
    <n v="0"/>
    <n v="0"/>
    <n v="0"/>
    <n v="0"/>
    <n v="0"/>
    <n v="0"/>
    <n v="0"/>
    <n v="0"/>
    <n v="0"/>
    <x v="0"/>
    <x v="0"/>
    <x v="0"/>
    <x v="1"/>
    <x v="0"/>
  </r>
  <r>
    <n v="1076"/>
    <x v="0"/>
    <x v="0"/>
    <s v="N"/>
    <n v="3600"/>
    <n v="20"/>
    <n v="5"/>
    <n v="-50"/>
    <x v="0"/>
    <x v="0"/>
    <n v="0"/>
    <n v="0"/>
    <n v="0"/>
    <n v="0"/>
    <n v="0"/>
    <n v="0"/>
    <n v="0"/>
    <n v="0"/>
    <n v="0"/>
    <x v="0"/>
    <x v="0"/>
    <x v="0"/>
    <x v="1"/>
    <x v="0"/>
  </r>
  <r>
    <n v="1077"/>
    <x v="0"/>
    <x v="0"/>
    <s v="N"/>
    <n v="1980"/>
    <n v="18"/>
    <n v="-43"/>
    <n v="-55"/>
    <x v="0"/>
    <x v="0"/>
    <n v="0"/>
    <n v="0"/>
    <n v="0"/>
    <n v="0"/>
    <n v="0"/>
    <n v="0"/>
    <n v="0"/>
    <n v="0"/>
    <n v="0"/>
    <x v="0"/>
    <x v="0"/>
    <x v="0"/>
    <x v="1"/>
    <x v="0"/>
  </r>
  <r>
    <n v="1078"/>
    <x v="0"/>
    <x v="0"/>
    <s v="N"/>
    <n v="3210"/>
    <n v="13"/>
    <n v="-5"/>
    <n v="-68"/>
    <x v="0"/>
    <x v="0"/>
    <n v="0"/>
    <n v="0"/>
    <n v="0"/>
    <n v="0"/>
    <n v="0"/>
    <n v="0"/>
    <n v="0"/>
    <n v="0"/>
    <n v="0"/>
    <x v="0"/>
    <x v="0"/>
    <x v="0"/>
    <x v="1"/>
    <x v="0"/>
  </r>
  <r>
    <n v="1079"/>
    <x v="0"/>
    <x v="0"/>
    <s v="N"/>
    <n v="4190"/>
    <n v="25"/>
    <n v="22"/>
    <n v="-38"/>
    <x v="0"/>
    <x v="0"/>
    <n v="0"/>
    <n v="0"/>
    <n v="0"/>
    <n v="0"/>
    <n v="0"/>
    <n v="0"/>
    <n v="0"/>
    <n v="0"/>
    <n v="0"/>
    <x v="0"/>
    <x v="0"/>
    <x v="0"/>
    <x v="1"/>
    <x v="0"/>
  </r>
  <r>
    <n v="1080"/>
    <x v="0"/>
    <x v="0"/>
    <s v="N"/>
    <n v="560"/>
    <n v="7"/>
    <n v="-84"/>
    <n v="-82"/>
    <x v="0"/>
    <x v="0"/>
    <n v="0"/>
    <n v="0"/>
    <n v="0"/>
    <n v="0"/>
    <n v="0"/>
    <n v="0"/>
    <n v="0"/>
    <n v="0"/>
    <n v="0"/>
    <x v="0"/>
    <x v="0"/>
    <x v="0"/>
    <x v="4"/>
    <x v="0"/>
  </r>
  <r>
    <n v="1081"/>
    <x v="0"/>
    <x v="0"/>
    <s v="N"/>
    <n v="1100"/>
    <n v="6"/>
    <n v="-66"/>
    <n v="-85"/>
    <x v="0"/>
    <x v="0"/>
    <n v="0"/>
    <n v="0"/>
    <n v="0"/>
    <n v="0"/>
    <n v="0"/>
    <n v="0"/>
    <n v="0"/>
    <n v="0"/>
    <n v="0"/>
    <x v="0"/>
    <x v="0"/>
    <x v="0"/>
    <x v="1"/>
    <x v="0"/>
  </r>
  <r>
    <n v="1082"/>
    <x v="0"/>
    <x v="0"/>
    <s v="N"/>
    <n v="3180"/>
    <n v="11"/>
    <n v="4"/>
    <n v="-72"/>
    <x v="0"/>
    <x v="0"/>
    <n v="0"/>
    <n v="0"/>
    <n v="0"/>
    <n v="0"/>
    <n v="0"/>
    <n v="0"/>
    <n v="0"/>
    <n v="0"/>
    <n v="0"/>
    <x v="0"/>
    <x v="0"/>
    <x v="0"/>
    <x v="1"/>
    <x v="0"/>
  </r>
  <r>
    <n v="1083"/>
    <x v="0"/>
    <x v="0"/>
    <s v="N"/>
    <n v="4350"/>
    <n v="22"/>
    <n v="48"/>
    <n v="-45"/>
    <x v="0"/>
    <x v="0"/>
    <n v="0"/>
    <n v="0"/>
    <n v="0"/>
    <n v="0"/>
    <n v="0"/>
    <n v="0"/>
    <n v="0"/>
    <n v="0"/>
    <n v="0"/>
    <x v="0"/>
    <x v="0"/>
    <x v="0"/>
    <x v="1"/>
    <x v="0"/>
  </r>
  <r>
    <n v="1084"/>
    <x v="0"/>
    <x v="0"/>
    <s v="N"/>
    <n v="5090"/>
    <n v="35"/>
    <n v="63"/>
    <n v="-12"/>
    <x v="0"/>
    <x v="0"/>
    <n v="0"/>
    <n v="0"/>
    <n v="0"/>
    <n v="0"/>
    <n v="0"/>
    <n v="0"/>
    <n v="0"/>
    <n v="0"/>
    <n v="0"/>
    <x v="0"/>
    <x v="0"/>
    <x v="0"/>
    <x v="1"/>
    <x v="0"/>
  </r>
  <r>
    <n v="1085"/>
    <x v="0"/>
    <x v="0"/>
    <s v="N"/>
    <n v="2440"/>
    <n v="16"/>
    <n v="-27"/>
    <n v="-60"/>
    <x v="0"/>
    <x v="0"/>
    <n v="0"/>
    <n v="0"/>
    <n v="0"/>
    <n v="0"/>
    <n v="0"/>
    <n v="0"/>
    <n v="0"/>
    <n v="0"/>
    <n v="0"/>
    <x v="0"/>
    <x v="0"/>
    <x v="0"/>
    <x v="1"/>
    <x v="0"/>
  </r>
  <r>
    <n v="1086"/>
    <x v="0"/>
    <x v="0"/>
    <s v="N"/>
    <n v="950"/>
    <n v="46"/>
    <n v="-68"/>
    <n v="15"/>
    <x v="0"/>
    <x v="0"/>
    <n v="0"/>
    <n v="0"/>
    <n v="0"/>
    <n v="0"/>
    <n v="0"/>
    <n v="0"/>
    <n v="0"/>
    <n v="0"/>
    <n v="0"/>
    <x v="0"/>
    <x v="0"/>
    <x v="0"/>
    <x v="4"/>
    <x v="0"/>
  </r>
  <r>
    <n v="1087"/>
    <x v="0"/>
    <x v="0"/>
    <s v="N"/>
    <n v="2440"/>
    <n v="63"/>
    <n v="-10"/>
    <n v="58"/>
    <x v="0"/>
    <x v="0"/>
    <n v="0"/>
    <n v="0"/>
    <n v="0"/>
    <n v="0"/>
    <n v="0"/>
    <n v="0"/>
    <n v="0"/>
    <n v="0"/>
    <n v="0"/>
    <x v="0"/>
    <x v="0"/>
    <x v="0"/>
    <x v="1"/>
    <x v="0"/>
  </r>
  <r>
    <n v="1088"/>
    <x v="0"/>
    <x v="0"/>
    <s v="N"/>
    <n v="1820"/>
    <n v="55"/>
    <n v="-34"/>
    <n v="38"/>
    <x v="0"/>
    <x v="0"/>
    <n v="0"/>
    <n v="0"/>
    <n v="0"/>
    <n v="0"/>
    <n v="0"/>
    <n v="0"/>
    <n v="0"/>
    <n v="0"/>
    <n v="0"/>
    <x v="0"/>
    <x v="0"/>
    <x v="0"/>
    <x v="1"/>
    <x v="0"/>
  </r>
  <r>
    <n v="1089"/>
    <x v="0"/>
    <x v="0"/>
    <s v="N"/>
    <n v="1650"/>
    <n v="46"/>
    <n v="-37"/>
    <n v="15"/>
    <x v="0"/>
    <x v="0"/>
    <n v="0"/>
    <n v="0"/>
    <n v="0"/>
    <n v="0"/>
    <n v="0"/>
    <n v="0"/>
    <n v="0"/>
    <n v="0"/>
    <n v="0"/>
    <x v="0"/>
    <x v="0"/>
    <x v="0"/>
    <x v="1"/>
    <x v="0"/>
  </r>
  <r>
    <n v="1090"/>
    <x v="0"/>
    <x v="0"/>
    <s v="N"/>
    <n v="4310"/>
    <n v="66"/>
    <n v="83"/>
    <n v="65"/>
    <x v="0"/>
    <x v="0"/>
    <n v="0"/>
    <n v="0"/>
    <n v="0"/>
    <n v="0"/>
    <n v="0"/>
    <n v="0"/>
    <n v="0"/>
    <n v="0"/>
    <n v="0"/>
    <x v="0"/>
    <x v="0"/>
    <x v="0"/>
    <x v="1"/>
    <x v="0"/>
  </r>
  <r>
    <n v="1091"/>
    <x v="0"/>
    <x v="0"/>
    <s v="N"/>
    <n v="4200"/>
    <n v="74"/>
    <n v="54"/>
    <n v="85"/>
    <x v="0"/>
    <x v="0"/>
    <n v="0"/>
    <n v="0"/>
    <n v="0"/>
    <n v="0"/>
    <n v="0"/>
    <n v="0"/>
    <n v="0"/>
    <n v="0"/>
    <n v="0"/>
    <x v="0"/>
    <x v="0"/>
    <x v="0"/>
    <x v="1"/>
    <x v="0"/>
  </r>
  <r>
    <n v="1092"/>
    <x v="0"/>
    <x v="1"/>
    <s v="N"/>
    <n v="7130"/>
    <n v="105"/>
    <n v="134"/>
    <n v="142"/>
    <x v="1"/>
    <x v="0"/>
    <n v="0"/>
    <n v="0"/>
    <n v="0"/>
    <n v="0"/>
    <n v="0"/>
    <n v="0"/>
    <n v="0"/>
    <n v="0"/>
    <n v="0"/>
    <x v="0"/>
    <x v="0"/>
    <x v="0"/>
    <x v="1"/>
    <x v="0"/>
  </r>
  <r>
    <n v="1093"/>
    <x v="0"/>
    <x v="1"/>
    <s v="N"/>
    <n v="5630"/>
    <n v="98"/>
    <n v="64"/>
    <n v="86"/>
    <x v="0"/>
    <x v="0"/>
    <n v="0"/>
    <n v="0"/>
    <n v="0"/>
    <n v="0"/>
    <n v="0"/>
    <n v="0"/>
    <n v="0"/>
    <n v="0"/>
    <n v="0"/>
    <x v="0"/>
    <x v="0"/>
    <x v="0"/>
    <x v="1"/>
    <x v="0"/>
  </r>
  <r>
    <n v="1094"/>
    <x v="0"/>
    <x v="1"/>
    <s v="N"/>
    <n v="5660"/>
    <n v="118"/>
    <n v="59"/>
    <n v="95"/>
    <x v="0"/>
    <x v="0"/>
    <n v="0"/>
    <n v="0"/>
    <n v="0"/>
    <n v="0"/>
    <n v="0"/>
    <n v="0"/>
    <n v="0"/>
    <n v="0"/>
    <n v="0"/>
    <x v="0"/>
    <x v="0"/>
    <x v="0"/>
    <x v="1"/>
    <x v="0"/>
  </r>
  <r>
    <n v="1095"/>
    <x v="0"/>
    <x v="1"/>
    <s v="N"/>
    <n v="7190"/>
    <n v="123"/>
    <n v="98"/>
    <n v="79"/>
    <x v="1"/>
    <x v="0"/>
    <n v="0"/>
    <n v="0"/>
    <n v="0"/>
    <n v="0"/>
    <n v="0"/>
    <n v="0"/>
    <n v="0"/>
    <n v="0"/>
    <n v="0"/>
    <x v="0"/>
    <x v="0"/>
    <x v="0"/>
    <x v="1"/>
    <x v="0"/>
  </r>
  <r>
    <n v="1096"/>
    <x v="0"/>
    <x v="1"/>
    <s v="N"/>
    <n v="6220"/>
    <n v="111"/>
    <n v="52"/>
    <n v="40"/>
    <x v="1"/>
    <x v="0"/>
    <n v="0"/>
    <n v="0"/>
    <n v="0"/>
    <n v="0"/>
    <n v="0"/>
    <n v="0"/>
    <n v="0"/>
    <n v="0"/>
    <n v="0"/>
    <x v="0"/>
    <x v="0"/>
    <x v="0"/>
    <x v="1"/>
    <x v="0"/>
  </r>
  <r>
    <n v="1097"/>
    <x v="0"/>
    <x v="1"/>
    <s v="N"/>
    <n v="4030"/>
    <n v="127"/>
    <n v="-13"/>
    <n v="48"/>
    <x v="1"/>
    <x v="0"/>
    <n v="0"/>
    <n v="0"/>
    <n v="0"/>
    <n v="0"/>
    <n v="0"/>
    <n v="0"/>
    <n v="0"/>
    <n v="0"/>
    <n v="0"/>
    <x v="0"/>
    <x v="0"/>
    <x v="0"/>
    <x v="1"/>
    <x v="0"/>
  </r>
  <r>
    <n v="1098"/>
    <x v="0"/>
    <x v="1"/>
    <s v="N"/>
    <n v="8670"/>
    <n v="151"/>
    <n v="-25"/>
    <n v="-58"/>
    <x v="0"/>
    <x v="0"/>
    <n v="0"/>
    <n v="0"/>
    <n v="0"/>
    <n v="0"/>
    <n v="0"/>
    <n v="0"/>
    <n v="0"/>
    <n v="0"/>
    <n v="0"/>
    <x v="0"/>
    <x v="0"/>
    <x v="0"/>
    <x v="1"/>
    <x v="0"/>
  </r>
  <r>
    <n v="1099"/>
    <x v="0"/>
    <x v="1"/>
    <s v="N"/>
    <n v="7510"/>
    <n v="169"/>
    <n v="-35"/>
    <n v="-53"/>
    <x v="0"/>
    <x v="0"/>
    <n v="0"/>
    <n v="0"/>
    <n v="0"/>
    <n v="0"/>
    <n v="0"/>
    <n v="0"/>
    <n v="0"/>
    <n v="0"/>
    <n v="0"/>
    <x v="0"/>
    <x v="0"/>
    <x v="0"/>
    <x v="1"/>
    <x v="0"/>
  </r>
  <r>
    <n v="1100"/>
    <x v="0"/>
    <x v="1"/>
    <s v="N"/>
    <n v="3110"/>
    <n v="164"/>
    <n v="-73"/>
    <n v="-54"/>
    <x v="0"/>
    <x v="0"/>
    <n v="0"/>
    <n v="0"/>
    <n v="0"/>
    <n v="0"/>
    <n v="0"/>
    <n v="0"/>
    <n v="0"/>
    <n v="0"/>
    <n v="0"/>
    <x v="0"/>
    <x v="0"/>
    <x v="0"/>
    <x v="1"/>
    <x v="0"/>
  </r>
  <r>
    <n v="1101"/>
    <x v="0"/>
    <x v="1"/>
    <s v="N"/>
    <n v="5550"/>
    <n v="168"/>
    <n v="-52"/>
    <n v="-53"/>
    <x v="0"/>
    <x v="0"/>
    <n v="0"/>
    <n v="0"/>
    <n v="0"/>
    <n v="0"/>
    <n v="0"/>
    <n v="0"/>
    <n v="0"/>
    <n v="0"/>
    <n v="0"/>
    <x v="0"/>
    <x v="0"/>
    <x v="0"/>
    <x v="1"/>
    <x v="0"/>
  </r>
  <r>
    <n v="1102"/>
    <x v="0"/>
    <x v="1"/>
    <s v="N"/>
    <n v="7560"/>
    <n v="133"/>
    <n v="-34"/>
    <n v="-47"/>
    <x v="0"/>
    <x v="1"/>
    <n v="0"/>
    <n v="1"/>
    <n v="0"/>
    <n v="0"/>
    <n v="0"/>
    <n v="0"/>
    <n v="0"/>
    <n v="4000"/>
    <n v="4000"/>
    <x v="0"/>
    <x v="0"/>
    <x v="0"/>
    <x v="1"/>
    <x v="0"/>
  </r>
  <r>
    <n v="1103"/>
    <x v="0"/>
    <x v="0"/>
    <s v="N"/>
    <n v="3610"/>
    <n v="154"/>
    <n v="-67"/>
    <n v="-55"/>
    <x v="0"/>
    <x v="0"/>
    <n v="0"/>
    <n v="0"/>
    <n v="0"/>
    <n v="0"/>
    <n v="0"/>
    <n v="0"/>
    <n v="0"/>
    <n v="0"/>
    <n v="0"/>
    <x v="0"/>
    <x v="0"/>
    <x v="0"/>
    <x v="1"/>
    <x v="0"/>
  </r>
  <r>
    <n v="1104"/>
    <x v="0"/>
    <x v="0"/>
    <s v="N"/>
    <n v="4490"/>
    <n v="177"/>
    <n v="-60"/>
    <n v="-49"/>
    <x v="0"/>
    <x v="0"/>
    <n v="0"/>
    <n v="0"/>
    <n v="0"/>
    <n v="0"/>
    <n v="0"/>
    <n v="0"/>
    <n v="0"/>
    <n v="0"/>
    <n v="0"/>
    <x v="0"/>
    <x v="0"/>
    <x v="0"/>
    <x v="1"/>
    <x v="0"/>
  </r>
  <r>
    <n v="1105"/>
    <x v="0"/>
    <x v="0"/>
    <s v="N"/>
    <n v="3100"/>
    <n v="184"/>
    <n v="-72"/>
    <n v="-47"/>
    <x v="0"/>
    <x v="0"/>
    <n v="0"/>
    <n v="0"/>
    <n v="0"/>
    <n v="0"/>
    <n v="0"/>
    <n v="0"/>
    <n v="0"/>
    <n v="0"/>
    <n v="0"/>
    <x v="0"/>
    <x v="0"/>
    <x v="0"/>
    <x v="1"/>
    <x v="0"/>
  </r>
  <r>
    <n v="1106"/>
    <x v="0"/>
    <x v="0"/>
    <s v="W"/>
    <n v="18470"/>
    <n v="525"/>
    <n v="-46"/>
    <n v="-41"/>
    <x v="0"/>
    <x v="0"/>
    <n v="0"/>
    <n v="0"/>
    <n v="0"/>
    <n v="0"/>
    <n v="0"/>
    <n v="0"/>
    <n v="0"/>
    <n v="0"/>
    <n v="0"/>
    <x v="0"/>
    <x v="0"/>
    <x v="1"/>
    <x v="0"/>
    <x v="0"/>
  </r>
  <r>
    <n v="1107"/>
    <x v="0"/>
    <x v="0"/>
    <s v="W"/>
    <n v="17220"/>
    <n v="529"/>
    <n v="-50"/>
    <n v="-41"/>
    <x v="0"/>
    <x v="0"/>
    <n v="0"/>
    <n v="0"/>
    <n v="0"/>
    <n v="0"/>
    <n v="0"/>
    <n v="0"/>
    <n v="0"/>
    <n v="0"/>
    <n v="0"/>
    <x v="0"/>
    <x v="0"/>
    <x v="1"/>
    <x v="0"/>
    <x v="0"/>
  </r>
  <r>
    <n v="1108"/>
    <x v="0"/>
    <x v="0"/>
    <s v="W"/>
    <n v="25010"/>
    <n v="524"/>
    <n v="-27"/>
    <n v="-41"/>
    <x v="0"/>
    <x v="0"/>
    <n v="0"/>
    <n v="0"/>
    <n v="0"/>
    <n v="0"/>
    <n v="0"/>
    <n v="0"/>
    <n v="0"/>
    <n v="0"/>
    <n v="0"/>
    <x v="0"/>
    <x v="0"/>
    <x v="1"/>
    <x v="0"/>
    <x v="0"/>
  </r>
  <r>
    <n v="1109"/>
    <x v="0"/>
    <x v="0"/>
    <s v="W"/>
    <n v="17540"/>
    <n v="252"/>
    <n v="-23"/>
    <n v="-48"/>
    <x v="0"/>
    <x v="0"/>
    <n v="0"/>
    <n v="0"/>
    <n v="0"/>
    <n v="0"/>
    <n v="0"/>
    <n v="0"/>
    <n v="0"/>
    <n v="0"/>
    <n v="0"/>
    <x v="0"/>
    <x v="0"/>
    <x v="1"/>
    <x v="0"/>
    <x v="0"/>
  </r>
  <r>
    <n v="1110"/>
    <x v="0"/>
    <x v="0"/>
    <s v="W"/>
    <n v="15170"/>
    <n v="414"/>
    <n v="-56"/>
    <n v="-54"/>
    <x v="0"/>
    <x v="0"/>
    <n v="0"/>
    <n v="0"/>
    <n v="0"/>
    <n v="0"/>
    <n v="0"/>
    <n v="0"/>
    <n v="0"/>
    <n v="0"/>
    <n v="0"/>
    <x v="0"/>
    <x v="0"/>
    <x v="1"/>
    <x v="0"/>
    <x v="0"/>
  </r>
  <r>
    <n v="1111"/>
    <x v="0"/>
    <x v="0"/>
    <s v="W"/>
    <n v="79240"/>
    <n v="1381"/>
    <n v="124"/>
    <n v="47"/>
    <x v="0"/>
    <x v="0"/>
    <n v="0"/>
    <n v="0"/>
    <n v="0"/>
    <n v="0"/>
    <n v="0"/>
    <n v="0"/>
    <n v="0"/>
    <n v="0"/>
    <n v="0"/>
    <x v="1"/>
    <x v="1"/>
    <x v="1"/>
    <x v="0"/>
    <x v="0"/>
  </r>
  <r>
    <n v="1112"/>
    <x v="0"/>
    <x v="0"/>
    <s v="W"/>
    <n v="103380"/>
    <n v="2701"/>
    <n v="193"/>
    <n v="187"/>
    <x v="0"/>
    <x v="1"/>
    <n v="0"/>
    <n v="0"/>
    <n v="0"/>
    <n v="1"/>
    <n v="0"/>
    <n v="0"/>
    <n v="0"/>
    <n v="200000"/>
    <n v="200000"/>
    <x v="0"/>
    <x v="0"/>
    <x v="1"/>
    <x v="2"/>
    <x v="0"/>
  </r>
  <r>
    <n v="1113"/>
    <x v="0"/>
    <x v="0"/>
    <s v="W"/>
    <n v="38230"/>
    <n v="835"/>
    <n v="61"/>
    <n v="63"/>
    <x v="0"/>
    <x v="0"/>
    <n v="0"/>
    <n v="0"/>
    <n v="0"/>
    <n v="0"/>
    <n v="0"/>
    <n v="0"/>
    <n v="0"/>
    <n v="0"/>
    <n v="0"/>
    <x v="0"/>
    <x v="0"/>
    <x v="1"/>
    <x v="0"/>
    <x v="0"/>
  </r>
  <r>
    <n v="1114"/>
    <x v="0"/>
    <x v="0"/>
    <s v="W"/>
    <n v="43380"/>
    <n v="693"/>
    <n v="83"/>
    <n v="36"/>
    <x v="0"/>
    <x v="0"/>
    <n v="0"/>
    <n v="0"/>
    <n v="0"/>
    <n v="0"/>
    <n v="0"/>
    <n v="0"/>
    <n v="0"/>
    <n v="0"/>
    <n v="0"/>
    <x v="0"/>
    <x v="0"/>
    <x v="1"/>
    <x v="0"/>
    <x v="0"/>
  </r>
  <r>
    <n v="1115"/>
    <x v="0"/>
    <x v="0"/>
    <s v="W"/>
    <n v="26450"/>
    <n v="529"/>
    <n v="12"/>
    <n v="3"/>
    <x v="0"/>
    <x v="0"/>
    <n v="0"/>
    <n v="0"/>
    <n v="0"/>
    <n v="0"/>
    <n v="0"/>
    <n v="0"/>
    <n v="0"/>
    <n v="0"/>
    <n v="0"/>
    <x v="0"/>
    <x v="0"/>
    <x v="1"/>
    <x v="0"/>
    <x v="0"/>
  </r>
  <r>
    <n v="1116"/>
    <x v="0"/>
    <x v="0"/>
    <s v="W"/>
    <n v="27450"/>
    <n v="512"/>
    <n v="16"/>
    <n v="0"/>
    <x v="0"/>
    <x v="1"/>
    <n v="1"/>
    <n v="0"/>
    <n v="0"/>
    <n v="0"/>
    <n v="0"/>
    <n v="0"/>
    <n v="0"/>
    <n v="300"/>
    <n v="300"/>
    <x v="0"/>
    <x v="0"/>
    <x v="1"/>
    <x v="0"/>
    <x v="0"/>
  </r>
  <r>
    <n v="1117"/>
    <x v="0"/>
    <x v="0"/>
    <s v="W"/>
    <n v="25750"/>
    <n v="494"/>
    <n v="9"/>
    <n v="-3"/>
    <x v="0"/>
    <x v="0"/>
    <n v="0"/>
    <n v="0"/>
    <n v="0"/>
    <n v="0"/>
    <n v="0"/>
    <n v="0"/>
    <n v="0"/>
    <n v="0"/>
    <n v="0"/>
    <x v="0"/>
    <x v="0"/>
    <x v="1"/>
    <x v="0"/>
    <x v="0"/>
  </r>
  <r>
    <n v="1118"/>
    <x v="0"/>
    <x v="0"/>
    <s v="W"/>
    <n v="23310"/>
    <n v="242"/>
    <n v="-2"/>
    <n v="-53"/>
    <x v="0"/>
    <x v="1"/>
    <n v="1"/>
    <n v="0"/>
    <n v="0"/>
    <n v="0"/>
    <n v="0"/>
    <n v="0"/>
    <n v="0"/>
    <n v="700"/>
    <n v="700"/>
    <x v="0"/>
    <x v="0"/>
    <x v="1"/>
    <x v="0"/>
    <x v="0"/>
  </r>
  <r>
    <n v="1119"/>
    <x v="1"/>
    <x v="0"/>
    <s v="W"/>
    <n v="26170"/>
    <n v="388"/>
    <n v="23"/>
    <n v="-19"/>
    <x v="0"/>
    <x v="0"/>
    <n v="0"/>
    <n v="0"/>
    <n v="0"/>
    <n v="0"/>
    <n v="0"/>
    <n v="0"/>
    <n v="0"/>
    <n v="0"/>
    <n v="0"/>
    <x v="0"/>
    <x v="0"/>
    <x v="1"/>
    <x v="0"/>
    <x v="0"/>
  </r>
  <r>
    <n v="1120"/>
    <x v="1"/>
    <x v="0"/>
    <s v="W"/>
    <n v="42450"/>
    <n v="429"/>
    <n v="99"/>
    <n v="-10"/>
    <x v="0"/>
    <x v="0"/>
    <n v="0"/>
    <n v="0"/>
    <n v="0"/>
    <n v="0"/>
    <n v="0"/>
    <n v="0"/>
    <n v="0"/>
    <n v="0"/>
    <n v="0"/>
    <x v="0"/>
    <x v="0"/>
    <x v="1"/>
    <x v="0"/>
    <x v="0"/>
  </r>
  <r>
    <n v="1121"/>
    <x v="1"/>
    <x v="0"/>
    <s v="W"/>
    <n v="63560"/>
    <n v="317"/>
    <n v="198"/>
    <n v="-33"/>
    <x v="0"/>
    <x v="0"/>
    <n v="0"/>
    <n v="0"/>
    <n v="0"/>
    <n v="0"/>
    <n v="0"/>
    <n v="0"/>
    <n v="0"/>
    <n v="0"/>
    <n v="0"/>
    <x v="0"/>
    <x v="0"/>
    <x v="1"/>
    <x v="0"/>
    <x v="0"/>
  </r>
  <r>
    <n v="1122"/>
    <x v="1"/>
    <x v="0"/>
    <s v="W"/>
    <n v="58720"/>
    <n v="513"/>
    <n v="175"/>
    <n v="8"/>
    <x v="0"/>
    <x v="0"/>
    <n v="0"/>
    <n v="0"/>
    <n v="0"/>
    <n v="0"/>
    <n v="0"/>
    <n v="0"/>
    <n v="0"/>
    <n v="0"/>
    <n v="0"/>
    <x v="0"/>
    <x v="0"/>
    <x v="1"/>
    <x v="0"/>
    <x v="0"/>
  </r>
  <r>
    <n v="1123"/>
    <x v="1"/>
    <x v="0"/>
    <s v="W"/>
    <n v="31010"/>
    <n v="512"/>
    <n v="45"/>
    <n v="7"/>
    <x v="0"/>
    <x v="0"/>
    <n v="0"/>
    <n v="0"/>
    <n v="0"/>
    <n v="0"/>
    <n v="0"/>
    <n v="0"/>
    <n v="0"/>
    <n v="0"/>
    <n v="0"/>
    <x v="0"/>
    <x v="0"/>
    <x v="1"/>
    <x v="0"/>
    <x v="0"/>
  </r>
  <r>
    <n v="1124"/>
    <x v="1"/>
    <x v="0"/>
    <s v="W"/>
    <n v="31450"/>
    <n v="286"/>
    <n v="47"/>
    <n v="-40"/>
    <x v="0"/>
    <x v="0"/>
    <n v="0"/>
    <n v="0"/>
    <n v="0"/>
    <n v="0"/>
    <n v="0"/>
    <n v="0"/>
    <n v="0"/>
    <n v="0"/>
    <n v="0"/>
    <x v="0"/>
    <x v="0"/>
    <x v="1"/>
    <x v="0"/>
    <x v="0"/>
  </r>
  <r>
    <n v="1125"/>
    <x v="1"/>
    <x v="0"/>
    <s v="W"/>
    <n v="31310"/>
    <n v="504"/>
    <n v="47"/>
    <n v="6"/>
    <x v="0"/>
    <x v="0"/>
    <n v="0"/>
    <n v="0"/>
    <n v="0"/>
    <n v="0"/>
    <n v="0"/>
    <n v="0"/>
    <n v="0"/>
    <n v="0"/>
    <n v="0"/>
    <x v="0"/>
    <x v="0"/>
    <x v="1"/>
    <x v="0"/>
    <x v="0"/>
  </r>
  <r>
    <n v="1126"/>
    <x v="1"/>
    <x v="0"/>
    <s v="W"/>
    <n v="27020"/>
    <n v="294"/>
    <n v="334"/>
    <n v="-5"/>
    <x v="1"/>
    <x v="0"/>
    <n v="0"/>
    <n v="0"/>
    <n v="0"/>
    <n v="0"/>
    <n v="0"/>
    <n v="0"/>
    <n v="0"/>
    <n v="0"/>
    <n v="0"/>
    <x v="0"/>
    <x v="0"/>
    <x v="1"/>
    <x v="0"/>
    <x v="0"/>
  </r>
  <r>
    <n v="1127"/>
    <x v="0"/>
    <x v="0"/>
    <s v="N"/>
    <n v="10160"/>
    <n v="278"/>
    <n v="-5"/>
    <n v="15"/>
    <x v="0"/>
    <x v="0"/>
    <n v="0"/>
    <n v="0"/>
    <n v="0"/>
    <n v="0"/>
    <n v="0"/>
    <n v="0"/>
    <n v="0"/>
    <n v="0"/>
    <n v="0"/>
    <x v="0"/>
    <x v="0"/>
    <x v="0"/>
    <x v="0"/>
    <x v="0"/>
  </r>
  <r>
    <n v="1128"/>
    <x v="0"/>
    <x v="0"/>
    <s v="N"/>
    <n v="18820"/>
    <n v="299"/>
    <n v="75"/>
    <n v="24"/>
    <x v="0"/>
    <x v="1"/>
    <n v="0"/>
    <n v="1"/>
    <n v="0"/>
    <n v="0"/>
    <n v="0"/>
    <n v="0"/>
    <n v="0"/>
    <n v="4000"/>
    <n v="4000"/>
    <x v="0"/>
    <x v="0"/>
    <x v="0"/>
    <x v="0"/>
    <x v="0"/>
  </r>
  <r>
    <n v="1129"/>
    <x v="0"/>
    <x v="0"/>
    <s v="N"/>
    <n v="13780"/>
    <n v="289"/>
    <n v="28"/>
    <n v="20"/>
    <x v="0"/>
    <x v="0"/>
    <n v="0"/>
    <n v="0"/>
    <n v="0"/>
    <n v="0"/>
    <n v="0"/>
    <n v="0"/>
    <n v="0"/>
    <n v="0"/>
    <n v="0"/>
    <x v="0"/>
    <x v="0"/>
    <x v="0"/>
    <x v="0"/>
    <x v="0"/>
  </r>
  <r>
    <n v="1130"/>
    <x v="0"/>
    <x v="0"/>
    <s v="W"/>
    <n v="14080"/>
    <n v="172"/>
    <n v="-38"/>
    <n v="-65"/>
    <x v="0"/>
    <x v="0"/>
    <n v="0"/>
    <n v="0"/>
    <n v="0"/>
    <n v="0"/>
    <n v="0"/>
    <n v="0"/>
    <n v="0"/>
    <n v="0"/>
    <n v="0"/>
    <x v="0"/>
    <x v="0"/>
    <x v="1"/>
    <x v="0"/>
    <x v="0"/>
  </r>
  <r>
    <n v="1131"/>
    <x v="0"/>
    <x v="0"/>
    <s v="W"/>
    <n v="11690"/>
    <n v="235"/>
    <n v="-48"/>
    <n v="-52"/>
    <x v="0"/>
    <x v="0"/>
    <n v="0"/>
    <n v="0"/>
    <n v="0"/>
    <n v="0"/>
    <n v="0"/>
    <n v="0"/>
    <n v="0"/>
    <n v="0"/>
    <n v="0"/>
    <x v="0"/>
    <x v="0"/>
    <x v="1"/>
    <x v="0"/>
    <x v="0"/>
  </r>
  <r>
    <n v="1132"/>
    <x v="0"/>
    <x v="0"/>
    <s v="W"/>
    <n v="33500"/>
    <n v="231"/>
    <n v="48"/>
    <n v="-53"/>
    <x v="0"/>
    <x v="0"/>
    <n v="0"/>
    <n v="0"/>
    <n v="0"/>
    <n v="0"/>
    <n v="0"/>
    <n v="0"/>
    <n v="0"/>
    <n v="0"/>
    <n v="0"/>
    <x v="0"/>
    <x v="0"/>
    <x v="1"/>
    <x v="0"/>
    <x v="0"/>
  </r>
  <r>
    <n v="1133"/>
    <x v="0"/>
    <x v="0"/>
    <s v="W"/>
    <n v="58190"/>
    <n v="419"/>
    <n v="158"/>
    <n v="-14"/>
    <x v="0"/>
    <x v="0"/>
    <n v="0"/>
    <n v="0"/>
    <n v="0"/>
    <n v="0"/>
    <n v="0"/>
    <n v="0"/>
    <n v="0"/>
    <n v="0"/>
    <n v="0"/>
    <x v="0"/>
    <x v="0"/>
    <x v="1"/>
    <x v="0"/>
    <x v="0"/>
  </r>
  <r>
    <n v="1134"/>
    <x v="0"/>
    <x v="0"/>
    <s v="W"/>
    <n v="31390"/>
    <n v="362"/>
    <n v="39"/>
    <n v="-26"/>
    <x v="0"/>
    <x v="0"/>
    <n v="0"/>
    <n v="0"/>
    <n v="0"/>
    <n v="0"/>
    <n v="0"/>
    <n v="0"/>
    <n v="0"/>
    <n v="0"/>
    <n v="0"/>
    <x v="0"/>
    <x v="0"/>
    <x v="1"/>
    <x v="0"/>
    <x v="0"/>
  </r>
  <r>
    <n v="1135"/>
    <x v="0"/>
    <x v="1"/>
    <s v="W"/>
    <n v="25850"/>
    <n v="476"/>
    <n v="1"/>
    <n v="-6"/>
    <x v="0"/>
    <x v="0"/>
    <n v="0"/>
    <n v="0"/>
    <n v="0"/>
    <n v="0"/>
    <n v="0"/>
    <n v="0"/>
    <n v="0"/>
    <n v="0"/>
    <n v="0"/>
    <x v="0"/>
    <x v="0"/>
    <x v="1"/>
    <x v="0"/>
    <x v="0"/>
  </r>
  <r>
    <n v="1136"/>
    <x v="0"/>
    <x v="1"/>
    <s v="W"/>
    <n v="23040"/>
    <n v="392"/>
    <n v="-10"/>
    <n v="-22"/>
    <x v="0"/>
    <x v="0"/>
    <n v="0"/>
    <n v="0"/>
    <n v="0"/>
    <n v="0"/>
    <n v="0"/>
    <n v="0"/>
    <n v="0"/>
    <n v="0"/>
    <n v="0"/>
    <x v="0"/>
    <x v="0"/>
    <x v="1"/>
    <x v="0"/>
    <x v="0"/>
  </r>
  <r>
    <n v="1137"/>
    <x v="0"/>
    <x v="1"/>
    <s v="W"/>
    <n v="15300"/>
    <n v="295"/>
    <n v="-40"/>
    <n v="-41"/>
    <x v="0"/>
    <x v="0"/>
    <n v="0"/>
    <n v="0"/>
    <n v="0"/>
    <n v="0"/>
    <n v="0"/>
    <n v="0"/>
    <n v="0"/>
    <n v="0"/>
    <n v="0"/>
    <x v="0"/>
    <x v="0"/>
    <x v="1"/>
    <x v="0"/>
    <x v="0"/>
  </r>
  <r>
    <n v="1138"/>
    <x v="0"/>
    <x v="1"/>
    <s v="W"/>
    <n v="14050"/>
    <n v="228"/>
    <n v="-45"/>
    <n v="-55"/>
    <x v="0"/>
    <x v="0"/>
    <n v="0"/>
    <n v="0"/>
    <n v="0"/>
    <n v="0"/>
    <n v="0"/>
    <n v="0"/>
    <n v="0"/>
    <n v="0"/>
    <n v="0"/>
    <x v="0"/>
    <x v="0"/>
    <x v="1"/>
    <x v="0"/>
    <x v="0"/>
  </r>
  <r>
    <n v="1139"/>
    <x v="0"/>
    <x v="1"/>
    <s v="W"/>
    <n v="9450"/>
    <n v="209"/>
    <n v="-63"/>
    <n v="-59"/>
    <x v="0"/>
    <x v="0"/>
    <n v="0"/>
    <n v="0"/>
    <n v="0"/>
    <n v="0"/>
    <n v="0"/>
    <n v="0"/>
    <n v="0"/>
    <n v="0"/>
    <n v="0"/>
    <x v="0"/>
    <x v="0"/>
    <x v="1"/>
    <x v="1"/>
    <x v="0"/>
  </r>
  <r>
    <n v="1140"/>
    <x v="0"/>
    <x v="1"/>
    <s v="W"/>
    <n v="36250"/>
    <n v="361"/>
    <n v="42"/>
    <n v="-28"/>
    <x v="0"/>
    <x v="0"/>
    <n v="0"/>
    <n v="0"/>
    <n v="0"/>
    <n v="0"/>
    <n v="0"/>
    <n v="0"/>
    <n v="0"/>
    <n v="0"/>
    <n v="0"/>
    <x v="0"/>
    <x v="0"/>
    <x v="1"/>
    <x v="0"/>
    <x v="0"/>
  </r>
  <r>
    <n v="1141"/>
    <x v="0"/>
    <x v="1"/>
    <s v="W"/>
    <n v="24570"/>
    <n v="327"/>
    <n v="-4"/>
    <n v="-35"/>
    <x v="0"/>
    <x v="0"/>
    <n v="0"/>
    <n v="0"/>
    <n v="0"/>
    <n v="0"/>
    <n v="0"/>
    <n v="0"/>
    <n v="0"/>
    <n v="0"/>
    <n v="0"/>
    <x v="0"/>
    <x v="0"/>
    <x v="1"/>
    <x v="0"/>
    <x v="0"/>
  </r>
  <r>
    <n v="1142"/>
    <x v="0"/>
    <x v="1"/>
    <s v="W"/>
    <n v="26860"/>
    <n v="319"/>
    <n v="5"/>
    <n v="-37"/>
    <x v="0"/>
    <x v="0"/>
    <n v="0"/>
    <n v="0"/>
    <n v="0"/>
    <n v="0"/>
    <n v="0"/>
    <n v="0"/>
    <n v="0"/>
    <n v="0"/>
    <n v="0"/>
    <x v="0"/>
    <x v="0"/>
    <x v="1"/>
    <x v="0"/>
    <x v="0"/>
  </r>
  <r>
    <n v="1143"/>
    <x v="0"/>
    <x v="1"/>
    <s v="W"/>
    <n v="16000"/>
    <n v="313"/>
    <n v="-38"/>
    <n v="-36"/>
    <x v="0"/>
    <x v="0"/>
    <n v="0"/>
    <n v="0"/>
    <n v="0"/>
    <n v="0"/>
    <n v="0"/>
    <n v="0"/>
    <n v="0"/>
    <n v="0"/>
    <n v="0"/>
    <x v="0"/>
    <x v="0"/>
    <x v="1"/>
    <x v="0"/>
    <x v="0"/>
  </r>
  <r>
    <n v="1144"/>
    <x v="0"/>
    <x v="1"/>
    <s v="W"/>
    <n v="21860"/>
    <n v="196"/>
    <n v="-16"/>
    <n v="-60"/>
    <x v="0"/>
    <x v="0"/>
    <n v="0"/>
    <n v="0"/>
    <n v="0"/>
    <n v="0"/>
    <n v="0"/>
    <n v="0"/>
    <n v="0"/>
    <n v="0"/>
    <n v="0"/>
    <x v="0"/>
    <x v="0"/>
    <x v="1"/>
    <x v="0"/>
    <x v="0"/>
  </r>
  <r>
    <n v="1145"/>
    <x v="0"/>
    <x v="1"/>
    <s v="W"/>
    <n v="12900"/>
    <n v="201"/>
    <n v="-50"/>
    <n v="-59"/>
    <x v="0"/>
    <x v="0"/>
    <n v="0"/>
    <n v="0"/>
    <n v="0"/>
    <n v="0"/>
    <n v="0"/>
    <n v="0"/>
    <n v="0"/>
    <n v="0"/>
    <n v="0"/>
    <x v="0"/>
    <x v="0"/>
    <x v="1"/>
    <x v="0"/>
    <x v="0"/>
  </r>
  <r>
    <n v="1146"/>
    <x v="0"/>
    <x v="1"/>
    <s v="W"/>
    <n v="27590"/>
    <n v="314"/>
    <n v="6"/>
    <n v="-35"/>
    <x v="0"/>
    <x v="0"/>
    <n v="0"/>
    <n v="0"/>
    <n v="0"/>
    <n v="0"/>
    <n v="0"/>
    <n v="0"/>
    <n v="0"/>
    <n v="0"/>
    <n v="0"/>
    <x v="0"/>
    <x v="0"/>
    <x v="1"/>
    <x v="0"/>
    <x v="0"/>
  </r>
  <r>
    <n v="1147"/>
    <x v="0"/>
    <x v="1"/>
    <s v="W"/>
    <n v="15010"/>
    <n v="368"/>
    <n v="-42"/>
    <n v="-24"/>
    <x v="0"/>
    <x v="1"/>
    <n v="1"/>
    <n v="0"/>
    <n v="0"/>
    <n v="0"/>
    <n v="0"/>
    <n v="0"/>
    <n v="0"/>
    <n v="800"/>
    <n v="800"/>
    <x v="0"/>
    <x v="0"/>
    <x v="1"/>
    <x v="0"/>
    <x v="0"/>
  </r>
  <r>
    <n v="1148"/>
    <x v="0"/>
    <x v="1"/>
    <s v="W"/>
    <n v="9970"/>
    <n v="323"/>
    <n v="-62"/>
    <n v="-33"/>
    <x v="0"/>
    <x v="0"/>
    <n v="0"/>
    <n v="0"/>
    <n v="0"/>
    <n v="0"/>
    <n v="0"/>
    <n v="0"/>
    <n v="0"/>
    <n v="0"/>
    <n v="0"/>
    <x v="0"/>
    <x v="0"/>
    <x v="1"/>
    <x v="1"/>
    <x v="0"/>
  </r>
  <r>
    <n v="1149"/>
    <x v="0"/>
    <x v="1"/>
    <s v="W"/>
    <n v="18970"/>
    <n v="301"/>
    <n v="-27"/>
    <n v="-38"/>
    <x v="0"/>
    <x v="1"/>
    <n v="0"/>
    <n v="1"/>
    <n v="0"/>
    <n v="0"/>
    <n v="0"/>
    <n v="0"/>
    <n v="0"/>
    <n v="1000"/>
    <n v="1000"/>
    <x v="0"/>
    <x v="0"/>
    <x v="1"/>
    <x v="0"/>
    <x v="0"/>
  </r>
  <r>
    <n v="1150"/>
    <x v="0"/>
    <x v="1"/>
    <s v="W"/>
    <n v="13000"/>
    <n v="311"/>
    <n v="-50"/>
    <n v="-36"/>
    <x v="0"/>
    <x v="0"/>
    <n v="0"/>
    <n v="0"/>
    <n v="0"/>
    <n v="0"/>
    <n v="0"/>
    <n v="0"/>
    <n v="0"/>
    <n v="0"/>
    <n v="0"/>
    <x v="0"/>
    <x v="0"/>
    <x v="1"/>
    <x v="0"/>
    <x v="0"/>
  </r>
  <r>
    <n v="1151"/>
    <x v="0"/>
    <x v="1"/>
    <s v="N"/>
    <n v="14970"/>
    <n v="409"/>
    <n v="39"/>
    <n v="69"/>
    <x v="0"/>
    <x v="0"/>
    <n v="0"/>
    <n v="0"/>
    <n v="0"/>
    <n v="0"/>
    <n v="0"/>
    <n v="0"/>
    <n v="0"/>
    <n v="0"/>
    <n v="0"/>
    <x v="0"/>
    <x v="0"/>
    <x v="0"/>
    <x v="0"/>
    <x v="0"/>
  </r>
  <r>
    <n v="1152"/>
    <x v="0"/>
    <x v="1"/>
    <s v="N"/>
    <n v="14390"/>
    <n v="329"/>
    <n v="34"/>
    <n v="36"/>
    <x v="0"/>
    <x v="0"/>
    <n v="0"/>
    <n v="0"/>
    <n v="0"/>
    <n v="0"/>
    <n v="0"/>
    <n v="0"/>
    <n v="0"/>
    <n v="0"/>
    <n v="0"/>
    <x v="0"/>
    <x v="0"/>
    <x v="0"/>
    <x v="0"/>
    <x v="0"/>
  </r>
  <r>
    <n v="1153"/>
    <x v="0"/>
    <x v="1"/>
    <s v="N"/>
    <n v="6790"/>
    <n v="238"/>
    <n v="-37"/>
    <n v="-2"/>
    <x v="0"/>
    <x v="0"/>
    <n v="0"/>
    <n v="0"/>
    <n v="0"/>
    <n v="0"/>
    <n v="0"/>
    <n v="0"/>
    <n v="0"/>
    <n v="0"/>
    <n v="0"/>
    <x v="0"/>
    <x v="0"/>
    <x v="0"/>
    <x v="1"/>
    <x v="0"/>
  </r>
  <r>
    <n v="1154"/>
    <x v="0"/>
    <x v="1"/>
    <s v="W"/>
    <n v="38430"/>
    <n v="406"/>
    <n v="54"/>
    <n v="-10"/>
    <x v="0"/>
    <x v="0"/>
    <n v="0"/>
    <n v="0"/>
    <n v="0"/>
    <n v="0"/>
    <n v="0"/>
    <n v="0"/>
    <n v="0"/>
    <n v="0"/>
    <n v="0"/>
    <x v="0"/>
    <x v="0"/>
    <x v="1"/>
    <x v="0"/>
    <x v="0"/>
  </r>
  <r>
    <n v="1155"/>
    <x v="0"/>
    <x v="1"/>
    <s v="W"/>
    <n v="29380"/>
    <n v="381"/>
    <n v="18"/>
    <n v="-15"/>
    <x v="0"/>
    <x v="0"/>
    <n v="0"/>
    <n v="0"/>
    <n v="0"/>
    <n v="0"/>
    <n v="0"/>
    <n v="0"/>
    <n v="0"/>
    <n v="0"/>
    <n v="0"/>
    <x v="0"/>
    <x v="0"/>
    <x v="1"/>
    <x v="0"/>
    <x v="0"/>
  </r>
  <r>
    <n v="1156"/>
    <x v="0"/>
    <x v="1"/>
    <s v="W"/>
    <n v="35720"/>
    <n v="306"/>
    <n v="43"/>
    <n v="-32"/>
    <x v="0"/>
    <x v="0"/>
    <n v="0"/>
    <n v="0"/>
    <n v="0"/>
    <n v="0"/>
    <n v="0"/>
    <n v="0"/>
    <n v="0"/>
    <n v="0"/>
    <n v="0"/>
    <x v="0"/>
    <x v="0"/>
    <x v="1"/>
    <x v="0"/>
    <x v="0"/>
  </r>
  <r>
    <n v="1157"/>
    <x v="0"/>
    <x v="1"/>
    <s v="W"/>
    <n v="22990"/>
    <n v="395"/>
    <n v="-8"/>
    <n v="-12"/>
    <x v="0"/>
    <x v="0"/>
    <n v="0"/>
    <n v="0"/>
    <n v="0"/>
    <n v="0"/>
    <n v="0"/>
    <n v="0"/>
    <n v="0"/>
    <n v="0"/>
    <n v="0"/>
    <x v="0"/>
    <x v="0"/>
    <x v="1"/>
    <x v="0"/>
    <x v="0"/>
  </r>
  <r>
    <n v="1158"/>
    <x v="0"/>
    <x v="1"/>
    <s v="W"/>
    <n v="15190"/>
    <n v="367"/>
    <n v="-39"/>
    <n v="-18"/>
    <x v="0"/>
    <x v="0"/>
    <n v="0"/>
    <n v="0"/>
    <n v="0"/>
    <n v="0"/>
    <n v="0"/>
    <n v="0"/>
    <n v="0"/>
    <n v="0"/>
    <n v="0"/>
    <x v="0"/>
    <x v="0"/>
    <x v="1"/>
    <x v="0"/>
    <x v="0"/>
  </r>
  <r>
    <n v="1159"/>
    <x v="0"/>
    <x v="1"/>
    <s v="W"/>
    <n v="34750"/>
    <n v="368"/>
    <n v="36"/>
    <n v="-17"/>
    <x v="0"/>
    <x v="0"/>
    <n v="0"/>
    <n v="0"/>
    <n v="0"/>
    <n v="0"/>
    <n v="0"/>
    <n v="0"/>
    <n v="0"/>
    <n v="0"/>
    <n v="0"/>
    <x v="0"/>
    <x v="0"/>
    <x v="1"/>
    <x v="0"/>
    <x v="0"/>
  </r>
  <r>
    <n v="1160"/>
    <x v="0"/>
    <x v="1"/>
    <s v="W"/>
    <n v="84880"/>
    <n v="807"/>
    <n v="233"/>
    <n v="82"/>
    <x v="0"/>
    <x v="1"/>
    <n v="1"/>
    <n v="0"/>
    <n v="0"/>
    <n v="0"/>
    <n v="0"/>
    <n v="0"/>
    <n v="0"/>
    <n v="800"/>
    <n v="800"/>
    <x v="0"/>
    <x v="0"/>
    <x v="1"/>
    <x v="0"/>
    <x v="0"/>
  </r>
  <r>
    <n v="1161"/>
    <x v="0"/>
    <x v="1"/>
    <s v="W"/>
    <n v="45560"/>
    <n v="591"/>
    <n v="79"/>
    <n v="33"/>
    <x v="0"/>
    <x v="0"/>
    <n v="0"/>
    <n v="0"/>
    <n v="0"/>
    <n v="0"/>
    <n v="0"/>
    <n v="0"/>
    <n v="0"/>
    <n v="0"/>
    <n v="0"/>
    <x v="0"/>
    <x v="0"/>
    <x v="1"/>
    <x v="0"/>
    <x v="0"/>
  </r>
  <r>
    <n v="1162"/>
    <x v="0"/>
    <x v="1"/>
    <s v="W"/>
    <n v="36940"/>
    <n v="439"/>
    <n v="45"/>
    <n v="-1"/>
    <x v="0"/>
    <x v="0"/>
    <n v="0"/>
    <n v="0"/>
    <n v="0"/>
    <n v="0"/>
    <n v="0"/>
    <n v="0"/>
    <n v="0"/>
    <n v="0"/>
    <n v="0"/>
    <x v="0"/>
    <x v="0"/>
    <x v="1"/>
    <x v="0"/>
    <x v="0"/>
  </r>
  <r>
    <n v="1163"/>
    <x v="0"/>
    <x v="1"/>
    <s v="W"/>
    <n v="28960"/>
    <n v="444"/>
    <n v="14"/>
    <n v="0"/>
    <x v="0"/>
    <x v="1"/>
    <n v="1"/>
    <n v="0"/>
    <n v="0"/>
    <n v="0"/>
    <n v="0"/>
    <n v="0"/>
    <n v="0"/>
    <n v="300"/>
    <n v="300"/>
    <x v="0"/>
    <x v="0"/>
    <x v="1"/>
    <x v="0"/>
    <x v="0"/>
  </r>
  <r>
    <n v="1164"/>
    <x v="0"/>
    <x v="1"/>
    <s v="W"/>
    <n v="22260"/>
    <n v="493"/>
    <n v="-13"/>
    <n v="11"/>
    <x v="0"/>
    <x v="1"/>
    <n v="1"/>
    <n v="0"/>
    <n v="0"/>
    <n v="0"/>
    <n v="0"/>
    <n v="0"/>
    <n v="0"/>
    <n v="900"/>
    <n v="900"/>
    <x v="0"/>
    <x v="0"/>
    <x v="1"/>
    <x v="0"/>
    <x v="0"/>
  </r>
  <r>
    <n v="1165"/>
    <x v="0"/>
    <x v="1"/>
    <s v="W"/>
    <n v="14370"/>
    <n v="338"/>
    <n v="-44"/>
    <n v="-24"/>
    <x v="0"/>
    <x v="1"/>
    <n v="1"/>
    <n v="0"/>
    <n v="0"/>
    <n v="0"/>
    <n v="0"/>
    <n v="0"/>
    <n v="0"/>
    <n v="400"/>
    <n v="400"/>
    <x v="0"/>
    <x v="0"/>
    <x v="1"/>
    <x v="0"/>
    <x v="0"/>
  </r>
  <r>
    <n v="1166"/>
    <x v="0"/>
    <x v="1"/>
    <s v="W"/>
    <n v="16480"/>
    <n v="401"/>
    <n v="-35"/>
    <n v="-10"/>
    <x v="0"/>
    <x v="0"/>
    <n v="0"/>
    <n v="0"/>
    <n v="0"/>
    <n v="0"/>
    <n v="0"/>
    <n v="0"/>
    <n v="0"/>
    <n v="0"/>
    <n v="0"/>
    <x v="0"/>
    <x v="0"/>
    <x v="1"/>
    <x v="0"/>
    <x v="0"/>
  </r>
  <r>
    <n v="1167"/>
    <x v="0"/>
    <x v="1"/>
    <s v="N"/>
    <n v="14300"/>
    <n v="275"/>
    <n v="33"/>
    <n v="14"/>
    <x v="0"/>
    <x v="0"/>
    <n v="0"/>
    <n v="0"/>
    <n v="0"/>
    <n v="0"/>
    <n v="0"/>
    <n v="0"/>
    <n v="0"/>
    <n v="0"/>
    <n v="0"/>
    <x v="0"/>
    <x v="0"/>
    <x v="0"/>
    <x v="0"/>
    <x v="0"/>
  </r>
  <r>
    <n v="1168"/>
    <x v="0"/>
    <x v="1"/>
    <s v="N"/>
    <n v="12280"/>
    <n v="290"/>
    <n v="14"/>
    <n v="20"/>
    <x v="0"/>
    <x v="0"/>
    <n v="0"/>
    <n v="0"/>
    <n v="0"/>
    <n v="0"/>
    <n v="0"/>
    <n v="0"/>
    <n v="0"/>
    <n v="0"/>
    <n v="0"/>
    <x v="0"/>
    <x v="0"/>
    <x v="0"/>
    <x v="0"/>
    <x v="0"/>
  </r>
  <r>
    <n v="1169"/>
    <x v="0"/>
    <x v="1"/>
    <s v="N"/>
    <n v="11140"/>
    <n v="295"/>
    <n v="4"/>
    <n v="22"/>
    <x v="0"/>
    <x v="0"/>
    <n v="0"/>
    <n v="0"/>
    <n v="0"/>
    <n v="0"/>
    <n v="0"/>
    <n v="0"/>
    <n v="0"/>
    <n v="0"/>
    <n v="0"/>
    <x v="0"/>
    <x v="0"/>
    <x v="0"/>
    <x v="0"/>
    <x v="0"/>
  </r>
  <r>
    <n v="1170"/>
    <x v="0"/>
    <x v="1"/>
    <s v="N"/>
    <n v="4500"/>
    <n v="207"/>
    <n v="-58"/>
    <n v="-14"/>
    <x v="0"/>
    <x v="0"/>
    <n v="0"/>
    <n v="0"/>
    <n v="0"/>
    <n v="0"/>
    <n v="0"/>
    <n v="0"/>
    <n v="0"/>
    <n v="0"/>
    <n v="0"/>
    <x v="0"/>
    <x v="0"/>
    <x v="0"/>
    <x v="1"/>
    <x v="0"/>
  </r>
  <r>
    <n v="1171"/>
    <x v="0"/>
    <x v="1"/>
    <s v="N"/>
    <n v="7400"/>
    <n v="206"/>
    <n v="-31"/>
    <n v="-15"/>
    <x v="0"/>
    <x v="0"/>
    <n v="0"/>
    <n v="0"/>
    <n v="0"/>
    <n v="0"/>
    <n v="0"/>
    <n v="0"/>
    <n v="0"/>
    <n v="0"/>
    <n v="0"/>
    <x v="0"/>
    <x v="0"/>
    <x v="0"/>
    <x v="1"/>
    <x v="0"/>
  </r>
  <r>
    <n v="1172"/>
    <x v="0"/>
    <x v="1"/>
    <s v="N"/>
    <n v="9380"/>
    <n v="234"/>
    <n v="-13"/>
    <n v="-3"/>
    <x v="0"/>
    <x v="0"/>
    <n v="0"/>
    <n v="0"/>
    <n v="0"/>
    <n v="0"/>
    <n v="0"/>
    <n v="0"/>
    <n v="0"/>
    <n v="0"/>
    <n v="0"/>
    <x v="0"/>
    <x v="0"/>
    <x v="0"/>
    <x v="1"/>
    <x v="0"/>
  </r>
  <r>
    <n v="1173"/>
    <x v="0"/>
    <x v="1"/>
    <s v="N"/>
    <n v="11550"/>
    <n v="204"/>
    <n v="8"/>
    <n v="-16"/>
    <x v="0"/>
    <x v="1"/>
    <n v="1"/>
    <n v="0"/>
    <n v="0"/>
    <n v="0"/>
    <n v="0"/>
    <n v="0"/>
    <n v="0"/>
    <n v="600"/>
    <n v="600"/>
    <x v="0"/>
    <x v="0"/>
    <x v="0"/>
    <x v="0"/>
    <x v="0"/>
  </r>
  <r>
    <n v="1174"/>
    <x v="0"/>
    <x v="1"/>
    <s v="N"/>
    <n v="10070"/>
    <n v="243"/>
    <n v="-6"/>
    <n v="0"/>
    <x v="0"/>
    <x v="0"/>
    <n v="0"/>
    <n v="0"/>
    <n v="0"/>
    <n v="0"/>
    <n v="0"/>
    <n v="0"/>
    <n v="0"/>
    <n v="0"/>
    <n v="0"/>
    <x v="0"/>
    <x v="0"/>
    <x v="0"/>
    <x v="0"/>
    <x v="0"/>
  </r>
  <r>
    <n v="1175"/>
    <x v="0"/>
    <x v="1"/>
    <s v="N"/>
    <n v="5940"/>
    <n v="182"/>
    <n v="-41"/>
    <n v="-21"/>
    <x v="0"/>
    <x v="0"/>
    <n v="0"/>
    <n v="0"/>
    <n v="0"/>
    <n v="0"/>
    <n v="0"/>
    <n v="0"/>
    <n v="0"/>
    <n v="0"/>
    <n v="0"/>
    <x v="0"/>
    <x v="0"/>
    <x v="0"/>
    <x v="1"/>
    <x v="0"/>
  </r>
  <r>
    <n v="1176"/>
    <x v="0"/>
    <x v="1"/>
    <s v="N"/>
    <n v="7860"/>
    <n v="165"/>
    <n v="-21"/>
    <n v="-28"/>
    <x v="0"/>
    <x v="0"/>
    <n v="0"/>
    <n v="0"/>
    <n v="0"/>
    <n v="0"/>
    <n v="0"/>
    <n v="0"/>
    <n v="0"/>
    <n v="0"/>
    <n v="0"/>
    <x v="0"/>
    <x v="0"/>
    <x v="0"/>
    <x v="1"/>
    <x v="0"/>
  </r>
  <r>
    <n v="1177"/>
    <x v="0"/>
    <x v="1"/>
    <s v="N"/>
    <n v="5420"/>
    <n v="163"/>
    <n v="-46"/>
    <n v="-29"/>
    <x v="0"/>
    <x v="0"/>
    <n v="0"/>
    <n v="0"/>
    <n v="0"/>
    <n v="0"/>
    <n v="0"/>
    <n v="0"/>
    <n v="0"/>
    <n v="0"/>
    <n v="0"/>
    <x v="0"/>
    <x v="0"/>
    <x v="0"/>
    <x v="1"/>
    <x v="0"/>
  </r>
  <r>
    <n v="1178"/>
    <x v="0"/>
    <x v="1"/>
    <s v="N"/>
    <n v="7440"/>
    <n v="130"/>
    <n v="-26"/>
    <n v="-43"/>
    <x v="0"/>
    <x v="0"/>
    <n v="0"/>
    <n v="0"/>
    <n v="0"/>
    <n v="0"/>
    <n v="0"/>
    <n v="0"/>
    <n v="0"/>
    <n v="0"/>
    <n v="0"/>
    <x v="0"/>
    <x v="0"/>
    <x v="0"/>
    <x v="1"/>
    <x v="0"/>
  </r>
  <r>
    <n v="1179"/>
    <x v="0"/>
    <x v="1"/>
    <s v="N"/>
    <n v="8550"/>
    <n v="205"/>
    <n v="-15"/>
    <n v="-11"/>
    <x v="0"/>
    <x v="0"/>
    <n v="0"/>
    <n v="0"/>
    <n v="0"/>
    <n v="0"/>
    <n v="0"/>
    <n v="0"/>
    <n v="0"/>
    <n v="0"/>
    <n v="0"/>
    <x v="0"/>
    <x v="0"/>
    <x v="0"/>
    <x v="1"/>
    <x v="0"/>
  </r>
  <r>
    <n v="1180"/>
    <x v="0"/>
    <x v="1"/>
    <s v="N"/>
    <n v="11150"/>
    <n v="201"/>
    <n v="11"/>
    <n v="-12"/>
    <x v="0"/>
    <x v="0"/>
    <n v="0"/>
    <n v="0"/>
    <n v="0"/>
    <n v="0"/>
    <n v="0"/>
    <n v="0"/>
    <n v="0"/>
    <n v="0"/>
    <n v="0"/>
    <x v="0"/>
    <x v="0"/>
    <x v="0"/>
    <x v="0"/>
    <x v="0"/>
  </r>
  <r>
    <n v="1181"/>
    <x v="0"/>
    <x v="1"/>
    <s v="N"/>
    <n v="6510"/>
    <n v="187"/>
    <n v="-35"/>
    <n v="-19"/>
    <x v="0"/>
    <x v="0"/>
    <n v="0"/>
    <n v="0"/>
    <n v="0"/>
    <n v="0"/>
    <n v="0"/>
    <n v="0"/>
    <n v="0"/>
    <n v="0"/>
    <n v="0"/>
    <x v="0"/>
    <x v="0"/>
    <x v="0"/>
    <x v="1"/>
    <x v="0"/>
  </r>
  <r>
    <n v="1182"/>
    <x v="0"/>
    <x v="1"/>
    <s v="N"/>
    <n v="5000"/>
    <n v="163"/>
    <n v="-50"/>
    <n v="-29"/>
    <x v="0"/>
    <x v="0"/>
    <n v="0"/>
    <n v="0"/>
    <n v="0"/>
    <n v="0"/>
    <n v="0"/>
    <n v="0"/>
    <n v="0"/>
    <n v="0"/>
    <n v="0"/>
    <x v="0"/>
    <x v="0"/>
    <x v="0"/>
    <x v="1"/>
    <x v="0"/>
  </r>
  <r>
    <n v="1183"/>
    <x v="0"/>
    <x v="1"/>
    <s v="N"/>
    <n v="6550"/>
    <n v="163"/>
    <n v="-33"/>
    <n v="-29"/>
    <x v="0"/>
    <x v="0"/>
    <n v="0"/>
    <n v="0"/>
    <n v="0"/>
    <n v="0"/>
    <n v="0"/>
    <n v="0"/>
    <n v="0"/>
    <n v="0"/>
    <n v="0"/>
    <x v="0"/>
    <x v="0"/>
    <x v="0"/>
    <x v="1"/>
    <x v="0"/>
  </r>
  <r>
    <n v="1184"/>
    <x v="0"/>
    <x v="1"/>
    <s v="N"/>
    <n v="5880"/>
    <n v="175"/>
    <n v="-40"/>
    <n v="-24"/>
    <x v="0"/>
    <x v="0"/>
    <n v="0"/>
    <n v="0"/>
    <n v="0"/>
    <n v="0"/>
    <n v="0"/>
    <n v="0"/>
    <n v="0"/>
    <n v="0"/>
    <n v="0"/>
    <x v="0"/>
    <x v="0"/>
    <x v="0"/>
    <x v="1"/>
    <x v="0"/>
  </r>
  <r>
    <n v="1185"/>
    <x v="0"/>
    <x v="1"/>
    <s v="N"/>
    <n v="8290"/>
    <n v="229"/>
    <n v="-15"/>
    <n v="0"/>
    <x v="0"/>
    <x v="0"/>
    <n v="0"/>
    <n v="0"/>
    <n v="0"/>
    <n v="0"/>
    <n v="0"/>
    <n v="0"/>
    <n v="0"/>
    <n v="0"/>
    <n v="0"/>
    <x v="0"/>
    <x v="0"/>
    <x v="0"/>
    <x v="1"/>
    <x v="0"/>
  </r>
  <r>
    <n v="1186"/>
    <x v="0"/>
    <x v="1"/>
    <s v="N"/>
    <n v="6790"/>
    <n v="194"/>
    <n v="-30"/>
    <n v="-15"/>
    <x v="0"/>
    <x v="0"/>
    <n v="0"/>
    <n v="0"/>
    <n v="0"/>
    <n v="0"/>
    <n v="0"/>
    <n v="0"/>
    <n v="0"/>
    <n v="0"/>
    <n v="0"/>
    <x v="0"/>
    <x v="0"/>
    <x v="0"/>
    <x v="1"/>
    <x v="0"/>
  </r>
  <r>
    <n v="1187"/>
    <x v="0"/>
    <x v="1"/>
    <s v="N"/>
    <n v="7170"/>
    <n v="170"/>
    <n v="-27"/>
    <n v="-26"/>
    <x v="0"/>
    <x v="0"/>
    <n v="0"/>
    <n v="0"/>
    <n v="0"/>
    <n v="0"/>
    <n v="0"/>
    <n v="0"/>
    <n v="0"/>
    <n v="0"/>
    <n v="0"/>
    <x v="0"/>
    <x v="0"/>
    <x v="0"/>
    <x v="1"/>
    <x v="0"/>
  </r>
  <r>
    <n v="1188"/>
    <x v="0"/>
    <x v="1"/>
    <s v="N"/>
    <n v="8780"/>
    <n v="226"/>
    <n v="-10"/>
    <n v="-1"/>
    <x v="0"/>
    <x v="0"/>
    <n v="0"/>
    <n v="0"/>
    <n v="0"/>
    <n v="0"/>
    <n v="0"/>
    <n v="0"/>
    <n v="0"/>
    <n v="0"/>
    <n v="0"/>
    <x v="0"/>
    <x v="0"/>
    <x v="0"/>
    <x v="1"/>
    <x v="0"/>
  </r>
  <r>
    <n v="1189"/>
    <x v="0"/>
    <x v="1"/>
    <s v="W"/>
    <n v="16980"/>
    <n v="451"/>
    <n v="-30"/>
    <n v="-38"/>
    <x v="0"/>
    <x v="0"/>
    <n v="0"/>
    <n v="0"/>
    <n v="0"/>
    <n v="0"/>
    <n v="0"/>
    <n v="0"/>
    <n v="0"/>
    <n v="0"/>
    <n v="0"/>
    <x v="0"/>
    <x v="0"/>
    <x v="1"/>
    <x v="0"/>
    <x v="0"/>
  </r>
  <r>
    <n v="1190"/>
    <x v="0"/>
    <x v="1"/>
    <s v="W"/>
    <n v="21910"/>
    <n v="695"/>
    <n v="-10"/>
    <n v="-4"/>
    <x v="0"/>
    <x v="1"/>
    <n v="1"/>
    <n v="0"/>
    <n v="0"/>
    <n v="0"/>
    <n v="0"/>
    <n v="0"/>
    <n v="0"/>
    <n v="300"/>
    <n v="300"/>
    <x v="0"/>
    <x v="0"/>
    <x v="1"/>
    <x v="0"/>
    <x v="0"/>
  </r>
  <r>
    <n v="1191"/>
    <x v="0"/>
    <x v="1"/>
    <s v="W"/>
    <n v="28130"/>
    <n v="304"/>
    <n v="15"/>
    <n v="-28"/>
    <x v="0"/>
    <x v="1"/>
    <n v="0"/>
    <n v="1"/>
    <n v="0"/>
    <n v="0"/>
    <n v="0"/>
    <n v="0"/>
    <n v="0"/>
    <n v="6000"/>
    <n v="6000"/>
    <x v="0"/>
    <x v="0"/>
    <x v="1"/>
    <x v="0"/>
    <x v="0"/>
  </r>
  <r>
    <n v="1192"/>
    <x v="0"/>
    <x v="1"/>
    <s v="W"/>
    <n v="28210"/>
    <n v="618"/>
    <n v="15"/>
    <n v="47"/>
    <x v="0"/>
    <x v="0"/>
    <n v="0"/>
    <n v="0"/>
    <n v="0"/>
    <n v="0"/>
    <n v="0"/>
    <n v="0"/>
    <n v="0"/>
    <n v="0"/>
    <n v="0"/>
    <x v="0"/>
    <x v="0"/>
    <x v="1"/>
    <x v="0"/>
    <x v="0"/>
  </r>
  <r>
    <n v="1193"/>
    <x v="0"/>
    <x v="1"/>
    <s v="W"/>
    <n v="21060"/>
    <n v="242"/>
    <n v="-14"/>
    <n v="-42"/>
    <x v="0"/>
    <x v="0"/>
    <n v="0"/>
    <n v="0"/>
    <n v="0"/>
    <n v="0"/>
    <n v="0"/>
    <n v="0"/>
    <n v="0"/>
    <n v="0"/>
    <n v="0"/>
    <x v="1"/>
    <x v="1"/>
    <x v="1"/>
    <x v="0"/>
    <x v="0"/>
  </r>
  <r>
    <n v="1194"/>
    <x v="0"/>
    <x v="1"/>
    <s v="W"/>
    <n v="22130"/>
    <n v="390"/>
    <n v="-10"/>
    <n v="-7"/>
    <x v="0"/>
    <x v="2"/>
    <n v="1"/>
    <n v="0"/>
    <n v="1"/>
    <n v="0"/>
    <n v="0"/>
    <n v="0"/>
    <n v="0"/>
    <n v="30300"/>
    <n v="30000"/>
    <x v="0"/>
    <x v="0"/>
    <x v="1"/>
    <x v="0"/>
    <x v="0"/>
  </r>
  <r>
    <n v="1195"/>
    <x v="0"/>
    <x v="1"/>
    <s v="N"/>
    <n v="9860"/>
    <n v="324"/>
    <n v="7"/>
    <n v="46"/>
    <x v="0"/>
    <x v="0"/>
    <n v="0"/>
    <n v="0"/>
    <n v="0"/>
    <n v="0"/>
    <n v="0"/>
    <n v="0"/>
    <n v="0"/>
    <n v="0"/>
    <n v="0"/>
    <x v="0"/>
    <x v="0"/>
    <x v="0"/>
    <x v="1"/>
    <x v="0"/>
  </r>
  <r>
    <n v="1196"/>
    <x v="0"/>
    <x v="1"/>
    <s v="W"/>
    <n v="18830"/>
    <n v="201"/>
    <n v="-23"/>
    <n v="-52"/>
    <x v="0"/>
    <x v="0"/>
    <n v="0"/>
    <n v="0"/>
    <n v="0"/>
    <n v="0"/>
    <n v="0"/>
    <n v="0"/>
    <n v="0"/>
    <n v="0"/>
    <n v="0"/>
    <x v="0"/>
    <x v="0"/>
    <x v="1"/>
    <x v="0"/>
    <x v="0"/>
  </r>
  <r>
    <n v="1197"/>
    <x v="0"/>
    <x v="1"/>
    <s v="W"/>
    <n v="34360"/>
    <n v="604"/>
    <n v="40"/>
    <n v="44"/>
    <x v="0"/>
    <x v="0"/>
    <n v="0"/>
    <n v="0"/>
    <n v="0"/>
    <n v="0"/>
    <n v="0"/>
    <n v="0"/>
    <n v="0"/>
    <n v="0"/>
    <n v="0"/>
    <x v="0"/>
    <x v="0"/>
    <x v="1"/>
    <x v="0"/>
    <x v="0"/>
  </r>
  <r>
    <n v="1198"/>
    <x v="0"/>
    <x v="1"/>
    <s v="N"/>
    <n v="15640"/>
    <n v="517"/>
    <n v="67"/>
    <n v="72"/>
    <x v="0"/>
    <x v="0"/>
    <n v="0"/>
    <n v="0"/>
    <n v="0"/>
    <n v="0"/>
    <n v="0"/>
    <n v="0"/>
    <n v="0"/>
    <n v="0"/>
    <n v="0"/>
    <x v="0"/>
    <x v="0"/>
    <x v="0"/>
    <x v="0"/>
    <x v="0"/>
  </r>
  <r>
    <n v="1199"/>
    <x v="1"/>
    <x v="1"/>
    <s v="N"/>
    <n v="19760"/>
    <n v="445"/>
    <n v="114"/>
    <n v="101"/>
    <x v="0"/>
    <x v="0"/>
    <n v="0"/>
    <n v="0"/>
    <n v="0"/>
    <n v="0"/>
    <n v="0"/>
    <n v="0"/>
    <n v="0"/>
    <n v="0"/>
    <n v="0"/>
    <x v="0"/>
    <x v="0"/>
    <x v="0"/>
    <x v="0"/>
    <x v="0"/>
  </r>
  <r>
    <n v="1200"/>
    <x v="1"/>
    <x v="1"/>
    <s v="N"/>
    <n v="11660"/>
    <n v="330"/>
    <n v="26"/>
    <n v="49"/>
    <x v="0"/>
    <x v="0"/>
    <n v="0"/>
    <n v="0"/>
    <n v="0"/>
    <n v="0"/>
    <n v="0"/>
    <n v="0"/>
    <n v="0"/>
    <n v="0"/>
    <n v="0"/>
    <x v="0"/>
    <x v="0"/>
    <x v="0"/>
    <x v="0"/>
    <x v="0"/>
  </r>
  <r>
    <n v="1201"/>
    <x v="1"/>
    <x v="1"/>
    <s v="W"/>
    <n v="17390"/>
    <n v="278"/>
    <n v="-31"/>
    <n v="-32"/>
    <x v="0"/>
    <x v="1"/>
    <n v="1"/>
    <n v="0"/>
    <n v="0"/>
    <n v="0"/>
    <n v="0"/>
    <n v="0"/>
    <n v="0"/>
    <n v="600"/>
    <n v="600"/>
    <x v="0"/>
    <x v="0"/>
    <x v="1"/>
    <x v="0"/>
    <x v="0"/>
  </r>
  <r>
    <n v="1202"/>
    <x v="1"/>
    <x v="1"/>
    <s v="W"/>
    <n v="41300"/>
    <n v="336"/>
    <n v="64"/>
    <n v="-17"/>
    <x v="0"/>
    <x v="1"/>
    <n v="0"/>
    <n v="1"/>
    <n v="0"/>
    <n v="0"/>
    <n v="0"/>
    <n v="0"/>
    <n v="0"/>
    <n v="4000"/>
    <n v="4000"/>
    <x v="0"/>
    <x v="0"/>
    <x v="1"/>
    <x v="0"/>
    <x v="0"/>
  </r>
  <r>
    <n v="1203"/>
    <x v="1"/>
    <x v="1"/>
    <s v="W"/>
    <n v="26880"/>
    <n v="317"/>
    <n v="6"/>
    <n v="-22"/>
    <x v="0"/>
    <x v="0"/>
    <n v="0"/>
    <n v="0"/>
    <n v="0"/>
    <n v="0"/>
    <n v="0"/>
    <n v="0"/>
    <n v="0"/>
    <n v="0"/>
    <n v="0"/>
    <x v="0"/>
    <x v="0"/>
    <x v="1"/>
    <x v="0"/>
    <x v="0"/>
  </r>
  <r>
    <n v="1204"/>
    <x v="1"/>
    <x v="1"/>
    <s v="W"/>
    <n v="30820"/>
    <n v="389"/>
    <n v="22"/>
    <n v="-4"/>
    <x v="0"/>
    <x v="0"/>
    <n v="0"/>
    <n v="0"/>
    <n v="0"/>
    <n v="0"/>
    <n v="0"/>
    <n v="0"/>
    <n v="0"/>
    <n v="0"/>
    <n v="0"/>
    <x v="0"/>
    <x v="0"/>
    <x v="1"/>
    <x v="0"/>
    <x v="0"/>
  </r>
  <r>
    <n v="1205"/>
    <x v="1"/>
    <x v="1"/>
    <s v="W"/>
    <n v="20610"/>
    <n v="274"/>
    <n v="-18"/>
    <n v="-33"/>
    <x v="0"/>
    <x v="0"/>
    <n v="0"/>
    <n v="0"/>
    <n v="0"/>
    <n v="0"/>
    <n v="0"/>
    <n v="0"/>
    <n v="0"/>
    <n v="0"/>
    <n v="0"/>
    <x v="0"/>
    <x v="0"/>
    <x v="1"/>
    <x v="0"/>
    <x v="0"/>
  </r>
  <r>
    <n v="1206"/>
    <x v="1"/>
    <x v="1"/>
    <s v="W"/>
    <n v="47470"/>
    <n v="466"/>
    <n v="88"/>
    <n v="14"/>
    <x v="0"/>
    <x v="0"/>
    <n v="0"/>
    <n v="0"/>
    <n v="0"/>
    <n v="0"/>
    <n v="0"/>
    <n v="0"/>
    <n v="0"/>
    <n v="0"/>
    <n v="0"/>
    <x v="0"/>
    <x v="0"/>
    <x v="1"/>
    <x v="0"/>
    <x v="0"/>
  </r>
  <r>
    <n v="1207"/>
    <x v="1"/>
    <x v="0"/>
    <s v="W"/>
    <n v="49510"/>
    <n v="521"/>
    <n v="89"/>
    <n v="27"/>
    <x v="0"/>
    <x v="0"/>
    <n v="0"/>
    <n v="0"/>
    <n v="0"/>
    <n v="0"/>
    <n v="0"/>
    <n v="0"/>
    <n v="0"/>
    <n v="0"/>
    <n v="0"/>
    <x v="1"/>
    <x v="1"/>
    <x v="1"/>
    <x v="0"/>
    <x v="0"/>
  </r>
  <r>
    <n v="1208"/>
    <x v="1"/>
    <x v="0"/>
    <s v="W"/>
    <n v="87260"/>
    <n v="2457"/>
    <n v="275"/>
    <n v="258"/>
    <x v="0"/>
    <x v="1"/>
    <n v="0"/>
    <n v="0"/>
    <n v="1"/>
    <n v="0"/>
    <n v="0"/>
    <n v="0"/>
    <n v="0"/>
    <n v="80000"/>
    <n v="80000"/>
    <x v="0"/>
    <x v="0"/>
    <x v="1"/>
    <x v="0"/>
    <x v="0"/>
  </r>
  <r>
    <n v="1209"/>
    <x v="1"/>
    <x v="0"/>
    <s v="W"/>
    <n v="30060"/>
    <n v="1135"/>
    <n v="29"/>
    <n v="66"/>
    <x v="0"/>
    <x v="0"/>
    <n v="0"/>
    <n v="0"/>
    <n v="0"/>
    <n v="0"/>
    <n v="0"/>
    <n v="0"/>
    <n v="0"/>
    <n v="0"/>
    <n v="0"/>
    <x v="0"/>
    <x v="0"/>
    <x v="1"/>
    <x v="0"/>
    <x v="0"/>
  </r>
  <r>
    <n v="1210"/>
    <x v="1"/>
    <x v="0"/>
    <s v="N"/>
    <n v="23670"/>
    <n v="721"/>
    <n v="153"/>
    <n v="140"/>
    <x v="0"/>
    <x v="1"/>
    <n v="1"/>
    <n v="0"/>
    <n v="0"/>
    <n v="0"/>
    <n v="0"/>
    <n v="0"/>
    <n v="0"/>
    <n v="300"/>
    <n v="300"/>
    <x v="0"/>
    <x v="0"/>
    <x v="0"/>
    <x v="0"/>
    <x v="0"/>
  </r>
  <r>
    <n v="1211"/>
    <x v="1"/>
    <x v="0"/>
    <s v="N"/>
    <n v="15600"/>
    <n v="548"/>
    <n v="67"/>
    <n v="83"/>
    <x v="0"/>
    <x v="0"/>
    <n v="0"/>
    <n v="0"/>
    <n v="0"/>
    <n v="0"/>
    <n v="0"/>
    <n v="0"/>
    <n v="0"/>
    <n v="0"/>
    <n v="0"/>
    <x v="0"/>
    <x v="0"/>
    <x v="0"/>
    <x v="0"/>
    <x v="0"/>
  </r>
  <r>
    <n v="1212"/>
    <x v="1"/>
    <x v="0"/>
    <s v="W"/>
    <n v="13520"/>
    <n v="528"/>
    <n v="-42"/>
    <n v="-23"/>
    <x v="0"/>
    <x v="0"/>
    <n v="0"/>
    <n v="0"/>
    <n v="0"/>
    <n v="0"/>
    <n v="0"/>
    <n v="0"/>
    <n v="0"/>
    <n v="0"/>
    <n v="0"/>
    <x v="0"/>
    <x v="0"/>
    <x v="1"/>
    <x v="0"/>
    <x v="0"/>
  </r>
  <r>
    <n v="1213"/>
    <x v="1"/>
    <x v="0"/>
    <s v="W"/>
    <n v="16590"/>
    <n v="324"/>
    <n v="61"/>
    <n v="17"/>
    <x v="0"/>
    <x v="1"/>
    <n v="1"/>
    <n v="0"/>
    <n v="0"/>
    <n v="0"/>
    <n v="0"/>
    <n v="0"/>
    <n v="0"/>
    <n v="300"/>
    <n v="300"/>
    <x v="0"/>
    <x v="0"/>
    <x v="1"/>
    <x v="0"/>
    <x v="0"/>
  </r>
  <r>
    <n v="1214"/>
    <x v="1"/>
    <x v="0"/>
    <s v="W"/>
    <n v="10000"/>
    <n v="208"/>
    <n v="-62"/>
    <n v="-49"/>
    <x v="0"/>
    <x v="1"/>
    <n v="1"/>
    <n v="0"/>
    <n v="0"/>
    <n v="0"/>
    <n v="0"/>
    <n v="0"/>
    <n v="0"/>
    <n v="500"/>
    <n v="500"/>
    <x v="0"/>
    <x v="0"/>
    <x v="1"/>
    <x v="0"/>
    <x v="0"/>
  </r>
  <r>
    <n v="1215"/>
    <x v="1"/>
    <x v="0"/>
    <s v="W"/>
    <n v="19140"/>
    <n v="545"/>
    <n v="-10"/>
    <n v="-12"/>
    <x v="0"/>
    <x v="0"/>
    <n v="0"/>
    <n v="0"/>
    <n v="0"/>
    <n v="0"/>
    <n v="0"/>
    <n v="0"/>
    <n v="0"/>
    <n v="0"/>
    <n v="0"/>
    <x v="0"/>
    <x v="0"/>
    <x v="1"/>
    <x v="0"/>
    <x v="0"/>
  </r>
  <r>
    <n v="1216"/>
    <x v="1"/>
    <x v="0"/>
    <s v="W"/>
    <n v="34020"/>
    <n v="858"/>
    <n v="60"/>
    <n v="38"/>
    <x v="0"/>
    <x v="0"/>
    <n v="0"/>
    <n v="0"/>
    <n v="0"/>
    <n v="0"/>
    <n v="0"/>
    <n v="0"/>
    <n v="0"/>
    <n v="0"/>
    <n v="0"/>
    <x v="0"/>
    <x v="0"/>
    <x v="1"/>
    <x v="0"/>
    <x v="0"/>
  </r>
  <r>
    <n v="1217"/>
    <x v="1"/>
    <x v="0"/>
    <s v="W"/>
    <n v="25400"/>
    <n v="810"/>
    <n v="19"/>
    <n v="31"/>
    <x v="0"/>
    <x v="0"/>
    <n v="0"/>
    <n v="0"/>
    <n v="0"/>
    <n v="0"/>
    <n v="0"/>
    <n v="0"/>
    <n v="0"/>
    <n v="0"/>
    <n v="0"/>
    <x v="0"/>
    <x v="0"/>
    <x v="1"/>
    <x v="0"/>
    <x v="0"/>
  </r>
  <r>
    <n v="1218"/>
    <x v="1"/>
    <x v="0"/>
    <s v="W"/>
    <n v="19910"/>
    <n v="373"/>
    <n v="-24"/>
    <n v="-2"/>
    <x v="0"/>
    <x v="1"/>
    <n v="0"/>
    <n v="1"/>
    <n v="0"/>
    <n v="0"/>
    <n v="0"/>
    <n v="0"/>
    <n v="0"/>
    <n v="5000"/>
    <n v="5000"/>
    <x v="0"/>
    <x v="0"/>
    <x v="1"/>
    <x v="0"/>
    <x v="0"/>
  </r>
  <r>
    <n v="1219"/>
    <x v="1"/>
    <x v="0"/>
    <s v="W"/>
    <n v="15770"/>
    <n v="549"/>
    <n v="-26"/>
    <n v="-12"/>
    <x v="0"/>
    <x v="0"/>
    <n v="0"/>
    <n v="0"/>
    <n v="0"/>
    <n v="0"/>
    <n v="0"/>
    <n v="0"/>
    <n v="0"/>
    <n v="0"/>
    <n v="0"/>
    <x v="0"/>
    <x v="0"/>
    <x v="1"/>
    <x v="0"/>
    <x v="0"/>
  </r>
  <r>
    <n v="1220"/>
    <x v="1"/>
    <x v="0"/>
    <s v="W"/>
    <n v="19860"/>
    <n v="300"/>
    <n v="-24"/>
    <n v="-21"/>
    <x v="0"/>
    <x v="0"/>
    <n v="0"/>
    <n v="0"/>
    <n v="0"/>
    <n v="0"/>
    <n v="0"/>
    <n v="0"/>
    <n v="0"/>
    <n v="0"/>
    <n v="0"/>
    <x v="0"/>
    <x v="0"/>
    <x v="1"/>
    <x v="0"/>
    <x v="0"/>
  </r>
  <r>
    <n v="1221"/>
    <x v="1"/>
    <x v="0"/>
    <s v="W"/>
    <n v="35130"/>
    <n v="859"/>
    <n v="65"/>
    <n v="38"/>
    <x v="0"/>
    <x v="0"/>
    <n v="0"/>
    <n v="0"/>
    <n v="0"/>
    <n v="0"/>
    <n v="0"/>
    <n v="0"/>
    <n v="0"/>
    <n v="0"/>
    <n v="0"/>
    <x v="0"/>
    <x v="0"/>
    <x v="1"/>
    <x v="0"/>
    <x v="0"/>
  </r>
  <r>
    <n v="1222"/>
    <x v="1"/>
    <x v="0"/>
    <s v="W"/>
    <n v="26630"/>
    <n v="785"/>
    <n v="25"/>
    <n v="27"/>
    <x v="0"/>
    <x v="0"/>
    <n v="0"/>
    <n v="0"/>
    <n v="0"/>
    <n v="0"/>
    <n v="0"/>
    <n v="0"/>
    <n v="0"/>
    <n v="0"/>
    <n v="0"/>
    <x v="0"/>
    <x v="0"/>
    <x v="1"/>
    <x v="0"/>
    <x v="0"/>
  </r>
  <r>
    <n v="1223"/>
    <x v="1"/>
    <x v="0"/>
    <s v="N"/>
    <n v="15280"/>
    <n v="521"/>
    <n v="63"/>
    <n v="74"/>
    <x v="0"/>
    <x v="0"/>
    <n v="0"/>
    <n v="0"/>
    <n v="0"/>
    <n v="0"/>
    <n v="0"/>
    <n v="0"/>
    <n v="0"/>
    <n v="0"/>
    <n v="0"/>
    <x v="0"/>
    <x v="0"/>
    <x v="0"/>
    <x v="0"/>
    <x v="0"/>
  </r>
  <r>
    <n v="1224"/>
    <x v="1"/>
    <x v="0"/>
    <s v="N"/>
    <n v="10820"/>
    <n v="524"/>
    <n v="16"/>
    <n v="75"/>
    <x v="0"/>
    <x v="0"/>
    <n v="0"/>
    <n v="0"/>
    <n v="0"/>
    <n v="0"/>
    <n v="0"/>
    <n v="0"/>
    <n v="0"/>
    <n v="0"/>
    <n v="0"/>
    <x v="0"/>
    <x v="0"/>
    <x v="0"/>
    <x v="0"/>
    <x v="0"/>
  </r>
  <r>
    <n v="1225"/>
    <x v="1"/>
    <x v="0"/>
    <s v="N"/>
    <n v="7170"/>
    <n v="278"/>
    <n v="-23"/>
    <n v="-7"/>
    <x v="0"/>
    <x v="0"/>
    <n v="0"/>
    <n v="0"/>
    <n v="0"/>
    <n v="0"/>
    <n v="0"/>
    <n v="0"/>
    <n v="0"/>
    <n v="0"/>
    <n v="0"/>
    <x v="0"/>
    <x v="0"/>
    <x v="0"/>
    <x v="1"/>
    <x v="0"/>
  </r>
  <r>
    <n v="1226"/>
    <x v="1"/>
    <x v="0"/>
    <s v="W"/>
    <n v="14930"/>
    <n v="244"/>
    <n v="-46"/>
    <n v="-42"/>
    <x v="0"/>
    <x v="0"/>
    <n v="0"/>
    <n v="0"/>
    <n v="0"/>
    <n v="0"/>
    <n v="0"/>
    <n v="0"/>
    <n v="0"/>
    <n v="0"/>
    <n v="0"/>
    <x v="0"/>
    <x v="0"/>
    <x v="1"/>
    <x v="0"/>
    <x v="0"/>
  </r>
  <r>
    <n v="1227"/>
    <x v="1"/>
    <x v="0"/>
    <s v="W"/>
    <n v="20670"/>
    <n v="376"/>
    <n v="-25"/>
    <n v="-10"/>
    <x v="0"/>
    <x v="0"/>
    <n v="0"/>
    <n v="0"/>
    <n v="0"/>
    <n v="0"/>
    <n v="0"/>
    <n v="0"/>
    <n v="0"/>
    <n v="0"/>
    <n v="0"/>
    <x v="0"/>
    <x v="0"/>
    <x v="1"/>
    <x v="0"/>
    <x v="0"/>
  </r>
  <r>
    <n v="1228"/>
    <x v="1"/>
    <x v="0"/>
    <s v="W"/>
    <n v="17360"/>
    <n v="380"/>
    <n v="-37"/>
    <n v="-9"/>
    <x v="0"/>
    <x v="0"/>
    <n v="0"/>
    <n v="0"/>
    <n v="0"/>
    <n v="0"/>
    <n v="0"/>
    <n v="0"/>
    <n v="0"/>
    <n v="0"/>
    <n v="0"/>
    <x v="0"/>
    <x v="0"/>
    <x v="1"/>
    <x v="0"/>
    <x v="0"/>
  </r>
  <r>
    <n v="1229"/>
    <x v="1"/>
    <x v="0"/>
    <s v="W"/>
    <n v="12840"/>
    <n v="350"/>
    <n v="157"/>
    <n v="40"/>
    <x v="0"/>
    <x v="0"/>
    <n v="0"/>
    <n v="0"/>
    <n v="0"/>
    <n v="0"/>
    <n v="0"/>
    <n v="0"/>
    <n v="0"/>
    <n v="0"/>
    <n v="0"/>
    <x v="0"/>
    <x v="0"/>
    <x v="1"/>
    <x v="0"/>
    <x v="0"/>
  </r>
  <r>
    <n v="1230"/>
    <x v="1"/>
    <x v="0"/>
    <s v="W"/>
    <n v="28010"/>
    <n v="693"/>
    <n v="23"/>
    <n v="3"/>
    <x v="0"/>
    <x v="0"/>
    <n v="0"/>
    <n v="0"/>
    <n v="0"/>
    <n v="0"/>
    <n v="0"/>
    <n v="0"/>
    <n v="0"/>
    <n v="0"/>
    <n v="0"/>
    <x v="0"/>
    <x v="0"/>
    <x v="1"/>
    <x v="0"/>
    <x v="0"/>
  </r>
  <r>
    <n v="1231"/>
    <x v="1"/>
    <x v="0"/>
    <s v="N"/>
    <n v="17620"/>
    <n v="557"/>
    <n v="91"/>
    <n v="151"/>
    <x v="0"/>
    <x v="1"/>
    <n v="1"/>
    <n v="0"/>
    <n v="0"/>
    <n v="0"/>
    <n v="0"/>
    <n v="0"/>
    <n v="0"/>
    <n v="300"/>
    <n v="300"/>
    <x v="0"/>
    <x v="0"/>
    <x v="0"/>
    <x v="0"/>
    <x v="0"/>
  </r>
  <r>
    <n v="1232"/>
    <x v="1"/>
    <x v="0"/>
    <s v="W"/>
    <n v="12950"/>
    <n v="428"/>
    <n v="-38"/>
    <n v="-31"/>
    <x v="0"/>
    <x v="0"/>
    <n v="0"/>
    <n v="0"/>
    <n v="0"/>
    <n v="0"/>
    <n v="0"/>
    <n v="0"/>
    <n v="0"/>
    <n v="0"/>
    <n v="0"/>
    <x v="0"/>
    <x v="0"/>
    <x v="1"/>
    <x v="0"/>
    <x v="0"/>
  </r>
  <r>
    <n v="1233"/>
    <x v="1"/>
    <x v="0"/>
    <s v="W"/>
    <n v="17320"/>
    <n v="586"/>
    <n v="-17"/>
    <n v="-6"/>
    <x v="0"/>
    <x v="0"/>
    <n v="0"/>
    <n v="0"/>
    <n v="0"/>
    <n v="0"/>
    <n v="0"/>
    <n v="0"/>
    <n v="0"/>
    <n v="0"/>
    <n v="0"/>
    <x v="0"/>
    <x v="0"/>
    <x v="1"/>
    <x v="0"/>
    <x v="0"/>
  </r>
  <r>
    <n v="1234"/>
    <x v="1"/>
    <x v="0"/>
    <s v="W"/>
    <n v="28610"/>
    <n v="330"/>
    <n v="12"/>
    <n v="-15"/>
    <x v="0"/>
    <x v="2"/>
    <n v="1"/>
    <n v="1"/>
    <n v="0"/>
    <n v="0"/>
    <n v="0"/>
    <n v="0"/>
    <n v="0"/>
    <n v="6900"/>
    <n v="6000"/>
    <x v="0"/>
    <x v="0"/>
    <x v="1"/>
    <x v="0"/>
    <x v="0"/>
  </r>
  <r>
    <n v="1235"/>
    <x v="1"/>
    <x v="0"/>
    <s v="W"/>
    <n v="16170"/>
    <n v="414"/>
    <n v="-37"/>
    <n v="6"/>
    <x v="0"/>
    <x v="0"/>
    <n v="0"/>
    <n v="0"/>
    <n v="0"/>
    <n v="0"/>
    <n v="0"/>
    <n v="0"/>
    <n v="0"/>
    <n v="0"/>
    <n v="0"/>
    <x v="0"/>
    <x v="0"/>
    <x v="1"/>
    <x v="0"/>
    <x v="0"/>
  </r>
  <r>
    <n v="1236"/>
    <x v="1"/>
    <x v="0"/>
    <s v="W"/>
    <n v="15600"/>
    <n v="274"/>
    <n v="-39"/>
    <n v="-30"/>
    <x v="0"/>
    <x v="0"/>
    <n v="0"/>
    <n v="0"/>
    <n v="0"/>
    <n v="0"/>
    <n v="0"/>
    <n v="0"/>
    <n v="0"/>
    <n v="0"/>
    <n v="0"/>
    <x v="0"/>
    <x v="0"/>
    <x v="1"/>
    <x v="0"/>
    <x v="0"/>
  </r>
  <r>
    <n v="1237"/>
    <x v="1"/>
    <x v="0"/>
    <s v="W"/>
    <n v="52360"/>
    <n v="1004"/>
    <n v="150"/>
    <n v="61"/>
    <x v="0"/>
    <x v="0"/>
    <n v="0"/>
    <n v="0"/>
    <n v="0"/>
    <n v="0"/>
    <n v="0"/>
    <n v="0"/>
    <n v="0"/>
    <n v="0"/>
    <n v="0"/>
    <x v="0"/>
    <x v="0"/>
    <x v="1"/>
    <x v="0"/>
    <x v="0"/>
  </r>
  <r>
    <n v="1238"/>
    <x v="1"/>
    <x v="0"/>
    <s v="W"/>
    <n v="44960"/>
    <n v="1172"/>
    <n v="115"/>
    <n v="88"/>
    <x v="0"/>
    <x v="1"/>
    <n v="1"/>
    <n v="0"/>
    <n v="0"/>
    <n v="0"/>
    <n v="0"/>
    <n v="0"/>
    <n v="0"/>
    <n v="200"/>
    <n v="200"/>
    <x v="0"/>
    <x v="0"/>
    <x v="1"/>
    <x v="0"/>
    <x v="0"/>
  </r>
  <r>
    <n v="1239"/>
    <x v="0"/>
    <x v="0"/>
    <s v="W"/>
    <n v="18580"/>
    <n v="753"/>
    <n v="-7"/>
    <n v="25"/>
    <x v="0"/>
    <x v="0"/>
    <n v="0"/>
    <n v="0"/>
    <n v="0"/>
    <n v="0"/>
    <n v="0"/>
    <n v="0"/>
    <n v="0"/>
    <n v="0"/>
    <n v="0"/>
    <x v="0"/>
    <x v="0"/>
    <x v="1"/>
    <x v="0"/>
    <x v="0"/>
  </r>
  <r>
    <n v="1240"/>
    <x v="0"/>
    <x v="0"/>
    <s v="N"/>
    <n v="12240"/>
    <n v="452"/>
    <n v="33"/>
    <n v="104"/>
    <x v="0"/>
    <x v="0"/>
    <n v="0"/>
    <n v="0"/>
    <n v="0"/>
    <n v="0"/>
    <n v="0"/>
    <n v="0"/>
    <n v="0"/>
    <n v="0"/>
    <n v="0"/>
    <x v="0"/>
    <x v="0"/>
    <x v="0"/>
    <x v="0"/>
    <x v="0"/>
  </r>
  <r>
    <n v="1241"/>
    <x v="0"/>
    <x v="0"/>
    <s v="W"/>
    <n v="16840"/>
    <n v="318"/>
    <n v="-28"/>
    <n v="-17"/>
    <x v="0"/>
    <x v="0"/>
    <n v="0"/>
    <n v="0"/>
    <n v="0"/>
    <n v="0"/>
    <n v="0"/>
    <n v="0"/>
    <n v="0"/>
    <n v="0"/>
    <n v="0"/>
    <x v="0"/>
    <x v="0"/>
    <x v="1"/>
    <x v="0"/>
    <x v="0"/>
  </r>
  <r>
    <n v="1242"/>
    <x v="0"/>
    <x v="0"/>
    <s v="W"/>
    <n v="15820"/>
    <n v="382"/>
    <n v="-32"/>
    <n v="0"/>
    <x v="0"/>
    <x v="0"/>
    <n v="0"/>
    <n v="0"/>
    <n v="0"/>
    <n v="0"/>
    <n v="0"/>
    <n v="0"/>
    <n v="0"/>
    <n v="0"/>
    <n v="0"/>
    <x v="0"/>
    <x v="0"/>
    <x v="1"/>
    <x v="0"/>
    <x v="0"/>
  </r>
  <r>
    <n v="1243"/>
    <x v="0"/>
    <x v="0"/>
    <s v="W"/>
    <n v="17690"/>
    <n v="284"/>
    <n v="-24"/>
    <n v="-26"/>
    <x v="0"/>
    <x v="1"/>
    <n v="1"/>
    <n v="0"/>
    <n v="0"/>
    <n v="0"/>
    <n v="0"/>
    <n v="0"/>
    <n v="0"/>
    <n v="300"/>
    <n v="300"/>
    <x v="0"/>
    <x v="0"/>
    <x v="1"/>
    <x v="0"/>
    <x v="0"/>
  </r>
  <r>
    <n v="1244"/>
    <x v="0"/>
    <x v="0"/>
    <s v="W"/>
    <n v="15380"/>
    <n v="251"/>
    <n v="-34"/>
    <n v="-34"/>
    <x v="0"/>
    <x v="0"/>
    <n v="0"/>
    <n v="0"/>
    <n v="0"/>
    <n v="0"/>
    <n v="0"/>
    <n v="0"/>
    <n v="0"/>
    <n v="0"/>
    <n v="0"/>
    <x v="0"/>
    <x v="0"/>
    <x v="1"/>
    <x v="0"/>
    <x v="0"/>
  </r>
  <r>
    <n v="1245"/>
    <x v="0"/>
    <x v="0"/>
    <s v="N"/>
    <n v="9540"/>
    <n v="339"/>
    <n v="3"/>
    <n v="53"/>
    <x v="0"/>
    <x v="0"/>
    <n v="0"/>
    <n v="0"/>
    <n v="0"/>
    <n v="0"/>
    <n v="0"/>
    <n v="0"/>
    <n v="0"/>
    <n v="0"/>
    <n v="0"/>
    <x v="0"/>
    <x v="0"/>
    <x v="0"/>
    <x v="1"/>
    <x v="0"/>
  </r>
  <r>
    <n v="1246"/>
    <x v="0"/>
    <x v="0"/>
    <s v="N"/>
    <n v="18040"/>
    <n v="317"/>
    <n v="95"/>
    <n v="43"/>
    <x v="0"/>
    <x v="0"/>
    <n v="0"/>
    <n v="0"/>
    <n v="0"/>
    <n v="0"/>
    <n v="0"/>
    <n v="0"/>
    <n v="0"/>
    <n v="0"/>
    <n v="0"/>
    <x v="0"/>
    <x v="0"/>
    <x v="0"/>
    <x v="0"/>
    <x v="0"/>
  </r>
  <r>
    <n v="1247"/>
    <x v="0"/>
    <x v="0"/>
    <s v="N"/>
    <n v="8100"/>
    <n v="300"/>
    <n v="-12"/>
    <n v="35"/>
    <x v="0"/>
    <x v="0"/>
    <n v="0"/>
    <n v="0"/>
    <n v="0"/>
    <n v="0"/>
    <n v="0"/>
    <n v="0"/>
    <n v="0"/>
    <n v="0"/>
    <n v="0"/>
    <x v="0"/>
    <x v="0"/>
    <x v="0"/>
    <x v="1"/>
    <x v="0"/>
  </r>
  <r>
    <n v="1248"/>
    <x v="0"/>
    <x v="0"/>
    <s v="N"/>
    <n v="8690"/>
    <n v="262"/>
    <n v="-6"/>
    <n v="18"/>
    <x v="0"/>
    <x v="0"/>
    <n v="0"/>
    <n v="0"/>
    <n v="0"/>
    <n v="0"/>
    <n v="0"/>
    <n v="0"/>
    <n v="0"/>
    <n v="0"/>
    <n v="0"/>
    <x v="0"/>
    <x v="0"/>
    <x v="0"/>
    <x v="1"/>
    <x v="0"/>
  </r>
  <r>
    <n v="1249"/>
    <x v="0"/>
    <x v="0"/>
    <s v="N"/>
    <n v="7120"/>
    <n v="227"/>
    <n v="-23"/>
    <n v="2"/>
    <x v="0"/>
    <x v="0"/>
    <n v="0"/>
    <n v="0"/>
    <n v="0"/>
    <n v="0"/>
    <n v="0"/>
    <n v="0"/>
    <n v="0"/>
    <n v="0"/>
    <n v="0"/>
    <x v="0"/>
    <x v="0"/>
    <x v="0"/>
    <x v="1"/>
    <x v="0"/>
  </r>
  <r>
    <n v="1250"/>
    <x v="0"/>
    <x v="0"/>
    <s v="N"/>
    <n v="8380"/>
    <n v="234"/>
    <n v="-9"/>
    <n v="6"/>
    <x v="0"/>
    <x v="0"/>
    <n v="0"/>
    <n v="0"/>
    <n v="0"/>
    <n v="0"/>
    <n v="0"/>
    <n v="0"/>
    <n v="0"/>
    <n v="0"/>
    <n v="0"/>
    <x v="0"/>
    <x v="0"/>
    <x v="0"/>
    <x v="1"/>
    <x v="0"/>
  </r>
  <r>
    <n v="1251"/>
    <x v="0"/>
    <x v="0"/>
    <s v="N"/>
    <n v="5280"/>
    <n v="232"/>
    <n v="-43"/>
    <n v="5"/>
    <x v="0"/>
    <x v="0"/>
    <n v="0"/>
    <n v="0"/>
    <n v="0"/>
    <n v="0"/>
    <n v="0"/>
    <n v="0"/>
    <n v="0"/>
    <n v="0"/>
    <n v="0"/>
    <x v="0"/>
    <x v="0"/>
    <x v="0"/>
    <x v="1"/>
    <x v="0"/>
  </r>
  <r>
    <n v="1252"/>
    <x v="0"/>
    <x v="0"/>
    <s v="N"/>
    <n v="6260"/>
    <n v="268"/>
    <n v="-33"/>
    <n v="-11"/>
    <x v="0"/>
    <x v="0"/>
    <n v="0"/>
    <n v="0"/>
    <n v="0"/>
    <n v="0"/>
    <n v="0"/>
    <n v="0"/>
    <n v="0"/>
    <n v="0"/>
    <n v="0"/>
    <x v="0"/>
    <x v="0"/>
    <x v="0"/>
    <x v="1"/>
    <x v="0"/>
  </r>
  <r>
    <n v="1253"/>
    <x v="0"/>
    <x v="0"/>
    <s v="N"/>
    <n v="6170"/>
    <n v="187"/>
    <n v="-33"/>
    <n v="-16"/>
    <x v="0"/>
    <x v="0"/>
    <n v="0"/>
    <n v="0"/>
    <n v="0"/>
    <n v="0"/>
    <n v="0"/>
    <n v="0"/>
    <n v="0"/>
    <n v="0"/>
    <n v="0"/>
    <x v="0"/>
    <x v="0"/>
    <x v="0"/>
    <x v="1"/>
    <x v="0"/>
  </r>
  <r>
    <n v="1254"/>
    <x v="0"/>
    <x v="0"/>
    <s v="N"/>
    <n v="5510"/>
    <n v="157"/>
    <n v="-40"/>
    <n v="-29"/>
    <x v="0"/>
    <x v="0"/>
    <n v="0"/>
    <n v="0"/>
    <n v="0"/>
    <n v="0"/>
    <n v="0"/>
    <n v="0"/>
    <n v="0"/>
    <n v="0"/>
    <n v="0"/>
    <x v="0"/>
    <x v="0"/>
    <x v="0"/>
    <x v="1"/>
    <x v="0"/>
  </r>
  <r>
    <n v="1255"/>
    <x v="0"/>
    <x v="0"/>
    <s v="N"/>
    <n v="5780"/>
    <n v="163"/>
    <n v="-36"/>
    <n v="-25"/>
    <x v="0"/>
    <x v="0"/>
    <n v="0"/>
    <n v="0"/>
    <n v="0"/>
    <n v="0"/>
    <n v="0"/>
    <n v="0"/>
    <n v="0"/>
    <n v="0"/>
    <n v="0"/>
    <x v="0"/>
    <x v="0"/>
    <x v="0"/>
    <x v="1"/>
    <x v="0"/>
  </r>
  <r>
    <n v="1256"/>
    <x v="0"/>
    <x v="0"/>
    <s v="N"/>
    <n v="6390"/>
    <n v="138"/>
    <n v="-29"/>
    <n v="-36"/>
    <x v="0"/>
    <x v="0"/>
    <n v="0"/>
    <n v="0"/>
    <n v="0"/>
    <n v="0"/>
    <n v="0"/>
    <n v="0"/>
    <n v="0"/>
    <n v="0"/>
    <n v="0"/>
    <x v="0"/>
    <x v="0"/>
    <x v="0"/>
    <x v="1"/>
    <x v="0"/>
  </r>
  <r>
    <n v="1257"/>
    <x v="0"/>
    <x v="0"/>
    <s v="N"/>
    <n v="7340"/>
    <n v="213"/>
    <n v="-19"/>
    <n v="-28"/>
    <x v="0"/>
    <x v="0"/>
    <n v="0"/>
    <n v="0"/>
    <n v="0"/>
    <n v="0"/>
    <n v="0"/>
    <n v="0"/>
    <n v="0"/>
    <n v="0"/>
    <n v="0"/>
    <x v="0"/>
    <x v="0"/>
    <x v="0"/>
    <x v="1"/>
    <x v="0"/>
  </r>
  <r>
    <n v="1258"/>
    <x v="0"/>
    <x v="0"/>
    <s v="N"/>
    <n v="17730"/>
    <n v="134"/>
    <n v="97"/>
    <n v="-38"/>
    <x v="0"/>
    <x v="0"/>
    <n v="0"/>
    <n v="0"/>
    <n v="0"/>
    <n v="0"/>
    <n v="0"/>
    <n v="0"/>
    <n v="0"/>
    <n v="0"/>
    <n v="0"/>
    <x v="0"/>
    <x v="0"/>
    <x v="0"/>
    <x v="0"/>
    <x v="0"/>
  </r>
  <r>
    <n v="1259"/>
    <x v="0"/>
    <x v="0"/>
    <s v="N"/>
    <n v="650"/>
    <n v="80"/>
    <n v="-82"/>
    <n v="-28"/>
    <x v="0"/>
    <x v="0"/>
    <n v="0"/>
    <n v="0"/>
    <n v="0"/>
    <n v="0"/>
    <n v="0"/>
    <n v="0"/>
    <n v="0"/>
    <n v="0"/>
    <n v="0"/>
    <x v="0"/>
    <x v="0"/>
    <x v="0"/>
    <x v="4"/>
    <x v="0"/>
  </r>
  <r>
    <n v="1260"/>
    <x v="0"/>
    <x v="0"/>
    <s v="N"/>
    <n v="1400"/>
    <n v="58"/>
    <n v="-62"/>
    <n v="-47"/>
    <x v="0"/>
    <x v="0"/>
    <n v="0"/>
    <n v="0"/>
    <n v="0"/>
    <n v="0"/>
    <n v="0"/>
    <n v="0"/>
    <n v="0"/>
    <n v="0"/>
    <n v="0"/>
    <x v="0"/>
    <x v="0"/>
    <x v="0"/>
    <x v="1"/>
    <x v="0"/>
  </r>
  <r>
    <n v="1261"/>
    <x v="0"/>
    <x v="0"/>
    <s v="N"/>
    <n v="2390"/>
    <n v="50"/>
    <n v="-73"/>
    <n v="-77"/>
    <x v="0"/>
    <x v="0"/>
    <n v="0"/>
    <n v="0"/>
    <n v="0"/>
    <n v="0"/>
    <n v="0"/>
    <n v="0"/>
    <n v="0"/>
    <n v="0"/>
    <n v="0"/>
    <x v="0"/>
    <x v="0"/>
    <x v="0"/>
    <x v="1"/>
    <x v="0"/>
  </r>
  <r>
    <n v="1262"/>
    <x v="0"/>
    <x v="0"/>
    <s v="N"/>
    <n v="5760"/>
    <n v="65"/>
    <n v="-36"/>
    <n v="-70"/>
    <x v="0"/>
    <x v="0"/>
    <n v="0"/>
    <n v="0"/>
    <n v="0"/>
    <n v="0"/>
    <n v="0"/>
    <n v="0"/>
    <n v="0"/>
    <n v="0"/>
    <n v="0"/>
    <x v="0"/>
    <x v="0"/>
    <x v="0"/>
    <x v="1"/>
    <x v="0"/>
  </r>
  <r>
    <n v="1263"/>
    <x v="0"/>
    <x v="0"/>
    <s v="N"/>
    <n v="1910"/>
    <n v="87"/>
    <n v="-48"/>
    <n v="-20"/>
    <x v="0"/>
    <x v="0"/>
    <n v="0"/>
    <n v="0"/>
    <n v="0"/>
    <n v="0"/>
    <n v="0"/>
    <n v="0"/>
    <n v="0"/>
    <n v="0"/>
    <n v="0"/>
    <x v="0"/>
    <x v="0"/>
    <x v="0"/>
    <x v="1"/>
    <x v="0"/>
  </r>
  <r>
    <n v="1264"/>
    <x v="0"/>
    <x v="0"/>
    <s v="N"/>
    <n v="6220"/>
    <n v="76"/>
    <n v="-26"/>
    <n v="-65"/>
    <x v="0"/>
    <x v="0"/>
    <n v="0"/>
    <n v="0"/>
    <n v="0"/>
    <n v="0"/>
    <n v="0"/>
    <n v="0"/>
    <n v="0"/>
    <n v="0"/>
    <n v="0"/>
    <x v="0"/>
    <x v="0"/>
    <x v="0"/>
    <x v="1"/>
    <x v="0"/>
  </r>
  <r>
    <n v="1265"/>
    <x v="0"/>
    <x v="0"/>
    <s v="N"/>
    <n v="2770"/>
    <n v="45"/>
    <n v="-67"/>
    <n v="-79"/>
    <x v="0"/>
    <x v="0"/>
    <n v="0"/>
    <n v="0"/>
    <n v="0"/>
    <n v="0"/>
    <n v="0"/>
    <n v="0"/>
    <n v="0"/>
    <n v="0"/>
    <n v="0"/>
    <x v="0"/>
    <x v="0"/>
    <x v="0"/>
    <x v="1"/>
    <x v="0"/>
  </r>
  <r>
    <n v="1266"/>
    <x v="0"/>
    <x v="0"/>
    <s v="N"/>
    <n v="2940"/>
    <n v="65"/>
    <n v="-20"/>
    <n v="-40"/>
    <x v="0"/>
    <x v="0"/>
    <n v="0"/>
    <n v="0"/>
    <n v="0"/>
    <n v="0"/>
    <n v="0"/>
    <n v="0"/>
    <n v="0"/>
    <n v="0"/>
    <n v="0"/>
    <x v="0"/>
    <x v="0"/>
    <x v="0"/>
    <x v="1"/>
    <x v="0"/>
  </r>
  <r>
    <n v="1267"/>
    <x v="0"/>
    <x v="0"/>
    <s v="N"/>
    <n v="2960"/>
    <n v="91"/>
    <n v="-19"/>
    <n v="-16"/>
    <x v="0"/>
    <x v="0"/>
    <n v="0"/>
    <n v="0"/>
    <n v="0"/>
    <n v="0"/>
    <n v="0"/>
    <n v="0"/>
    <n v="0"/>
    <n v="0"/>
    <n v="0"/>
    <x v="0"/>
    <x v="0"/>
    <x v="0"/>
    <x v="1"/>
    <x v="0"/>
  </r>
  <r>
    <n v="1268"/>
    <x v="0"/>
    <x v="0"/>
    <s v="N"/>
    <n v="3990"/>
    <n v="231"/>
    <n v="66"/>
    <n v="98"/>
    <x v="0"/>
    <x v="0"/>
    <n v="0"/>
    <n v="0"/>
    <n v="0"/>
    <n v="0"/>
    <n v="0"/>
    <n v="0"/>
    <n v="0"/>
    <n v="0"/>
    <n v="0"/>
    <x v="0"/>
    <x v="0"/>
    <x v="0"/>
    <x v="1"/>
    <x v="0"/>
  </r>
  <r>
    <n v="1269"/>
    <x v="0"/>
    <x v="0"/>
    <s v="N"/>
    <n v="2840"/>
    <n v="115"/>
    <n v="18"/>
    <n v="-1"/>
    <x v="0"/>
    <x v="0"/>
    <n v="0"/>
    <n v="0"/>
    <n v="0"/>
    <n v="0"/>
    <n v="0"/>
    <n v="0"/>
    <n v="0"/>
    <n v="0"/>
    <n v="0"/>
    <x v="0"/>
    <x v="0"/>
    <x v="0"/>
    <x v="1"/>
    <x v="0"/>
  </r>
  <r>
    <n v="1270"/>
    <x v="0"/>
    <x v="0"/>
    <s v="N"/>
    <n v="5900"/>
    <n v="63"/>
    <n v="-30"/>
    <n v="-71"/>
    <x v="0"/>
    <x v="1"/>
    <n v="0"/>
    <n v="1"/>
    <n v="0"/>
    <n v="0"/>
    <n v="0"/>
    <n v="0"/>
    <n v="0"/>
    <n v="2000"/>
    <n v="2000"/>
    <x v="0"/>
    <x v="0"/>
    <x v="0"/>
    <x v="1"/>
    <x v="0"/>
  </r>
  <r>
    <n v="1271"/>
    <x v="0"/>
    <x v="0"/>
    <s v="N"/>
    <n v="6980"/>
    <n v="37"/>
    <n v="-10"/>
    <n v="-81"/>
    <x v="0"/>
    <x v="1"/>
    <n v="1"/>
    <n v="0"/>
    <n v="0"/>
    <n v="0"/>
    <n v="0"/>
    <n v="0"/>
    <n v="0"/>
    <n v="300"/>
    <n v="300"/>
    <x v="0"/>
    <x v="0"/>
    <x v="0"/>
    <x v="1"/>
    <x v="0"/>
  </r>
  <r>
    <n v="1272"/>
    <x v="0"/>
    <x v="0"/>
    <s v="N"/>
    <n v="3540"/>
    <n v="186"/>
    <n v="62"/>
    <n v="74"/>
    <x v="0"/>
    <x v="0"/>
    <n v="0"/>
    <n v="0"/>
    <n v="0"/>
    <n v="0"/>
    <n v="0"/>
    <n v="0"/>
    <n v="0"/>
    <n v="0"/>
    <n v="0"/>
    <x v="0"/>
    <x v="0"/>
    <x v="0"/>
    <x v="1"/>
    <x v="0"/>
  </r>
  <r>
    <n v="1273"/>
    <x v="0"/>
    <x v="0"/>
    <s v="W"/>
    <n v="10360"/>
    <n v="131"/>
    <n v="76"/>
    <n v="-49"/>
    <x v="0"/>
    <x v="0"/>
    <n v="0"/>
    <n v="0"/>
    <n v="0"/>
    <n v="0"/>
    <n v="0"/>
    <n v="0"/>
    <n v="0"/>
    <n v="0"/>
    <n v="0"/>
    <x v="0"/>
    <x v="0"/>
    <x v="1"/>
    <x v="0"/>
    <x v="0"/>
  </r>
  <r>
    <n v="1274"/>
    <x v="0"/>
    <x v="0"/>
    <s v="W"/>
    <n v="8820"/>
    <n v="243"/>
    <n v="50"/>
    <n v="-5"/>
    <x v="0"/>
    <x v="0"/>
    <n v="0"/>
    <n v="0"/>
    <n v="0"/>
    <n v="0"/>
    <n v="0"/>
    <n v="0"/>
    <n v="0"/>
    <n v="0"/>
    <n v="0"/>
    <x v="0"/>
    <x v="0"/>
    <x v="1"/>
    <x v="1"/>
    <x v="0"/>
  </r>
  <r>
    <n v="1275"/>
    <x v="0"/>
    <x v="0"/>
    <s v="W"/>
    <n v="2880"/>
    <n v="92"/>
    <n v="-74"/>
    <n v="-67"/>
    <x v="0"/>
    <x v="1"/>
    <n v="0"/>
    <n v="1"/>
    <n v="0"/>
    <n v="0"/>
    <n v="0"/>
    <n v="0"/>
    <n v="0"/>
    <n v="2000"/>
    <n v="2000"/>
    <x v="0"/>
    <x v="0"/>
    <x v="1"/>
    <x v="1"/>
    <x v="0"/>
  </r>
  <r>
    <n v="1276"/>
    <x v="0"/>
    <x v="0"/>
    <s v="W"/>
    <n v="15470"/>
    <n v="286"/>
    <n v="163"/>
    <n v="12"/>
    <x v="0"/>
    <x v="0"/>
    <n v="0"/>
    <n v="0"/>
    <n v="0"/>
    <n v="0"/>
    <n v="0"/>
    <n v="0"/>
    <n v="0"/>
    <n v="0"/>
    <n v="0"/>
    <x v="0"/>
    <x v="0"/>
    <x v="1"/>
    <x v="0"/>
    <x v="0"/>
  </r>
  <r>
    <n v="1277"/>
    <x v="0"/>
    <x v="0"/>
    <s v="W"/>
    <n v="15120"/>
    <n v="166"/>
    <n v="-35"/>
    <n v="-58"/>
    <x v="0"/>
    <x v="1"/>
    <n v="0"/>
    <n v="1"/>
    <n v="0"/>
    <n v="0"/>
    <n v="0"/>
    <n v="0"/>
    <n v="0"/>
    <n v="3000"/>
    <n v="3000"/>
    <x v="0"/>
    <x v="0"/>
    <x v="1"/>
    <x v="0"/>
    <x v="0"/>
  </r>
  <r>
    <n v="1278"/>
    <x v="0"/>
    <x v="0"/>
    <s v="W"/>
    <n v="14140"/>
    <n v="200"/>
    <n v="-39"/>
    <n v="-50"/>
    <x v="0"/>
    <x v="0"/>
    <n v="0"/>
    <n v="0"/>
    <n v="0"/>
    <n v="0"/>
    <n v="0"/>
    <n v="0"/>
    <n v="0"/>
    <n v="0"/>
    <n v="0"/>
    <x v="0"/>
    <x v="0"/>
    <x v="1"/>
    <x v="0"/>
    <x v="0"/>
  </r>
  <r>
    <n v="1279"/>
    <x v="0"/>
    <x v="0"/>
    <s v="W"/>
    <n v="8180"/>
    <n v="136"/>
    <n v="-64"/>
    <n v="-66"/>
    <x v="0"/>
    <x v="0"/>
    <n v="0"/>
    <n v="0"/>
    <n v="0"/>
    <n v="0"/>
    <n v="0"/>
    <n v="0"/>
    <n v="0"/>
    <n v="0"/>
    <n v="0"/>
    <x v="0"/>
    <x v="0"/>
    <x v="1"/>
    <x v="1"/>
    <x v="0"/>
  </r>
  <r>
    <n v="1280"/>
    <x v="0"/>
    <x v="0"/>
    <s v="W"/>
    <n v="16360"/>
    <n v="149"/>
    <n v="-28"/>
    <n v="-63"/>
    <x v="0"/>
    <x v="1"/>
    <n v="1"/>
    <n v="0"/>
    <n v="0"/>
    <n v="0"/>
    <n v="0"/>
    <n v="0"/>
    <n v="0"/>
    <n v="800"/>
    <n v="800"/>
    <x v="0"/>
    <x v="0"/>
    <x v="1"/>
    <x v="0"/>
    <x v="0"/>
  </r>
  <r>
    <n v="1281"/>
    <x v="0"/>
    <x v="0"/>
    <s v="W"/>
    <n v="8450"/>
    <n v="121"/>
    <n v="-63"/>
    <n v="-70"/>
    <x v="0"/>
    <x v="0"/>
    <n v="0"/>
    <n v="0"/>
    <n v="0"/>
    <n v="0"/>
    <n v="0"/>
    <n v="0"/>
    <n v="0"/>
    <n v="0"/>
    <n v="0"/>
    <x v="0"/>
    <x v="0"/>
    <x v="1"/>
    <x v="1"/>
    <x v="0"/>
  </r>
  <r>
    <n v="1282"/>
    <x v="0"/>
    <x v="0"/>
    <s v="W"/>
    <n v="7090"/>
    <n v="124"/>
    <n v="-69"/>
    <n v="-69"/>
    <x v="0"/>
    <x v="0"/>
    <n v="0"/>
    <n v="0"/>
    <n v="0"/>
    <n v="0"/>
    <n v="0"/>
    <n v="0"/>
    <n v="0"/>
    <n v="0"/>
    <n v="0"/>
    <x v="0"/>
    <x v="0"/>
    <x v="1"/>
    <x v="1"/>
    <x v="0"/>
  </r>
  <r>
    <n v="1283"/>
    <x v="0"/>
    <x v="0"/>
    <s v="W"/>
    <n v="15160"/>
    <n v="180"/>
    <n v="-33"/>
    <n v="-55"/>
    <x v="0"/>
    <x v="1"/>
    <n v="1"/>
    <n v="0"/>
    <n v="0"/>
    <n v="0"/>
    <n v="0"/>
    <n v="0"/>
    <n v="0"/>
    <n v="500"/>
    <n v="500"/>
    <x v="0"/>
    <x v="0"/>
    <x v="1"/>
    <x v="0"/>
    <x v="0"/>
  </r>
  <r>
    <n v="1284"/>
    <x v="0"/>
    <x v="0"/>
    <s v="W"/>
    <n v="22140"/>
    <n v="190"/>
    <n v="-2"/>
    <n v="-53"/>
    <x v="0"/>
    <x v="1"/>
    <n v="0"/>
    <n v="1"/>
    <n v="0"/>
    <n v="0"/>
    <n v="0"/>
    <n v="0"/>
    <n v="0"/>
    <n v="2000"/>
    <n v="2000"/>
    <x v="0"/>
    <x v="0"/>
    <x v="1"/>
    <x v="0"/>
    <x v="0"/>
  </r>
  <r>
    <n v="1285"/>
    <x v="0"/>
    <x v="0"/>
    <s v="W"/>
    <n v="17710"/>
    <n v="191"/>
    <n v="-22"/>
    <n v="-52"/>
    <x v="0"/>
    <x v="0"/>
    <n v="0"/>
    <n v="0"/>
    <n v="0"/>
    <n v="0"/>
    <n v="0"/>
    <n v="0"/>
    <n v="0"/>
    <n v="0"/>
    <n v="0"/>
    <x v="0"/>
    <x v="0"/>
    <x v="1"/>
    <x v="0"/>
    <x v="0"/>
  </r>
  <r>
    <n v="1286"/>
    <x v="0"/>
    <x v="0"/>
    <s v="W"/>
    <n v="16430"/>
    <n v="213"/>
    <n v="-27"/>
    <n v="-47"/>
    <x v="0"/>
    <x v="1"/>
    <n v="0"/>
    <n v="1"/>
    <n v="0"/>
    <n v="0"/>
    <n v="0"/>
    <n v="0"/>
    <n v="0"/>
    <n v="6000"/>
    <n v="6000"/>
    <x v="0"/>
    <x v="0"/>
    <x v="1"/>
    <x v="0"/>
    <x v="0"/>
  </r>
  <r>
    <n v="1287"/>
    <x v="0"/>
    <x v="0"/>
    <s v="W"/>
    <n v="38820"/>
    <n v="647"/>
    <n v="259"/>
    <n v="137"/>
    <x v="0"/>
    <x v="0"/>
    <n v="0"/>
    <n v="0"/>
    <n v="0"/>
    <n v="0"/>
    <n v="0"/>
    <n v="0"/>
    <n v="0"/>
    <n v="0"/>
    <n v="0"/>
    <x v="0"/>
    <x v="0"/>
    <x v="1"/>
    <x v="0"/>
    <x v="0"/>
  </r>
  <r>
    <n v="1288"/>
    <x v="0"/>
    <x v="0"/>
    <s v="W"/>
    <n v="27540"/>
    <n v="291"/>
    <n v="28"/>
    <n v="-24"/>
    <x v="0"/>
    <x v="0"/>
    <n v="0"/>
    <n v="0"/>
    <n v="0"/>
    <n v="0"/>
    <n v="0"/>
    <n v="0"/>
    <n v="0"/>
    <n v="0"/>
    <n v="0"/>
    <x v="0"/>
    <x v="0"/>
    <x v="1"/>
    <x v="0"/>
    <x v="0"/>
  </r>
  <r>
    <n v="1289"/>
    <x v="0"/>
    <x v="0"/>
    <s v="W"/>
    <n v="21280"/>
    <n v="217"/>
    <n v="-1"/>
    <n v="-43"/>
    <x v="0"/>
    <x v="0"/>
    <n v="0"/>
    <n v="0"/>
    <n v="0"/>
    <n v="0"/>
    <n v="0"/>
    <n v="0"/>
    <n v="0"/>
    <n v="0"/>
    <n v="0"/>
    <x v="0"/>
    <x v="0"/>
    <x v="1"/>
    <x v="0"/>
    <x v="0"/>
  </r>
  <r>
    <n v="1290"/>
    <x v="0"/>
    <x v="0"/>
    <s v="W"/>
    <n v="11570"/>
    <n v="166"/>
    <n v="-46"/>
    <n v="-56"/>
    <x v="0"/>
    <x v="0"/>
    <n v="0"/>
    <n v="0"/>
    <n v="0"/>
    <n v="0"/>
    <n v="0"/>
    <n v="0"/>
    <n v="0"/>
    <n v="0"/>
    <n v="0"/>
    <x v="0"/>
    <x v="0"/>
    <x v="1"/>
    <x v="0"/>
    <x v="0"/>
  </r>
  <r>
    <n v="1291"/>
    <x v="0"/>
    <x v="0"/>
    <s v="W"/>
    <n v="12350"/>
    <n v="296"/>
    <n v="101"/>
    <n v="21"/>
    <x v="0"/>
    <x v="0"/>
    <n v="0"/>
    <n v="0"/>
    <n v="0"/>
    <n v="0"/>
    <n v="0"/>
    <n v="0"/>
    <n v="0"/>
    <n v="0"/>
    <n v="0"/>
    <x v="0"/>
    <x v="0"/>
    <x v="1"/>
    <x v="0"/>
    <x v="0"/>
  </r>
  <r>
    <n v="1292"/>
    <x v="0"/>
    <x v="0"/>
    <s v="W"/>
    <n v="18850"/>
    <n v="215"/>
    <n v="-13"/>
    <n v="-43"/>
    <x v="0"/>
    <x v="0"/>
    <n v="0"/>
    <n v="0"/>
    <n v="0"/>
    <n v="0"/>
    <n v="0"/>
    <n v="0"/>
    <n v="0"/>
    <n v="0"/>
    <n v="0"/>
    <x v="0"/>
    <x v="0"/>
    <x v="1"/>
    <x v="0"/>
    <x v="0"/>
  </r>
  <r>
    <n v="1293"/>
    <x v="0"/>
    <x v="0"/>
    <s v="N"/>
    <n v="14000"/>
    <n v="160"/>
    <n v="81"/>
    <n v="-20"/>
    <x v="0"/>
    <x v="0"/>
    <n v="0"/>
    <n v="0"/>
    <n v="0"/>
    <n v="0"/>
    <n v="0"/>
    <n v="0"/>
    <n v="0"/>
    <n v="0"/>
    <n v="0"/>
    <x v="0"/>
    <x v="0"/>
    <x v="0"/>
    <x v="0"/>
    <x v="0"/>
  </r>
  <r>
    <n v="1294"/>
    <x v="0"/>
    <x v="0"/>
    <s v="N"/>
    <n v="12470"/>
    <n v="124"/>
    <n v="61"/>
    <n v="-38"/>
    <x v="0"/>
    <x v="0"/>
    <n v="0"/>
    <n v="0"/>
    <n v="0"/>
    <n v="0"/>
    <n v="0"/>
    <n v="0"/>
    <n v="0"/>
    <n v="0"/>
    <n v="0"/>
    <x v="0"/>
    <x v="0"/>
    <x v="0"/>
    <x v="0"/>
    <x v="0"/>
  </r>
  <r>
    <n v="1295"/>
    <x v="0"/>
    <x v="0"/>
    <s v="W"/>
    <n v="7100"/>
    <n v="227"/>
    <n v="-37"/>
    <n v="-19"/>
    <x v="0"/>
    <x v="0"/>
    <n v="0"/>
    <n v="0"/>
    <n v="0"/>
    <n v="0"/>
    <n v="0"/>
    <n v="0"/>
    <n v="0"/>
    <n v="0"/>
    <n v="0"/>
    <x v="0"/>
    <x v="0"/>
    <x v="1"/>
    <x v="1"/>
    <x v="0"/>
  </r>
  <r>
    <n v="1296"/>
    <x v="0"/>
    <x v="0"/>
    <s v="W"/>
    <n v="6020"/>
    <n v="129"/>
    <n v="-71"/>
    <n v="-64"/>
    <x v="0"/>
    <x v="0"/>
    <n v="0"/>
    <n v="0"/>
    <n v="0"/>
    <n v="0"/>
    <n v="0"/>
    <n v="0"/>
    <n v="0"/>
    <n v="0"/>
    <n v="0"/>
    <x v="0"/>
    <x v="0"/>
    <x v="1"/>
    <x v="1"/>
    <x v="0"/>
  </r>
  <r>
    <n v="1297"/>
    <x v="0"/>
    <x v="0"/>
    <s v="W"/>
    <n v="17800"/>
    <n v="436"/>
    <n v="58"/>
    <n v="56"/>
    <x v="0"/>
    <x v="0"/>
    <n v="0"/>
    <n v="0"/>
    <n v="0"/>
    <n v="0"/>
    <n v="0"/>
    <n v="0"/>
    <n v="0"/>
    <n v="0"/>
    <n v="0"/>
    <x v="0"/>
    <x v="0"/>
    <x v="1"/>
    <x v="0"/>
    <x v="0"/>
  </r>
  <r>
    <n v="1298"/>
    <x v="0"/>
    <x v="0"/>
    <s v="W"/>
    <n v="20500"/>
    <n v="717"/>
    <n v="82"/>
    <n v="157"/>
    <x v="0"/>
    <x v="0"/>
    <n v="0"/>
    <n v="0"/>
    <n v="0"/>
    <n v="0"/>
    <n v="0"/>
    <n v="0"/>
    <n v="0"/>
    <n v="0"/>
    <n v="0"/>
    <x v="0"/>
    <x v="0"/>
    <x v="1"/>
    <x v="0"/>
    <x v="0"/>
  </r>
  <r>
    <n v="1299"/>
    <x v="0"/>
    <x v="0"/>
    <s v="W"/>
    <n v="23210"/>
    <n v="264"/>
    <n v="12"/>
    <n v="-27"/>
    <x v="0"/>
    <x v="1"/>
    <n v="1"/>
    <n v="0"/>
    <n v="0"/>
    <n v="0"/>
    <n v="0"/>
    <n v="0"/>
    <n v="0"/>
    <n v="900"/>
    <n v="900"/>
    <x v="0"/>
    <x v="0"/>
    <x v="1"/>
    <x v="0"/>
    <x v="0"/>
  </r>
  <r>
    <n v="1300"/>
    <x v="0"/>
    <x v="0"/>
    <s v="W"/>
    <n v="14070"/>
    <n v="504"/>
    <n v="25"/>
    <n v="81"/>
    <x v="0"/>
    <x v="0"/>
    <n v="0"/>
    <n v="0"/>
    <n v="0"/>
    <n v="0"/>
    <n v="0"/>
    <n v="0"/>
    <n v="0"/>
    <n v="0"/>
    <n v="0"/>
    <x v="0"/>
    <x v="0"/>
    <x v="1"/>
    <x v="0"/>
    <x v="0"/>
  </r>
  <r>
    <n v="1301"/>
    <x v="0"/>
    <x v="0"/>
    <s v="W"/>
    <n v="24100"/>
    <n v="197"/>
    <n v="16"/>
    <n v="-45"/>
    <x v="0"/>
    <x v="0"/>
    <n v="0"/>
    <n v="0"/>
    <n v="0"/>
    <n v="0"/>
    <n v="0"/>
    <n v="0"/>
    <n v="0"/>
    <n v="0"/>
    <n v="0"/>
    <x v="0"/>
    <x v="0"/>
    <x v="1"/>
    <x v="0"/>
    <x v="0"/>
  </r>
  <r>
    <n v="1302"/>
    <x v="0"/>
    <x v="0"/>
    <s v="W"/>
    <n v="15380"/>
    <n v="418"/>
    <n v="37"/>
    <n v="50"/>
    <x v="0"/>
    <x v="0"/>
    <n v="0"/>
    <n v="0"/>
    <n v="0"/>
    <n v="0"/>
    <n v="0"/>
    <n v="0"/>
    <n v="0"/>
    <n v="0"/>
    <n v="0"/>
    <x v="0"/>
    <x v="0"/>
    <x v="1"/>
    <x v="0"/>
    <x v="0"/>
  </r>
  <r>
    <n v="1303"/>
    <x v="0"/>
    <x v="0"/>
    <s v="W"/>
    <n v="33560"/>
    <n v="590"/>
    <n v="194"/>
    <n v="111"/>
    <x v="0"/>
    <x v="0"/>
    <n v="0"/>
    <n v="0"/>
    <n v="0"/>
    <n v="0"/>
    <n v="0"/>
    <n v="0"/>
    <n v="0"/>
    <n v="0"/>
    <n v="0"/>
    <x v="0"/>
    <x v="0"/>
    <x v="1"/>
    <x v="0"/>
    <x v="0"/>
  </r>
  <r>
    <n v="1304"/>
    <x v="0"/>
    <x v="0"/>
    <s v="W"/>
    <n v="38560"/>
    <n v="741"/>
    <n v="237"/>
    <n v="166"/>
    <x v="0"/>
    <x v="1"/>
    <n v="0"/>
    <n v="1"/>
    <n v="0"/>
    <n v="0"/>
    <n v="0"/>
    <n v="0"/>
    <n v="0"/>
    <n v="7000"/>
    <n v="7000"/>
    <x v="0"/>
    <x v="0"/>
    <x v="1"/>
    <x v="0"/>
    <x v="0"/>
  </r>
  <r>
    <n v="1305"/>
    <x v="0"/>
    <x v="0"/>
    <s v="W"/>
    <n v="11440"/>
    <n v="505"/>
    <n v="0"/>
    <n v="81"/>
    <x v="0"/>
    <x v="0"/>
    <n v="0"/>
    <n v="0"/>
    <n v="0"/>
    <n v="0"/>
    <n v="0"/>
    <n v="0"/>
    <n v="0"/>
    <n v="0"/>
    <n v="0"/>
    <x v="0"/>
    <x v="0"/>
    <x v="1"/>
    <x v="0"/>
    <x v="0"/>
  </r>
  <r>
    <n v="1306"/>
    <x v="0"/>
    <x v="0"/>
    <s v="W"/>
    <n v="11720"/>
    <n v="178"/>
    <n v="-39"/>
    <n v="-47"/>
    <x v="0"/>
    <x v="1"/>
    <n v="1"/>
    <n v="0"/>
    <n v="0"/>
    <n v="0"/>
    <n v="0"/>
    <n v="0"/>
    <n v="0"/>
    <n v="700"/>
    <n v="700"/>
    <x v="0"/>
    <x v="0"/>
    <x v="1"/>
    <x v="0"/>
    <x v="0"/>
  </r>
  <r>
    <n v="1307"/>
    <x v="0"/>
    <x v="0"/>
    <s v="W"/>
    <n v="12740"/>
    <n v="203"/>
    <n v="-33"/>
    <n v="-39"/>
    <x v="0"/>
    <x v="0"/>
    <n v="0"/>
    <n v="0"/>
    <n v="0"/>
    <n v="0"/>
    <n v="0"/>
    <n v="0"/>
    <n v="0"/>
    <n v="0"/>
    <n v="0"/>
    <x v="0"/>
    <x v="0"/>
    <x v="1"/>
    <x v="0"/>
    <x v="0"/>
  </r>
  <r>
    <n v="1308"/>
    <x v="0"/>
    <x v="0"/>
    <s v="W"/>
    <n v="19820"/>
    <n v="527"/>
    <n v="73"/>
    <n v="89"/>
    <x v="0"/>
    <x v="0"/>
    <n v="0"/>
    <n v="0"/>
    <n v="0"/>
    <n v="0"/>
    <n v="0"/>
    <n v="0"/>
    <n v="0"/>
    <n v="0"/>
    <n v="0"/>
    <x v="0"/>
    <x v="0"/>
    <x v="1"/>
    <x v="0"/>
    <x v="0"/>
  </r>
  <r>
    <n v="1309"/>
    <x v="0"/>
    <x v="0"/>
    <s v="W"/>
    <n v="12400"/>
    <n v="402"/>
    <n v="9"/>
    <n v="44"/>
    <x v="0"/>
    <x v="0"/>
    <n v="0"/>
    <n v="0"/>
    <n v="0"/>
    <n v="0"/>
    <n v="0"/>
    <n v="0"/>
    <n v="0"/>
    <n v="0"/>
    <n v="0"/>
    <x v="0"/>
    <x v="0"/>
    <x v="1"/>
    <x v="0"/>
    <x v="0"/>
  </r>
  <r>
    <n v="1310"/>
    <x v="0"/>
    <x v="0"/>
    <s v="W"/>
    <n v="22900"/>
    <n v="332"/>
    <n v="20"/>
    <n v="-1"/>
    <x v="0"/>
    <x v="0"/>
    <n v="0"/>
    <n v="0"/>
    <n v="0"/>
    <n v="0"/>
    <n v="0"/>
    <n v="0"/>
    <n v="0"/>
    <n v="0"/>
    <n v="0"/>
    <x v="0"/>
    <x v="0"/>
    <x v="1"/>
    <x v="0"/>
    <x v="0"/>
  </r>
  <r>
    <n v="1311"/>
    <x v="0"/>
    <x v="1"/>
    <s v="W"/>
    <n v="11320"/>
    <n v="472"/>
    <n v="-6"/>
    <n v="56"/>
    <x v="1"/>
    <x v="0"/>
    <n v="0"/>
    <n v="0"/>
    <n v="0"/>
    <n v="0"/>
    <n v="0"/>
    <n v="0"/>
    <n v="0"/>
    <n v="0"/>
    <n v="0"/>
    <x v="0"/>
    <x v="0"/>
    <x v="1"/>
    <x v="0"/>
    <x v="0"/>
  </r>
  <r>
    <n v="1312"/>
    <x v="0"/>
    <x v="1"/>
    <s v="W"/>
    <n v="14770"/>
    <n v="241"/>
    <n v="-19"/>
    <n v="-24"/>
    <x v="0"/>
    <x v="0"/>
    <n v="0"/>
    <n v="0"/>
    <n v="0"/>
    <n v="0"/>
    <n v="0"/>
    <n v="0"/>
    <n v="0"/>
    <n v="0"/>
    <n v="0"/>
    <x v="0"/>
    <x v="0"/>
    <x v="1"/>
    <x v="0"/>
    <x v="0"/>
  </r>
  <r>
    <n v="1313"/>
    <x v="0"/>
    <x v="1"/>
    <s v="W"/>
    <n v="18170"/>
    <n v="408"/>
    <n v="50"/>
    <n v="35"/>
    <x v="1"/>
    <x v="0"/>
    <n v="0"/>
    <n v="0"/>
    <n v="0"/>
    <n v="0"/>
    <n v="0"/>
    <n v="0"/>
    <n v="0"/>
    <n v="0"/>
    <n v="0"/>
    <x v="0"/>
    <x v="0"/>
    <x v="1"/>
    <x v="0"/>
    <x v="0"/>
  </r>
  <r>
    <n v="1314"/>
    <x v="0"/>
    <x v="1"/>
    <s v="W"/>
    <n v="19300"/>
    <n v="509"/>
    <n v="60"/>
    <n v="69"/>
    <x v="1"/>
    <x v="0"/>
    <n v="0"/>
    <n v="0"/>
    <n v="0"/>
    <n v="0"/>
    <n v="0"/>
    <n v="0"/>
    <n v="0"/>
    <n v="0"/>
    <n v="0"/>
    <x v="0"/>
    <x v="0"/>
    <x v="1"/>
    <x v="0"/>
    <x v="0"/>
  </r>
  <r>
    <n v="1315"/>
    <x v="0"/>
    <x v="1"/>
    <s v="W"/>
    <n v="16640"/>
    <n v="407"/>
    <n v="38"/>
    <n v="35"/>
    <x v="1"/>
    <x v="0"/>
    <n v="0"/>
    <n v="0"/>
    <n v="0"/>
    <n v="0"/>
    <n v="0"/>
    <n v="0"/>
    <n v="0"/>
    <n v="0"/>
    <n v="0"/>
    <x v="0"/>
    <x v="0"/>
    <x v="1"/>
    <x v="0"/>
    <x v="0"/>
  </r>
  <r>
    <n v="1316"/>
    <x v="0"/>
    <x v="1"/>
    <s v="W"/>
    <n v="12370"/>
    <n v="346"/>
    <n v="2"/>
    <n v="15"/>
    <x v="1"/>
    <x v="0"/>
    <n v="0"/>
    <n v="0"/>
    <n v="0"/>
    <n v="0"/>
    <n v="0"/>
    <n v="0"/>
    <n v="0"/>
    <n v="0"/>
    <n v="0"/>
    <x v="0"/>
    <x v="0"/>
    <x v="1"/>
    <x v="0"/>
    <x v="0"/>
  </r>
  <r>
    <n v="1317"/>
    <x v="0"/>
    <x v="1"/>
    <s v="W"/>
    <n v="20720"/>
    <n v="284"/>
    <n v="13"/>
    <n v="-11"/>
    <x v="0"/>
    <x v="0"/>
    <n v="0"/>
    <n v="0"/>
    <n v="0"/>
    <n v="0"/>
    <n v="0"/>
    <n v="0"/>
    <n v="0"/>
    <n v="0"/>
    <n v="0"/>
    <x v="0"/>
    <x v="0"/>
    <x v="1"/>
    <x v="0"/>
    <x v="0"/>
  </r>
  <r>
    <n v="1318"/>
    <x v="0"/>
    <x v="1"/>
    <s v="W"/>
    <n v="12430"/>
    <n v="187"/>
    <n v="-32"/>
    <n v="-41"/>
    <x v="0"/>
    <x v="0"/>
    <n v="0"/>
    <n v="0"/>
    <n v="0"/>
    <n v="0"/>
    <n v="0"/>
    <n v="0"/>
    <n v="0"/>
    <n v="0"/>
    <n v="0"/>
    <x v="0"/>
    <x v="0"/>
    <x v="1"/>
    <x v="0"/>
    <x v="0"/>
  </r>
  <r>
    <n v="1319"/>
    <x v="0"/>
    <x v="1"/>
    <s v="W"/>
    <n v="6360"/>
    <n v="274"/>
    <n v="-51"/>
    <n v="-16"/>
    <x v="1"/>
    <x v="0"/>
    <n v="0"/>
    <n v="0"/>
    <n v="0"/>
    <n v="0"/>
    <n v="0"/>
    <n v="0"/>
    <n v="0"/>
    <n v="0"/>
    <n v="0"/>
    <x v="0"/>
    <x v="0"/>
    <x v="1"/>
    <x v="1"/>
    <x v="0"/>
  </r>
  <r>
    <n v="1320"/>
    <x v="0"/>
    <x v="1"/>
    <s v="W"/>
    <n v="7600"/>
    <n v="246"/>
    <n v="-42"/>
    <n v="-25"/>
    <x v="1"/>
    <x v="0"/>
    <n v="0"/>
    <n v="0"/>
    <n v="0"/>
    <n v="0"/>
    <n v="0"/>
    <n v="0"/>
    <n v="0"/>
    <n v="0"/>
    <n v="0"/>
    <x v="0"/>
    <x v="0"/>
    <x v="1"/>
    <x v="1"/>
    <x v="0"/>
  </r>
  <r>
    <n v="1321"/>
    <x v="0"/>
    <x v="1"/>
    <s v="W"/>
    <n v="8690"/>
    <n v="251"/>
    <n v="-34"/>
    <n v="-23"/>
    <x v="1"/>
    <x v="0"/>
    <n v="0"/>
    <n v="0"/>
    <n v="0"/>
    <n v="0"/>
    <n v="0"/>
    <n v="0"/>
    <n v="0"/>
    <n v="0"/>
    <n v="0"/>
    <x v="0"/>
    <x v="0"/>
    <x v="1"/>
    <x v="1"/>
    <x v="0"/>
  </r>
  <r>
    <n v="1322"/>
    <x v="0"/>
    <x v="1"/>
    <s v="W"/>
    <n v="10980"/>
    <n v="327"/>
    <n v="-16"/>
    <n v="0"/>
    <x v="1"/>
    <x v="0"/>
    <n v="0"/>
    <n v="0"/>
    <n v="0"/>
    <n v="0"/>
    <n v="0"/>
    <n v="0"/>
    <n v="0"/>
    <n v="0"/>
    <n v="0"/>
    <x v="0"/>
    <x v="0"/>
    <x v="1"/>
    <x v="0"/>
    <x v="0"/>
  </r>
  <r>
    <n v="1323"/>
    <x v="0"/>
    <x v="1"/>
    <s v="W"/>
    <n v="16110"/>
    <n v="402"/>
    <n v="23"/>
    <n v="23"/>
    <x v="1"/>
    <x v="0"/>
    <n v="0"/>
    <n v="0"/>
    <n v="0"/>
    <n v="0"/>
    <n v="0"/>
    <n v="0"/>
    <n v="0"/>
    <n v="0"/>
    <n v="0"/>
    <x v="0"/>
    <x v="0"/>
    <x v="1"/>
    <x v="0"/>
    <x v="0"/>
  </r>
  <r>
    <n v="1324"/>
    <x v="0"/>
    <x v="1"/>
    <s v="W"/>
    <n v="38880"/>
    <n v="689"/>
    <n v="197"/>
    <n v="110"/>
    <x v="1"/>
    <x v="1"/>
    <n v="0"/>
    <n v="1"/>
    <n v="0"/>
    <n v="0"/>
    <n v="0"/>
    <n v="0"/>
    <n v="0"/>
    <n v="2000"/>
    <n v="2000"/>
    <x v="0"/>
    <x v="0"/>
    <x v="1"/>
    <x v="0"/>
    <x v="0"/>
  </r>
  <r>
    <n v="1325"/>
    <x v="0"/>
    <x v="1"/>
    <s v="W"/>
    <n v="36230"/>
    <n v="822"/>
    <n v="177"/>
    <n v="151"/>
    <x v="1"/>
    <x v="1"/>
    <n v="0"/>
    <n v="1"/>
    <n v="0"/>
    <n v="0"/>
    <n v="0"/>
    <n v="0"/>
    <n v="0"/>
    <n v="8000"/>
    <n v="8000"/>
    <x v="0"/>
    <x v="0"/>
    <x v="1"/>
    <x v="0"/>
    <x v="0"/>
  </r>
  <r>
    <n v="1326"/>
    <x v="0"/>
    <x v="1"/>
    <s v="W"/>
    <n v="23800"/>
    <n v="540"/>
    <n v="82"/>
    <n v="65"/>
    <x v="1"/>
    <x v="0"/>
    <n v="0"/>
    <n v="0"/>
    <n v="0"/>
    <n v="0"/>
    <n v="0"/>
    <n v="0"/>
    <n v="0"/>
    <n v="0"/>
    <n v="0"/>
    <x v="0"/>
    <x v="0"/>
    <x v="1"/>
    <x v="0"/>
    <x v="0"/>
  </r>
  <r>
    <n v="1327"/>
    <x v="0"/>
    <x v="1"/>
    <s v="W"/>
    <n v="17590"/>
    <n v="500"/>
    <n v="36"/>
    <n v="53"/>
    <x v="1"/>
    <x v="0"/>
    <n v="0"/>
    <n v="0"/>
    <n v="0"/>
    <n v="0"/>
    <n v="0"/>
    <n v="0"/>
    <n v="0"/>
    <n v="0"/>
    <n v="0"/>
    <x v="0"/>
    <x v="0"/>
    <x v="1"/>
    <x v="0"/>
    <x v="0"/>
  </r>
  <r>
    <n v="1328"/>
    <x v="0"/>
    <x v="1"/>
    <s v="W"/>
    <n v="19810"/>
    <n v="209"/>
    <n v="21"/>
    <n v="-22"/>
    <x v="0"/>
    <x v="0"/>
    <n v="0"/>
    <n v="0"/>
    <n v="0"/>
    <n v="0"/>
    <n v="0"/>
    <n v="0"/>
    <n v="0"/>
    <n v="0"/>
    <n v="0"/>
    <x v="0"/>
    <x v="0"/>
    <x v="1"/>
    <x v="0"/>
    <x v="0"/>
  </r>
  <r>
    <n v="1329"/>
    <x v="0"/>
    <x v="1"/>
    <s v="W"/>
    <n v="12800"/>
    <n v="213"/>
    <n v="-22"/>
    <n v="-20"/>
    <x v="0"/>
    <x v="0"/>
    <n v="0"/>
    <n v="0"/>
    <n v="0"/>
    <n v="0"/>
    <n v="0"/>
    <n v="0"/>
    <n v="0"/>
    <n v="0"/>
    <n v="0"/>
    <x v="0"/>
    <x v="0"/>
    <x v="1"/>
    <x v="0"/>
    <x v="0"/>
  </r>
  <r>
    <n v="1330"/>
    <x v="0"/>
    <x v="1"/>
    <s v="W"/>
    <n v="26350"/>
    <n v="569"/>
    <n v="104"/>
    <n v="75"/>
    <x v="1"/>
    <x v="0"/>
    <n v="0"/>
    <n v="0"/>
    <n v="0"/>
    <n v="0"/>
    <n v="0"/>
    <n v="0"/>
    <n v="0"/>
    <n v="0"/>
    <n v="0"/>
    <x v="0"/>
    <x v="0"/>
    <x v="1"/>
    <x v="0"/>
    <x v="0"/>
  </r>
  <r>
    <n v="1331"/>
    <x v="0"/>
    <x v="1"/>
    <s v="W"/>
    <n v="25850"/>
    <n v="595"/>
    <n v="100"/>
    <n v="83"/>
    <x v="1"/>
    <x v="0"/>
    <n v="0"/>
    <n v="0"/>
    <n v="0"/>
    <n v="0"/>
    <n v="0"/>
    <n v="0"/>
    <n v="0"/>
    <n v="0"/>
    <n v="0"/>
    <x v="0"/>
    <x v="0"/>
    <x v="1"/>
    <x v="0"/>
    <x v="0"/>
  </r>
  <r>
    <n v="1332"/>
    <x v="0"/>
    <x v="1"/>
    <s v="W"/>
    <n v="24840"/>
    <n v="609"/>
    <n v="92"/>
    <n v="87"/>
    <x v="1"/>
    <x v="0"/>
    <n v="0"/>
    <n v="0"/>
    <n v="0"/>
    <n v="0"/>
    <n v="0"/>
    <n v="0"/>
    <n v="0"/>
    <n v="0"/>
    <n v="0"/>
    <x v="0"/>
    <x v="0"/>
    <x v="1"/>
    <x v="0"/>
    <x v="0"/>
  </r>
  <r>
    <n v="1333"/>
    <x v="0"/>
    <x v="1"/>
    <s v="W"/>
    <n v="19340"/>
    <n v="218"/>
    <n v="18"/>
    <n v="-19"/>
    <x v="0"/>
    <x v="1"/>
    <n v="0"/>
    <n v="1"/>
    <n v="0"/>
    <n v="0"/>
    <n v="0"/>
    <n v="0"/>
    <n v="0"/>
    <n v="3000"/>
    <n v="3000"/>
    <x v="0"/>
    <x v="0"/>
    <x v="1"/>
    <x v="0"/>
    <x v="0"/>
  </r>
  <r>
    <n v="1334"/>
    <x v="0"/>
    <x v="1"/>
    <s v="W"/>
    <n v="29060"/>
    <n v="660"/>
    <n v="125"/>
    <n v="103"/>
    <x v="1"/>
    <x v="1"/>
    <n v="1"/>
    <n v="0"/>
    <n v="0"/>
    <n v="0"/>
    <n v="0"/>
    <n v="0"/>
    <n v="0"/>
    <n v="300"/>
    <n v="300"/>
    <x v="0"/>
    <x v="0"/>
    <x v="1"/>
    <x v="0"/>
    <x v="0"/>
  </r>
  <r>
    <n v="1335"/>
    <x v="0"/>
    <x v="1"/>
    <s v="W"/>
    <n v="39970"/>
    <n v="831"/>
    <n v="196"/>
    <n v="147"/>
    <x v="1"/>
    <x v="0"/>
    <n v="0"/>
    <n v="0"/>
    <n v="0"/>
    <n v="0"/>
    <n v="0"/>
    <n v="0"/>
    <n v="0"/>
    <n v="0"/>
    <n v="0"/>
    <x v="0"/>
    <x v="0"/>
    <x v="1"/>
    <x v="0"/>
    <x v="0"/>
  </r>
  <r>
    <n v="1336"/>
    <x v="0"/>
    <x v="1"/>
    <s v="W"/>
    <n v="28920"/>
    <n v="659"/>
    <n v="114"/>
    <n v="96"/>
    <x v="1"/>
    <x v="0"/>
    <n v="0"/>
    <n v="0"/>
    <n v="0"/>
    <n v="0"/>
    <n v="0"/>
    <n v="0"/>
    <n v="0"/>
    <n v="0"/>
    <n v="0"/>
    <x v="0"/>
    <x v="0"/>
    <x v="1"/>
    <x v="0"/>
    <x v="0"/>
  </r>
  <r>
    <n v="1337"/>
    <x v="0"/>
    <x v="1"/>
    <s v="W"/>
    <n v="21860"/>
    <n v="283"/>
    <n v="39"/>
    <n v="14"/>
    <x v="0"/>
    <x v="1"/>
    <n v="0"/>
    <n v="1"/>
    <n v="0"/>
    <n v="0"/>
    <n v="0"/>
    <n v="0"/>
    <n v="0"/>
    <n v="4000"/>
    <n v="4000"/>
    <x v="0"/>
    <x v="0"/>
    <x v="1"/>
    <x v="0"/>
    <x v="0"/>
  </r>
  <r>
    <n v="1338"/>
    <x v="0"/>
    <x v="1"/>
    <s v="W"/>
    <n v="15180"/>
    <n v="196"/>
    <n v="-3"/>
    <n v="-21"/>
    <x v="0"/>
    <x v="0"/>
    <n v="0"/>
    <n v="0"/>
    <n v="0"/>
    <n v="0"/>
    <n v="0"/>
    <n v="0"/>
    <n v="0"/>
    <n v="0"/>
    <n v="0"/>
    <x v="0"/>
    <x v="0"/>
    <x v="1"/>
    <x v="0"/>
    <x v="0"/>
  </r>
  <r>
    <n v="1339"/>
    <x v="0"/>
    <x v="1"/>
    <s v="W"/>
    <n v="10150"/>
    <n v="326"/>
    <n v="-25"/>
    <n v="-3"/>
    <x v="1"/>
    <x v="0"/>
    <n v="0"/>
    <n v="0"/>
    <n v="0"/>
    <n v="0"/>
    <n v="0"/>
    <n v="0"/>
    <n v="0"/>
    <n v="0"/>
    <n v="0"/>
    <x v="0"/>
    <x v="0"/>
    <x v="1"/>
    <x v="0"/>
    <x v="0"/>
  </r>
  <r>
    <n v="1340"/>
    <x v="0"/>
    <x v="1"/>
    <s v="W"/>
    <n v="8260"/>
    <n v="343"/>
    <n v="-39"/>
    <n v="2"/>
    <x v="1"/>
    <x v="0"/>
    <n v="0"/>
    <n v="0"/>
    <n v="0"/>
    <n v="0"/>
    <n v="0"/>
    <n v="0"/>
    <n v="0"/>
    <n v="0"/>
    <n v="0"/>
    <x v="0"/>
    <x v="0"/>
    <x v="1"/>
    <x v="1"/>
    <x v="0"/>
  </r>
  <r>
    <n v="1341"/>
    <x v="0"/>
    <x v="1"/>
    <s v="W"/>
    <n v="27670"/>
    <n v="305"/>
    <n v="283"/>
    <n v="53"/>
    <x v="0"/>
    <x v="0"/>
    <n v="0"/>
    <n v="0"/>
    <n v="0"/>
    <n v="0"/>
    <n v="0"/>
    <n v="0"/>
    <n v="0"/>
    <n v="0"/>
    <n v="0"/>
    <x v="0"/>
    <x v="0"/>
    <x v="1"/>
    <x v="0"/>
    <x v="0"/>
  </r>
  <r>
    <n v="1342"/>
    <x v="0"/>
    <x v="1"/>
    <s v="W"/>
    <n v="32730"/>
    <n v="1209"/>
    <n v="353"/>
    <n v="506"/>
    <x v="1"/>
    <x v="0"/>
    <n v="0"/>
    <n v="0"/>
    <n v="0"/>
    <n v="0"/>
    <n v="0"/>
    <n v="0"/>
    <n v="0"/>
    <n v="0"/>
    <n v="0"/>
    <x v="0"/>
    <x v="0"/>
    <x v="1"/>
    <x v="0"/>
    <x v="0"/>
  </r>
  <r>
    <n v="1343"/>
    <x v="0"/>
    <x v="1"/>
    <s v="W"/>
    <n v="11090"/>
    <n v="639"/>
    <n v="54"/>
    <n v="249"/>
    <x v="0"/>
    <x v="0"/>
    <n v="0"/>
    <n v="0"/>
    <n v="0"/>
    <n v="0"/>
    <n v="0"/>
    <n v="0"/>
    <n v="0"/>
    <n v="0"/>
    <n v="0"/>
    <x v="0"/>
    <x v="0"/>
    <x v="1"/>
    <x v="0"/>
    <x v="0"/>
  </r>
  <r>
    <n v="1344"/>
    <x v="0"/>
    <x v="1"/>
    <s v="W"/>
    <n v="15740"/>
    <n v="278"/>
    <n v="8"/>
    <n v="-24"/>
    <x v="1"/>
    <x v="1"/>
    <n v="0"/>
    <n v="1"/>
    <n v="0"/>
    <n v="0"/>
    <n v="0"/>
    <n v="0"/>
    <n v="0"/>
    <n v="3000"/>
    <n v="3000"/>
    <x v="0"/>
    <x v="0"/>
    <x v="1"/>
    <x v="0"/>
    <x v="0"/>
  </r>
  <r>
    <n v="1345"/>
    <x v="0"/>
    <x v="1"/>
    <s v="W"/>
    <n v="10730"/>
    <n v="233"/>
    <n v="-26"/>
    <n v="-36"/>
    <x v="1"/>
    <x v="0"/>
    <n v="0"/>
    <n v="0"/>
    <n v="0"/>
    <n v="0"/>
    <n v="0"/>
    <n v="0"/>
    <n v="0"/>
    <n v="0"/>
    <n v="0"/>
    <x v="0"/>
    <x v="0"/>
    <x v="1"/>
    <x v="0"/>
    <x v="0"/>
  </r>
  <r>
    <n v="1346"/>
    <x v="0"/>
    <x v="1"/>
    <s v="W"/>
    <n v="26740"/>
    <n v="583"/>
    <n v="83"/>
    <n v="60"/>
    <x v="1"/>
    <x v="2"/>
    <n v="2"/>
    <n v="0"/>
    <n v="0"/>
    <n v="0"/>
    <n v="0"/>
    <n v="0"/>
    <n v="0"/>
    <n v="1400"/>
    <n v="800"/>
    <x v="0"/>
    <x v="0"/>
    <x v="1"/>
    <x v="0"/>
    <x v="0"/>
  </r>
  <r>
    <n v="1347"/>
    <x v="0"/>
    <x v="1"/>
    <s v="W"/>
    <n v="26960"/>
    <n v="514"/>
    <n v="85"/>
    <n v="41"/>
    <x v="1"/>
    <x v="0"/>
    <n v="0"/>
    <n v="0"/>
    <n v="0"/>
    <n v="0"/>
    <n v="0"/>
    <n v="0"/>
    <n v="0"/>
    <n v="0"/>
    <n v="0"/>
    <x v="0"/>
    <x v="0"/>
    <x v="1"/>
    <x v="0"/>
    <x v="0"/>
  </r>
  <r>
    <n v="1348"/>
    <x v="0"/>
    <x v="1"/>
    <s v="W"/>
    <n v="16540"/>
    <n v="213"/>
    <n v="2"/>
    <n v="-11"/>
    <x v="0"/>
    <x v="0"/>
    <n v="0"/>
    <n v="0"/>
    <n v="0"/>
    <n v="0"/>
    <n v="0"/>
    <n v="0"/>
    <n v="0"/>
    <n v="0"/>
    <n v="0"/>
    <x v="0"/>
    <x v="0"/>
    <x v="1"/>
    <x v="0"/>
    <x v="0"/>
  </r>
  <r>
    <n v="1349"/>
    <x v="0"/>
    <x v="1"/>
    <s v="W"/>
    <n v="13550"/>
    <n v="358"/>
    <n v="-7"/>
    <n v="-2"/>
    <x v="1"/>
    <x v="0"/>
    <n v="0"/>
    <n v="0"/>
    <n v="0"/>
    <n v="0"/>
    <n v="0"/>
    <n v="0"/>
    <n v="0"/>
    <n v="0"/>
    <n v="0"/>
    <x v="0"/>
    <x v="0"/>
    <x v="1"/>
    <x v="0"/>
    <x v="0"/>
  </r>
  <r>
    <n v="1350"/>
    <x v="0"/>
    <x v="1"/>
    <s v="W"/>
    <n v="23820"/>
    <n v="525"/>
    <n v="63"/>
    <n v="44"/>
    <x v="1"/>
    <x v="0"/>
    <n v="0"/>
    <n v="0"/>
    <n v="0"/>
    <n v="0"/>
    <n v="0"/>
    <n v="0"/>
    <n v="0"/>
    <n v="0"/>
    <n v="0"/>
    <x v="0"/>
    <x v="0"/>
    <x v="1"/>
    <x v="0"/>
    <x v="0"/>
  </r>
  <r>
    <n v="1351"/>
    <x v="0"/>
    <x v="1"/>
    <s v="W"/>
    <n v="21000"/>
    <n v="483"/>
    <n v="40"/>
    <n v="28"/>
    <x v="1"/>
    <x v="1"/>
    <n v="1"/>
    <n v="0"/>
    <n v="0"/>
    <n v="0"/>
    <n v="0"/>
    <n v="0"/>
    <n v="0"/>
    <n v="200"/>
    <n v="200"/>
    <x v="0"/>
    <x v="0"/>
    <x v="1"/>
    <x v="0"/>
    <x v="0"/>
  </r>
  <r>
    <n v="1352"/>
    <x v="0"/>
    <x v="1"/>
    <s v="W"/>
    <n v="31340"/>
    <n v="726"/>
    <n v="109"/>
    <n v="92"/>
    <x v="1"/>
    <x v="2"/>
    <n v="1"/>
    <n v="1"/>
    <n v="0"/>
    <n v="0"/>
    <n v="0"/>
    <n v="0"/>
    <n v="0"/>
    <n v="9500"/>
    <n v="9000"/>
    <x v="0"/>
    <x v="0"/>
    <x v="1"/>
    <x v="0"/>
    <x v="0"/>
  </r>
  <r>
    <n v="1353"/>
    <x v="0"/>
    <x v="1"/>
    <s v="W"/>
    <n v="22830"/>
    <n v="608"/>
    <n v="53"/>
    <n v="61"/>
    <x v="1"/>
    <x v="0"/>
    <n v="0"/>
    <n v="0"/>
    <n v="0"/>
    <n v="0"/>
    <n v="0"/>
    <n v="0"/>
    <n v="0"/>
    <n v="0"/>
    <n v="0"/>
    <x v="0"/>
    <x v="0"/>
    <x v="1"/>
    <x v="0"/>
    <x v="0"/>
  </r>
  <r>
    <n v="1354"/>
    <x v="0"/>
    <x v="1"/>
    <s v="W"/>
    <n v="25080"/>
    <n v="244"/>
    <n v="62"/>
    <n v="12"/>
    <x v="0"/>
    <x v="2"/>
    <n v="1"/>
    <n v="1"/>
    <n v="0"/>
    <n v="0"/>
    <n v="0"/>
    <n v="0"/>
    <n v="0"/>
    <n v="9500"/>
    <n v="9000"/>
    <x v="0"/>
    <x v="0"/>
    <x v="1"/>
    <x v="0"/>
    <x v="0"/>
  </r>
  <r>
    <n v="1355"/>
    <x v="0"/>
    <x v="1"/>
    <s v="W"/>
    <n v="12980"/>
    <n v="436"/>
    <n v="-13"/>
    <n v="16"/>
    <x v="1"/>
    <x v="0"/>
    <n v="0"/>
    <n v="0"/>
    <n v="0"/>
    <n v="0"/>
    <n v="0"/>
    <n v="0"/>
    <n v="0"/>
    <n v="0"/>
    <n v="0"/>
    <x v="0"/>
    <x v="0"/>
    <x v="1"/>
    <x v="0"/>
    <x v="0"/>
  </r>
  <r>
    <n v="1356"/>
    <x v="0"/>
    <x v="1"/>
    <s v="W"/>
    <n v="10270"/>
    <n v="306"/>
    <n v="-31"/>
    <n v="-19"/>
    <x v="1"/>
    <x v="0"/>
    <n v="0"/>
    <n v="0"/>
    <n v="0"/>
    <n v="0"/>
    <n v="0"/>
    <n v="0"/>
    <n v="0"/>
    <n v="0"/>
    <n v="0"/>
    <x v="0"/>
    <x v="0"/>
    <x v="1"/>
    <x v="0"/>
    <x v="0"/>
  </r>
  <r>
    <n v="1357"/>
    <x v="0"/>
    <x v="1"/>
    <s v="W"/>
    <n v="20910"/>
    <n v="546"/>
    <n v="179"/>
    <n v="233"/>
    <x v="1"/>
    <x v="0"/>
    <n v="0"/>
    <n v="0"/>
    <n v="0"/>
    <n v="0"/>
    <n v="0"/>
    <n v="0"/>
    <n v="0"/>
    <n v="0"/>
    <n v="0"/>
    <x v="0"/>
    <x v="0"/>
    <x v="1"/>
    <x v="0"/>
    <x v="0"/>
  </r>
  <r>
    <n v="1358"/>
    <x v="0"/>
    <x v="1"/>
    <s v="W"/>
    <n v="9410"/>
    <n v="383"/>
    <n v="-37"/>
    <n v="2"/>
    <x v="1"/>
    <x v="0"/>
    <n v="0"/>
    <n v="0"/>
    <n v="0"/>
    <n v="0"/>
    <n v="0"/>
    <n v="0"/>
    <n v="0"/>
    <n v="0"/>
    <n v="0"/>
    <x v="0"/>
    <x v="0"/>
    <x v="1"/>
    <x v="1"/>
    <x v="0"/>
  </r>
  <r>
    <n v="1359"/>
    <x v="0"/>
    <x v="1"/>
    <s v="W"/>
    <n v="41740"/>
    <n v="966"/>
    <n v="164"/>
    <n v="143"/>
    <x v="0"/>
    <x v="0"/>
    <n v="0"/>
    <n v="0"/>
    <n v="0"/>
    <n v="0"/>
    <n v="0"/>
    <n v="0"/>
    <n v="0"/>
    <n v="0"/>
    <n v="0"/>
    <x v="0"/>
    <x v="0"/>
    <x v="1"/>
    <x v="0"/>
    <x v="0"/>
  </r>
  <r>
    <n v="1360"/>
    <x v="0"/>
    <x v="1"/>
    <s v="W"/>
    <n v="22710"/>
    <n v="481"/>
    <n v="191"/>
    <n v="166"/>
    <x v="0"/>
    <x v="0"/>
    <n v="0"/>
    <n v="0"/>
    <n v="0"/>
    <n v="0"/>
    <n v="0"/>
    <n v="0"/>
    <n v="0"/>
    <n v="0"/>
    <n v="0"/>
    <x v="0"/>
    <x v="0"/>
    <x v="1"/>
    <x v="0"/>
    <x v="0"/>
  </r>
  <r>
    <n v="1361"/>
    <x v="0"/>
    <x v="1"/>
    <s v="W"/>
    <n v="15710"/>
    <n v="308"/>
    <n v="101"/>
    <n v="70"/>
    <x v="0"/>
    <x v="0"/>
    <n v="0"/>
    <n v="0"/>
    <n v="0"/>
    <n v="0"/>
    <n v="0"/>
    <n v="0"/>
    <n v="0"/>
    <n v="0"/>
    <n v="0"/>
    <x v="0"/>
    <x v="0"/>
    <x v="1"/>
    <x v="0"/>
    <x v="0"/>
  </r>
  <r>
    <n v="1362"/>
    <x v="0"/>
    <x v="1"/>
    <s v="W"/>
    <n v="15030"/>
    <n v="484"/>
    <n v="-5"/>
    <n v="22"/>
    <x v="0"/>
    <x v="0"/>
    <n v="0"/>
    <n v="0"/>
    <n v="0"/>
    <n v="0"/>
    <n v="0"/>
    <n v="0"/>
    <n v="0"/>
    <n v="0"/>
    <n v="0"/>
    <x v="0"/>
    <x v="0"/>
    <x v="1"/>
    <x v="0"/>
    <x v="0"/>
  </r>
  <r>
    <n v="1363"/>
    <x v="0"/>
    <x v="1"/>
    <s v="W"/>
    <n v="26860"/>
    <n v="458"/>
    <n v="244"/>
    <n v="153"/>
    <x v="0"/>
    <x v="0"/>
    <n v="0"/>
    <n v="0"/>
    <n v="0"/>
    <n v="0"/>
    <n v="0"/>
    <n v="0"/>
    <n v="0"/>
    <n v="0"/>
    <n v="0"/>
    <x v="0"/>
    <x v="0"/>
    <x v="1"/>
    <x v="0"/>
    <x v="0"/>
  </r>
  <r>
    <n v="1364"/>
    <x v="0"/>
    <x v="1"/>
    <s v="W"/>
    <n v="11630"/>
    <n v="481"/>
    <n v="-27"/>
    <n v="21"/>
    <x v="0"/>
    <x v="0"/>
    <n v="0"/>
    <n v="0"/>
    <n v="0"/>
    <n v="0"/>
    <n v="0"/>
    <n v="0"/>
    <n v="0"/>
    <n v="0"/>
    <n v="0"/>
    <x v="0"/>
    <x v="0"/>
    <x v="1"/>
    <x v="0"/>
    <x v="0"/>
  </r>
  <r>
    <n v="1365"/>
    <x v="0"/>
    <x v="1"/>
    <s v="W"/>
    <n v="24690"/>
    <n v="565"/>
    <n v="56"/>
    <n v="42"/>
    <x v="0"/>
    <x v="0"/>
    <n v="0"/>
    <n v="0"/>
    <n v="0"/>
    <n v="0"/>
    <n v="0"/>
    <n v="0"/>
    <n v="0"/>
    <n v="0"/>
    <n v="0"/>
    <x v="0"/>
    <x v="0"/>
    <x v="1"/>
    <x v="0"/>
    <x v="0"/>
  </r>
  <r>
    <n v="1366"/>
    <x v="0"/>
    <x v="1"/>
    <s v="W"/>
    <n v="14570"/>
    <n v="326"/>
    <n v="-8"/>
    <n v="-18"/>
    <x v="0"/>
    <x v="0"/>
    <n v="0"/>
    <n v="0"/>
    <n v="0"/>
    <n v="0"/>
    <n v="0"/>
    <n v="0"/>
    <n v="0"/>
    <n v="0"/>
    <n v="0"/>
    <x v="0"/>
    <x v="0"/>
    <x v="1"/>
    <x v="0"/>
    <x v="0"/>
  </r>
  <r>
    <n v="1367"/>
    <x v="0"/>
    <x v="1"/>
    <s v="N"/>
    <n v="10210"/>
    <n v="394"/>
    <n v="169"/>
    <n v="251"/>
    <x v="0"/>
    <x v="0"/>
    <n v="0"/>
    <n v="0"/>
    <n v="0"/>
    <n v="0"/>
    <n v="0"/>
    <n v="0"/>
    <n v="0"/>
    <n v="0"/>
    <n v="0"/>
    <x v="0"/>
    <x v="0"/>
    <x v="0"/>
    <x v="0"/>
    <x v="0"/>
  </r>
  <r>
    <n v="1368"/>
    <x v="0"/>
    <x v="1"/>
    <s v="N"/>
    <n v="8070"/>
    <n v="404"/>
    <n v="270"/>
    <n v="278"/>
    <x v="0"/>
    <x v="0"/>
    <n v="0"/>
    <n v="0"/>
    <n v="0"/>
    <n v="0"/>
    <n v="0"/>
    <n v="0"/>
    <n v="0"/>
    <n v="0"/>
    <n v="0"/>
    <x v="0"/>
    <x v="0"/>
    <x v="0"/>
    <x v="1"/>
    <x v="0"/>
  </r>
  <r>
    <n v="1369"/>
    <x v="0"/>
    <x v="1"/>
    <s v="W"/>
    <n v="15930"/>
    <n v="171"/>
    <n v="-2"/>
    <n v="-21"/>
    <x v="0"/>
    <x v="0"/>
    <n v="0"/>
    <n v="0"/>
    <n v="0"/>
    <n v="0"/>
    <n v="0"/>
    <n v="0"/>
    <n v="0"/>
    <n v="0"/>
    <n v="0"/>
    <x v="0"/>
    <x v="0"/>
    <x v="1"/>
    <x v="0"/>
    <x v="0"/>
  </r>
  <r>
    <n v="1370"/>
    <x v="0"/>
    <x v="1"/>
    <s v="W"/>
    <n v="33620"/>
    <n v="762"/>
    <n v="97"/>
    <n v="77"/>
    <x v="0"/>
    <x v="1"/>
    <n v="1"/>
    <n v="0"/>
    <n v="0"/>
    <n v="0"/>
    <n v="0"/>
    <n v="0"/>
    <n v="0"/>
    <n v="700"/>
    <n v="700"/>
    <x v="0"/>
    <x v="0"/>
    <x v="1"/>
    <x v="0"/>
    <x v="0"/>
  </r>
  <r>
    <n v="1371"/>
    <x v="0"/>
    <x v="1"/>
    <s v="W"/>
    <n v="32960"/>
    <n v="982"/>
    <n v="93"/>
    <n v="128"/>
    <x v="0"/>
    <x v="0"/>
    <n v="0"/>
    <n v="0"/>
    <n v="0"/>
    <n v="0"/>
    <n v="0"/>
    <n v="0"/>
    <n v="0"/>
    <n v="0"/>
    <n v="0"/>
    <x v="0"/>
    <x v="0"/>
    <x v="1"/>
    <x v="0"/>
    <x v="0"/>
  </r>
  <r>
    <n v="1372"/>
    <x v="0"/>
    <x v="1"/>
    <s v="W"/>
    <n v="22640"/>
    <n v="691"/>
    <n v="32"/>
    <n v="60"/>
    <x v="0"/>
    <x v="2"/>
    <n v="2"/>
    <n v="0"/>
    <n v="0"/>
    <n v="0"/>
    <n v="0"/>
    <n v="0"/>
    <n v="0"/>
    <n v="400"/>
    <n v="300"/>
    <x v="0"/>
    <x v="0"/>
    <x v="1"/>
    <x v="0"/>
    <x v="0"/>
  </r>
  <r>
    <n v="1373"/>
    <x v="0"/>
    <x v="1"/>
    <s v="W"/>
    <n v="31800"/>
    <n v="769"/>
    <n v="295"/>
    <n v="313"/>
    <x v="1"/>
    <x v="0"/>
    <n v="0"/>
    <n v="0"/>
    <n v="0"/>
    <n v="0"/>
    <n v="0"/>
    <n v="0"/>
    <n v="0"/>
    <n v="0"/>
    <n v="0"/>
    <x v="1"/>
    <x v="1"/>
    <x v="1"/>
    <x v="0"/>
    <x v="0"/>
  </r>
  <r>
    <n v="1374"/>
    <x v="0"/>
    <x v="1"/>
    <s v="W"/>
    <n v="16940"/>
    <n v="455"/>
    <n v="-1"/>
    <n v="6"/>
    <x v="0"/>
    <x v="1"/>
    <n v="0"/>
    <n v="0"/>
    <n v="1"/>
    <n v="0"/>
    <n v="0"/>
    <n v="0"/>
    <n v="0"/>
    <n v="30000"/>
    <n v="30000"/>
    <x v="0"/>
    <x v="0"/>
    <x v="1"/>
    <x v="0"/>
    <x v="0"/>
  </r>
  <r>
    <n v="1375"/>
    <x v="1"/>
    <x v="1"/>
    <s v="W"/>
    <n v="13880"/>
    <n v="507"/>
    <n v="-22"/>
    <n v="11"/>
    <x v="0"/>
    <x v="0"/>
    <n v="0"/>
    <n v="0"/>
    <n v="0"/>
    <n v="0"/>
    <n v="0"/>
    <n v="0"/>
    <n v="0"/>
    <n v="0"/>
    <n v="0"/>
    <x v="0"/>
    <x v="0"/>
    <x v="1"/>
    <x v="0"/>
    <x v="0"/>
  </r>
  <r>
    <n v="1376"/>
    <x v="1"/>
    <x v="1"/>
    <s v="W"/>
    <n v="18340"/>
    <n v="534"/>
    <n v="3"/>
    <n v="17"/>
    <x v="0"/>
    <x v="0"/>
    <n v="0"/>
    <n v="0"/>
    <n v="0"/>
    <n v="0"/>
    <n v="0"/>
    <n v="0"/>
    <n v="0"/>
    <n v="0"/>
    <n v="0"/>
    <x v="0"/>
    <x v="0"/>
    <x v="1"/>
    <x v="0"/>
    <x v="0"/>
  </r>
  <r>
    <n v="1377"/>
    <x v="1"/>
    <x v="1"/>
    <s v="W"/>
    <n v="19420"/>
    <n v="591"/>
    <n v="9"/>
    <n v="29"/>
    <x v="0"/>
    <x v="0"/>
    <n v="0"/>
    <n v="0"/>
    <n v="0"/>
    <n v="0"/>
    <n v="0"/>
    <n v="0"/>
    <n v="0"/>
    <n v="0"/>
    <n v="0"/>
    <x v="0"/>
    <x v="0"/>
    <x v="1"/>
    <x v="0"/>
    <x v="0"/>
  </r>
  <r>
    <n v="1378"/>
    <x v="1"/>
    <x v="1"/>
    <s v="W"/>
    <n v="21300"/>
    <n v="710"/>
    <n v="19"/>
    <n v="55"/>
    <x v="0"/>
    <x v="1"/>
    <n v="0"/>
    <n v="1"/>
    <n v="0"/>
    <n v="0"/>
    <n v="0"/>
    <n v="0"/>
    <n v="0"/>
    <n v="2000"/>
    <n v="2000"/>
    <x v="0"/>
    <x v="0"/>
    <x v="1"/>
    <x v="0"/>
    <x v="0"/>
  </r>
  <r>
    <n v="1379"/>
    <x v="1"/>
    <x v="1"/>
    <s v="W"/>
    <n v="23490"/>
    <n v="748"/>
    <n v="32"/>
    <n v="63"/>
    <x v="0"/>
    <x v="0"/>
    <n v="0"/>
    <n v="0"/>
    <n v="0"/>
    <n v="0"/>
    <n v="0"/>
    <n v="0"/>
    <n v="0"/>
    <n v="0"/>
    <n v="0"/>
    <x v="0"/>
    <x v="0"/>
    <x v="1"/>
    <x v="0"/>
    <x v="0"/>
  </r>
  <r>
    <n v="1380"/>
    <x v="1"/>
    <x v="1"/>
    <s v="W"/>
    <n v="17970"/>
    <n v="518"/>
    <n v="1"/>
    <n v="13"/>
    <x v="0"/>
    <x v="0"/>
    <n v="0"/>
    <n v="0"/>
    <n v="0"/>
    <n v="0"/>
    <n v="0"/>
    <n v="0"/>
    <n v="0"/>
    <n v="0"/>
    <n v="0"/>
    <x v="0"/>
    <x v="0"/>
    <x v="1"/>
    <x v="0"/>
    <x v="0"/>
  </r>
  <r>
    <n v="1381"/>
    <x v="1"/>
    <x v="1"/>
    <s v="W"/>
    <n v="17310"/>
    <n v="485"/>
    <n v="-3"/>
    <n v="6"/>
    <x v="0"/>
    <x v="0"/>
    <n v="0"/>
    <n v="0"/>
    <n v="0"/>
    <n v="0"/>
    <n v="0"/>
    <n v="0"/>
    <n v="0"/>
    <n v="0"/>
    <n v="0"/>
    <x v="0"/>
    <x v="0"/>
    <x v="1"/>
    <x v="0"/>
    <x v="0"/>
  </r>
  <r>
    <n v="1382"/>
    <x v="1"/>
    <x v="1"/>
    <s v="W"/>
    <n v="17730"/>
    <n v="568"/>
    <n v="-1"/>
    <n v="24"/>
    <x v="0"/>
    <x v="0"/>
    <n v="0"/>
    <n v="0"/>
    <n v="0"/>
    <n v="0"/>
    <n v="0"/>
    <n v="0"/>
    <n v="0"/>
    <n v="0"/>
    <n v="0"/>
    <x v="0"/>
    <x v="0"/>
    <x v="1"/>
    <x v="0"/>
    <x v="0"/>
  </r>
  <r>
    <n v="1383"/>
    <x v="1"/>
    <x v="1"/>
    <s v="W"/>
    <n v="25180"/>
    <n v="592"/>
    <n v="39"/>
    <n v="24"/>
    <x v="0"/>
    <x v="0"/>
    <n v="0"/>
    <n v="0"/>
    <n v="0"/>
    <n v="0"/>
    <n v="0"/>
    <n v="0"/>
    <n v="0"/>
    <n v="0"/>
    <n v="0"/>
    <x v="0"/>
    <x v="0"/>
    <x v="1"/>
    <x v="0"/>
    <x v="0"/>
  </r>
  <r>
    <n v="1384"/>
    <x v="1"/>
    <x v="1"/>
    <s v="W"/>
    <n v="32240"/>
    <n v="702"/>
    <n v="77"/>
    <n v="47"/>
    <x v="0"/>
    <x v="0"/>
    <n v="0"/>
    <n v="0"/>
    <n v="0"/>
    <n v="0"/>
    <n v="0"/>
    <n v="0"/>
    <n v="0"/>
    <n v="0"/>
    <n v="0"/>
    <x v="0"/>
    <x v="0"/>
    <x v="1"/>
    <x v="0"/>
    <x v="0"/>
  </r>
  <r>
    <n v="1385"/>
    <x v="1"/>
    <x v="1"/>
    <s v="W"/>
    <n v="21770"/>
    <n v="292"/>
    <n v="35"/>
    <n v="28"/>
    <x v="0"/>
    <x v="0"/>
    <n v="0"/>
    <n v="0"/>
    <n v="0"/>
    <n v="0"/>
    <n v="0"/>
    <n v="0"/>
    <n v="0"/>
    <n v="0"/>
    <n v="0"/>
    <x v="0"/>
    <x v="0"/>
    <x v="1"/>
    <x v="0"/>
    <x v="0"/>
  </r>
  <r>
    <n v="1386"/>
    <x v="1"/>
    <x v="1"/>
    <s v="W"/>
    <n v="19680"/>
    <n v="288"/>
    <n v="121"/>
    <n v="37"/>
    <x v="1"/>
    <x v="0"/>
    <n v="0"/>
    <n v="0"/>
    <n v="0"/>
    <n v="0"/>
    <n v="0"/>
    <n v="0"/>
    <n v="0"/>
    <n v="0"/>
    <n v="0"/>
    <x v="1"/>
    <x v="1"/>
    <x v="1"/>
    <x v="0"/>
    <x v="0"/>
  </r>
  <r>
    <n v="1387"/>
    <x v="1"/>
    <x v="1"/>
    <s v="W"/>
    <n v="22320"/>
    <n v="337"/>
    <n v="39"/>
    <n v="48"/>
    <x v="0"/>
    <x v="1"/>
    <n v="0"/>
    <n v="0"/>
    <n v="1"/>
    <n v="0"/>
    <n v="0"/>
    <n v="0"/>
    <n v="0"/>
    <n v="10000"/>
    <n v="10000"/>
    <x v="0"/>
    <x v="0"/>
    <x v="1"/>
    <x v="0"/>
    <x v="0"/>
  </r>
  <r>
    <n v="1388"/>
    <x v="1"/>
    <x v="1"/>
    <s v="W"/>
    <n v="15060"/>
    <n v="618"/>
    <n v="-17"/>
    <n v="29"/>
    <x v="0"/>
    <x v="0"/>
    <n v="0"/>
    <n v="0"/>
    <n v="0"/>
    <n v="0"/>
    <n v="0"/>
    <n v="0"/>
    <n v="0"/>
    <n v="0"/>
    <n v="0"/>
    <x v="0"/>
    <x v="0"/>
    <x v="1"/>
    <x v="0"/>
    <x v="0"/>
  </r>
  <r>
    <n v="1389"/>
    <x v="1"/>
    <x v="1"/>
    <s v="W"/>
    <n v="23020"/>
    <n v="669"/>
    <n v="27"/>
    <n v="40"/>
    <x v="0"/>
    <x v="0"/>
    <n v="0"/>
    <n v="0"/>
    <n v="0"/>
    <n v="0"/>
    <n v="0"/>
    <n v="0"/>
    <n v="0"/>
    <n v="0"/>
    <n v="0"/>
    <x v="0"/>
    <x v="0"/>
    <x v="1"/>
    <x v="0"/>
    <x v="0"/>
  </r>
  <r>
    <n v="1390"/>
    <x v="1"/>
    <x v="1"/>
    <s v="W"/>
    <n v="18850"/>
    <n v="587"/>
    <n v="4"/>
    <n v="23"/>
    <x v="0"/>
    <x v="0"/>
    <n v="0"/>
    <n v="0"/>
    <n v="0"/>
    <n v="0"/>
    <n v="0"/>
    <n v="0"/>
    <n v="0"/>
    <n v="0"/>
    <n v="0"/>
    <x v="0"/>
    <x v="0"/>
    <x v="1"/>
    <x v="0"/>
    <x v="0"/>
  </r>
  <r>
    <n v="1391"/>
    <x v="1"/>
    <x v="1"/>
    <s v="W"/>
    <n v="9090"/>
    <n v="511"/>
    <n v="-51"/>
    <n v="4"/>
    <x v="0"/>
    <x v="0"/>
    <n v="0"/>
    <n v="0"/>
    <n v="0"/>
    <n v="0"/>
    <n v="0"/>
    <n v="0"/>
    <n v="0"/>
    <n v="0"/>
    <n v="0"/>
    <x v="0"/>
    <x v="0"/>
    <x v="1"/>
    <x v="1"/>
    <x v="0"/>
  </r>
  <r>
    <n v="1392"/>
    <x v="1"/>
    <x v="1"/>
    <s v="N"/>
    <n v="10690"/>
    <n v="367"/>
    <n v="182"/>
    <n v="227"/>
    <x v="0"/>
    <x v="0"/>
    <n v="0"/>
    <n v="0"/>
    <n v="0"/>
    <n v="0"/>
    <n v="0"/>
    <n v="0"/>
    <n v="0"/>
    <n v="0"/>
    <n v="0"/>
    <x v="0"/>
    <x v="0"/>
    <x v="0"/>
    <x v="0"/>
    <x v="0"/>
  </r>
  <r>
    <n v="1393"/>
    <x v="1"/>
    <x v="1"/>
    <s v="N"/>
    <n v="11040"/>
    <n v="316"/>
    <n v="191"/>
    <n v="181"/>
    <x v="0"/>
    <x v="0"/>
    <n v="0"/>
    <n v="0"/>
    <n v="0"/>
    <n v="0"/>
    <n v="0"/>
    <n v="0"/>
    <n v="0"/>
    <n v="0"/>
    <n v="0"/>
    <x v="0"/>
    <x v="0"/>
    <x v="0"/>
    <x v="0"/>
    <x v="0"/>
  </r>
  <r>
    <n v="1394"/>
    <x v="1"/>
    <x v="1"/>
    <s v="W"/>
    <n v="19430"/>
    <n v="453"/>
    <n v="5"/>
    <n v="-8"/>
    <x v="0"/>
    <x v="1"/>
    <n v="1"/>
    <n v="0"/>
    <n v="0"/>
    <n v="0"/>
    <n v="0"/>
    <n v="0"/>
    <n v="0"/>
    <n v="600"/>
    <n v="600"/>
    <x v="0"/>
    <x v="0"/>
    <x v="1"/>
    <x v="0"/>
    <x v="0"/>
  </r>
  <r>
    <n v="1395"/>
    <x v="1"/>
    <x v="1"/>
    <s v="W"/>
    <n v="21300"/>
    <n v="257"/>
    <n v="33"/>
    <n v="10"/>
    <x v="0"/>
    <x v="0"/>
    <n v="0"/>
    <n v="0"/>
    <n v="0"/>
    <n v="0"/>
    <n v="0"/>
    <n v="0"/>
    <n v="0"/>
    <n v="0"/>
    <n v="0"/>
    <x v="0"/>
    <x v="0"/>
    <x v="1"/>
    <x v="0"/>
    <x v="0"/>
  </r>
  <r>
    <n v="1396"/>
    <x v="1"/>
    <x v="1"/>
    <s v="W"/>
    <n v="13200"/>
    <n v="199"/>
    <n v="-18"/>
    <n v="-15"/>
    <x v="0"/>
    <x v="0"/>
    <n v="0"/>
    <n v="0"/>
    <n v="0"/>
    <n v="0"/>
    <n v="0"/>
    <n v="0"/>
    <n v="0"/>
    <n v="0"/>
    <n v="0"/>
    <x v="0"/>
    <x v="0"/>
    <x v="1"/>
    <x v="0"/>
    <x v="0"/>
  </r>
  <r>
    <n v="1397"/>
    <x v="1"/>
    <x v="1"/>
    <s v="W"/>
    <n v="13770"/>
    <n v="254"/>
    <n v="-14"/>
    <n v="9"/>
    <x v="0"/>
    <x v="0"/>
    <n v="0"/>
    <n v="0"/>
    <n v="0"/>
    <n v="0"/>
    <n v="0"/>
    <n v="0"/>
    <n v="0"/>
    <n v="0"/>
    <n v="0"/>
    <x v="0"/>
    <x v="0"/>
    <x v="1"/>
    <x v="0"/>
    <x v="0"/>
  </r>
  <r>
    <n v="1398"/>
    <x v="1"/>
    <x v="1"/>
    <s v="W"/>
    <n v="33400"/>
    <n v="749"/>
    <n v="81"/>
    <n v="52"/>
    <x v="0"/>
    <x v="0"/>
    <n v="0"/>
    <n v="0"/>
    <n v="0"/>
    <n v="0"/>
    <n v="0"/>
    <n v="0"/>
    <n v="0"/>
    <n v="0"/>
    <n v="0"/>
    <x v="0"/>
    <x v="0"/>
    <x v="1"/>
    <x v="0"/>
    <x v="0"/>
  </r>
  <r>
    <n v="1399"/>
    <x v="0"/>
    <x v="1"/>
    <s v="W"/>
    <n v="46080"/>
    <n v="942"/>
    <n v="146"/>
    <n v="87"/>
    <x v="0"/>
    <x v="0"/>
    <n v="0"/>
    <n v="0"/>
    <n v="0"/>
    <n v="0"/>
    <n v="0"/>
    <n v="0"/>
    <n v="0"/>
    <n v="0"/>
    <n v="0"/>
    <x v="0"/>
    <x v="0"/>
    <x v="1"/>
    <x v="0"/>
    <x v="0"/>
  </r>
  <r>
    <n v="1400"/>
    <x v="0"/>
    <x v="1"/>
    <s v="W"/>
    <n v="27940"/>
    <n v="334"/>
    <n v="74"/>
    <n v="39"/>
    <x v="0"/>
    <x v="0"/>
    <n v="0"/>
    <n v="0"/>
    <n v="0"/>
    <n v="0"/>
    <n v="0"/>
    <n v="0"/>
    <n v="0"/>
    <n v="0"/>
    <n v="0"/>
    <x v="0"/>
    <x v="0"/>
    <x v="1"/>
    <x v="0"/>
    <x v="0"/>
  </r>
  <r>
    <n v="1401"/>
    <x v="0"/>
    <x v="1"/>
    <s v="W"/>
    <n v="17600"/>
    <n v="543"/>
    <n v="-6"/>
    <n v="8"/>
    <x v="0"/>
    <x v="0"/>
    <n v="0"/>
    <n v="0"/>
    <n v="0"/>
    <n v="0"/>
    <n v="0"/>
    <n v="0"/>
    <n v="0"/>
    <n v="0"/>
    <n v="0"/>
    <x v="0"/>
    <x v="0"/>
    <x v="1"/>
    <x v="0"/>
    <x v="0"/>
  </r>
  <r>
    <n v="1402"/>
    <x v="0"/>
    <x v="1"/>
    <s v="W"/>
    <n v="17050"/>
    <n v="476"/>
    <n v="-9"/>
    <n v="-5"/>
    <x v="0"/>
    <x v="0"/>
    <n v="0"/>
    <n v="0"/>
    <n v="0"/>
    <n v="0"/>
    <n v="0"/>
    <n v="0"/>
    <n v="0"/>
    <n v="0"/>
    <n v="0"/>
    <x v="0"/>
    <x v="0"/>
    <x v="1"/>
    <x v="0"/>
    <x v="0"/>
  </r>
  <r>
    <n v="1403"/>
    <x v="0"/>
    <x v="1"/>
    <s v="W"/>
    <n v="10220"/>
    <n v="434"/>
    <n v="-45"/>
    <n v="-14"/>
    <x v="0"/>
    <x v="0"/>
    <n v="0"/>
    <n v="0"/>
    <n v="0"/>
    <n v="0"/>
    <n v="0"/>
    <n v="0"/>
    <n v="0"/>
    <n v="0"/>
    <n v="0"/>
    <x v="0"/>
    <x v="0"/>
    <x v="1"/>
    <x v="0"/>
    <x v="0"/>
  </r>
  <r>
    <n v="1404"/>
    <x v="0"/>
    <x v="1"/>
    <s v="W"/>
    <n v="14830"/>
    <n v="492"/>
    <n v="-21"/>
    <n v="-2"/>
    <x v="0"/>
    <x v="0"/>
    <n v="0"/>
    <n v="0"/>
    <n v="0"/>
    <n v="0"/>
    <n v="0"/>
    <n v="0"/>
    <n v="0"/>
    <n v="0"/>
    <n v="0"/>
    <x v="0"/>
    <x v="0"/>
    <x v="1"/>
    <x v="0"/>
    <x v="0"/>
  </r>
  <r>
    <n v="1405"/>
    <x v="0"/>
    <x v="1"/>
    <s v="W"/>
    <n v="23560"/>
    <n v="546"/>
    <n v="26"/>
    <n v="9"/>
    <x v="0"/>
    <x v="0"/>
    <n v="0"/>
    <n v="0"/>
    <n v="0"/>
    <n v="0"/>
    <n v="0"/>
    <n v="0"/>
    <n v="0"/>
    <n v="0"/>
    <n v="0"/>
    <x v="0"/>
    <x v="0"/>
    <x v="1"/>
    <x v="0"/>
    <x v="0"/>
  </r>
  <r>
    <n v="1406"/>
    <x v="0"/>
    <x v="1"/>
    <s v="W"/>
    <n v="34110"/>
    <n v="408"/>
    <n v="112"/>
    <n v="70"/>
    <x v="0"/>
    <x v="3"/>
    <n v="2"/>
    <n v="1"/>
    <n v="0"/>
    <n v="0"/>
    <n v="0"/>
    <n v="0"/>
    <n v="0"/>
    <n v="5300"/>
    <n v="4000"/>
    <x v="0"/>
    <x v="0"/>
    <x v="1"/>
    <x v="0"/>
    <x v="0"/>
  </r>
  <r>
    <n v="1407"/>
    <x v="0"/>
    <x v="1"/>
    <s v="W"/>
    <n v="26120"/>
    <n v="341"/>
    <n v="62"/>
    <n v="39"/>
    <x v="0"/>
    <x v="1"/>
    <n v="1"/>
    <n v="0"/>
    <n v="0"/>
    <n v="0"/>
    <n v="0"/>
    <n v="0"/>
    <n v="0"/>
    <n v="400"/>
    <n v="400"/>
    <x v="0"/>
    <x v="0"/>
    <x v="1"/>
    <x v="0"/>
    <x v="0"/>
  </r>
  <r>
    <n v="1408"/>
    <x v="0"/>
    <x v="1"/>
    <s v="W"/>
    <n v="11160"/>
    <n v="543"/>
    <n v="-41"/>
    <n v="7"/>
    <x v="0"/>
    <x v="0"/>
    <n v="0"/>
    <n v="0"/>
    <n v="0"/>
    <n v="0"/>
    <n v="0"/>
    <n v="0"/>
    <n v="0"/>
    <n v="0"/>
    <n v="0"/>
    <x v="0"/>
    <x v="0"/>
    <x v="1"/>
    <x v="0"/>
    <x v="0"/>
  </r>
  <r>
    <n v="1409"/>
    <x v="0"/>
    <x v="1"/>
    <s v="W"/>
    <n v="11830"/>
    <n v="201"/>
    <n v="-27"/>
    <n v="-18"/>
    <x v="0"/>
    <x v="0"/>
    <n v="0"/>
    <n v="0"/>
    <n v="0"/>
    <n v="0"/>
    <n v="0"/>
    <n v="0"/>
    <n v="0"/>
    <n v="0"/>
    <n v="0"/>
    <x v="0"/>
    <x v="0"/>
    <x v="1"/>
    <x v="0"/>
    <x v="0"/>
  </r>
  <r>
    <n v="1410"/>
    <x v="0"/>
    <x v="1"/>
    <s v="W"/>
    <n v="12150"/>
    <n v="361"/>
    <n v="-36"/>
    <n v="-29"/>
    <x v="0"/>
    <x v="0"/>
    <n v="0"/>
    <n v="0"/>
    <n v="0"/>
    <n v="0"/>
    <n v="0"/>
    <n v="0"/>
    <n v="0"/>
    <n v="0"/>
    <n v="0"/>
    <x v="0"/>
    <x v="0"/>
    <x v="1"/>
    <x v="0"/>
    <x v="0"/>
  </r>
  <r>
    <n v="1411"/>
    <x v="0"/>
    <x v="1"/>
    <s v="W"/>
    <n v="12180"/>
    <n v="351"/>
    <n v="-24"/>
    <n v="44"/>
    <x v="0"/>
    <x v="0"/>
    <n v="0"/>
    <n v="0"/>
    <n v="0"/>
    <n v="0"/>
    <n v="0"/>
    <n v="0"/>
    <n v="0"/>
    <n v="0"/>
    <n v="0"/>
    <x v="0"/>
    <x v="0"/>
    <x v="1"/>
    <x v="0"/>
    <x v="0"/>
  </r>
  <r>
    <n v="1412"/>
    <x v="0"/>
    <x v="1"/>
    <s v="W"/>
    <n v="14980"/>
    <n v="267"/>
    <n v="-7"/>
    <n v="9"/>
    <x v="0"/>
    <x v="0"/>
    <n v="0"/>
    <n v="0"/>
    <n v="0"/>
    <n v="0"/>
    <n v="0"/>
    <n v="0"/>
    <n v="0"/>
    <n v="0"/>
    <n v="0"/>
    <x v="0"/>
    <x v="0"/>
    <x v="1"/>
    <x v="0"/>
    <x v="0"/>
  </r>
  <r>
    <n v="1413"/>
    <x v="0"/>
    <x v="1"/>
    <s v="W"/>
    <n v="44150"/>
    <n v="951"/>
    <n v="134"/>
    <n v="88"/>
    <x v="0"/>
    <x v="0"/>
    <n v="0"/>
    <n v="0"/>
    <n v="0"/>
    <n v="0"/>
    <n v="0"/>
    <n v="0"/>
    <n v="0"/>
    <n v="0"/>
    <n v="0"/>
    <x v="0"/>
    <x v="0"/>
    <x v="1"/>
    <x v="0"/>
    <x v="0"/>
  </r>
  <r>
    <n v="1414"/>
    <x v="0"/>
    <x v="1"/>
    <s v="W"/>
    <n v="32670"/>
    <n v="476"/>
    <n v="103"/>
    <n v="95"/>
    <x v="0"/>
    <x v="1"/>
    <n v="1"/>
    <n v="0"/>
    <n v="0"/>
    <n v="0"/>
    <n v="0"/>
    <n v="0"/>
    <n v="0"/>
    <n v="800"/>
    <n v="800"/>
    <x v="0"/>
    <x v="0"/>
    <x v="1"/>
    <x v="0"/>
    <x v="0"/>
  </r>
  <r>
    <n v="1415"/>
    <x v="0"/>
    <x v="1"/>
    <s v="W"/>
    <n v="17470"/>
    <n v="643"/>
    <n v="-9"/>
    <n v="23"/>
    <x v="0"/>
    <x v="1"/>
    <n v="1"/>
    <n v="0"/>
    <n v="0"/>
    <n v="0"/>
    <n v="0"/>
    <n v="0"/>
    <n v="0"/>
    <n v="300"/>
    <n v="300"/>
    <x v="0"/>
    <x v="0"/>
    <x v="1"/>
    <x v="0"/>
    <x v="0"/>
  </r>
  <r>
    <n v="1416"/>
    <x v="0"/>
    <x v="1"/>
    <s v="N"/>
    <n v="12840"/>
    <n v="471"/>
    <n v="37"/>
    <n v="51"/>
    <x v="0"/>
    <x v="1"/>
    <n v="1"/>
    <n v="0"/>
    <n v="0"/>
    <n v="0"/>
    <n v="0"/>
    <n v="0"/>
    <n v="0"/>
    <n v="200"/>
    <n v="200"/>
    <x v="0"/>
    <x v="0"/>
    <x v="0"/>
    <x v="0"/>
    <x v="0"/>
  </r>
  <r>
    <n v="1417"/>
    <x v="0"/>
    <x v="1"/>
    <s v="N"/>
    <n v="12260"/>
    <n v="413"/>
    <n v="31"/>
    <n v="32"/>
    <x v="0"/>
    <x v="1"/>
    <n v="1"/>
    <n v="0"/>
    <n v="0"/>
    <n v="0"/>
    <n v="0"/>
    <n v="0"/>
    <n v="0"/>
    <n v="200"/>
    <n v="200"/>
    <x v="0"/>
    <x v="0"/>
    <x v="0"/>
    <x v="0"/>
    <x v="0"/>
  </r>
  <r>
    <n v="1418"/>
    <x v="0"/>
    <x v="1"/>
    <s v="N"/>
    <n v="6010"/>
    <n v="329"/>
    <n v="-36"/>
    <n v="5"/>
    <x v="0"/>
    <x v="0"/>
    <n v="0"/>
    <n v="0"/>
    <n v="0"/>
    <n v="0"/>
    <n v="0"/>
    <n v="0"/>
    <n v="0"/>
    <n v="0"/>
    <n v="0"/>
    <x v="0"/>
    <x v="0"/>
    <x v="0"/>
    <x v="1"/>
    <x v="0"/>
  </r>
  <r>
    <n v="1419"/>
    <x v="0"/>
    <x v="1"/>
    <s v="N"/>
    <n v="9450"/>
    <n v="349"/>
    <n v="1"/>
    <n v="12"/>
    <x v="0"/>
    <x v="0"/>
    <n v="0"/>
    <n v="0"/>
    <n v="0"/>
    <n v="0"/>
    <n v="0"/>
    <n v="0"/>
    <n v="0"/>
    <n v="0"/>
    <n v="0"/>
    <x v="0"/>
    <x v="0"/>
    <x v="0"/>
    <x v="1"/>
    <x v="0"/>
  </r>
  <r>
    <n v="1420"/>
    <x v="0"/>
    <x v="1"/>
    <s v="N"/>
    <n v="10890"/>
    <n v="283"/>
    <n v="16"/>
    <n v="-9"/>
    <x v="0"/>
    <x v="0"/>
    <n v="0"/>
    <n v="0"/>
    <n v="0"/>
    <n v="0"/>
    <n v="0"/>
    <n v="0"/>
    <n v="0"/>
    <n v="0"/>
    <n v="0"/>
    <x v="0"/>
    <x v="0"/>
    <x v="0"/>
    <x v="0"/>
    <x v="0"/>
  </r>
  <r>
    <n v="1421"/>
    <x v="0"/>
    <x v="1"/>
    <s v="N"/>
    <n v="7780"/>
    <n v="291"/>
    <n v="-17"/>
    <n v="-7"/>
    <x v="0"/>
    <x v="0"/>
    <n v="0"/>
    <n v="0"/>
    <n v="0"/>
    <n v="0"/>
    <n v="0"/>
    <n v="0"/>
    <n v="0"/>
    <n v="0"/>
    <n v="0"/>
    <x v="0"/>
    <x v="0"/>
    <x v="0"/>
    <x v="1"/>
    <x v="0"/>
  </r>
  <r>
    <n v="1422"/>
    <x v="0"/>
    <x v="1"/>
    <s v="N"/>
    <n v="9430"/>
    <n v="123"/>
    <n v="22"/>
    <n v="-38"/>
    <x v="0"/>
    <x v="1"/>
    <n v="1"/>
    <n v="0"/>
    <n v="0"/>
    <n v="0"/>
    <n v="0"/>
    <n v="0"/>
    <n v="0"/>
    <n v="400"/>
    <n v="400"/>
    <x v="0"/>
    <x v="0"/>
    <x v="0"/>
    <x v="1"/>
    <x v="0"/>
  </r>
  <r>
    <n v="1423"/>
    <x v="0"/>
    <x v="0"/>
    <s v="N"/>
    <n v="9220"/>
    <n v="277"/>
    <n v="-2"/>
    <n v="-11"/>
    <x v="0"/>
    <x v="0"/>
    <n v="0"/>
    <n v="0"/>
    <n v="0"/>
    <n v="0"/>
    <n v="0"/>
    <n v="0"/>
    <n v="0"/>
    <n v="0"/>
    <n v="0"/>
    <x v="0"/>
    <x v="0"/>
    <x v="0"/>
    <x v="1"/>
    <x v="0"/>
  </r>
  <r>
    <n v="1424"/>
    <x v="0"/>
    <x v="0"/>
    <s v="N"/>
    <n v="5590"/>
    <n v="261"/>
    <n v="-40"/>
    <n v="-16"/>
    <x v="0"/>
    <x v="1"/>
    <n v="1"/>
    <n v="0"/>
    <n v="0"/>
    <n v="0"/>
    <n v="0"/>
    <n v="0"/>
    <n v="0"/>
    <n v="300"/>
    <n v="300"/>
    <x v="0"/>
    <x v="0"/>
    <x v="0"/>
    <x v="1"/>
    <x v="0"/>
  </r>
  <r>
    <n v="1425"/>
    <x v="0"/>
    <x v="0"/>
    <s v="N"/>
    <n v="5030"/>
    <n v="125"/>
    <n v="-28"/>
    <n v="-29"/>
    <x v="0"/>
    <x v="0"/>
    <n v="0"/>
    <n v="0"/>
    <n v="0"/>
    <n v="0"/>
    <n v="0"/>
    <n v="0"/>
    <n v="0"/>
    <n v="0"/>
    <n v="0"/>
    <x v="0"/>
    <x v="0"/>
    <x v="0"/>
    <x v="1"/>
    <x v="0"/>
  </r>
  <r>
    <n v="1426"/>
    <x v="0"/>
    <x v="0"/>
    <s v="N"/>
    <n v="7330"/>
    <n v="102"/>
    <n v="5"/>
    <n v="-42"/>
    <x v="0"/>
    <x v="0"/>
    <n v="0"/>
    <n v="0"/>
    <n v="0"/>
    <n v="0"/>
    <n v="0"/>
    <n v="0"/>
    <n v="0"/>
    <n v="0"/>
    <n v="0"/>
    <x v="0"/>
    <x v="0"/>
    <x v="0"/>
    <x v="1"/>
    <x v="0"/>
  </r>
  <r>
    <n v="1427"/>
    <x v="0"/>
    <x v="0"/>
    <s v="N"/>
    <n v="5480"/>
    <n v="223"/>
    <n v="-21"/>
    <n v="27"/>
    <x v="0"/>
    <x v="0"/>
    <n v="0"/>
    <n v="0"/>
    <n v="0"/>
    <n v="0"/>
    <n v="0"/>
    <n v="0"/>
    <n v="0"/>
    <n v="0"/>
    <n v="0"/>
    <x v="0"/>
    <x v="0"/>
    <x v="0"/>
    <x v="1"/>
    <x v="0"/>
  </r>
  <r>
    <n v="1428"/>
    <x v="0"/>
    <x v="0"/>
    <s v="N"/>
    <n v="10970"/>
    <n v="342"/>
    <n v="17"/>
    <n v="9"/>
    <x v="0"/>
    <x v="1"/>
    <n v="1"/>
    <n v="0"/>
    <n v="0"/>
    <n v="0"/>
    <n v="0"/>
    <n v="0"/>
    <n v="0"/>
    <n v="500"/>
    <n v="500"/>
    <x v="0"/>
    <x v="0"/>
    <x v="0"/>
    <x v="0"/>
    <x v="0"/>
  </r>
  <r>
    <n v="1429"/>
    <x v="0"/>
    <x v="0"/>
    <s v="N"/>
    <n v="3320"/>
    <n v="98"/>
    <n v="-52"/>
    <n v="-44"/>
    <x v="0"/>
    <x v="0"/>
    <n v="0"/>
    <n v="0"/>
    <n v="0"/>
    <n v="0"/>
    <n v="0"/>
    <n v="0"/>
    <n v="0"/>
    <n v="0"/>
    <n v="0"/>
    <x v="0"/>
    <x v="0"/>
    <x v="0"/>
    <x v="1"/>
    <x v="0"/>
  </r>
  <r>
    <n v="1430"/>
    <x v="0"/>
    <x v="0"/>
    <s v="N"/>
    <n v="2910"/>
    <n v="80"/>
    <n v="-58"/>
    <n v="-54"/>
    <x v="0"/>
    <x v="0"/>
    <n v="0"/>
    <n v="0"/>
    <n v="0"/>
    <n v="0"/>
    <n v="0"/>
    <n v="0"/>
    <n v="0"/>
    <n v="0"/>
    <n v="0"/>
    <x v="0"/>
    <x v="0"/>
    <x v="0"/>
    <x v="1"/>
    <x v="0"/>
  </r>
  <r>
    <n v="1431"/>
    <x v="0"/>
    <x v="0"/>
    <s v="N"/>
    <n v="8510"/>
    <n v="104"/>
    <n v="22"/>
    <n v="-38"/>
    <x v="0"/>
    <x v="0"/>
    <n v="0"/>
    <n v="0"/>
    <n v="0"/>
    <n v="0"/>
    <n v="0"/>
    <n v="0"/>
    <n v="0"/>
    <n v="0"/>
    <n v="0"/>
    <x v="0"/>
    <x v="0"/>
    <x v="0"/>
    <x v="1"/>
    <x v="0"/>
  </r>
  <r>
    <n v="1432"/>
    <x v="0"/>
    <x v="0"/>
    <s v="N"/>
    <n v="7410"/>
    <n v="133"/>
    <n v="6"/>
    <n v="-20"/>
    <x v="0"/>
    <x v="0"/>
    <n v="0"/>
    <n v="0"/>
    <n v="0"/>
    <n v="0"/>
    <n v="0"/>
    <n v="0"/>
    <n v="0"/>
    <n v="0"/>
    <n v="0"/>
    <x v="0"/>
    <x v="0"/>
    <x v="0"/>
    <x v="1"/>
    <x v="0"/>
  </r>
  <r>
    <n v="1433"/>
    <x v="0"/>
    <x v="0"/>
    <s v="N"/>
    <n v="6470"/>
    <n v="98"/>
    <n v="-7"/>
    <n v="-41"/>
    <x v="0"/>
    <x v="0"/>
    <n v="0"/>
    <n v="0"/>
    <n v="0"/>
    <n v="0"/>
    <n v="0"/>
    <n v="0"/>
    <n v="0"/>
    <n v="0"/>
    <n v="0"/>
    <x v="0"/>
    <x v="0"/>
    <x v="0"/>
    <x v="1"/>
    <x v="0"/>
  </r>
  <r>
    <n v="1434"/>
    <x v="0"/>
    <x v="0"/>
    <s v="N"/>
    <n v="5840"/>
    <n v="102"/>
    <n v="-17"/>
    <n v="-39"/>
    <x v="0"/>
    <x v="0"/>
    <n v="0"/>
    <n v="0"/>
    <n v="0"/>
    <n v="0"/>
    <n v="0"/>
    <n v="0"/>
    <n v="0"/>
    <n v="0"/>
    <n v="0"/>
    <x v="0"/>
    <x v="0"/>
    <x v="0"/>
    <x v="1"/>
    <x v="0"/>
  </r>
  <r>
    <n v="1435"/>
    <x v="0"/>
    <x v="0"/>
    <s v="N"/>
    <n v="6980"/>
    <n v="85"/>
    <n v="0"/>
    <n v="-49"/>
    <x v="0"/>
    <x v="0"/>
    <n v="0"/>
    <n v="0"/>
    <n v="0"/>
    <n v="0"/>
    <n v="0"/>
    <n v="0"/>
    <n v="0"/>
    <n v="0"/>
    <n v="0"/>
    <x v="0"/>
    <x v="0"/>
    <x v="0"/>
    <x v="1"/>
    <x v="0"/>
  </r>
  <r>
    <n v="1436"/>
    <x v="0"/>
    <x v="0"/>
    <s v="N"/>
    <n v="4810"/>
    <n v="142"/>
    <n v="-49"/>
    <n v="-56"/>
    <x v="0"/>
    <x v="0"/>
    <n v="0"/>
    <n v="0"/>
    <n v="0"/>
    <n v="0"/>
    <n v="0"/>
    <n v="0"/>
    <n v="0"/>
    <n v="0"/>
    <n v="0"/>
    <x v="0"/>
    <x v="0"/>
    <x v="0"/>
    <x v="1"/>
    <x v="0"/>
  </r>
  <r>
    <n v="1437"/>
    <x v="0"/>
    <x v="0"/>
    <s v="N"/>
    <n v="8540"/>
    <n v="82"/>
    <n v="22"/>
    <n v="-51"/>
    <x v="0"/>
    <x v="2"/>
    <n v="1"/>
    <n v="1"/>
    <n v="0"/>
    <n v="0"/>
    <n v="0"/>
    <n v="0"/>
    <n v="0"/>
    <n v="2600"/>
    <n v="2000"/>
    <x v="0"/>
    <x v="0"/>
    <x v="0"/>
    <x v="1"/>
    <x v="0"/>
  </r>
  <r>
    <n v="1438"/>
    <x v="0"/>
    <x v="0"/>
    <s v="N"/>
    <n v="3580"/>
    <n v="84"/>
    <n v="-49"/>
    <n v="-50"/>
    <x v="0"/>
    <x v="0"/>
    <n v="0"/>
    <n v="0"/>
    <n v="0"/>
    <n v="0"/>
    <n v="0"/>
    <n v="0"/>
    <n v="0"/>
    <n v="0"/>
    <n v="0"/>
    <x v="0"/>
    <x v="0"/>
    <x v="0"/>
    <x v="1"/>
    <x v="0"/>
  </r>
  <r>
    <n v="1439"/>
    <x v="0"/>
    <x v="1"/>
    <s v="N"/>
    <n v="6450"/>
    <n v="163"/>
    <n v="-30"/>
    <n v="-48"/>
    <x v="0"/>
    <x v="0"/>
    <n v="0"/>
    <n v="0"/>
    <n v="0"/>
    <n v="0"/>
    <n v="0"/>
    <n v="0"/>
    <n v="0"/>
    <n v="0"/>
    <n v="0"/>
    <x v="0"/>
    <x v="0"/>
    <x v="0"/>
    <x v="1"/>
    <x v="0"/>
  </r>
  <r>
    <n v="1440"/>
    <x v="0"/>
    <x v="1"/>
    <s v="N"/>
    <n v="2000"/>
    <n v="130"/>
    <n v="-78"/>
    <n v="-58"/>
    <x v="0"/>
    <x v="0"/>
    <n v="0"/>
    <n v="0"/>
    <n v="0"/>
    <n v="0"/>
    <n v="0"/>
    <n v="0"/>
    <n v="0"/>
    <n v="0"/>
    <n v="0"/>
    <x v="0"/>
    <x v="0"/>
    <x v="0"/>
    <x v="1"/>
    <x v="0"/>
  </r>
  <r>
    <n v="1441"/>
    <x v="0"/>
    <x v="1"/>
    <s v="N"/>
    <n v="4120"/>
    <n v="67"/>
    <n v="-40"/>
    <n v="-59"/>
    <x v="0"/>
    <x v="0"/>
    <n v="0"/>
    <n v="0"/>
    <n v="0"/>
    <n v="0"/>
    <n v="0"/>
    <n v="0"/>
    <n v="0"/>
    <n v="0"/>
    <n v="0"/>
    <x v="0"/>
    <x v="0"/>
    <x v="0"/>
    <x v="1"/>
    <x v="0"/>
  </r>
  <r>
    <n v="1442"/>
    <x v="0"/>
    <x v="1"/>
    <s v="W"/>
    <n v="3560"/>
    <n v="83"/>
    <n v="-79"/>
    <n v="-67"/>
    <x v="0"/>
    <x v="0"/>
    <n v="0"/>
    <n v="0"/>
    <n v="0"/>
    <n v="0"/>
    <n v="0"/>
    <n v="0"/>
    <n v="0"/>
    <n v="0"/>
    <n v="0"/>
    <x v="0"/>
    <x v="0"/>
    <x v="1"/>
    <x v="1"/>
    <x v="0"/>
  </r>
  <r>
    <n v="1443"/>
    <x v="0"/>
    <x v="1"/>
    <s v="W"/>
    <n v="6340"/>
    <n v="102"/>
    <n v="-62"/>
    <n v="-60"/>
    <x v="0"/>
    <x v="0"/>
    <n v="0"/>
    <n v="0"/>
    <n v="0"/>
    <n v="0"/>
    <n v="0"/>
    <n v="0"/>
    <n v="0"/>
    <n v="0"/>
    <n v="0"/>
    <x v="0"/>
    <x v="0"/>
    <x v="1"/>
    <x v="1"/>
    <x v="0"/>
  </r>
  <r>
    <n v="1444"/>
    <x v="0"/>
    <x v="1"/>
    <s v="W"/>
    <n v="7680"/>
    <n v="253"/>
    <n v="-59"/>
    <n v="-60"/>
    <x v="0"/>
    <x v="0"/>
    <n v="0"/>
    <n v="0"/>
    <n v="0"/>
    <n v="0"/>
    <n v="0"/>
    <n v="0"/>
    <n v="0"/>
    <n v="0"/>
    <n v="0"/>
    <x v="0"/>
    <x v="0"/>
    <x v="1"/>
    <x v="1"/>
    <x v="0"/>
  </r>
  <r>
    <n v="1445"/>
    <x v="0"/>
    <x v="1"/>
    <s v="W"/>
    <n v="7920"/>
    <n v="178"/>
    <n v="-53"/>
    <n v="-30"/>
    <x v="0"/>
    <x v="0"/>
    <n v="0"/>
    <n v="0"/>
    <n v="0"/>
    <n v="0"/>
    <n v="0"/>
    <n v="0"/>
    <n v="0"/>
    <n v="0"/>
    <n v="0"/>
    <x v="0"/>
    <x v="0"/>
    <x v="1"/>
    <x v="1"/>
    <x v="0"/>
  </r>
  <r>
    <n v="1446"/>
    <x v="0"/>
    <x v="1"/>
    <s v="W"/>
    <n v="8720"/>
    <n v="175"/>
    <n v="-48"/>
    <n v="-31"/>
    <x v="0"/>
    <x v="0"/>
    <n v="0"/>
    <n v="0"/>
    <n v="0"/>
    <n v="0"/>
    <n v="0"/>
    <n v="0"/>
    <n v="0"/>
    <n v="0"/>
    <n v="0"/>
    <x v="0"/>
    <x v="0"/>
    <x v="1"/>
    <x v="1"/>
    <x v="0"/>
  </r>
  <r>
    <n v="1447"/>
    <x v="0"/>
    <x v="1"/>
    <s v="N"/>
    <n v="10920"/>
    <n v="136"/>
    <n v="58"/>
    <n v="-16"/>
    <x v="0"/>
    <x v="1"/>
    <n v="1"/>
    <n v="0"/>
    <n v="0"/>
    <n v="0"/>
    <n v="0"/>
    <n v="0"/>
    <n v="0"/>
    <n v="200"/>
    <n v="200"/>
    <x v="0"/>
    <x v="0"/>
    <x v="0"/>
    <x v="0"/>
    <x v="0"/>
  </r>
  <r>
    <n v="1448"/>
    <x v="0"/>
    <x v="1"/>
    <s v="N"/>
    <n v="9870"/>
    <n v="363"/>
    <n v="8"/>
    <n v="16"/>
    <x v="0"/>
    <x v="1"/>
    <n v="0"/>
    <n v="1"/>
    <n v="0"/>
    <n v="0"/>
    <n v="0"/>
    <n v="0"/>
    <n v="0"/>
    <n v="8000"/>
    <n v="8000"/>
    <x v="0"/>
    <x v="0"/>
    <x v="0"/>
    <x v="1"/>
    <x v="0"/>
  </r>
  <r>
    <n v="1449"/>
    <x v="0"/>
    <x v="1"/>
    <s v="N"/>
    <n v="6690"/>
    <n v="163"/>
    <n v="-3"/>
    <n v="0"/>
    <x v="0"/>
    <x v="0"/>
    <n v="0"/>
    <n v="0"/>
    <n v="0"/>
    <n v="0"/>
    <n v="0"/>
    <n v="0"/>
    <n v="0"/>
    <n v="0"/>
    <n v="0"/>
    <x v="0"/>
    <x v="0"/>
    <x v="0"/>
    <x v="1"/>
    <x v="0"/>
  </r>
  <r>
    <n v="1450"/>
    <x v="0"/>
    <x v="1"/>
    <s v="N"/>
    <n v="5820"/>
    <n v="308"/>
    <n v="-37"/>
    <n v="-1"/>
    <x v="0"/>
    <x v="0"/>
    <n v="0"/>
    <n v="0"/>
    <n v="0"/>
    <n v="0"/>
    <n v="0"/>
    <n v="0"/>
    <n v="0"/>
    <n v="0"/>
    <n v="0"/>
    <x v="0"/>
    <x v="0"/>
    <x v="0"/>
    <x v="1"/>
    <x v="0"/>
  </r>
  <r>
    <n v="1451"/>
    <x v="0"/>
    <x v="1"/>
    <s v="N"/>
    <n v="12520"/>
    <n v="321"/>
    <n v="37"/>
    <n v="3"/>
    <x v="0"/>
    <x v="0"/>
    <n v="0"/>
    <n v="0"/>
    <n v="0"/>
    <n v="0"/>
    <n v="0"/>
    <n v="0"/>
    <n v="0"/>
    <n v="0"/>
    <n v="0"/>
    <x v="0"/>
    <x v="0"/>
    <x v="0"/>
    <x v="0"/>
    <x v="0"/>
  </r>
  <r>
    <n v="1452"/>
    <x v="0"/>
    <x v="1"/>
    <s v="N"/>
    <n v="8820"/>
    <n v="280"/>
    <n v="-4"/>
    <n v="-10"/>
    <x v="0"/>
    <x v="0"/>
    <n v="0"/>
    <n v="0"/>
    <n v="0"/>
    <n v="0"/>
    <n v="0"/>
    <n v="0"/>
    <n v="0"/>
    <n v="0"/>
    <n v="0"/>
    <x v="0"/>
    <x v="0"/>
    <x v="0"/>
    <x v="1"/>
    <x v="0"/>
  </r>
  <r>
    <n v="1453"/>
    <x v="0"/>
    <x v="1"/>
    <s v="N"/>
    <n v="10540"/>
    <n v="321"/>
    <n v="15"/>
    <n v="3"/>
    <x v="0"/>
    <x v="0"/>
    <n v="0"/>
    <n v="0"/>
    <n v="0"/>
    <n v="0"/>
    <n v="0"/>
    <n v="0"/>
    <n v="0"/>
    <n v="0"/>
    <n v="0"/>
    <x v="0"/>
    <x v="0"/>
    <x v="0"/>
    <x v="0"/>
    <x v="0"/>
  </r>
  <r>
    <n v="1454"/>
    <x v="0"/>
    <x v="1"/>
    <s v="N"/>
    <n v="16010"/>
    <n v="446"/>
    <n v="75"/>
    <n v="43"/>
    <x v="0"/>
    <x v="0"/>
    <n v="0"/>
    <n v="0"/>
    <n v="0"/>
    <n v="0"/>
    <n v="0"/>
    <n v="0"/>
    <n v="0"/>
    <n v="0"/>
    <n v="0"/>
    <x v="0"/>
    <x v="0"/>
    <x v="0"/>
    <x v="0"/>
    <x v="0"/>
  </r>
  <r>
    <n v="1455"/>
    <x v="0"/>
    <x v="1"/>
    <s v="W"/>
    <n v="17610"/>
    <n v="228"/>
    <n v="5"/>
    <n v="-13"/>
    <x v="0"/>
    <x v="0"/>
    <n v="0"/>
    <n v="0"/>
    <n v="0"/>
    <n v="0"/>
    <n v="0"/>
    <n v="0"/>
    <n v="0"/>
    <n v="0"/>
    <n v="0"/>
    <x v="0"/>
    <x v="0"/>
    <x v="1"/>
    <x v="0"/>
    <x v="0"/>
  </r>
  <r>
    <n v="1456"/>
    <x v="0"/>
    <x v="1"/>
    <s v="W"/>
    <n v="13930"/>
    <n v="423"/>
    <n v="-26"/>
    <n v="-32"/>
    <x v="0"/>
    <x v="0"/>
    <n v="0"/>
    <n v="0"/>
    <n v="0"/>
    <n v="0"/>
    <n v="0"/>
    <n v="0"/>
    <n v="0"/>
    <n v="0"/>
    <n v="0"/>
    <x v="0"/>
    <x v="0"/>
    <x v="1"/>
    <x v="0"/>
    <x v="0"/>
  </r>
  <r>
    <n v="1457"/>
    <x v="0"/>
    <x v="1"/>
    <s v="N"/>
    <n v="15290"/>
    <n v="436"/>
    <n v="75"/>
    <n v="47"/>
    <x v="0"/>
    <x v="0"/>
    <n v="0"/>
    <n v="0"/>
    <n v="0"/>
    <n v="0"/>
    <n v="0"/>
    <n v="0"/>
    <n v="0"/>
    <n v="0"/>
    <n v="0"/>
    <x v="0"/>
    <x v="0"/>
    <x v="0"/>
    <x v="0"/>
    <x v="0"/>
  </r>
  <r>
    <n v="1458"/>
    <x v="0"/>
    <x v="1"/>
    <s v="N"/>
    <n v="14190"/>
    <n v="384"/>
    <n v="62"/>
    <n v="30"/>
    <x v="0"/>
    <x v="0"/>
    <n v="0"/>
    <n v="0"/>
    <n v="0"/>
    <n v="0"/>
    <n v="0"/>
    <n v="0"/>
    <n v="0"/>
    <n v="0"/>
    <n v="0"/>
    <x v="0"/>
    <x v="0"/>
    <x v="0"/>
    <x v="0"/>
    <x v="0"/>
  </r>
  <r>
    <n v="1459"/>
    <x v="0"/>
    <x v="1"/>
    <s v="N"/>
    <n v="11730"/>
    <n v="336"/>
    <n v="34"/>
    <n v="13"/>
    <x v="0"/>
    <x v="0"/>
    <n v="0"/>
    <n v="0"/>
    <n v="0"/>
    <n v="0"/>
    <n v="0"/>
    <n v="0"/>
    <n v="0"/>
    <n v="0"/>
    <n v="0"/>
    <x v="0"/>
    <x v="0"/>
    <x v="0"/>
    <x v="0"/>
    <x v="0"/>
  </r>
  <r>
    <n v="1460"/>
    <x v="0"/>
    <x v="1"/>
    <s v="W"/>
    <n v="9670"/>
    <n v="277"/>
    <n v="-48"/>
    <n v="-56"/>
    <x v="0"/>
    <x v="0"/>
    <n v="0"/>
    <n v="0"/>
    <n v="0"/>
    <n v="0"/>
    <n v="0"/>
    <n v="0"/>
    <n v="0"/>
    <n v="0"/>
    <n v="0"/>
    <x v="0"/>
    <x v="0"/>
    <x v="1"/>
    <x v="1"/>
    <x v="0"/>
  </r>
  <r>
    <n v="1461"/>
    <x v="0"/>
    <x v="1"/>
    <s v="W"/>
    <n v="14180"/>
    <n v="348"/>
    <n v="-24"/>
    <n v="-44"/>
    <x v="0"/>
    <x v="0"/>
    <n v="0"/>
    <n v="0"/>
    <n v="0"/>
    <n v="0"/>
    <n v="0"/>
    <n v="0"/>
    <n v="0"/>
    <n v="0"/>
    <n v="0"/>
    <x v="0"/>
    <x v="0"/>
    <x v="1"/>
    <x v="0"/>
    <x v="0"/>
  </r>
  <r>
    <n v="1462"/>
    <x v="0"/>
    <x v="1"/>
    <s v="W"/>
    <n v="48240"/>
    <n v="565"/>
    <n v="187"/>
    <n v="116"/>
    <x v="0"/>
    <x v="0"/>
    <n v="0"/>
    <n v="0"/>
    <n v="0"/>
    <n v="0"/>
    <n v="0"/>
    <n v="0"/>
    <n v="0"/>
    <n v="0"/>
    <n v="0"/>
    <x v="0"/>
    <x v="0"/>
    <x v="1"/>
    <x v="0"/>
    <x v="0"/>
  </r>
  <r>
    <n v="1463"/>
    <x v="0"/>
    <x v="1"/>
    <s v="W"/>
    <n v="5680"/>
    <n v="210"/>
    <n v="-66"/>
    <n v="-20"/>
    <x v="0"/>
    <x v="0"/>
    <n v="0"/>
    <n v="0"/>
    <n v="0"/>
    <n v="0"/>
    <n v="0"/>
    <n v="0"/>
    <n v="0"/>
    <n v="0"/>
    <n v="0"/>
    <x v="0"/>
    <x v="0"/>
    <x v="1"/>
    <x v="1"/>
    <x v="0"/>
  </r>
  <r>
    <n v="1464"/>
    <x v="0"/>
    <x v="1"/>
    <s v="W"/>
    <n v="9590"/>
    <n v="222"/>
    <n v="-49"/>
    <n v="-64"/>
    <x v="0"/>
    <x v="1"/>
    <n v="1"/>
    <n v="0"/>
    <n v="0"/>
    <n v="0"/>
    <n v="0"/>
    <n v="0"/>
    <n v="0"/>
    <n v="300"/>
    <n v="300"/>
    <x v="0"/>
    <x v="0"/>
    <x v="1"/>
    <x v="1"/>
    <x v="0"/>
  </r>
  <r>
    <n v="1465"/>
    <x v="0"/>
    <x v="1"/>
    <s v="W"/>
    <n v="5930"/>
    <n v="120"/>
    <n v="-65"/>
    <n v="-54"/>
    <x v="0"/>
    <x v="0"/>
    <n v="0"/>
    <n v="0"/>
    <n v="0"/>
    <n v="0"/>
    <n v="0"/>
    <n v="0"/>
    <n v="0"/>
    <n v="0"/>
    <n v="0"/>
    <x v="0"/>
    <x v="0"/>
    <x v="1"/>
    <x v="1"/>
    <x v="0"/>
  </r>
  <r>
    <n v="1466"/>
    <x v="0"/>
    <x v="1"/>
    <s v="W"/>
    <n v="4170"/>
    <n v="224"/>
    <n v="-78"/>
    <n v="-64"/>
    <x v="0"/>
    <x v="0"/>
    <n v="0"/>
    <n v="0"/>
    <n v="0"/>
    <n v="0"/>
    <n v="0"/>
    <n v="0"/>
    <n v="0"/>
    <n v="0"/>
    <n v="0"/>
    <x v="0"/>
    <x v="0"/>
    <x v="1"/>
    <x v="1"/>
    <x v="0"/>
  </r>
  <r>
    <n v="1467"/>
    <x v="0"/>
    <x v="1"/>
    <s v="W"/>
    <n v="30740"/>
    <n v="318"/>
    <n v="83"/>
    <n v="22"/>
    <x v="0"/>
    <x v="1"/>
    <n v="1"/>
    <n v="0"/>
    <n v="0"/>
    <n v="0"/>
    <n v="0"/>
    <n v="0"/>
    <n v="0"/>
    <n v="900"/>
    <n v="900"/>
    <x v="0"/>
    <x v="0"/>
    <x v="1"/>
    <x v="0"/>
    <x v="0"/>
  </r>
  <r>
    <n v="1468"/>
    <x v="0"/>
    <x v="1"/>
    <s v="W"/>
    <n v="29990"/>
    <n v="354"/>
    <n v="79"/>
    <n v="35"/>
    <x v="0"/>
    <x v="1"/>
    <n v="1"/>
    <n v="0"/>
    <n v="0"/>
    <n v="0"/>
    <n v="0"/>
    <n v="0"/>
    <n v="0"/>
    <n v="400"/>
    <n v="400"/>
    <x v="0"/>
    <x v="0"/>
    <x v="1"/>
    <x v="0"/>
    <x v="0"/>
  </r>
  <r>
    <n v="1469"/>
    <x v="0"/>
    <x v="1"/>
    <s v="W"/>
    <n v="16330"/>
    <n v="449"/>
    <n v="-13"/>
    <n v="-28"/>
    <x v="0"/>
    <x v="0"/>
    <n v="0"/>
    <n v="0"/>
    <n v="0"/>
    <n v="0"/>
    <n v="0"/>
    <n v="0"/>
    <n v="0"/>
    <n v="0"/>
    <n v="0"/>
    <x v="0"/>
    <x v="0"/>
    <x v="1"/>
    <x v="0"/>
    <x v="0"/>
  </r>
  <r>
    <n v="1470"/>
    <x v="0"/>
    <x v="1"/>
    <s v="W"/>
    <n v="17000"/>
    <n v="336"/>
    <n v="1"/>
    <n v="28"/>
    <x v="0"/>
    <x v="0"/>
    <n v="0"/>
    <n v="0"/>
    <n v="0"/>
    <n v="0"/>
    <n v="0"/>
    <n v="0"/>
    <n v="0"/>
    <n v="0"/>
    <n v="0"/>
    <x v="0"/>
    <x v="0"/>
    <x v="1"/>
    <x v="0"/>
    <x v="0"/>
  </r>
  <r>
    <n v="1471"/>
    <x v="0"/>
    <x v="0"/>
    <s v="W"/>
    <n v="9840"/>
    <n v="421"/>
    <n v="-43"/>
    <n v="-28"/>
    <x v="0"/>
    <x v="0"/>
    <n v="0"/>
    <n v="0"/>
    <n v="0"/>
    <n v="0"/>
    <n v="0"/>
    <n v="0"/>
    <n v="0"/>
    <n v="0"/>
    <n v="0"/>
    <x v="0"/>
    <x v="0"/>
    <x v="1"/>
    <x v="1"/>
    <x v="0"/>
  </r>
  <r>
    <n v="1472"/>
    <x v="0"/>
    <x v="0"/>
    <s v="W"/>
    <n v="17050"/>
    <n v="404"/>
    <n v="-2"/>
    <n v="-30"/>
    <x v="0"/>
    <x v="1"/>
    <n v="1"/>
    <n v="0"/>
    <n v="0"/>
    <n v="0"/>
    <n v="0"/>
    <n v="0"/>
    <n v="0"/>
    <n v="700"/>
    <n v="700"/>
    <x v="0"/>
    <x v="0"/>
    <x v="1"/>
    <x v="0"/>
    <x v="0"/>
  </r>
  <r>
    <n v="1473"/>
    <x v="0"/>
    <x v="0"/>
    <s v="W"/>
    <n v="26220"/>
    <n v="707"/>
    <n v="51"/>
    <n v="22"/>
    <x v="0"/>
    <x v="0"/>
    <n v="0"/>
    <n v="0"/>
    <n v="0"/>
    <n v="0"/>
    <n v="0"/>
    <n v="0"/>
    <n v="0"/>
    <n v="0"/>
    <n v="0"/>
    <x v="0"/>
    <x v="0"/>
    <x v="1"/>
    <x v="0"/>
    <x v="0"/>
  </r>
  <r>
    <n v="1474"/>
    <x v="0"/>
    <x v="0"/>
    <s v="W"/>
    <n v="26800"/>
    <n v="657"/>
    <n v="54"/>
    <n v="13"/>
    <x v="0"/>
    <x v="0"/>
    <n v="0"/>
    <n v="0"/>
    <n v="0"/>
    <n v="0"/>
    <n v="0"/>
    <n v="0"/>
    <n v="0"/>
    <n v="0"/>
    <n v="0"/>
    <x v="0"/>
    <x v="0"/>
    <x v="1"/>
    <x v="0"/>
    <x v="0"/>
  </r>
  <r>
    <n v="1475"/>
    <x v="0"/>
    <x v="0"/>
    <s v="W"/>
    <n v="31690"/>
    <n v="656"/>
    <n v="82"/>
    <n v="13"/>
    <x v="0"/>
    <x v="0"/>
    <n v="0"/>
    <n v="0"/>
    <n v="0"/>
    <n v="0"/>
    <n v="0"/>
    <n v="0"/>
    <n v="0"/>
    <n v="0"/>
    <n v="0"/>
    <x v="0"/>
    <x v="0"/>
    <x v="1"/>
    <x v="0"/>
    <x v="0"/>
  </r>
  <r>
    <n v="1476"/>
    <x v="0"/>
    <x v="0"/>
    <s v="W"/>
    <n v="30110"/>
    <n v="868"/>
    <n v="73"/>
    <n v="49"/>
    <x v="0"/>
    <x v="1"/>
    <n v="0"/>
    <n v="1"/>
    <n v="0"/>
    <n v="0"/>
    <n v="0"/>
    <n v="0"/>
    <n v="0"/>
    <n v="4000"/>
    <n v="4000"/>
    <x v="0"/>
    <x v="0"/>
    <x v="1"/>
    <x v="0"/>
    <x v="0"/>
  </r>
  <r>
    <n v="1477"/>
    <x v="0"/>
    <x v="0"/>
    <s v="W"/>
    <n v="13710"/>
    <n v="613"/>
    <n v="-21"/>
    <n v="6"/>
    <x v="0"/>
    <x v="0"/>
    <n v="0"/>
    <n v="0"/>
    <n v="0"/>
    <n v="0"/>
    <n v="0"/>
    <n v="0"/>
    <n v="0"/>
    <n v="0"/>
    <n v="0"/>
    <x v="0"/>
    <x v="0"/>
    <x v="1"/>
    <x v="0"/>
    <x v="0"/>
  </r>
  <r>
    <n v="1478"/>
    <x v="0"/>
    <x v="0"/>
    <s v="W"/>
    <n v="15300"/>
    <n v="242"/>
    <n v="-2"/>
    <n v="-4"/>
    <x v="0"/>
    <x v="1"/>
    <n v="1"/>
    <n v="0"/>
    <n v="0"/>
    <n v="0"/>
    <n v="0"/>
    <n v="0"/>
    <n v="0"/>
    <n v="400"/>
    <n v="400"/>
    <x v="0"/>
    <x v="0"/>
    <x v="1"/>
    <x v="0"/>
    <x v="0"/>
  </r>
  <r>
    <n v="1479"/>
    <x v="0"/>
    <x v="0"/>
    <s v="W"/>
    <n v="15300"/>
    <n v="293"/>
    <n v="-2"/>
    <n v="15"/>
    <x v="0"/>
    <x v="0"/>
    <n v="0"/>
    <n v="0"/>
    <n v="0"/>
    <n v="0"/>
    <n v="0"/>
    <n v="0"/>
    <n v="0"/>
    <n v="0"/>
    <n v="0"/>
    <x v="0"/>
    <x v="0"/>
    <x v="1"/>
    <x v="0"/>
    <x v="0"/>
  </r>
  <r>
    <n v="1480"/>
    <x v="0"/>
    <x v="0"/>
    <s v="W"/>
    <n v="10100"/>
    <n v="295"/>
    <n v="-35"/>
    <n v="16"/>
    <x v="0"/>
    <x v="0"/>
    <n v="0"/>
    <n v="0"/>
    <n v="0"/>
    <n v="0"/>
    <n v="0"/>
    <n v="0"/>
    <n v="0"/>
    <n v="0"/>
    <n v="0"/>
    <x v="0"/>
    <x v="0"/>
    <x v="1"/>
    <x v="0"/>
    <x v="0"/>
  </r>
  <r>
    <n v="1481"/>
    <x v="0"/>
    <x v="0"/>
    <s v="N"/>
    <n v="10670"/>
    <n v="223"/>
    <n v="47"/>
    <n v="38"/>
    <x v="0"/>
    <x v="0"/>
    <n v="0"/>
    <n v="0"/>
    <n v="0"/>
    <n v="0"/>
    <n v="0"/>
    <n v="0"/>
    <n v="0"/>
    <n v="0"/>
    <n v="0"/>
    <x v="0"/>
    <x v="0"/>
    <x v="0"/>
    <x v="0"/>
    <x v="0"/>
  </r>
  <r>
    <n v="1482"/>
    <x v="0"/>
    <x v="0"/>
    <s v="N"/>
    <n v="9920"/>
    <n v="221"/>
    <n v="37"/>
    <n v="36"/>
    <x v="0"/>
    <x v="0"/>
    <n v="0"/>
    <n v="0"/>
    <n v="0"/>
    <n v="0"/>
    <n v="0"/>
    <n v="0"/>
    <n v="0"/>
    <n v="0"/>
    <n v="0"/>
    <x v="0"/>
    <x v="0"/>
    <x v="0"/>
    <x v="1"/>
    <x v="0"/>
  </r>
  <r>
    <n v="1483"/>
    <x v="0"/>
    <x v="0"/>
    <s v="N"/>
    <n v="5280"/>
    <n v="294"/>
    <n v="-40"/>
    <n v="-1"/>
    <x v="0"/>
    <x v="0"/>
    <n v="0"/>
    <n v="0"/>
    <n v="0"/>
    <n v="0"/>
    <n v="0"/>
    <n v="0"/>
    <n v="0"/>
    <n v="0"/>
    <n v="0"/>
    <x v="0"/>
    <x v="0"/>
    <x v="0"/>
    <x v="1"/>
    <x v="0"/>
  </r>
  <r>
    <n v="1484"/>
    <x v="0"/>
    <x v="0"/>
    <s v="N"/>
    <n v="11800"/>
    <n v="185"/>
    <n v="63"/>
    <n v="14"/>
    <x v="0"/>
    <x v="0"/>
    <n v="0"/>
    <n v="0"/>
    <n v="0"/>
    <n v="0"/>
    <n v="0"/>
    <n v="0"/>
    <n v="0"/>
    <n v="0"/>
    <n v="0"/>
    <x v="0"/>
    <x v="0"/>
    <x v="0"/>
    <x v="0"/>
    <x v="0"/>
  </r>
  <r>
    <n v="1485"/>
    <x v="0"/>
    <x v="0"/>
    <s v="N"/>
    <n v="22200"/>
    <n v="685"/>
    <n v="153"/>
    <n v="130"/>
    <x v="0"/>
    <x v="1"/>
    <n v="0"/>
    <n v="1"/>
    <n v="0"/>
    <n v="0"/>
    <n v="0"/>
    <n v="0"/>
    <n v="0"/>
    <n v="3000"/>
    <n v="3000"/>
    <x v="0"/>
    <x v="0"/>
    <x v="0"/>
    <x v="0"/>
    <x v="0"/>
  </r>
  <r>
    <n v="1486"/>
    <x v="0"/>
    <x v="0"/>
    <s v="N"/>
    <n v="19560"/>
    <n v="659"/>
    <n v="123"/>
    <n v="121"/>
    <x v="0"/>
    <x v="1"/>
    <n v="1"/>
    <n v="0"/>
    <n v="0"/>
    <n v="0"/>
    <n v="0"/>
    <n v="0"/>
    <n v="0"/>
    <n v="700"/>
    <n v="700"/>
    <x v="0"/>
    <x v="0"/>
    <x v="0"/>
    <x v="0"/>
    <x v="0"/>
  </r>
  <r>
    <n v="1487"/>
    <x v="0"/>
    <x v="0"/>
    <s v="W"/>
    <n v="17670"/>
    <n v="538"/>
    <n v="4"/>
    <n v="-3"/>
    <x v="0"/>
    <x v="0"/>
    <n v="0"/>
    <n v="0"/>
    <n v="0"/>
    <n v="0"/>
    <n v="0"/>
    <n v="0"/>
    <n v="0"/>
    <n v="0"/>
    <n v="0"/>
    <x v="1"/>
    <x v="1"/>
    <x v="1"/>
    <x v="0"/>
    <x v="0"/>
  </r>
  <r>
    <n v="1488"/>
    <x v="0"/>
    <x v="0"/>
    <s v="W"/>
    <n v="16290"/>
    <n v="463"/>
    <n v="-4"/>
    <n v="-17"/>
    <x v="0"/>
    <x v="1"/>
    <n v="0"/>
    <n v="0"/>
    <n v="1"/>
    <n v="0"/>
    <n v="0"/>
    <n v="0"/>
    <n v="0"/>
    <n v="20000"/>
    <n v="20000"/>
    <x v="0"/>
    <x v="0"/>
    <x v="1"/>
    <x v="0"/>
    <x v="0"/>
  </r>
  <r>
    <n v="1489"/>
    <x v="0"/>
    <x v="0"/>
    <s v="W"/>
    <n v="10160"/>
    <n v="437"/>
    <n v="-40"/>
    <n v="-21"/>
    <x v="0"/>
    <x v="0"/>
    <n v="0"/>
    <n v="0"/>
    <n v="0"/>
    <n v="0"/>
    <n v="0"/>
    <n v="0"/>
    <n v="0"/>
    <n v="0"/>
    <n v="0"/>
    <x v="0"/>
    <x v="0"/>
    <x v="1"/>
    <x v="0"/>
    <x v="0"/>
  </r>
  <r>
    <n v="1490"/>
    <x v="0"/>
    <x v="0"/>
    <s v="W"/>
    <n v="10050"/>
    <n v="342"/>
    <n v="-41"/>
    <n v="-39"/>
    <x v="0"/>
    <x v="0"/>
    <n v="0"/>
    <n v="0"/>
    <n v="0"/>
    <n v="0"/>
    <n v="0"/>
    <n v="0"/>
    <n v="0"/>
    <n v="0"/>
    <n v="0"/>
    <x v="0"/>
    <x v="0"/>
    <x v="1"/>
    <x v="0"/>
    <x v="0"/>
  </r>
  <r>
    <n v="1491"/>
    <x v="0"/>
    <x v="0"/>
    <s v="W"/>
    <n v="8210"/>
    <n v="351"/>
    <n v="-52"/>
    <n v="-37"/>
    <x v="0"/>
    <x v="0"/>
    <n v="0"/>
    <n v="0"/>
    <n v="0"/>
    <n v="0"/>
    <n v="0"/>
    <n v="0"/>
    <n v="0"/>
    <n v="0"/>
    <n v="0"/>
    <x v="0"/>
    <x v="0"/>
    <x v="1"/>
    <x v="1"/>
    <x v="0"/>
  </r>
  <r>
    <n v="1492"/>
    <x v="0"/>
    <x v="0"/>
    <s v="W"/>
    <n v="8880"/>
    <n v="309"/>
    <n v="-48"/>
    <n v="-44"/>
    <x v="0"/>
    <x v="0"/>
    <n v="0"/>
    <n v="0"/>
    <n v="0"/>
    <n v="0"/>
    <n v="0"/>
    <n v="0"/>
    <n v="0"/>
    <n v="0"/>
    <n v="0"/>
    <x v="0"/>
    <x v="0"/>
    <x v="1"/>
    <x v="1"/>
    <x v="0"/>
  </r>
  <r>
    <n v="1493"/>
    <x v="0"/>
    <x v="0"/>
    <s v="W"/>
    <n v="29730"/>
    <n v="472"/>
    <n v="283"/>
    <n v="120"/>
    <x v="0"/>
    <x v="0"/>
    <n v="0"/>
    <n v="0"/>
    <n v="0"/>
    <n v="0"/>
    <n v="0"/>
    <n v="0"/>
    <n v="0"/>
    <n v="0"/>
    <n v="0"/>
    <x v="0"/>
    <x v="0"/>
    <x v="1"/>
    <x v="0"/>
    <x v="0"/>
  </r>
  <r>
    <n v="1494"/>
    <x v="0"/>
    <x v="0"/>
    <s v="W"/>
    <n v="13540"/>
    <n v="437"/>
    <n v="-20"/>
    <n v="-21"/>
    <x v="0"/>
    <x v="0"/>
    <n v="0"/>
    <n v="0"/>
    <n v="0"/>
    <n v="0"/>
    <n v="0"/>
    <n v="0"/>
    <n v="0"/>
    <n v="0"/>
    <n v="0"/>
    <x v="0"/>
    <x v="0"/>
    <x v="1"/>
    <x v="0"/>
    <x v="0"/>
  </r>
  <r>
    <n v="1495"/>
    <x v="1"/>
    <x v="0"/>
    <s v="W"/>
    <n v="20860"/>
    <n v="470"/>
    <n v="180"/>
    <n v="131"/>
    <x v="0"/>
    <x v="0"/>
    <n v="0"/>
    <n v="0"/>
    <n v="0"/>
    <n v="0"/>
    <n v="0"/>
    <n v="0"/>
    <n v="0"/>
    <n v="0"/>
    <n v="0"/>
    <x v="1"/>
    <x v="1"/>
    <x v="1"/>
    <x v="0"/>
    <x v="0"/>
  </r>
  <r>
    <n v="1496"/>
    <x v="1"/>
    <x v="0"/>
    <s v="W"/>
    <n v="13960"/>
    <n v="293"/>
    <n v="-12"/>
    <n v="12"/>
    <x v="0"/>
    <x v="1"/>
    <n v="0"/>
    <n v="0"/>
    <n v="1"/>
    <n v="0"/>
    <n v="0"/>
    <n v="0"/>
    <n v="0"/>
    <n v="30000"/>
    <n v="30000"/>
    <x v="0"/>
    <x v="0"/>
    <x v="1"/>
    <x v="0"/>
    <x v="0"/>
  </r>
  <r>
    <n v="1497"/>
    <x v="1"/>
    <x v="0"/>
    <s v="W"/>
    <n v="24880"/>
    <n v="527"/>
    <n v="85"/>
    <n v="37"/>
    <x v="0"/>
    <x v="0"/>
    <n v="0"/>
    <n v="0"/>
    <n v="0"/>
    <n v="0"/>
    <n v="0"/>
    <n v="0"/>
    <n v="0"/>
    <n v="0"/>
    <n v="0"/>
    <x v="0"/>
    <x v="0"/>
    <x v="1"/>
    <x v="0"/>
    <x v="0"/>
  </r>
  <r>
    <n v="1498"/>
    <x v="1"/>
    <x v="0"/>
    <s v="W"/>
    <n v="33640"/>
    <n v="699"/>
    <n v="150"/>
    <n v="81"/>
    <x v="0"/>
    <x v="0"/>
    <n v="0"/>
    <n v="0"/>
    <n v="0"/>
    <n v="0"/>
    <n v="0"/>
    <n v="0"/>
    <n v="0"/>
    <n v="0"/>
    <n v="0"/>
    <x v="0"/>
    <x v="0"/>
    <x v="1"/>
    <x v="0"/>
    <x v="0"/>
  </r>
  <r>
    <n v="1499"/>
    <x v="1"/>
    <x v="0"/>
    <s v="W"/>
    <n v="29790"/>
    <n v="695"/>
    <n v="121"/>
    <n v="80"/>
    <x v="0"/>
    <x v="0"/>
    <n v="0"/>
    <n v="0"/>
    <n v="0"/>
    <n v="0"/>
    <n v="0"/>
    <n v="0"/>
    <n v="0"/>
    <n v="0"/>
    <n v="0"/>
    <x v="0"/>
    <x v="0"/>
    <x v="1"/>
    <x v="0"/>
    <x v="0"/>
  </r>
  <r>
    <n v="1500"/>
    <x v="1"/>
    <x v="0"/>
    <s v="W"/>
    <n v="29500"/>
    <n v="794"/>
    <n v="119"/>
    <n v="106"/>
    <x v="0"/>
    <x v="0"/>
    <n v="0"/>
    <n v="0"/>
    <n v="0"/>
    <n v="0"/>
    <n v="0"/>
    <n v="0"/>
    <n v="0"/>
    <n v="0"/>
    <n v="0"/>
    <x v="1"/>
    <x v="1"/>
    <x v="1"/>
    <x v="0"/>
    <x v="0"/>
  </r>
  <r>
    <n v="1501"/>
    <x v="1"/>
    <x v="0"/>
    <s v="W"/>
    <n v="26780"/>
    <n v="1003"/>
    <n v="99"/>
    <n v="160"/>
    <x v="0"/>
    <x v="1"/>
    <n v="0"/>
    <n v="0"/>
    <n v="1"/>
    <n v="0"/>
    <n v="0"/>
    <n v="0"/>
    <n v="0"/>
    <n v="60000"/>
    <n v="60000"/>
    <x v="0"/>
    <x v="0"/>
    <x v="1"/>
    <x v="0"/>
    <x v="0"/>
  </r>
  <r>
    <n v="1502"/>
    <x v="1"/>
    <x v="0"/>
    <s v="W"/>
    <n v="19370"/>
    <n v="715"/>
    <n v="44"/>
    <n v="85"/>
    <x v="0"/>
    <x v="0"/>
    <n v="0"/>
    <n v="0"/>
    <n v="0"/>
    <n v="0"/>
    <n v="0"/>
    <n v="0"/>
    <n v="0"/>
    <n v="0"/>
    <n v="0"/>
    <x v="0"/>
    <x v="0"/>
    <x v="1"/>
    <x v="0"/>
    <x v="0"/>
  </r>
  <r>
    <n v="1503"/>
    <x v="1"/>
    <x v="0"/>
    <s v="W"/>
    <n v="22910"/>
    <n v="629"/>
    <n v="72"/>
    <n v="62"/>
    <x v="0"/>
    <x v="0"/>
    <n v="0"/>
    <n v="0"/>
    <n v="0"/>
    <n v="0"/>
    <n v="0"/>
    <n v="0"/>
    <n v="0"/>
    <n v="0"/>
    <n v="0"/>
    <x v="0"/>
    <x v="0"/>
    <x v="1"/>
    <x v="0"/>
    <x v="0"/>
  </r>
  <r>
    <n v="1504"/>
    <x v="1"/>
    <x v="0"/>
    <s v="W"/>
    <n v="16240"/>
    <n v="673"/>
    <n v="22"/>
    <n v="74"/>
    <x v="0"/>
    <x v="0"/>
    <n v="0"/>
    <n v="0"/>
    <n v="0"/>
    <n v="0"/>
    <n v="0"/>
    <n v="0"/>
    <n v="0"/>
    <n v="0"/>
    <n v="0"/>
    <x v="0"/>
    <x v="0"/>
    <x v="1"/>
    <x v="0"/>
    <x v="0"/>
  </r>
  <r>
    <n v="1505"/>
    <x v="1"/>
    <x v="0"/>
    <s v="W"/>
    <n v="27960"/>
    <n v="740"/>
    <n v="110"/>
    <n v="91"/>
    <x v="0"/>
    <x v="0"/>
    <n v="0"/>
    <n v="0"/>
    <n v="0"/>
    <n v="0"/>
    <n v="0"/>
    <n v="0"/>
    <n v="0"/>
    <n v="0"/>
    <n v="0"/>
    <x v="0"/>
    <x v="0"/>
    <x v="1"/>
    <x v="0"/>
    <x v="0"/>
  </r>
  <r>
    <n v="1506"/>
    <x v="1"/>
    <x v="0"/>
    <s v="W"/>
    <n v="39760"/>
    <n v="783"/>
    <n v="198"/>
    <n v="102"/>
    <x v="0"/>
    <x v="1"/>
    <n v="1"/>
    <n v="0"/>
    <n v="0"/>
    <n v="0"/>
    <n v="0"/>
    <n v="0"/>
    <n v="0"/>
    <n v="900"/>
    <n v="900"/>
    <x v="0"/>
    <x v="0"/>
    <x v="1"/>
    <x v="0"/>
    <x v="0"/>
  </r>
  <r>
    <n v="1507"/>
    <x v="1"/>
    <x v="0"/>
    <s v="W"/>
    <n v="22460"/>
    <n v="732"/>
    <n v="69"/>
    <n v="89"/>
    <x v="0"/>
    <x v="1"/>
    <n v="1"/>
    <n v="0"/>
    <n v="0"/>
    <n v="0"/>
    <n v="0"/>
    <n v="0"/>
    <n v="0"/>
    <n v="400"/>
    <n v="400"/>
    <x v="0"/>
    <x v="0"/>
    <x v="1"/>
    <x v="0"/>
    <x v="0"/>
  </r>
  <r>
    <n v="1508"/>
    <x v="1"/>
    <x v="0"/>
    <s v="W"/>
    <n v="11320"/>
    <n v="514"/>
    <n v="-15"/>
    <n v="33"/>
    <x v="0"/>
    <x v="0"/>
    <n v="0"/>
    <n v="0"/>
    <n v="0"/>
    <n v="0"/>
    <n v="0"/>
    <n v="0"/>
    <n v="0"/>
    <n v="0"/>
    <n v="0"/>
    <x v="0"/>
    <x v="0"/>
    <x v="1"/>
    <x v="0"/>
    <x v="0"/>
  </r>
  <r>
    <n v="1509"/>
    <x v="1"/>
    <x v="0"/>
    <s v="W"/>
    <n v="16320"/>
    <n v="454"/>
    <n v="23"/>
    <n v="17"/>
    <x v="0"/>
    <x v="0"/>
    <n v="0"/>
    <n v="0"/>
    <n v="0"/>
    <n v="0"/>
    <n v="0"/>
    <n v="0"/>
    <n v="0"/>
    <n v="0"/>
    <n v="0"/>
    <x v="0"/>
    <x v="0"/>
    <x v="1"/>
    <x v="0"/>
    <x v="0"/>
  </r>
  <r>
    <n v="1510"/>
    <x v="1"/>
    <x v="0"/>
    <s v="W"/>
    <n v="23490"/>
    <n v="595"/>
    <n v="76"/>
    <n v="54"/>
    <x v="0"/>
    <x v="1"/>
    <n v="0"/>
    <n v="1"/>
    <n v="0"/>
    <n v="0"/>
    <n v="0"/>
    <n v="0"/>
    <n v="0"/>
    <n v="1000"/>
    <n v="1000"/>
    <x v="0"/>
    <x v="0"/>
    <x v="1"/>
    <x v="0"/>
    <x v="0"/>
  </r>
  <r>
    <n v="1511"/>
    <x v="1"/>
    <x v="0"/>
    <s v="W"/>
    <n v="13260"/>
    <n v="563"/>
    <n v="-8"/>
    <n v="36"/>
    <x v="0"/>
    <x v="0"/>
    <n v="0"/>
    <n v="0"/>
    <n v="0"/>
    <n v="0"/>
    <n v="0"/>
    <n v="0"/>
    <n v="0"/>
    <n v="0"/>
    <n v="0"/>
    <x v="0"/>
    <x v="0"/>
    <x v="1"/>
    <x v="0"/>
    <x v="0"/>
  </r>
  <r>
    <n v="1512"/>
    <x v="1"/>
    <x v="0"/>
    <s v="W"/>
    <n v="14300"/>
    <n v="431"/>
    <n v="0"/>
    <n v="4"/>
    <x v="0"/>
    <x v="2"/>
    <n v="0"/>
    <n v="2"/>
    <n v="0"/>
    <n v="0"/>
    <n v="0"/>
    <n v="0"/>
    <n v="0"/>
    <n v="8000"/>
    <n v="6000"/>
    <x v="0"/>
    <x v="0"/>
    <x v="1"/>
    <x v="0"/>
    <x v="0"/>
  </r>
  <r>
    <n v="1513"/>
    <x v="1"/>
    <x v="0"/>
    <s v="W"/>
    <n v="12160"/>
    <n v="364"/>
    <n v="-15"/>
    <n v="-12"/>
    <x v="0"/>
    <x v="0"/>
    <n v="0"/>
    <n v="0"/>
    <n v="0"/>
    <n v="0"/>
    <n v="0"/>
    <n v="0"/>
    <n v="0"/>
    <n v="0"/>
    <n v="0"/>
    <x v="0"/>
    <x v="0"/>
    <x v="1"/>
    <x v="0"/>
    <x v="0"/>
  </r>
  <r>
    <n v="1514"/>
    <x v="1"/>
    <x v="0"/>
    <s v="W"/>
    <n v="12030"/>
    <n v="308"/>
    <n v="-16"/>
    <n v="-26"/>
    <x v="0"/>
    <x v="0"/>
    <n v="0"/>
    <n v="0"/>
    <n v="0"/>
    <n v="0"/>
    <n v="0"/>
    <n v="0"/>
    <n v="0"/>
    <n v="0"/>
    <n v="0"/>
    <x v="0"/>
    <x v="0"/>
    <x v="1"/>
    <x v="0"/>
    <x v="0"/>
  </r>
  <r>
    <n v="1515"/>
    <x v="1"/>
    <x v="0"/>
    <s v="W"/>
    <n v="17050"/>
    <n v="367"/>
    <n v="19"/>
    <n v="-12"/>
    <x v="0"/>
    <x v="0"/>
    <n v="0"/>
    <n v="0"/>
    <n v="0"/>
    <n v="0"/>
    <n v="0"/>
    <n v="0"/>
    <n v="0"/>
    <n v="0"/>
    <n v="0"/>
    <x v="0"/>
    <x v="0"/>
    <x v="1"/>
    <x v="0"/>
    <x v="0"/>
  </r>
  <r>
    <n v="1516"/>
    <x v="1"/>
    <x v="0"/>
    <s v="W"/>
    <n v="62880"/>
    <n v="826"/>
    <n v="338"/>
    <n v="99"/>
    <x v="1"/>
    <x v="1"/>
    <n v="1"/>
    <n v="0"/>
    <n v="0"/>
    <n v="0"/>
    <n v="0"/>
    <n v="0"/>
    <n v="0"/>
    <n v="700"/>
    <n v="700"/>
    <x v="0"/>
    <x v="0"/>
    <x v="1"/>
    <x v="0"/>
    <x v="0"/>
  </r>
  <r>
    <n v="1517"/>
    <x v="1"/>
    <x v="0"/>
    <s v="W"/>
    <n v="45070"/>
    <n v="1016"/>
    <n v="214"/>
    <n v="145"/>
    <x v="0"/>
    <x v="0"/>
    <n v="0"/>
    <n v="0"/>
    <n v="0"/>
    <n v="0"/>
    <n v="0"/>
    <n v="0"/>
    <n v="0"/>
    <n v="0"/>
    <n v="0"/>
    <x v="0"/>
    <x v="0"/>
    <x v="1"/>
    <x v="0"/>
    <x v="0"/>
  </r>
  <r>
    <n v="1518"/>
    <x v="1"/>
    <x v="0"/>
    <s v="W"/>
    <n v="27960"/>
    <n v="804"/>
    <n v="95"/>
    <n v="94"/>
    <x v="0"/>
    <x v="0"/>
    <n v="0"/>
    <n v="0"/>
    <n v="0"/>
    <n v="0"/>
    <n v="0"/>
    <n v="0"/>
    <n v="0"/>
    <n v="0"/>
    <n v="0"/>
    <x v="0"/>
    <x v="0"/>
    <x v="1"/>
    <x v="0"/>
    <x v="0"/>
  </r>
  <r>
    <n v="1519"/>
    <x v="1"/>
    <x v="1"/>
    <s v="W"/>
    <n v="25930"/>
    <n v="631"/>
    <n v="70"/>
    <n v="43"/>
    <x v="1"/>
    <x v="0"/>
    <n v="0"/>
    <n v="0"/>
    <n v="0"/>
    <n v="0"/>
    <n v="0"/>
    <n v="0"/>
    <n v="0"/>
    <n v="0"/>
    <n v="0"/>
    <x v="0"/>
    <x v="0"/>
    <x v="1"/>
    <x v="0"/>
    <x v="0"/>
  </r>
  <r>
    <n v="1520"/>
    <x v="1"/>
    <x v="1"/>
    <s v="W"/>
    <n v="41230"/>
    <n v="487"/>
    <n v="152"/>
    <n v="70"/>
    <x v="0"/>
    <x v="1"/>
    <n v="1"/>
    <n v="0"/>
    <n v="0"/>
    <n v="0"/>
    <n v="0"/>
    <n v="0"/>
    <n v="0"/>
    <n v="400"/>
    <n v="400"/>
    <x v="0"/>
    <x v="0"/>
    <x v="1"/>
    <x v="0"/>
    <x v="0"/>
  </r>
  <r>
    <n v="1521"/>
    <x v="1"/>
    <x v="1"/>
    <s v="W"/>
    <n v="33430"/>
    <n v="518"/>
    <n v="105"/>
    <n v="80"/>
    <x v="0"/>
    <x v="0"/>
    <n v="0"/>
    <n v="0"/>
    <n v="0"/>
    <n v="0"/>
    <n v="0"/>
    <n v="0"/>
    <n v="0"/>
    <n v="0"/>
    <n v="0"/>
    <x v="0"/>
    <x v="0"/>
    <x v="1"/>
    <x v="0"/>
    <x v="0"/>
  </r>
  <r>
    <n v="1522"/>
    <x v="1"/>
    <x v="1"/>
    <s v="W"/>
    <n v="42220"/>
    <n v="515"/>
    <n v="159"/>
    <n v="79"/>
    <x v="0"/>
    <x v="0"/>
    <n v="0"/>
    <n v="0"/>
    <n v="0"/>
    <n v="0"/>
    <n v="0"/>
    <n v="0"/>
    <n v="0"/>
    <n v="0"/>
    <n v="0"/>
    <x v="1"/>
    <x v="1"/>
    <x v="1"/>
    <x v="0"/>
    <x v="0"/>
  </r>
  <r>
    <n v="1523"/>
    <x v="1"/>
    <x v="1"/>
    <s v="W"/>
    <n v="37590"/>
    <n v="1115"/>
    <n v="146"/>
    <n v="153"/>
    <x v="1"/>
    <x v="1"/>
    <n v="0"/>
    <n v="0"/>
    <n v="1"/>
    <n v="0"/>
    <n v="0"/>
    <n v="0"/>
    <n v="0"/>
    <n v="40000"/>
    <n v="40000"/>
    <x v="0"/>
    <x v="0"/>
    <x v="1"/>
    <x v="0"/>
    <x v="0"/>
  </r>
  <r>
    <n v="1524"/>
    <x v="1"/>
    <x v="1"/>
    <s v="W"/>
    <n v="22450"/>
    <n v="568"/>
    <n v="47"/>
    <n v="29"/>
    <x v="1"/>
    <x v="0"/>
    <n v="0"/>
    <n v="0"/>
    <n v="0"/>
    <n v="0"/>
    <n v="0"/>
    <n v="0"/>
    <n v="0"/>
    <n v="0"/>
    <n v="0"/>
    <x v="0"/>
    <x v="0"/>
    <x v="1"/>
    <x v="0"/>
    <x v="0"/>
  </r>
  <r>
    <n v="1525"/>
    <x v="1"/>
    <x v="1"/>
    <s v="W"/>
    <n v="23790"/>
    <n v="589"/>
    <n v="56"/>
    <n v="34"/>
    <x v="1"/>
    <x v="0"/>
    <n v="0"/>
    <n v="0"/>
    <n v="0"/>
    <n v="0"/>
    <n v="0"/>
    <n v="0"/>
    <n v="0"/>
    <n v="0"/>
    <n v="0"/>
    <x v="0"/>
    <x v="0"/>
    <x v="1"/>
    <x v="0"/>
    <x v="0"/>
  </r>
  <r>
    <n v="1526"/>
    <x v="1"/>
    <x v="1"/>
    <s v="W"/>
    <n v="43780"/>
    <n v="529"/>
    <n v="168"/>
    <n v="84"/>
    <x v="0"/>
    <x v="1"/>
    <n v="0"/>
    <n v="1"/>
    <n v="0"/>
    <n v="0"/>
    <n v="0"/>
    <n v="0"/>
    <n v="0"/>
    <n v="1000"/>
    <n v="1000"/>
    <x v="0"/>
    <x v="0"/>
    <x v="1"/>
    <x v="0"/>
    <x v="0"/>
  </r>
  <r>
    <n v="1527"/>
    <x v="1"/>
    <x v="1"/>
    <s v="W"/>
    <n v="44010"/>
    <n v="961"/>
    <n v="167"/>
    <n v="109"/>
    <x v="1"/>
    <x v="1"/>
    <n v="1"/>
    <n v="0"/>
    <n v="0"/>
    <n v="0"/>
    <n v="0"/>
    <n v="0"/>
    <n v="0"/>
    <n v="500"/>
    <n v="500"/>
    <x v="0"/>
    <x v="0"/>
    <x v="1"/>
    <x v="0"/>
    <x v="0"/>
  </r>
  <r>
    <n v="1528"/>
    <x v="1"/>
    <x v="1"/>
    <s v="W"/>
    <n v="32500"/>
    <n v="873"/>
    <n v="97"/>
    <n v="90"/>
    <x v="1"/>
    <x v="1"/>
    <n v="1"/>
    <n v="0"/>
    <n v="0"/>
    <n v="0"/>
    <n v="0"/>
    <n v="0"/>
    <n v="0"/>
    <n v="300"/>
    <n v="300"/>
    <x v="0"/>
    <x v="0"/>
    <x v="1"/>
    <x v="0"/>
    <x v="0"/>
  </r>
  <r>
    <n v="1529"/>
    <x v="1"/>
    <x v="1"/>
    <s v="W"/>
    <n v="54860"/>
    <n v="989"/>
    <n v="233"/>
    <n v="115"/>
    <x v="1"/>
    <x v="0"/>
    <n v="0"/>
    <n v="0"/>
    <n v="0"/>
    <n v="0"/>
    <n v="0"/>
    <n v="0"/>
    <n v="0"/>
    <n v="0"/>
    <n v="0"/>
    <x v="0"/>
    <x v="0"/>
    <x v="1"/>
    <x v="0"/>
    <x v="0"/>
  </r>
  <r>
    <n v="1530"/>
    <x v="1"/>
    <x v="1"/>
    <s v="W"/>
    <n v="60140"/>
    <n v="800"/>
    <n v="267"/>
    <n v="181"/>
    <x v="0"/>
    <x v="2"/>
    <n v="0"/>
    <n v="2"/>
    <n v="0"/>
    <n v="0"/>
    <n v="0"/>
    <n v="0"/>
    <n v="0"/>
    <n v="3000"/>
    <n v="2000"/>
    <x v="0"/>
    <x v="0"/>
    <x v="1"/>
    <x v="0"/>
    <x v="0"/>
  </r>
  <r>
    <n v="1531"/>
    <x v="1"/>
    <x v="1"/>
    <s v="W"/>
    <n v="45520"/>
    <n v="1214"/>
    <n v="177"/>
    <n v="164"/>
    <x v="1"/>
    <x v="0"/>
    <n v="0"/>
    <n v="0"/>
    <n v="0"/>
    <n v="0"/>
    <n v="0"/>
    <n v="0"/>
    <n v="0"/>
    <n v="0"/>
    <n v="0"/>
    <x v="0"/>
    <x v="0"/>
    <x v="1"/>
    <x v="0"/>
    <x v="0"/>
  </r>
  <r>
    <n v="1532"/>
    <x v="1"/>
    <x v="1"/>
    <s v="W"/>
    <n v="72090"/>
    <n v="1139"/>
    <n v="338"/>
    <n v="147"/>
    <x v="1"/>
    <x v="0"/>
    <n v="0"/>
    <n v="0"/>
    <n v="0"/>
    <n v="0"/>
    <n v="0"/>
    <n v="0"/>
    <n v="0"/>
    <n v="0"/>
    <n v="0"/>
    <x v="0"/>
    <x v="0"/>
    <x v="1"/>
    <x v="0"/>
    <x v="0"/>
  </r>
  <r>
    <n v="1533"/>
    <x v="1"/>
    <x v="1"/>
    <s v="W"/>
    <n v="61310"/>
    <n v="931"/>
    <n v="274"/>
    <n v="227"/>
    <x v="1"/>
    <x v="1"/>
    <n v="0"/>
    <n v="1"/>
    <n v="0"/>
    <n v="0"/>
    <n v="0"/>
    <n v="0"/>
    <n v="0"/>
    <n v="3000"/>
    <n v="3000"/>
    <x v="0"/>
    <x v="0"/>
    <x v="1"/>
    <x v="0"/>
    <x v="0"/>
  </r>
  <r>
    <n v="1534"/>
    <x v="1"/>
    <x v="1"/>
    <s v="W"/>
    <n v="65800"/>
    <n v="1634"/>
    <n v="300"/>
    <n v="255"/>
    <x v="1"/>
    <x v="0"/>
    <n v="0"/>
    <n v="0"/>
    <n v="0"/>
    <n v="0"/>
    <n v="0"/>
    <n v="0"/>
    <n v="0"/>
    <n v="0"/>
    <n v="0"/>
    <x v="0"/>
    <x v="0"/>
    <x v="1"/>
    <x v="0"/>
    <x v="0"/>
  </r>
  <r>
    <n v="1535"/>
    <x v="1"/>
    <x v="1"/>
    <s v="W"/>
    <n v="40130"/>
    <n v="1324"/>
    <n v="120"/>
    <n v="162"/>
    <x v="1"/>
    <x v="2"/>
    <n v="2"/>
    <n v="0"/>
    <n v="0"/>
    <n v="0"/>
    <n v="0"/>
    <n v="0"/>
    <n v="0"/>
    <n v="1100"/>
    <n v="600"/>
    <x v="0"/>
    <x v="0"/>
    <x v="1"/>
    <x v="0"/>
    <x v="0"/>
  </r>
  <r>
    <n v="1536"/>
    <x v="1"/>
    <x v="1"/>
    <s v="N"/>
    <n v="30840"/>
    <n v="1022"/>
    <n v="235"/>
    <n v="235"/>
    <x v="1"/>
    <x v="0"/>
    <n v="0"/>
    <n v="0"/>
    <n v="0"/>
    <n v="0"/>
    <n v="0"/>
    <n v="0"/>
    <n v="0"/>
    <n v="0"/>
    <n v="0"/>
    <x v="0"/>
    <x v="0"/>
    <x v="0"/>
    <x v="0"/>
    <x v="0"/>
  </r>
  <r>
    <n v="1537"/>
    <x v="1"/>
    <x v="1"/>
    <s v="W"/>
    <n v="22820"/>
    <n v="833"/>
    <n v="25"/>
    <n v="65"/>
    <x v="1"/>
    <x v="0"/>
    <n v="0"/>
    <n v="0"/>
    <n v="0"/>
    <n v="0"/>
    <n v="0"/>
    <n v="0"/>
    <n v="0"/>
    <n v="0"/>
    <n v="0"/>
    <x v="0"/>
    <x v="0"/>
    <x v="1"/>
    <x v="0"/>
    <x v="0"/>
  </r>
  <r>
    <n v="1538"/>
    <x v="1"/>
    <x v="1"/>
    <s v="W"/>
    <n v="23750"/>
    <n v="442"/>
    <n v="32"/>
    <n v="44"/>
    <x v="1"/>
    <x v="1"/>
    <n v="1"/>
    <n v="0"/>
    <n v="0"/>
    <n v="0"/>
    <n v="0"/>
    <n v="0"/>
    <n v="0"/>
    <n v="600"/>
    <n v="600"/>
    <x v="0"/>
    <x v="0"/>
    <x v="1"/>
    <x v="0"/>
    <x v="0"/>
  </r>
  <r>
    <n v="1539"/>
    <x v="1"/>
    <x v="1"/>
    <s v="W"/>
    <n v="23260"/>
    <n v="746"/>
    <n v="27"/>
    <n v="48"/>
    <x v="1"/>
    <x v="0"/>
    <n v="0"/>
    <n v="0"/>
    <n v="0"/>
    <n v="0"/>
    <n v="0"/>
    <n v="0"/>
    <n v="0"/>
    <n v="0"/>
    <n v="0"/>
    <x v="0"/>
    <x v="0"/>
    <x v="1"/>
    <x v="0"/>
    <x v="0"/>
  </r>
  <r>
    <n v="1540"/>
    <x v="1"/>
    <x v="1"/>
    <s v="W"/>
    <n v="50860"/>
    <n v="982"/>
    <n v="178"/>
    <n v="94"/>
    <x v="1"/>
    <x v="0"/>
    <n v="0"/>
    <n v="0"/>
    <n v="0"/>
    <n v="0"/>
    <n v="0"/>
    <n v="0"/>
    <n v="0"/>
    <n v="0"/>
    <n v="0"/>
    <x v="0"/>
    <x v="0"/>
    <x v="1"/>
    <x v="0"/>
    <x v="0"/>
  </r>
  <r>
    <n v="1541"/>
    <x v="1"/>
    <x v="1"/>
    <s v="W"/>
    <n v="75890"/>
    <n v="1742"/>
    <n v="315"/>
    <n v="245"/>
    <x v="1"/>
    <x v="1"/>
    <n v="0"/>
    <n v="1"/>
    <n v="0"/>
    <n v="0"/>
    <n v="0"/>
    <n v="0"/>
    <n v="0"/>
    <n v="1000"/>
    <n v="1000"/>
    <x v="0"/>
    <x v="0"/>
    <x v="1"/>
    <x v="0"/>
    <x v="0"/>
  </r>
  <r>
    <n v="1542"/>
    <x v="1"/>
    <x v="1"/>
    <s v="W"/>
    <n v="48130"/>
    <n v="1330"/>
    <n v="163"/>
    <n v="163"/>
    <x v="1"/>
    <x v="0"/>
    <n v="0"/>
    <n v="0"/>
    <n v="0"/>
    <n v="0"/>
    <n v="0"/>
    <n v="0"/>
    <n v="0"/>
    <n v="0"/>
    <n v="0"/>
    <x v="0"/>
    <x v="0"/>
    <x v="1"/>
    <x v="0"/>
    <x v="0"/>
  </r>
  <r>
    <n v="1543"/>
    <x v="1"/>
    <x v="1"/>
    <s v="W"/>
    <n v="24490"/>
    <n v="1079"/>
    <n v="10"/>
    <n v="82"/>
    <x v="0"/>
    <x v="0"/>
    <n v="0"/>
    <n v="0"/>
    <n v="0"/>
    <n v="0"/>
    <n v="0"/>
    <n v="0"/>
    <n v="0"/>
    <n v="0"/>
    <n v="0"/>
    <x v="0"/>
    <x v="0"/>
    <x v="1"/>
    <x v="0"/>
    <x v="0"/>
  </r>
  <r>
    <n v="1544"/>
    <x v="1"/>
    <x v="1"/>
    <s v="W"/>
    <n v="32180"/>
    <n v="934"/>
    <n v="44"/>
    <n v="57"/>
    <x v="0"/>
    <x v="1"/>
    <n v="1"/>
    <n v="0"/>
    <n v="0"/>
    <n v="0"/>
    <n v="0"/>
    <n v="0"/>
    <n v="0"/>
    <n v="400"/>
    <n v="400"/>
    <x v="0"/>
    <x v="0"/>
    <x v="1"/>
    <x v="0"/>
    <x v="0"/>
  </r>
  <r>
    <n v="1545"/>
    <x v="1"/>
    <x v="1"/>
    <s v="W"/>
    <n v="40560"/>
    <n v="1130"/>
    <n v="82"/>
    <n v="90"/>
    <x v="0"/>
    <x v="2"/>
    <n v="2"/>
    <n v="0"/>
    <n v="0"/>
    <n v="0"/>
    <n v="0"/>
    <n v="0"/>
    <n v="0"/>
    <n v="1200"/>
    <n v="700"/>
    <x v="0"/>
    <x v="0"/>
    <x v="1"/>
    <x v="0"/>
    <x v="0"/>
  </r>
  <r>
    <n v="1546"/>
    <x v="1"/>
    <x v="1"/>
    <s v="W"/>
    <n v="50130"/>
    <n v="1613"/>
    <n v="125"/>
    <n v="172"/>
    <x v="0"/>
    <x v="2"/>
    <n v="2"/>
    <n v="0"/>
    <n v="0"/>
    <n v="0"/>
    <n v="0"/>
    <n v="0"/>
    <n v="0"/>
    <n v="1100"/>
    <n v="600"/>
    <x v="0"/>
    <x v="0"/>
    <x v="1"/>
    <x v="0"/>
    <x v="0"/>
  </r>
  <r>
    <n v="1547"/>
    <x v="1"/>
    <x v="1"/>
    <s v="W"/>
    <n v="58100"/>
    <n v="1267"/>
    <n v="161"/>
    <n v="113"/>
    <x v="0"/>
    <x v="1"/>
    <n v="1"/>
    <n v="0"/>
    <n v="0"/>
    <n v="0"/>
    <n v="0"/>
    <n v="0"/>
    <n v="0"/>
    <n v="300"/>
    <n v="300"/>
    <x v="0"/>
    <x v="0"/>
    <x v="1"/>
    <x v="0"/>
    <x v="0"/>
  </r>
  <r>
    <n v="1548"/>
    <x v="1"/>
    <x v="1"/>
    <s v="W"/>
    <n v="30610"/>
    <n v="1260"/>
    <n v="37"/>
    <n v="112"/>
    <x v="0"/>
    <x v="1"/>
    <n v="1"/>
    <n v="0"/>
    <n v="0"/>
    <n v="0"/>
    <n v="0"/>
    <n v="0"/>
    <n v="0"/>
    <n v="300"/>
    <n v="300"/>
    <x v="0"/>
    <x v="0"/>
    <x v="1"/>
    <x v="0"/>
    <x v="0"/>
  </r>
  <r>
    <n v="1549"/>
    <x v="1"/>
    <x v="1"/>
    <s v="W"/>
    <n v="61620"/>
    <n v="1211"/>
    <n v="176"/>
    <n v="104"/>
    <x v="0"/>
    <x v="0"/>
    <n v="0"/>
    <n v="0"/>
    <n v="0"/>
    <n v="0"/>
    <n v="0"/>
    <n v="0"/>
    <n v="0"/>
    <n v="0"/>
    <n v="0"/>
    <x v="1"/>
    <x v="1"/>
    <x v="1"/>
    <x v="0"/>
    <x v="0"/>
  </r>
  <r>
    <n v="1550"/>
    <x v="1"/>
    <x v="1"/>
    <s v="W"/>
    <n v="90960"/>
    <n v="2039"/>
    <n v="308"/>
    <n v="243"/>
    <x v="1"/>
    <x v="2"/>
    <n v="0"/>
    <n v="1"/>
    <n v="1"/>
    <n v="0"/>
    <n v="0"/>
    <n v="0"/>
    <n v="0"/>
    <n v="32000"/>
    <n v="30000"/>
    <x v="0"/>
    <x v="0"/>
    <x v="1"/>
    <x v="0"/>
    <x v="0"/>
  </r>
  <r>
    <n v="1551"/>
    <x v="1"/>
    <x v="1"/>
    <s v="W"/>
    <n v="91210"/>
    <n v="2362"/>
    <n v="267"/>
    <n v="255"/>
    <x v="0"/>
    <x v="0"/>
    <n v="0"/>
    <n v="0"/>
    <n v="0"/>
    <n v="0"/>
    <n v="0"/>
    <n v="0"/>
    <n v="0"/>
    <n v="0"/>
    <n v="0"/>
    <x v="0"/>
    <x v="0"/>
    <x v="1"/>
    <x v="0"/>
    <x v="0"/>
  </r>
  <r>
    <n v="1552"/>
    <x v="1"/>
    <x v="1"/>
    <s v="W"/>
    <n v="66780"/>
    <n v="2022"/>
    <n v="169"/>
    <n v="204"/>
    <x v="0"/>
    <x v="0"/>
    <n v="0"/>
    <n v="0"/>
    <n v="0"/>
    <n v="0"/>
    <n v="0"/>
    <n v="0"/>
    <n v="0"/>
    <n v="0"/>
    <n v="0"/>
    <x v="0"/>
    <x v="0"/>
    <x v="1"/>
    <x v="0"/>
    <x v="0"/>
  </r>
  <r>
    <n v="1553"/>
    <x v="1"/>
    <x v="1"/>
    <s v="W"/>
    <n v="46640"/>
    <n v="1439"/>
    <n v="88"/>
    <n v="116"/>
    <x v="0"/>
    <x v="0"/>
    <n v="0"/>
    <n v="0"/>
    <n v="0"/>
    <n v="0"/>
    <n v="0"/>
    <n v="0"/>
    <n v="0"/>
    <n v="0"/>
    <n v="0"/>
    <x v="1"/>
    <x v="1"/>
    <x v="1"/>
    <x v="0"/>
    <x v="0"/>
  </r>
  <r>
    <n v="1554"/>
    <x v="1"/>
    <x v="1"/>
    <s v="W"/>
    <n v="53730"/>
    <n v="1444"/>
    <n v="116"/>
    <n v="117"/>
    <x v="0"/>
    <x v="1"/>
    <n v="0"/>
    <n v="0"/>
    <n v="1"/>
    <n v="0"/>
    <n v="0"/>
    <n v="0"/>
    <n v="0"/>
    <n v="80000"/>
    <n v="80000"/>
    <x v="0"/>
    <x v="0"/>
    <x v="1"/>
    <x v="0"/>
    <x v="0"/>
  </r>
  <r>
    <n v="1555"/>
    <x v="1"/>
    <x v="1"/>
    <s v="W"/>
    <n v="56690"/>
    <n v="800"/>
    <n v="158"/>
    <n v="115"/>
    <x v="1"/>
    <x v="1"/>
    <n v="0"/>
    <n v="1"/>
    <n v="0"/>
    <n v="0"/>
    <n v="0"/>
    <n v="0"/>
    <n v="0"/>
    <n v="1000"/>
    <n v="1000"/>
    <x v="0"/>
    <x v="0"/>
    <x v="1"/>
    <x v="0"/>
    <x v="0"/>
  </r>
  <r>
    <n v="1556"/>
    <x v="1"/>
    <x v="1"/>
    <s v="W"/>
    <n v="45680"/>
    <n v="1276"/>
    <n v="84"/>
    <n v="92"/>
    <x v="0"/>
    <x v="1"/>
    <n v="1"/>
    <n v="0"/>
    <n v="0"/>
    <n v="0"/>
    <n v="0"/>
    <n v="0"/>
    <n v="0"/>
    <n v="500"/>
    <n v="500"/>
    <x v="0"/>
    <x v="0"/>
    <x v="1"/>
    <x v="0"/>
    <x v="0"/>
  </r>
  <r>
    <n v="1557"/>
    <x v="1"/>
    <x v="1"/>
    <s v="W"/>
    <n v="63390"/>
    <n v="1039"/>
    <n v="188"/>
    <n v="179"/>
    <x v="0"/>
    <x v="1"/>
    <n v="0"/>
    <n v="1"/>
    <n v="0"/>
    <n v="0"/>
    <n v="0"/>
    <n v="0"/>
    <n v="0"/>
    <n v="7000"/>
    <n v="7000"/>
    <x v="0"/>
    <x v="0"/>
    <x v="1"/>
    <x v="0"/>
    <x v="0"/>
  </r>
  <r>
    <n v="1558"/>
    <x v="1"/>
    <x v="1"/>
    <s v="W"/>
    <n v="42350"/>
    <n v="1625"/>
    <n v="70"/>
    <n v="144"/>
    <x v="0"/>
    <x v="0"/>
    <n v="0"/>
    <n v="0"/>
    <n v="0"/>
    <n v="0"/>
    <n v="0"/>
    <n v="0"/>
    <n v="0"/>
    <n v="0"/>
    <n v="0"/>
    <x v="0"/>
    <x v="0"/>
    <x v="1"/>
    <x v="0"/>
    <x v="0"/>
  </r>
  <r>
    <n v="1559"/>
    <x v="1"/>
    <x v="1"/>
    <s v="N"/>
    <n v="32410"/>
    <n v="1205"/>
    <n v="252"/>
    <n v="295"/>
    <x v="1"/>
    <x v="0"/>
    <n v="0"/>
    <n v="0"/>
    <n v="0"/>
    <n v="0"/>
    <n v="0"/>
    <n v="0"/>
    <n v="0"/>
    <n v="0"/>
    <n v="0"/>
    <x v="0"/>
    <x v="0"/>
    <x v="0"/>
    <x v="0"/>
    <x v="0"/>
  </r>
  <r>
    <n v="1560"/>
    <x v="1"/>
    <x v="1"/>
    <s v="N"/>
    <n v="21540"/>
    <n v="862"/>
    <n v="134"/>
    <n v="182"/>
    <x v="1"/>
    <x v="2"/>
    <n v="1"/>
    <n v="1"/>
    <n v="0"/>
    <n v="0"/>
    <n v="0"/>
    <n v="0"/>
    <n v="0"/>
    <n v="4200"/>
    <n v="4000"/>
    <x v="0"/>
    <x v="0"/>
    <x v="0"/>
    <x v="0"/>
    <x v="0"/>
  </r>
  <r>
    <n v="1561"/>
    <x v="1"/>
    <x v="1"/>
    <s v="W"/>
    <n v="24510"/>
    <n v="845"/>
    <n v="-16"/>
    <n v="9"/>
    <x v="1"/>
    <x v="0"/>
    <n v="0"/>
    <n v="0"/>
    <n v="0"/>
    <n v="0"/>
    <n v="0"/>
    <n v="0"/>
    <n v="0"/>
    <n v="0"/>
    <n v="0"/>
    <x v="0"/>
    <x v="0"/>
    <x v="1"/>
    <x v="0"/>
    <x v="0"/>
  </r>
  <r>
    <n v="1562"/>
    <x v="1"/>
    <x v="1"/>
    <s v="W"/>
    <n v="47370"/>
    <n v="1333"/>
    <n v="62"/>
    <n v="71"/>
    <x v="1"/>
    <x v="0"/>
    <n v="0"/>
    <n v="0"/>
    <n v="0"/>
    <n v="0"/>
    <n v="0"/>
    <n v="0"/>
    <n v="0"/>
    <n v="0"/>
    <n v="0"/>
    <x v="0"/>
    <x v="0"/>
    <x v="1"/>
    <x v="0"/>
    <x v="0"/>
  </r>
  <r>
    <n v="1563"/>
    <x v="1"/>
    <x v="1"/>
    <s v="W"/>
    <n v="30730"/>
    <n v="890"/>
    <n v="5"/>
    <n v="14"/>
    <x v="1"/>
    <x v="0"/>
    <n v="0"/>
    <n v="0"/>
    <n v="0"/>
    <n v="0"/>
    <n v="0"/>
    <n v="0"/>
    <n v="0"/>
    <n v="0"/>
    <n v="0"/>
    <x v="0"/>
    <x v="0"/>
    <x v="1"/>
    <x v="0"/>
    <x v="0"/>
  </r>
  <r>
    <n v="1564"/>
    <x v="1"/>
    <x v="1"/>
    <s v="W"/>
    <n v="22550"/>
    <n v="859"/>
    <n v="-23"/>
    <n v="10"/>
    <x v="1"/>
    <x v="1"/>
    <n v="1"/>
    <n v="0"/>
    <n v="0"/>
    <n v="0"/>
    <n v="0"/>
    <n v="0"/>
    <n v="0"/>
    <n v="300"/>
    <n v="300"/>
    <x v="0"/>
    <x v="0"/>
    <x v="1"/>
    <x v="0"/>
    <x v="0"/>
  </r>
  <r>
    <n v="1565"/>
    <x v="1"/>
    <x v="1"/>
    <s v="W"/>
    <n v="19790"/>
    <n v="825"/>
    <n v="-32"/>
    <n v="6"/>
    <x v="1"/>
    <x v="1"/>
    <n v="1"/>
    <n v="0"/>
    <n v="0"/>
    <n v="0"/>
    <n v="0"/>
    <n v="0"/>
    <n v="0"/>
    <n v="400"/>
    <n v="400"/>
    <x v="0"/>
    <x v="0"/>
    <x v="1"/>
    <x v="0"/>
    <x v="0"/>
  </r>
  <r>
    <n v="1566"/>
    <x v="1"/>
    <x v="1"/>
    <s v="W"/>
    <n v="17960"/>
    <n v="780"/>
    <n v="-38"/>
    <n v="0"/>
    <x v="1"/>
    <x v="0"/>
    <n v="0"/>
    <n v="0"/>
    <n v="0"/>
    <n v="0"/>
    <n v="0"/>
    <n v="0"/>
    <n v="0"/>
    <n v="0"/>
    <n v="0"/>
    <x v="0"/>
    <x v="0"/>
    <x v="1"/>
    <x v="0"/>
    <x v="0"/>
  </r>
  <r>
    <n v="1567"/>
    <x v="1"/>
    <x v="1"/>
    <s v="W"/>
    <n v="20160"/>
    <n v="688"/>
    <n v="-40"/>
    <n v="-25"/>
    <x v="1"/>
    <x v="0"/>
    <n v="0"/>
    <n v="0"/>
    <n v="0"/>
    <n v="0"/>
    <n v="0"/>
    <n v="0"/>
    <n v="0"/>
    <n v="0"/>
    <n v="0"/>
    <x v="0"/>
    <x v="0"/>
    <x v="1"/>
    <x v="0"/>
    <x v="0"/>
  </r>
  <r>
    <n v="1568"/>
    <x v="1"/>
    <x v="1"/>
    <s v="W"/>
    <n v="9730"/>
    <n v="488"/>
    <n v="-71"/>
    <n v="-47"/>
    <x v="1"/>
    <x v="0"/>
    <n v="0"/>
    <n v="0"/>
    <n v="0"/>
    <n v="0"/>
    <n v="0"/>
    <n v="0"/>
    <n v="0"/>
    <n v="0"/>
    <n v="0"/>
    <x v="0"/>
    <x v="0"/>
    <x v="1"/>
    <x v="1"/>
    <x v="0"/>
  </r>
  <r>
    <n v="1569"/>
    <x v="1"/>
    <x v="1"/>
    <s v="W"/>
    <n v="21060"/>
    <n v="588"/>
    <n v="-37"/>
    <n v="-36"/>
    <x v="1"/>
    <x v="0"/>
    <n v="0"/>
    <n v="0"/>
    <n v="0"/>
    <n v="0"/>
    <n v="0"/>
    <n v="0"/>
    <n v="0"/>
    <n v="0"/>
    <n v="0"/>
    <x v="1"/>
    <x v="1"/>
    <x v="1"/>
    <x v="0"/>
    <x v="0"/>
  </r>
  <r>
    <n v="1570"/>
    <x v="1"/>
    <x v="1"/>
    <s v="W"/>
    <n v="74960"/>
    <n v="1471"/>
    <n v="124"/>
    <n v="60"/>
    <x v="1"/>
    <x v="1"/>
    <n v="0"/>
    <n v="0"/>
    <n v="1"/>
    <n v="0"/>
    <n v="0"/>
    <n v="0"/>
    <n v="0"/>
    <n v="10000"/>
    <n v="10000"/>
    <x v="0"/>
    <x v="0"/>
    <x v="1"/>
    <x v="0"/>
    <x v="0"/>
  </r>
  <r>
    <n v="1571"/>
    <x v="1"/>
    <x v="1"/>
    <s v="W"/>
    <n v="45650"/>
    <n v="664"/>
    <n v="55"/>
    <n v="34"/>
    <x v="1"/>
    <x v="0"/>
    <n v="0"/>
    <n v="0"/>
    <n v="0"/>
    <n v="0"/>
    <n v="0"/>
    <n v="0"/>
    <n v="0"/>
    <n v="0"/>
    <n v="0"/>
    <x v="0"/>
    <x v="0"/>
    <x v="1"/>
    <x v="0"/>
    <x v="0"/>
  </r>
  <r>
    <n v="1572"/>
    <x v="1"/>
    <x v="1"/>
    <s v="W"/>
    <n v="31160"/>
    <n v="1133"/>
    <n v="-7"/>
    <n v="23"/>
    <x v="1"/>
    <x v="1"/>
    <n v="0"/>
    <n v="1"/>
    <n v="0"/>
    <n v="0"/>
    <n v="0"/>
    <n v="0"/>
    <n v="0"/>
    <n v="5000"/>
    <n v="5000"/>
    <x v="0"/>
    <x v="0"/>
    <x v="1"/>
    <x v="0"/>
    <x v="0"/>
  </r>
  <r>
    <n v="1573"/>
    <x v="1"/>
    <x v="1"/>
    <s v="W"/>
    <n v="31240"/>
    <n v="836"/>
    <n v="-7"/>
    <n v="-9"/>
    <x v="1"/>
    <x v="1"/>
    <n v="0"/>
    <n v="1"/>
    <n v="0"/>
    <n v="0"/>
    <n v="0"/>
    <n v="0"/>
    <n v="0"/>
    <n v="2000"/>
    <n v="2000"/>
    <x v="0"/>
    <x v="0"/>
    <x v="1"/>
    <x v="0"/>
    <x v="0"/>
  </r>
  <r>
    <n v="1574"/>
    <x v="1"/>
    <x v="1"/>
    <s v="W"/>
    <n v="28930"/>
    <n v="948"/>
    <n v="-13"/>
    <n v="3"/>
    <x v="1"/>
    <x v="0"/>
    <n v="0"/>
    <n v="0"/>
    <n v="0"/>
    <n v="0"/>
    <n v="0"/>
    <n v="0"/>
    <n v="0"/>
    <n v="0"/>
    <n v="0"/>
    <x v="0"/>
    <x v="0"/>
    <x v="1"/>
    <x v="0"/>
    <x v="0"/>
  </r>
  <r>
    <n v="1575"/>
    <x v="1"/>
    <x v="1"/>
    <s v="N"/>
    <n v="25390"/>
    <n v="861"/>
    <n v="176"/>
    <n v="182"/>
    <x v="1"/>
    <x v="0"/>
    <n v="0"/>
    <n v="0"/>
    <n v="0"/>
    <n v="0"/>
    <n v="0"/>
    <n v="0"/>
    <n v="0"/>
    <n v="0"/>
    <n v="0"/>
    <x v="0"/>
    <x v="0"/>
    <x v="0"/>
    <x v="0"/>
    <x v="0"/>
  </r>
  <r>
    <n v="1576"/>
    <x v="1"/>
    <x v="1"/>
    <s v="N"/>
    <n v="16500"/>
    <n v="321"/>
    <n v="115"/>
    <n v="96"/>
    <x v="1"/>
    <x v="0"/>
    <n v="0"/>
    <n v="0"/>
    <n v="0"/>
    <n v="0"/>
    <n v="0"/>
    <n v="0"/>
    <n v="0"/>
    <n v="0"/>
    <n v="0"/>
    <x v="0"/>
    <x v="0"/>
    <x v="0"/>
    <x v="0"/>
    <x v="0"/>
  </r>
  <r>
    <n v="1577"/>
    <x v="1"/>
    <x v="1"/>
    <s v="W"/>
    <n v="18180"/>
    <n v="609"/>
    <n v="-47"/>
    <n v="-36"/>
    <x v="1"/>
    <x v="0"/>
    <n v="0"/>
    <n v="0"/>
    <n v="0"/>
    <n v="0"/>
    <n v="0"/>
    <n v="0"/>
    <n v="0"/>
    <n v="0"/>
    <n v="0"/>
    <x v="0"/>
    <x v="0"/>
    <x v="1"/>
    <x v="0"/>
    <x v="0"/>
  </r>
  <r>
    <n v="1578"/>
    <x v="1"/>
    <x v="1"/>
    <s v="W"/>
    <n v="23600"/>
    <n v="704"/>
    <n v="-31"/>
    <n v="-26"/>
    <x v="1"/>
    <x v="0"/>
    <n v="0"/>
    <n v="0"/>
    <n v="0"/>
    <n v="0"/>
    <n v="0"/>
    <n v="0"/>
    <n v="0"/>
    <n v="0"/>
    <n v="0"/>
    <x v="0"/>
    <x v="0"/>
    <x v="1"/>
    <x v="0"/>
    <x v="0"/>
  </r>
  <r>
    <n v="1579"/>
    <x v="1"/>
    <x v="1"/>
    <s v="W"/>
    <n v="21430"/>
    <n v="776"/>
    <n v="-37"/>
    <n v="-19"/>
    <x v="1"/>
    <x v="0"/>
    <n v="0"/>
    <n v="0"/>
    <n v="0"/>
    <n v="0"/>
    <n v="0"/>
    <n v="0"/>
    <n v="0"/>
    <n v="0"/>
    <n v="0"/>
    <x v="0"/>
    <x v="0"/>
    <x v="1"/>
    <x v="0"/>
    <x v="0"/>
  </r>
  <r>
    <n v="1580"/>
    <x v="1"/>
    <x v="1"/>
    <s v="W"/>
    <n v="69390"/>
    <n v="1107"/>
    <n v="104"/>
    <n v="16"/>
    <x v="1"/>
    <x v="2"/>
    <n v="1"/>
    <n v="1"/>
    <n v="0"/>
    <n v="0"/>
    <n v="0"/>
    <n v="0"/>
    <n v="0"/>
    <n v="3700"/>
    <n v="3000"/>
    <x v="0"/>
    <x v="0"/>
    <x v="1"/>
    <x v="0"/>
    <x v="0"/>
  </r>
  <r>
    <n v="1581"/>
    <x v="1"/>
    <x v="1"/>
    <s v="W"/>
    <n v="48330"/>
    <n v="1389"/>
    <n v="42"/>
    <n v="45"/>
    <x v="1"/>
    <x v="0"/>
    <n v="0"/>
    <n v="0"/>
    <n v="0"/>
    <n v="0"/>
    <n v="0"/>
    <n v="0"/>
    <n v="0"/>
    <n v="0"/>
    <n v="0"/>
    <x v="0"/>
    <x v="0"/>
    <x v="1"/>
    <x v="0"/>
    <x v="0"/>
  </r>
  <r>
    <n v="1582"/>
    <x v="1"/>
    <x v="1"/>
    <s v="W"/>
    <n v="63800"/>
    <n v="2116"/>
    <n v="88"/>
    <n v="121"/>
    <x v="1"/>
    <x v="0"/>
    <n v="0"/>
    <n v="0"/>
    <n v="0"/>
    <n v="0"/>
    <n v="0"/>
    <n v="0"/>
    <n v="0"/>
    <n v="0"/>
    <n v="0"/>
    <x v="0"/>
    <x v="0"/>
    <x v="1"/>
    <x v="0"/>
    <x v="0"/>
  </r>
  <r>
    <n v="1583"/>
    <x v="0"/>
    <x v="1"/>
    <s v="N"/>
    <n v="29720"/>
    <n v="482"/>
    <n v="287"/>
    <n v="195"/>
    <x v="0"/>
    <x v="0"/>
    <n v="0"/>
    <n v="0"/>
    <n v="0"/>
    <n v="0"/>
    <n v="0"/>
    <n v="0"/>
    <n v="0"/>
    <n v="0"/>
    <n v="0"/>
    <x v="0"/>
    <x v="0"/>
    <x v="0"/>
    <x v="0"/>
    <x v="0"/>
  </r>
  <r>
    <n v="1584"/>
    <x v="0"/>
    <x v="1"/>
    <s v="N"/>
    <n v="19500"/>
    <n v="678"/>
    <n v="112"/>
    <n v="122"/>
    <x v="0"/>
    <x v="0"/>
    <n v="0"/>
    <n v="0"/>
    <n v="0"/>
    <n v="0"/>
    <n v="0"/>
    <n v="0"/>
    <n v="0"/>
    <n v="0"/>
    <n v="0"/>
    <x v="0"/>
    <x v="0"/>
    <x v="0"/>
    <x v="0"/>
    <x v="0"/>
  </r>
  <r>
    <n v="1585"/>
    <x v="0"/>
    <x v="1"/>
    <s v="N"/>
    <n v="21780"/>
    <n v="944"/>
    <n v="136"/>
    <n v="209"/>
    <x v="0"/>
    <x v="0"/>
    <n v="0"/>
    <n v="0"/>
    <n v="0"/>
    <n v="0"/>
    <n v="0"/>
    <n v="0"/>
    <n v="0"/>
    <n v="0"/>
    <n v="0"/>
    <x v="0"/>
    <x v="0"/>
    <x v="0"/>
    <x v="0"/>
    <x v="0"/>
  </r>
  <r>
    <n v="1586"/>
    <x v="0"/>
    <x v="1"/>
    <s v="N"/>
    <n v="17390"/>
    <n v="720"/>
    <n v="89"/>
    <n v="136"/>
    <x v="0"/>
    <x v="0"/>
    <n v="0"/>
    <n v="0"/>
    <n v="0"/>
    <n v="0"/>
    <n v="0"/>
    <n v="0"/>
    <n v="0"/>
    <n v="0"/>
    <n v="0"/>
    <x v="0"/>
    <x v="0"/>
    <x v="0"/>
    <x v="0"/>
    <x v="0"/>
  </r>
  <r>
    <n v="1587"/>
    <x v="0"/>
    <x v="1"/>
    <s v="N"/>
    <n v="17670"/>
    <n v="255"/>
    <n v="130"/>
    <n v="56"/>
    <x v="0"/>
    <x v="0"/>
    <n v="0"/>
    <n v="0"/>
    <n v="0"/>
    <n v="0"/>
    <n v="0"/>
    <n v="0"/>
    <n v="0"/>
    <n v="0"/>
    <n v="0"/>
    <x v="0"/>
    <x v="0"/>
    <x v="0"/>
    <x v="0"/>
    <x v="0"/>
  </r>
  <r>
    <n v="1588"/>
    <x v="0"/>
    <x v="1"/>
    <s v="N"/>
    <n v="16460"/>
    <n v="586"/>
    <n v="79"/>
    <n v="92"/>
    <x v="0"/>
    <x v="0"/>
    <n v="0"/>
    <n v="0"/>
    <n v="0"/>
    <n v="0"/>
    <n v="0"/>
    <n v="0"/>
    <n v="0"/>
    <n v="0"/>
    <n v="0"/>
    <x v="0"/>
    <x v="0"/>
    <x v="0"/>
    <x v="0"/>
    <x v="0"/>
  </r>
  <r>
    <n v="1589"/>
    <x v="0"/>
    <x v="1"/>
    <s v="N"/>
    <n v="11240"/>
    <n v="554"/>
    <n v="22"/>
    <n v="82"/>
    <x v="0"/>
    <x v="0"/>
    <n v="0"/>
    <n v="0"/>
    <n v="0"/>
    <n v="0"/>
    <n v="0"/>
    <n v="0"/>
    <n v="0"/>
    <n v="0"/>
    <n v="0"/>
    <x v="0"/>
    <x v="0"/>
    <x v="0"/>
    <x v="0"/>
    <x v="0"/>
  </r>
  <r>
    <n v="1590"/>
    <x v="0"/>
    <x v="1"/>
    <s v="N"/>
    <n v="12300"/>
    <n v="424"/>
    <n v="34"/>
    <n v="39"/>
    <x v="0"/>
    <x v="0"/>
    <n v="0"/>
    <n v="0"/>
    <n v="0"/>
    <n v="0"/>
    <n v="0"/>
    <n v="0"/>
    <n v="0"/>
    <n v="0"/>
    <n v="0"/>
    <x v="0"/>
    <x v="0"/>
    <x v="0"/>
    <x v="0"/>
    <x v="0"/>
  </r>
  <r>
    <n v="1591"/>
    <x v="0"/>
    <x v="1"/>
    <s v="N"/>
    <n v="10900"/>
    <n v="176"/>
    <n v="34"/>
    <n v="4"/>
    <x v="0"/>
    <x v="1"/>
    <n v="1"/>
    <n v="0"/>
    <n v="0"/>
    <n v="0"/>
    <n v="0"/>
    <n v="0"/>
    <n v="0"/>
    <n v="700"/>
    <n v="700"/>
    <x v="0"/>
    <x v="0"/>
    <x v="0"/>
    <x v="0"/>
    <x v="0"/>
  </r>
  <r>
    <n v="1592"/>
    <x v="0"/>
    <x v="1"/>
    <s v="N"/>
    <n v="11230"/>
    <n v="383"/>
    <n v="19"/>
    <n v="22"/>
    <x v="0"/>
    <x v="0"/>
    <n v="0"/>
    <n v="0"/>
    <n v="0"/>
    <n v="0"/>
    <n v="0"/>
    <n v="0"/>
    <n v="0"/>
    <n v="0"/>
    <n v="0"/>
    <x v="0"/>
    <x v="0"/>
    <x v="0"/>
    <x v="0"/>
    <x v="0"/>
  </r>
  <r>
    <n v="1593"/>
    <x v="0"/>
    <x v="1"/>
    <s v="N"/>
    <n v="9870"/>
    <n v="360"/>
    <n v="5"/>
    <n v="14"/>
    <x v="0"/>
    <x v="0"/>
    <n v="0"/>
    <n v="0"/>
    <n v="0"/>
    <n v="0"/>
    <n v="0"/>
    <n v="0"/>
    <n v="0"/>
    <n v="0"/>
    <n v="0"/>
    <x v="0"/>
    <x v="0"/>
    <x v="0"/>
    <x v="1"/>
    <x v="0"/>
  </r>
  <r>
    <n v="1594"/>
    <x v="0"/>
    <x v="1"/>
    <s v="N"/>
    <n v="9450"/>
    <n v="325"/>
    <n v="0"/>
    <n v="3"/>
    <x v="0"/>
    <x v="0"/>
    <n v="0"/>
    <n v="0"/>
    <n v="0"/>
    <n v="0"/>
    <n v="0"/>
    <n v="0"/>
    <n v="0"/>
    <n v="0"/>
    <n v="0"/>
    <x v="0"/>
    <x v="0"/>
    <x v="0"/>
    <x v="1"/>
    <x v="0"/>
  </r>
  <r>
    <n v="1595"/>
    <x v="0"/>
    <x v="1"/>
    <s v="N"/>
    <n v="6330"/>
    <n v="327"/>
    <n v="-33"/>
    <n v="4"/>
    <x v="0"/>
    <x v="0"/>
    <n v="0"/>
    <n v="0"/>
    <n v="0"/>
    <n v="0"/>
    <n v="0"/>
    <n v="0"/>
    <n v="0"/>
    <n v="0"/>
    <n v="0"/>
    <x v="0"/>
    <x v="0"/>
    <x v="0"/>
    <x v="1"/>
    <x v="0"/>
  </r>
  <r>
    <n v="1596"/>
    <x v="0"/>
    <x v="1"/>
    <s v="N"/>
    <n v="14040"/>
    <n v="408"/>
    <n v="49"/>
    <n v="29"/>
    <x v="0"/>
    <x v="0"/>
    <n v="0"/>
    <n v="0"/>
    <n v="0"/>
    <n v="0"/>
    <n v="0"/>
    <n v="0"/>
    <n v="0"/>
    <n v="0"/>
    <n v="0"/>
    <x v="0"/>
    <x v="0"/>
    <x v="0"/>
    <x v="0"/>
    <x v="0"/>
  </r>
  <r>
    <n v="1597"/>
    <x v="0"/>
    <x v="1"/>
    <s v="N"/>
    <n v="12290"/>
    <n v="471"/>
    <n v="30"/>
    <n v="49"/>
    <x v="0"/>
    <x v="1"/>
    <n v="1"/>
    <n v="0"/>
    <n v="0"/>
    <n v="0"/>
    <n v="0"/>
    <n v="0"/>
    <n v="0"/>
    <n v="500"/>
    <n v="500"/>
    <x v="0"/>
    <x v="0"/>
    <x v="0"/>
    <x v="0"/>
    <x v="0"/>
  </r>
  <r>
    <n v="1598"/>
    <x v="0"/>
    <x v="1"/>
    <s v="N"/>
    <n v="8190"/>
    <n v="325"/>
    <n v="-13"/>
    <n v="3"/>
    <x v="0"/>
    <x v="0"/>
    <n v="0"/>
    <n v="0"/>
    <n v="0"/>
    <n v="0"/>
    <n v="0"/>
    <n v="0"/>
    <n v="0"/>
    <n v="0"/>
    <n v="0"/>
    <x v="0"/>
    <x v="0"/>
    <x v="0"/>
    <x v="1"/>
    <x v="0"/>
  </r>
  <r>
    <n v="1599"/>
    <x v="0"/>
    <x v="0"/>
    <s v="N"/>
    <n v="8390"/>
    <n v="33"/>
    <n v="262"/>
    <n v="-65"/>
    <x v="0"/>
    <x v="0"/>
    <n v="0"/>
    <n v="0"/>
    <n v="0"/>
    <n v="0"/>
    <n v="0"/>
    <n v="0"/>
    <n v="0"/>
    <n v="0"/>
    <n v="0"/>
    <x v="0"/>
    <x v="0"/>
    <x v="0"/>
    <x v="1"/>
    <x v="0"/>
  </r>
  <r>
    <n v="1600"/>
    <x v="0"/>
    <x v="0"/>
    <s v="N"/>
    <n v="5890"/>
    <n v="301"/>
    <n v="-43"/>
    <n v="-13"/>
    <x v="0"/>
    <x v="0"/>
    <n v="0"/>
    <n v="0"/>
    <n v="0"/>
    <n v="0"/>
    <n v="0"/>
    <n v="0"/>
    <n v="0"/>
    <n v="0"/>
    <n v="0"/>
    <x v="0"/>
    <x v="0"/>
    <x v="0"/>
    <x v="1"/>
    <x v="0"/>
  </r>
  <r>
    <n v="1601"/>
    <x v="0"/>
    <x v="0"/>
    <s v="N"/>
    <n v="4030"/>
    <n v="262"/>
    <n v="-61"/>
    <n v="-24"/>
    <x v="0"/>
    <x v="0"/>
    <n v="0"/>
    <n v="0"/>
    <n v="0"/>
    <n v="0"/>
    <n v="0"/>
    <n v="0"/>
    <n v="0"/>
    <n v="0"/>
    <n v="0"/>
    <x v="0"/>
    <x v="0"/>
    <x v="0"/>
    <x v="1"/>
    <x v="0"/>
  </r>
  <r>
    <n v="1602"/>
    <x v="0"/>
    <x v="0"/>
    <s v="N"/>
    <n v="7920"/>
    <n v="248"/>
    <n v="-23"/>
    <n v="-28"/>
    <x v="0"/>
    <x v="0"/>
    <n v="0"/>
    <n v="0"/>
    <n v="0"/>
    <n v="0"/>
    <n v="0"/>
    <n v="0"/>
    <n v="0"/>
    <n v="0"/>
    <n v="0"/>
    <x v="0"/>
    <x v="0"/>
    <x v="0"/>
    <x v="1"/>
    <x v="0"/>
  </r>
  <r>
    <n v="1603"/>
    <x v="0"/>
    <x v="0"/>
    <s v="N"/>
    <n v="6010"/>
    <n v="215"/>
    <n v="-41"/>
    <n v="-38"/>
    <x v="0"/>
    <x v="0"/>
    <n v="0"/>
    <n v="0"/>
    <n v="0"/>
    <n v="0"/>
    <n v="0"/>
    <n v="0"/>
    <n v="0"/>
    <n v="0"/>
    <n v="0"/>
    <x v="0"/>
    <x v="0"/>
    <x v="0"/>
    <x v="1"/>
    <x v="0"/>
  </r>
  <r>
    <n v="1604"/>
    <x v="0"/>
    <x v="0"/>
    <s v="N"/>
    <n v="8780"/>
    <n v="178"/>
    <n v="279"/>
    <n v="91"/>
    <x v="0"/>
    <x v="0"/>
    <n v="0"/>
    <n v="0"/>
    <n v="0"/>
    <n v="0"/>
    <n v="0"/>
    <n v="0"/>
    <n v="0"/>
    <n v="0"/>
    <n v="0"/>
    <x v="0"/>
    <x v="0"/>
    <x v="0"/>
    <x v="1"/>
    <x v="0"/>
  </r>
  <r>
    <n v="1605"/>
    <x v="0"/>
    <x v="0"/>
    <s v="N"/>
    <n v="9150"/>
    <n v="257"/>
    <n v="-11"/>
    <n v="-26"/>
    <x v="0"/>
    <x v="0"/>
    <n v="0"/>
    <n v="0"/>
    <n v="0"/>
    <n v="0"/>
    <n v="0"/>
    <n v="0"/>
    <n v="0"/>
    <n v="0"/>
    <n v="0"/>
    <x v="0"/>
    <x v="0"/>
    <x v="0"/>
    <x v="1"/>
    <x v="0"/>
  </r>
  <r>
    <n v="1606"/>
    <x v="0"/>
    <x v="0"/>
    <s v="N"/>
    <n v="7240"/>
    <n v="295"/>
    <n v="-29"/>
    <n v="-14"/>
    <x v="0"/>
    <x v="0"/>
    <n v="0"/>
    <n v="0"/>
    <n v="0"/>
    <n v="0"/>
    <n v="0"/>
    <n v="0"/>
    <n v="0"/>
    <n v="0"/>
    <n v="0"/>
    <x v="0"/>
    <x v="0"/>
    <x v="0"/>
    <x v="1"/>
    <x v="0"/>
  </r>
  <r>
    <n v="1607"/>
    <x v="0"/>
    <x v="0"/>
    <s v="N"/>
    <n v="6260"/>
    <n v="98"/>
    <n v="-26"/>
    <n v="-42"/>
    <x v="0"/>
    <x v="0"/>
    <n v="0"/>
    <n v="0"/>
    <n v="0"/>
    <n v="0"/>
    <n v="0"/>
    <n v="0"/>
    <n v="0"/>
    <n v="0"/>
    <n v="0"/>
    <x v="0"/>
    <x v="0"/>
    <x v="0"/>
    <x v="1"/>
    <x v="0"/>
  </r>
  <r>
    <n v="1608"/>
    <x v="0"/>
    <x v="0"/>
    <s v="N"/>
    <n v="7460"/>
    <n v="240"/>
    <n v="-28"/>
    <n v="-32"/>
    <x v="0"/>
    <x v="0"/>
    <n v="0"/>
    <n v="0"/>
    <n v="0"/>
    <n v="0"/>
    <n v="0"/>
    <n v="0"/>
    <n v="0"/>
    <n v="0"/>
    <n v="0"/>
    <x v="0"/>
    <x v="0"/>
    <x v="0"/>
    <x v="1"/>
    <x v="0"/>
  </r>
  <r>
    <n v="1609"/>
    <x v="0"/>
    <x v="0"/>
    <s v="N"/>
    <n v="8460"/>
    <n v="252"/>
    <n v="-18"/>
    <n v="-28"/>
    <x v="0"/>
    <x v="1"/>
    <n v="1"/>
    <n v="0"/>
    <n v="0"/>
    <n v="0"/>
    <n v="0"/>
    <n v="0"/>
    <n v="0"/>
    <n v="200"/>
    <n v="200"/>
    <x v="0"/>
    <x v="0"/>
    <x v="0"/>
    <x v="1"/>
    <x v="0"/>
  </r>
  <r>
    <n v="1610"/>
    <x v="0"/>
    <x v="0"/>
    <s v="W"/>
    <n v="27630"/>
    <n v="733"/>
    <n v="-23"/>
    <n v="-27"/>
    <x v="0"/>
    <x v="0"/>
    <n v="0"/>
    <n v="0"/>
    <n v="0"/>
    <n v="0"/>
    <n v="0"/>
    <n v="0"/>
    <n v="0"/>
    <n v="0"/>
    <n v="0"/>
    <x v="0"/>
    <x v="0"/>
    <x v="1"/>
    <x v="0"/>
    <x v="0"/>
  </r>
  <r>
    <n v="1611"/>
    <x v="0"/>
    <x v="0"/>
    <s v="W"/>
    <n v="24160"/>
    <n v="362"/>
    <n v="-23"/>
    <n v="-32"/>
    <x v="0"/>
    <x v="0"/>
    <n v="0"/>
    <n v="0"/>
    <n v="0"/>
    <n v="0"/>
    <n v="0"/>
    <n v="0"/>
    <n v="0"/>
    <n v="0"/>
    <n v="0"/>
    <x v="0"/>
    <x v="0"/>
    <x v="1"/>
    <x v="0"/>
    <x v="0"/>
  </r>
  <r>
    <n v="1612"/>
    <x v="0"/>
    <x v="0"/>
    <s v="W"/>
    <n v="25200"/>
    <n v="318"/>
    <n v="-20"/>
    <n v="-40"/>
    <x v="0"/>
    <x v="1"/>
    <n v="0"/>
    <n v="1"/>
    <n v="0"/>
    <n v="0"/>
    <n v="0"/>
    <n v="0"/>
    <n v="0"/>
    <n v="1000"/>
    <n v="1000"/>
    <x v="1"/>
    <x v="1"/>
    <x v="1"/>
    <x v="0"/>
    <x v="0"/>
  </r>
  <r>
    <n v="1613"/>
    <x v="0"/>
    <x v="0"/>
    <s v="W"/>
    <n v="94190"/>
    <n v="2191"/>
    <n v="161"/>
    <n v="117"/>
    <x v="0"/>
    <x v="6"/>
    <n v="2"/>
    <n v="1"/>
    <n v="2"/>
    <n v="0"/>
    <n v="0"/>
    <n v="0"/>
    <n v="0"/>
    <n v="116500"/>
    <n v="90000"/>
    <x v="0"/>
    <x v="0"/>
    <x v="1"/>
    <x v="0"/>
    <x v="0"/>
  </r>
  <r>
    <n v="1614"/>
    <x v="0"/>
    <x v="0"/>
    <s v="W"/>
    <n v="93020"/>
    <n v="2422"/>
    <n v="158"/>
    <n v="140"/>
    <x v="0"/>
    <x v="1"/>
    <n v="1"/>
    <n v="0"/>
    <n v="0"/>
    <n v="0"/>
    <n v="0"/>
    <n v="0"/>
    <n v="0"/>
    <n v="600"/>
    <n v="600"/>
    <x v="0"/>
    <x v="0"/>
    <x v="1"/>
    <x v="0"/>
    <x v="0"/>
  </r>
  <r>
    <n v="1615"/>
    <x v="1"/>
    <x v="0"/>
    <s v="W"/>
    <n v="46520"/>
    <n v="1587"/>
    <n v="25"/>
    <n v="52"/>
    <x v="0"/>
    <x v="0"/>
    <n v="0"/>
    <n v="0"/>
    <n v="0"/>
    <n v="0"/>
    <n v="0"/>
    <n v="0"/>
    <n v="0"/>
    <n v="0"/>
    <n v="0"/>
    <x v="0"/>
    <x v="0"/>
    <x v="1"/>
    <x v="0"/>
    <x v="0"/>
  </r>
  <r>
    <n v="1616"/>
    <x v="1"/>
    <x v="0"/>
    <s v="W"/>
    <n v="38530"/>
    <n v="1232"/>
    <n v="3"/>
    <n v="18"/>
    <x v="0"/>
    <x v="1"/>
    <n v="1"/>
    <n v="0"/>
    <n v="0"/>
    <n v="0"/>
    <n v="0"/>
    <n v="0"/>
    <n v="0"/>
    <n v="700"/>
    <n v="700"/>
    <x v="0"/>
    <x v="0"/>
    <x v="1"/>
    <x v="0"/>
    <x v="0"/>
  </r>
  <r>
    <n v="1617"/>
    <x v="1"/>
    <x v="0"/>
    <s v="W"/>
    <n v="27900"/>
    <n v="1158"/>
    <n v="-25"/>
    <n v="11"/>
    <x v="0"/>
    <x v="0"/>
    <n v="0"/>
    <n v="0"/>
    <n v="0"/>
    <n v="0"/>
    <n v="0"/>
    <n v="0"/>
    <n v="0"/>
    <n v="0"/>
    <n v="0"/>
    <x v="0"/>
    <x v="0"/>
    <x v="1"/>
    <x v="0"/>
    <x v="0"/>
  </r>
  <r>
    <n v="1618"/>
    <x v="1"/>
    <x v="0"/>
    <s v="W"/>
    <n v="59250"/>
    <n v="1452"/>
    <n v="59"/>
    <n v="39"/>
    <x v="0"/>
    <x v="1"/>
    <n v="1"/>
    <n v="0"/>
    <n v="0"/>
    <n v="0"/>
    <n v="0"/>
    <n v="0"/>
    <n v="0"/>
    <n v="500"/>
    <n v="500"/>
    <x v="0"/>
    <x v="0"/>
    <x v="1"/>
    <x v="0"/>
    <x v="0"/>
  </r>
  <r>
    <n v="1619"/>
    <x v="1"/>
    <x v="0"/>
    <s v="W"/>
    <n v="108280"/>
    <n v="2157"/>
    <n v="190"/>
    <n v="106"/>
    <x v="0"/>
    <x v="2"/>
    <n v="1"/>
    <n v="1"/>
    <n v="0"/>
    <n v="0"/>
    <n v="0"/>
    <n v="0"/>
    <n v="0"/>
    <n v="9500"/>
    <n v="9000"/>
    <x v="0"/>
    <x v="0"/>
    <x v="1"/>
    <x v="2"/>
    <x v="0"/>
  </r>
  <r>
    <n v="1620"/>
    <x v="1"/>
    <x v="0"/>
    <s v="W"/>
    <n v="59410"/>
    <n v="1552"/>
    <n v="59"/>
    <n v="48"/>
    <x v="0"/>
    <x v="2"/>
    <n v="2"/>
    <n v="0"/>
    <n v="0"/>
    <n v="0"/>
    <n v="0"/>
    <n v="0"/>
    <n v="0"/>
    <n v="900"/>
    <n v="600"/>
    <x v="0"/>
    <x v="0"/>
    <x v="1"/>
    <x v="0"/>
    <x v="0"/>
  </r>
  <r>
    <n v="1621"/>
    <x v="1"/>
    <x v="0"/>
    <s v="W"/>
    <n v="22840"/>
    <n v="842"/>
    <n v="146"/>
    <n v="311"/>
    <x v="1"/>
    <x v="0"/>
    <n v="0"/>
    <n v="0"/>
    <n v="0"/>
    <n v="0"/>
    <n v="0"/>
    <n v="0"/>
    <n v="0"/>
    <n v="0"/>
    <n v="0"/>
    <x v="0"/>
    <x v="0"/>
    <x v="1"/>
    <x v="0"/>
    <x v="0"/>
  </r>
  <r>
    <n v="1622"/>
    <x v="1"/>
    <x v="0"/>
    <s v="W"/>
    <n v="21200"/>
    <n v="794"/>
    <n v="-43"/>
    <n v="-24"/>
    <x v="0"/>
    <x v="1"/>
    <n v="1"/>
    <n v="0"/>
    <n v="0"/>
    <n v="0"/>
    <n v="0"/>
    <n v="0"/>
    <n v="0"/>
    <n v="200"/>
    <n v="200"/>
    <x v="0"/>
    <x v="0"/>
    <x v="1"/>
    <x v="0"/>
    <x v="0"/>
  </r>
  <r>
    <n v="1623"/>
    <x v="1"/>
    <x v="0"/>
    <s v="W"/>
    <n v="38330"/>
    <n v="1042"/>
    <n v="-1"/>
    <n v="-3"/>
    <x v="0"/>
    <x v="1"/>
    <n v="1"/>
    <n v="0"/>
    <n v="0"/>
    <n v="0"/>
    <n v="0"/>
    <n v="0"/>
    <n v="0"/>
    <n v="600"/>
    <n v="600"/>
    <x v="0"/>
    <x v="0"/>
    <x v="1"/>
    <x v="0"/>
    <x v="0"/>
  </r>
  <r>
    <n v="1624"/>
    <x v="1"/>
    <x v="0"/>
    <s v="W"/>
    <n v="90650"/>
    <n v="2005"/>
    <n v="135"/>
    <n v="86"/>
    <x v="0"/>
    <x v="2"/>
    <n v="0"/>
    <n v="2"/>
    <n v="0"/>
    <n v="0"/>
    <n v="0"/>
    <n v="0"/>
    <n v="0"/>
    <n v="4000"/>
    <n v="3000"/>
    <x v="0"/>
    <x v="0"/>
    <x v="1"/>
    <x v="0"/>
    <x v="0"/>
  </r>
  <r>
    <n v="1625"/>
    <x v="1"/>
    <x v="0"/>
    <s v="W"/>
    <n v="49660"/>
    <n v="747"/>
    <n v="48"/>
    <n v="36"/>
    <x v="0"/>
    <x v="0"/>
    <n v="0"/>
    <n v="0"/>
    <n v="0"/>
    <n v="0"/>
    <n v="0"/>
    <n v="0"/>
    <n v="0"/>
    <n v="0"/>
    <n v="0"/>
    <x v="0"/>
    <x v="0"/>
    <x v="1"/>
    <x v="0"/>
    <x v="0"/>
  </r>
  <r>
    <n v="1626"/>
    <x v="1"/>
    <x v="0"/>
    <s v="W"/>
    <n v="27810"/>
    <n v="499"/>
    <n v="-17"/>
    <n v="-9"/>
    <x v="0"/>
    <x v="0"/>
    <n v="0"/>
    <n v="0"/>
    <n v="0"/>
    <n v="0"/>
    <n v="0"/>
    <n v="0"/>
    <n v="0"/>
    <n v="0"/>
    <n v="0"/>
    <x v="0"/>
    <x v="0"/>
    <x v="1"/>
    <x v="0"/>
    <x v="0"/>
  </r>
  <r>
    <n v="1627"/>
    <x v="1"/>
    <x v="0"/>
    <s v="W"/>
    <n v="16470"/>
    <n v="668"/>
    <n v="-57"/>
    <n v="-38"/>
    <x v="0"/>
    <x v="0"/>
    <n v="0"/>
    <n v="0"/>
    <n v="0"/>
    <n v="0"/>
    <n v="0"/>
    <n v="0"/>
    <n v="0"/>
    <n v="0"/>
    <n v="0"/>
    <x v="0"/>
    <x v="0"/>
    <x v="1"/>
    <x v="0"/>
    <x v="0"/>
  </r>
  <r>
    <n v="1628"/>
    <x v="1"/>
    <x v="0"/>
    <s v="W"/>
    <n v="35300"/>
    <n v="816"/>
    <n v="-9"/>
    <n v="-24"/>
    <x v="0"/>
    <x v="0"/>
    <n v="0"/>
    <n v="0"/>
    <n v="0"/>
    <n v="0"/>
    <n v="0"/>
    <n v="0"/>
    <n v="0"/>
    <n v="0"/>
    <n v="0"/>
    <x v="0"/>
    <x v="0"/>
    <x v="1"/>
    <x v="0"/>
    <x v="0"/>
  </r>
  <r>
    <n v="1629"/>
    <x v="1"/>
    <x v="0"/>
    <s v="W"/>
    <n v="66320"/>
    <n v="1644"/>
    <n v="72"/>
    <n v="53"/>
    <x v="0"/>
    <x v="2"/>
    <n v="0"/>
    <n v="2"/>
    <n v="0"/>
    <n v="0"/>
    <n v="0"/>
    <n v="0"/>
    <n v="0"/>
    <n v="6000"/>
    <n v="5000"/>
    <x v="0"/>
    <x v="0"/>
    <x v="1"/>
    <x v="0"/>
    <x v="0"/>
  </r>
  <r>
    <n v="1630"/>
    <x v="1"/>
    <x v="0"/>
    <s v="W"/>
    <n v="26460"/>
    <n v="554"/>
    <n v="-21"/>
    <n v="1"/>
    <x v="0"/>
    <x v="1"/>
    <n v="0"/>
    <n v="1"/>
    <n v="0"/>
    <n v="0"/>
    <n v="0"/>
    <n v="0"/>
    <n v="0"/>
    <n v="1000"/>
    <n v="1000"/>
    <x v="0"/>
    <x v="0"/>
    <x v="1"/>
    <x v="0"/>
    <x v="0"/>
  </r>
  <r>
    <n v="1631"/>
    <x v="1"/>
    <x v="1"/>
    <s v="W"/>
    <n v="16680"/>
    <n v="586"/>
    <n v="-59"/>
    <n v="-49"/>
    <x v="0"/>
    <x v="1"/>
    <n v="1"/>
    <n v="0"/>
    <n v="0"/>
    <n v="0"/>
    <n v="0"/>
    <n v="0"/>
    <n v="0"/>
    <n v="100"/>
    <n v="100"/>
    <x v="0"/>
    <x v="0"/>
    <x v="1"/>
    <x v="0"/>
    <x v="0"/>
  </r>
  <r>
    <n v="1632"/>
    <x v="1"/>
    <x v="1"/>
    <s v="W"/>
    <n v="20140"/>
    <n v="248"/>
    <n v="-43"/>
    <n v="-57"/>
    <x v="0"/>
    <x v="1"/>
    <n v="0"/>
    <n v="1"/>
    <n v="0"/>
    <n v="0"/>
    <n v="0"/>
    <n v="0"/>
    <n v="0"/>
    <n v="3000"/>
    <n v="3000"/>
    <x v="0"/>
    <x v="0"/>
    <x v="1"/>
    <x v="0"/>
    <x v="0"/>
  </r>
  <r>
    <n v="1633"/>
    <x v="1"/>
    <x v="1"/>
    <s v="W"/>
    <n v="14890"/>
    <n v="540"/>
    <n v="-64"/>
    <n v="-53"/>
    <x v="0"/>
    <x v="0"/>
    <n v="0"/>
    <n v="0"/>
    <n v="0"/>
    <n v="0"/>
    <n v="0"/>
    <n v="0"/>
    <n v="0"/>
    <n v="0"/>
    <n v="0"/>
    <x v="0"/>
    <x v="0"/>
    <x v="1"/>
    <x v="0"/>
    <x v="0"/>
  </r>
  <r>
    <n v="1634"/>
    <x v="1"/>
    <x v="1"/>
    <s v="W"/>
    <n v="29520"/>
    <n v="779"/>
    <n v="-28"/>
    <n v="-32"/>
    <x v="0"/>
    <x v="0"/>
    <n v="0"/>
    <n v="0"/>
    <n v="0"/>
    <n v="0"/>
    <n v="0"/>
    <n v="0"/>
    <n v="0"/>
    <n v="0"/>
    <n v="0"/>
    <x v="0"/>
    <x v="0"/>
    <x v="1"/>
    <x v="0"/>
    <x v="0"/>
  </r>
  <r>
    <n v="1635"/>
    <x v="1"/>
    <x v="1"/>
    <s v="W"/>
    <n v="55200"/>
    <n v="1259"/>
    <n v="35"/>
    <n v="9"/>
    <x v="0"/>
    <x v="1"/>
    <n v="0"/>
    <n v="1"/>
    <n v="0"/>
    <n v="0"/>
    <n v="0"/>
    <n v="0"/>
    <n v="0"/>
    <n v="4000"/>
    <n v="4000"/>
    <x v="1"/>
    <x v="1"/>
    <x v="1"/>
    <x v="0"/>
    <x v="0"/>
  </r>
  <r>
    <n v="1636"/>
    <x v="1"/>
    <x v="1"/>
    <s v="W"/>
    <n v="43900"/>
    <n v="853"/>
    <n v="24"/>
    <n v="48"/>
    <x v="0"/>
    <x v="1"/>
    <n v="0"/>
    <n v="0"/>
    <n v="1"/>
    <n v="0"/>
    <n v="0"/>
    <n v="0"/>
    <n v="0"/>
    <n v="80000"/>
    <n v="80000"/>
    <x v="0"/>
    <x v="0"/>
    <x v="1"/>
    <x v="0"/>
    <x v="0"/>
  </r>
  <r>
    <n v="1637"/>
    <x v="1"/>
    <x v="1"/>
    <s v="W"/>
    <n v="28150"/>
    <n v="1047"/>
    <n v="-31"/>
    <n v="-9"/>
    <x v="0"/>
    <x v="0"/>
    <n v="0"/>
    <n v="0"/>
    <n v="0"/>
    <n v="0"/>
    <n v="0"/>
    <n v="0"/>
    <n v="0"/>
    <n v="0"/>
    <n v="0"/>
    <x v="0"/>
    <x v="0"/>
    <x v="1"/>
    <x v="0"/>
    <x v="0"/>
  </r>
  <r>
    <n v="1638"/>
    <x v="1"/>
    <x v="1"/>
    <s v="W"/>
    <n v="18540"/>
    <n v="896"/>
    <n v="-55"/>
    <n v="-22"/>
    <x v="0"/>
    <x v="0"/>
    <n v="0"/>
    <n v="0"/>
    <n v="0"/>
    <n v="0"/>
    <n v="0"/>
    <n v="0"/>
    <n v="0"/>
    <n v="0"/>
    <n v="0"/>
    <x v="0"/>
    <x v="0"/>
    <x v="1"/>
    <x v="0"/>
    <x v="0"/>
  </r>
  <r>
    <n v="1639"/>
    <x v="1"/>
    <x v="1"/>
    <s v="N"/>
    <n v="16470"/>
    <n v="661"/>
    <n v="60"/>
    <n v="88"/>
    <x v="0"/>
    <x v="0"/>
    <n v="0"/>
    <n v="0"/>
    <n v="0"/>
    <n v="0"/>
    <n v="0"/>
    <n v="0"/>
    <n v="0"/>
    <n v="0"/>
    <n v="0"/>
    <x v="0"/>
    <x v="0"/>
    <x v="0"/>
    <x v="0"/>
    <x v="0"/>
  </r>
  <r>
    <n v="1640"/>
    <x v="1"/>
    <x v="1"/>
    <s v="N"/>
    <n v="16440"/>
    <n v="644"/>
    <n v="59"/>
    <n v="83"/>
    <x v="0"/>
    <x v="0"/>
    <n v="0"/>
    <n v="0"/>
    <n v="0"/>
    <n v="0"/>
    <n v="0"/>
    <n v="0"/>
    <n v="0"/>
    <n v="0"/>
    <n v="0"/>
    <x v="0"/>
    <x v="0"/>
    <x v="0"/>
    <x v="0"/>
    <x v="0"/>
  </r>
  <r>
    <n v="1641"/>
    <x v="1"/>
    <x v="1"/>
    <s v="N"/>
    <n v="10110"/>
    <n v="531"/>
    <n v="-2"/>
    <n v="51"/>
    <x v="0"/>
    <x v="0"/>
    <n v="0"/>
    <n v="0"/>
    <n v="0"/>
    <n v="0"/>
    <n v="0"/>
    <n v="0"/>
    <n v="0"/>
    <n v="0"/>
    <n v="0"/>
    <x v="0"/>
    <x v="0"/>
    <x v="0"/>
    <x v="0"/>
    <x v="0"/>
  </r>
  <r>
    <n v="1642"/>
    <x v="1"/>
    <x v="1"/>
    <s v="N"/>
    <n v="13330"/>
    <n v="443"/>
    <n v="29"/>
    <n v="26"/>
    <x v="0"/>
    <x v="0"/>
    <n v="0"/>
    <n v="0"/>
    <n v="0"/>
    <n v="0"/>
    <n v="0"/>
    <n v="0"/>
    <n v="0"/>
    <n v="0"/>
    <n v="0"/>
    <x v="0"/>
    <x v="0"/>
    <x v="0"/>
    <x v="0"/>
    <x v="0"/>
  </r>
  <r>
    <n v="1643"/>
    <x v="1"/>
    <x v="1"/>
    <s v="N"/>
    <n v="9910"/>
    <n v="431"/>
    <n v="-4"/>
    <n v="22"/>
    <x v="0"/>
    <x v="0"/>
    <n v="0"/>
    <n v="0"/>
    <n v="0"/>
    <n v="0"/>
    <n v="0"/>
    <n v="0"/>
    <n v="0"/>
    <n v="0"/>
    <n v="0"/>
    <x v="0"/>
    <x v="0"/>
    <x v="0"/>
    <x v="1"/>
    <x v="0"/>
  </r>
  <r>
    <n v="1644"/>
    <x v="1"/>
    <x v="1"/>
    <s v="N"/>
    <n v="21920"/>
    <n v="763"/>
    <n v="112"/>
    <n v="117"/>
    <x v="0"/>
    <x v="1"/>
    <n v="0"/>
    <n v="1"/>
    <n v="0"/>
    <n v="0"/>
    <n v="0"/>
    <n v="0"/>
    <n v="0"/>
    <n v="4000"/>
    <n v="4000"/>
    <x v="0"/>
    <x v="0"/>
    <x v="0"/>
    <x v="0"/>
    <x v="0"/>
  </r>
  <r>
    <n v="1645"/>
    <x v="1"/>
    <x v="1"/>
    <s v="N"/>
    <n v="10680"/>
    <n v="506"/>
    <n v="3"/>
    <n v="44"/>
    <x v="0"/>
    <x v="0"/>
    <n v="0"/>
    <n v="0"/>
    <n v="0"/>
    <n v="0"/>
    <n v="0"/>
    <n v="0"/>
    <n v="0"/>
    <n v="0"/>
    <n v="0"/>
    <x v="0"/>
    <x v="0"/>
    <x v="0"/>
    <x v="0"/>
    <x v="0"/>
  </r>
  <r>
    <n v="1646"/>
    <x v="1"/>
    <x v="1"/>
    <s v="W"/>
    <n v="15210"/>
    <n v="527"/>
    <n v="-64"/>
    <n v="-56"/>
    <x v="0"/>
    <x v="0"/>
    <n v="0"/>
    <n v="0"/>
    <n v="0"/>
    <n v="0"/>
    <n v="0"/>
    <n v="0"/>
    <n v="0"/>
    <n v="0"/>
    <n v="0"/>
    <x v="0"/>
    <x v="0"/>
    <x v="1"/>
    <x v="0"/>
    <x v="0"/>
  </r>
  <r>
    <n v="1647"/>
    <x v="1"/>
    <x v="1"/>
    <s v="N"/>
    <n v="38060"/>
    <n v="486"/>
    <n v="357"/>
    <n v="189"/>
    <x v="1"/>
    <x v="0"/>
    <n v="0"/>
    <n v="0"/>
    <n v="0"/>
    <n v="0"/>
    <n v="0"/>
    <n v="0"/>
    <n v="0"/>
    <n v="0"/>
    <n v="0"/>
    <x v="0"/>
    <x v="0"/>
    <x v="0"/>
    <x v="0"/>
    <x v="0"/>
  </r>
  <r>
    <n v="1648"/>
    <x v="1"/>
    <x v="1"/>
    <s v="N"/>
    <n v="20620"/>
    <n v="808"/>
    <n v="105"/>
    <n v="132"/>
    <x v="0"/>
    <x v="0"/>
    <n v="0"/>
    <n v="0"/>
    <n v="0"/>
    <n v="0"/>
    <n v="0"/>
    <n v="0"/>
    <n v="0"/>
    <n v="0"/>
    <n v="0"/>
    <x v="0"/>
    <x v="0"/>
    <x v="0"/>
    <x v="0"/>
    <x v="0"/>
  </r>
  <r>
    <n v="1649"/>
    <x v="1"/>
    <x v="1"/>
    <s v="N"/>
    <n v="17500"/>
    <n v="647"/>
    <n v="74"/>
    <n v="86"/>
    <x v="0"/>
    <x v="0"/>
    <n v="0"/>
    <n v="0"/>
    <n v="0"/>
    <n v="0"/>
    <n v="0"/>
    <n v="0"/>
    <n v="0"/>
    <n v="0"/>
    <n v="0"/>
    <x v="0"/>
    <x v="0"/>
    <x v="0"/>
    <x v="0"/>
    <x v="0"/>
  </r>
  <r>
    <n v="1650"/>
    <x v="1"/>
    <x v="1"/>
    <s v="W"/>
    <n v="35290"/>
    <n v="754"/>
    <n v="-16"/>
    <n v="-36"/>
    <x v="0"/>
    <x v="0"/>
    <n v="0"/>
    <n v="0"/>
    <n v="0"/>
    <n v="0"/>
    <n v="0"/>
    <n v="0"/>
    <n v="0"/>
    <n v="0"/>
    <n v="0"/>
    <x v="0"/>
    <x v="0"/>
    <x v="1"/>
    <x v="0"/>
    <x v="0"/>
  </r>
  <r>
    <n v="1651"/>
    <x v="1"/>
    <x v="1"/>
    <s v="W"/>
    <n v="55570"/>
    <n v="560"/>
    <n v="54"/>
    <n v="-6"/>
    <x v="0"/>
    <x v="2"/>
    <n v="1"/>
    <n v="1"/>
    <n v="0"/>
    <n v="0"/>
    <n v="0"/>
    <n v="0"/>
    <n v="0"/>
    <n v="3100"/>
    <n v="3000"/>
    <x v="0"/>
    <x v="0"/>
    <x v="1"/>
    <x v="0"/>
    <x v="0"/>
  </r>
  <r>
    <n v="1652"/>
    <x v="1"/>
    <x v="1"/>
    <s v="W"/>
    <n v="29710"/>
    <n v="473"/>
    <n v="-18"/>
    <n v="-20"/>
    <x v="0"/>
    <x v="0"/>
    <n v="0"/>
    <n v="0"/>
    <n v="0"/>
    <n v="0"/>
    <n v="0"/>
    <n v="0"/>
    <n v="0"/>
    <n v="0"/>
    <n v="0"/>
    <x v="0"/>
    <x v="0"/>
    <x v="1"/>
    <x v="0"/>
    <x v="0"/>
  </r>
  <r>
    <n v="1653"/>
    <x v="1"/>
    <x v="1"/>
    <s v="W"/>
    <n v="46880"/>
    <n v="523"/>
    <n v="30"/>
    <n v="-12"/>
    <x v="0"/>
    <x v="0"/>
    <n v="0"/>
    <n v="0"/>
    <n v="0"/>
    <n v="0"/>
    <n v="0"/>
    <n v="0"/>
    <n v="0"/>
    <n v="0"/>
    <n v="0"/>
    <x v="0"/>
    <x v="0"/>
    <x v="1"/>
    <x v="0"/>
    <x v="0"/>
  </r>
  <r>
    <n v="1654"/>
    <x v="1"/>
    <x v="1"/>
    <s v="W"/>
    <n v="77870"/>
    <n v="271"/>
    <n v="626"/>
    <n v="18"/>
    <x v="1"/>
    <x v="0"/>
    <n v="0"/>
    <n v="0"/>
    <n v="0"/>
    <n v="0"/>
    <n v="0"/>
    <n v="0"/>
    <n v="0"/>
    <n v="0"/>
    <n v="0"/>
    <x v="0"/>
    <x v="0"/>
    <x v="1"/>
    <x v="0"/>
    <x v="0"/>
  </r>
  <r>
    <n v="1655"/>
    <x v="1"/>
    <x v="1"/>
    <s v="W"/>
    <n v="82030"/>
    <n v="349"/>
    <n v="681"/>
    <n v="57"/>
    <x v="1"/>
    <x v="3"/>
    <n v="3"/>
    <n v="0"/>
    <n v="0"/>
    <n v="0"/>
    <n v="0"/>
    <n v="0"/>
    <n v="0"/>
    <n v="1300"/>
    <n v="600"/>
    <x v="0"/>
    <x v="0"/>
    <x v="1"/>
    <x v="0"/>
    <x v="0"/>
  </r>
  <r>
    <n v="1656"/>
    <x v="1"/>
    <x v="1"/>
    <s v="W"/>
    <n v="21320"/>
    <n v="402"/>
    <n v="-38"/>
    <n v="-30"/>
    <x v="0"/>
    <x v="0"/>
    <n v="0"/>
    <n v="0"/>
    <n v="0"/>
    <n v="0"/>
    <n v="0"/>
    <n v="0"/>
    <n v="0"/>
    <n v="0"/>
    <n v="0"/>
    <x v="0"/>
    <x v="0"/>
    <x v="1"/>
    <x v="0"/>
    <x v="0"/>
  </r>
  <r>
    <n v="1657"/>
    <x v="1"/>
    <x v="1"/>
    <s v="W"/>
    <n v="17300"/>
    <n v="656"/>
    <n v="-56"/>
    <n v="-43"/>
    <x v="0"/>
    <x v="1"/>
    <n v="0"/>
    <n v="1"/>
    <n v="0"/>
    <n v="0"/>
    <n v="0"/>
    <n v="0"/>
    <n v="0"/>
    <n v="7000"/>
    <n v="7000"/>
    <x v="0"/>
    <x v="0"/>
    <x v="1"/>
    <x v="0"/>
    <x v="0"/>
  </r>
  <r>
    <n v="1658"/>
    <x v="1"/>
    <x v="1"/>
    <s v="W"/>
    <n v="19760"/>
    <n v="328"/>
    <n v="-42"/>
    <n v="-43"/>
    <x v="0"/>
    <x v="0"/>
    <n v="0"/>
    <n v="0"/>
    <n v="0"/>
    <n v="0"/>
    <n v="0"/>
    <n v="0"/>
    <n v="0"/>
    <n v="0"/>
    <n v="0"/>
    <x v="0"/>
    <x v="0"/>
    <x v="1"/>
    <x v="0"/>
    <x v="0"/>
  </r>
  <r>
    <n v="1659"/>
    <x v="1"/>
    <x v="1"/>
    <s v="W"/>
    <n v="47670"/>
    <n v="507"/>
    <n v="40"/>
    <n v="-11"/>
    <x v="0"/>
    <x v="0"/>
    <n v="0"/>
    <n v="0"/>
    <n v="0"/>
    <n v="0"/>
    <n v="0"/>
    <n v="0"/>
    <n v="0"/>
    <n v="0"/>
    <n v="0"/>
    <x v="0"/>
    <x v="0"/>
    <x v="1"/>
    <x v="0"/>
    <x v="0"/>
  </r>
  <r>
    <n v="1660"/>
    <x v="1"/>
    <x v="1"/>
    <s v="W"/>
    <n v="40280"/>
    <n v="840"/>
    <n v="284"/>
    <n v="278"/>
    <x v="0"/>
    <x v="0"/>
    <n v="0"/>
    <n v="0"/>
    <n v="0"/>
    <n v="0"/>
    <n v="0"/>
    <n v="0"/>
    <n v="0"/>
    <n v="0"/>
    <n v="0"/>
    <x v="0"/>
    <x v="0"/>
    <x v="1"/>
    <x v="0"/>
    <x v="0"/>
  </r>
  <r>
    <n v="1661"/>
    <x v="1"/>
    <x v="1"/>
    <s v="W"/>
    <n v="19290"/>
    <n v="859"/>
    <n v="-51"/>
    <n v="-25"/>
    <x v="0"/>
    <x v="1"/>
    <n v="1"/>
    <n v="0"/>
    <n v="0"/>
    <n v="0"/>
    <n v="0"/>
    <n v="0"/>
    <n v="0"/>
    <n v="200"/>
    <n v="200"/>
    <x v="0"/>
    <x v="0"/>
    <x v="1"/>
    <x v="0"/>
    <x v="0"/>
  </r>
  <r>
    <n v="1662"/>
    <x v="1"/>
    <x v="1"/>
    <s v="W"/>
    <n v="59210"/>
    <n v="705"/>
    <n v="73"/>
    <n v="23"/>
    <x v="0"/>
    <x v="2"/>
    <n v="0"/>
    <n v="2"/>
    <n v="0"/>
    <n v="0"/>
    <n v="0"/>
    <n v="0"/>
    <n v="0"/>
    <n v="4000"/>
    <n v="2000"/>
    <x v="0"/>
    <x v="0"/>
    <x v="1"/>
    <x v="0"/>
    <x v="0"/>
  </r>
  <r>
    <n v="1663"/>
    <x v="0"/>
    <x v="0"/>
    <s v="W"/>
    <n v="31590"/>
    <n v="377"/>
    <n v="175"/>
    <n v="74"/>
    <x v="0"/>
    <x v="0"/>
    <n v="0"/>
    <n v="0"/>
    <n v="0"/>
    <n v="0"/>
    <n v="0"/>
    <n v="0"/>
    <n v="0"/>
    <n v="0"/>
    <n v="0"/>
    <x v="0"/>
    <x v="0"/>
    <x v="1"/>
    <x v="0"/>
    <x v="0"/>
  </r>
  <r>
    <n v="1664"/>
    <x v="0"/>
    <x v="0"/>
    <s v="W"/>
    <n v="24650"/>
    <n v="332"/>
    <n v="-29"/>
    <n v="-41"/>
    <x v="0"/>
    <x v="0"/>
    <n v="0"/>
    <n v="0"/>
    <n v="0"/>
    <n v="0"/>
    <n v="0"/>
    <n v="0"/>
    <n v="0"/>
    <n v="0"/>
    <n v="0"/>
    <x v="0"/>
    <x v="0"/>
    <x v="1"/>
    <x v="0"/>
    <x v="0"/>
  </r>
  <r>
    <n v="1665"/>
    <x v="0"/>
    <x v="0"/>
    <s v="W"/>
    <n v="19370"/>
    <n v="351"/>
    <n v="-44"/>
    <n v="-38"/>
    <x v="0"/>
    <x v="0"/>
    <n v="0"/>
    <n v="0"/>
    <n v="0"/>
    <n v="0"/>
    <n v="0"/>
    <n v="0"/>
    <n v="0"/>
    <n v="0"/>
    <n v="0"/>
    <x v="0"/>
    <x v="0"/>
    <x v="1"/>
    <x v="0"/>
    <x v="0"/>
  </r>
  <r>
    <n v="1666"/>
    <x v="0"/>
    <x v="0"/>
    <s v="W"/>
    <n v="48710"/>
    <n v="547"/>
    <n v="41"/>
    <n v="-3"/>
    <x v="0"/>
    <x v="0"/>
    <n v="0"/>
    <n v="0"/>
    <n v="0"/>
    <n v="0"/>
    <n v="0"/>
    <n v="0"/>
    <n v="0"/>
    <n v="0"/>
    <n v="0"/>
    <x v="0"/>
    <x v="0"/>
    <x v="1"/>
    <x v="0"/>
    <x v="0"/>
  </r>
  <r>
    <n v="1667"/>
    <x v="0"/>
    <x v="0"/>
    <s v="W"/>
    <n v="42860"/>
    <n v="588"/>
    <n v="24"/>
    <n v="5"/>
    <x v="0"/>
    <x v="0"/>
    <n v="0"/>
    <n v="0"/>
    <n v="0"/>
    <n v="0"/>
    <n v="0"/>
    <n v="0"/>
    <n v="0"/>
    <n v="0"/>
    <n v="0"/>
    <x v="0"/>
    <x v="0"/>
    <x v="1"/>
    <x v="0"/>
    <x v="0"/>
  </r>
  <r>
    <n v="1668"/>
    <x v="0"/>
    <x v="0"/>
    <s v="W"/>
    <n v="33930"/>
    <n v="486"/>
    <n v="-2"/>
    <n v="-14"/>
    <x v="0"/>
    <x v="1"/>
    <n v="0"/>
    <n v="1"/>
    <n v="0"/>
    <n v="0"/>
    <n v="0"/>
    <n v="0"/>
    <n v="0"/>
    <n v="4000"/>
    <n v="4000"/>
    <x v="0"/>
    <x v="0"/>
    <x v="1"/>
    <x v="0"/>
    <x v="0"/>
  </r>
  <r>
    <n v="1669"/>
    <x v="0"/>
    <x v="0"/>
    <s v="W"/>
    <n v="40070"/>
    <n v="501"/>
    <n v="16"/>
    <n v="-11"/>
    <x v="0"/>
    <x v="0"/>
    <n v="0"/>
    <n v="0"/>
    <n v="0"/>
    <n v="0"/>
    <n v="0"/>
    <n v="0"/>
    <n v="0"/>
    <n v="0"/>
    <n v="0"/>
    <x v="1"/>
    <x v="1"/>
    <x v="1"/>
    <x v="0"/>
    <x v="0"/>
  </r>
  <r>
    <n v="1670"/>
    <x v="0"/>
    <x v="0"/>
    <s v="W"/>
    <n v="56650"/>
    <n v="693"/>
    <n v="64"/>
    <n v="23"/>
    <x v="0"/>
    <x v="1"/>
    <n v="0"/>
    <n v="0"/>
    <n v="1"/>
    <n v="0"/>
    <n v="0"/>
    <n v="0"/>
    <n v="0"/>
    <n v="10000"/>
    <n v="10000"/>
    <x v="0"/>
    <x v="0"/>
    <x v="1"/>
    <x v="0"/>
    <x v="0"/>
  </r>
  <r>
    <n v="1671"/>
    <x v="0"/>
    <x v="1"/>
    <s v="W"/>
    <n v="45530"/>
    <n v="736"/>
    <n v="37"/>
    <n v="37"/>
    <x v="0"/>
    <x v="0"/>
    <n v="0"/>
    <n v="0"/>
    <n v="0"/>
    <n v="0"/>
    <n v="0"/>
    <n v="0"/>
    <n v="0"/>
    <n v="0"/>
    <n v="0"/>
    <x v="0"/>
    <x v="0"/>
    <x v="1"/>
    <x v="0"/>
    <x v="0"/>
  </r>
  <r>
    <n v="1672"/>
    <x v="0"/>
    <x v="1"/>
    <s v="W"/>
    <n v="37520"/>
    <n v="843"/>
    <n v="13"/>
    <n v="57"/>
    <x v="0"/>
    <x v="0"/>
    <n v="0"/>
    <n v="0"/>
    <n v="0"/>
    <n v="0"/>
    <n v="0"/>
    <n v="0"/>
    <n v="0"/>
    <n v="0"/>
    <n v="0"/>
    <x v="0"/>
    <x v="0"/>
    <x v="1"/>
    <x v="0"/>
    <x v="0"/>
  </r>
  <r>
    <n v="1673"/>
    <x v="0"/>
    <x v="1"/>
    <s v="W"/>
    <n v="64380"/>
    <n v="844"/>
    <n v="94"/>
    <n v="57"/>
    <x v="0"/>
    <x v="5"/>
    <n v="3"/>
    <n v="1"/>
    <n v="0"/>
    <n v="0"/>
    <n v="0"/>
    <n v="0"/>
    <n v="0"/>
    <n v="4200"/>
    <n v="3000"/>
    <x v="1"/>
    <x v="1"/>
    <x v="1"/>
    <x v="0"/>
    <x v="0"/>
  </r>
  <r>
    <n v="1674"/>
    <x v="0"/>
    <x v="1"/>
    <s v="W"/>
    <n v="67200"/>
    <n v="945"/>
    <n v="102"/>
    <n v="76"/>
    <x v="0"/>
    <x v="2"/>
    <n v="0"/>
    <n v="1"/>
    <n v="1"/>
    <n v="0"/>
    <n v="0"/>
    <n v="0"/>
    <n v="0"/>
    <n v="12000"/>
    <n v="10000"/>
    <x v="0"/>
    <x v="0"/>
    <x v="1"/>
    <x v="0"/>
    <x v="0"/>
  </r>
  <r>
    <n v="1675"/>
    <x v="0"/>
    <x v="1"/>
    <s v="W"/>
    <n v="35910"/>
    <n v="636"/>
    <n v="8"/>
    <n v="19"/>
    <x v="0"/>
    <x v="0"/>
    <n v="0"/>
    <n v="0"/>
    <n v="0"/>
    <n v="0"/>
    <n v="0"/>
    <n v="0"/>
    <n v="0"/>
    <n v="0"/>
    <n v="0"/>
    <x v="0"/>
    <x v="0"/>
    <x v="1"/>
    <x v="0"/>
    <x v="0"/>
  </r>
  <r>
    <n v="1676"/>
    <x v="0"/>
    <x v="1"/>
    <s v="W"/>
    <n v="40610"/>
    <n v="672"/>
    <n v="22"/>
    <n v="25"/>
    <x v="0"/>
    <x v="0"/>
    <n v="0"/>
    <n v="0"/>
    <n v="0"/>
    <n v="0"/>
    <n v="0"/>
    <n v="0"/>
    <n v="0"/>
    <n v="0"/>
    <n v="0"/>
    <x v="0"/>
    <x v="0"/>
    <x v="1"/>
    <x v="0"/>
    <x v="0"/>
  </r>
  <r>
    <n v="1677"/>
    <x v="0"/>
    <x v="1"/>
    <s v="W"/>
    <n v="13330"/>
    <n v="671"/>
    <n v="-64"/>
    <n v="-39"/>
    <x v="0"/>
    <x v="0"/>
    <n v="0"/>
    <n v="0"/>
    <n v="0"/>
    <n v="0"/>
    <n v="0"/>
    <n v="0"/>
    <n v="0"/>
    <n v="0"/>
    <n v="0"/>
    <x v="0"/>
    <x v="0"/>
    <x v="1"/>
    <x v="0"/>
    <x v="0"/>
  </r>
  <r>
    <n v="1678"/>
    <x v="0"/>
    <x v="1"/>
    <s v="W"/>
    <n v="12440"/>
    <n v="333"/>
    <n v="-63"/>
    <n v="-38"/>
    <x v="0"/>
    <x v="0"/>
    <n v="0"/>
    <n v="0"/>
    <n v="0"/>
    <n v="0"/>
    <n v="0"/>
    <n v="0"/>
    <n v="0"/>
    <n v="0"/>
    <n v="0"/>
    <x v="0"/>
    <x v="0"/>
    <x v="1"/>
    <x v="0"/>
    <x v="0"/>
  </r>
  <r>
    <n v="1679"/>
    <x v="0"/>
    <x v="1"/>
    <s v="W"/>
    <n v="12600"/>
    <n v="266"/>
    <n v="-60"/>
    <n v="-47"/>
    <x v="0"/>
    <x v="0"/>
    <n v="0"/>
    <n v="0"/>
    <n v="0"/>
    <n v="0"/>
    <n v="0"/>
    <n v="0"/>
    <n v="0"/>
    <n v="0"/>
    <n v="0"/>
    <x v="0"/>
    <x v="0"/>
    <x v="1"/>
    <x v="0"/>
    <x v="0"/>
  </r>
  <r>
    <n v="1680"/>
    <x v="0"/>
    <x v="1"/>
    <s v="W"/>
    <n v="44800"/>
    <n v="350"/>
    <n v="253"/>
    <n v="52"/>
    <x v="1"/>
    <x v="0"/>
    <n v="0"/>
    <n v="0"/>
    <n v="0"/>
    <n v="0"/>
    <n v="0"/>
    <n v="0"/>
    <n v="0"/>
    <n v="0"/>
    <n v="0"/>
    <x v="0"/>
    <x v="0"/>
    <x v="1"/>
    <x v="0"/>
    <x v="0"/>
  </r>
  <r>
    <n v="1681"/>
    <x v="0"/>
    <x v="1"/>
    <s v="W"/>
    <n v="12000"/>
    <n v="379"/>
    <n v="-5"/>
    <n v="64"/>
    <x v="1"/>
    <x v="0"/>
    <n v="0"/>
    <n v="0"/>
    <n v="0"/>
    <n v="0"/>
    <n v="0"/>
    <n v="0"/>
    <n v="0"/>
    <n v="0"/>
    <n v="0"/>
    <x v="0"/>
    <x v="0"/>
    <x v="1"/>
    <x v="0"/>
    <x v="0"/>
  </r>
  <r>
    <n v="1682"/>
    <x v="0"/>
    <x v="1"/>
    <s v="W"/>
    <n v="18510"/>
    <n v="289"/>
    <n v="-42"/>
    <n v="-42"/>
    <x v="0"/>
    <x v="0"/>
    <n v="0"/>
    <n v="0"/>
    <n v="0"/>
    <n v="0"/>
    <n v="0"/>
    <n v="0"/>
    <n v="0"/>
    <n v="0"/>
    <n v="0"/>
    <x v="0"/>
    <x v="0"/>
    <x v="1"/>
    <x v="0"/>
    <x v="0"/>
  </r>
  <r>
    <n v="1683"/>
    <x v="0"/>
    <x v="1"/>
    <s v="W"/>
    <n v="37110"/>
    <n v="484"/>
    <n v="17"/>
    <n v="-3"/>
    <x v="0"/>
    <x v="1"/>
    <n v="0"/>
    <n v="1"/>
    <n v="0"/>
    <n v="0"/>
    <n v="0"/>
    <n v="0"/>
    <n v="0"/>
    <n v="1000"/>
    <n v="1000"/>
    <x v="0"/>
    <x v="0"/>
    <x v="1"/>
    <x v="0"/>
    <x v="0"/>
  </r>
  <r>
    <n v="1684"/>
    <x v="0"/>
    <x v="1"/>
    <s v="W"/>
    <n v="65790"/>
    <n v="822"/>
    <n v="107"/>
    <n v="64"/>
    <x v="0"/>
    <x v="1"/>
    <n v="0"/>
    <n v="1"/>
    <n v="0"/>
    <n v="0"/>
    <n v="0"/>
    <n v="0"/>
    <n v="0"/>
    <n v="7000"/>
    <n v="7000"/>
    <x v="0"/>
    <x v="0"/>
    <x v="1"/>
    <x v="0"/>
    <x v="0"/>
  </r>
  <r>
    <n v="1685"/>
    <x v="0"/>
    <x v="1"/>
    <s v="W"/>
    <n v="28230"/>
    <n v="513"/>
    <n v="-11"/>
    <n v="3"/>
    <x v="0"/>
    <x v="0"/>
    <n v="0"/>
    <n v="0"/>
    <n v="0"/>
    <n v="0"/>
    <n v="0"/>
    <n v="0"/>
    <n v="0"/>
    <n v="0"/>
    <n v="0"/>
    <x v="0"/>
    <x v="0"/>
    <x v="1"/>
    <x v="0"/>
    <x v="0"/>
  </r>
  <r>
    <n v="1686"/>
    <x v="0"/>
    <x v="1"/>
    <s v="W"/>
    <n v="21520"/>
    <n v="477"/>
    <n v="-32"/>
    <n v="-5"/>
    <x v="0"/>
    <x v="0"/>
    <n v="0"/>
    <n v="0"/>
    <n v="0"/>
    <n v="0"/>
    <n v="0"/>
    <n v="0"/>
    <n v="0"/>
    <n v="0"/>
    <n v="0"/>
    <x v="0"/>
    <x v="0"/>
    <x v="1"/>
    <x v="0"/>
    <x v="0"/>
  </r>
  <r>
    <n v="1687"/>
    <x v="0"/>
    <x v="1"/>
    <s v="W"/>
    <n v="35450"/>
    <n v="567"/>
    <n v="6"/>
    <n v="8"/>
    <x v="0"/>
    <x v="2"/>
    <n v="2"/>
    <n v="0"/>
    <n v="0"/>
    <n v="0"/>
    <n v="0"/>
    <n v="0"/>
    <n v="0"/>
    <n v="600"/>
    <n v="500"/>
    <x v="1"/>
    <x v="1"/>
    <x v="1"/>
    <x v="0"/>
    <x v="0"/>
  </r>
  <r>
    <n v="1688"/>
    <x v="0"/>
    <x v="1"/>
    <s v="W"/>
    <n v="49930"/>
    <n v="1525"/>
    <n v="43"/>
    <n v="49"/>
    <x v="0"/>
    <x v="2"/>
    <n v="1"/>
    <n v="0"/>
    <n v="1"/>
    <n v="0"/>
    <n v="0"/>
    <n v="0"/>
    <n v="0"/>
    <n v="10200"/>
    <n v="10000"/>
    <x v="0"/>
    <x v="0"/>
    <x v="1"/>
    <x v="0"/>
    <x v="0"/>
  </r>
  <r>
    <n v="1689"/>
    <x v="0"/>
    <x v="1"/>
    <s v="W"/>
    <n v="28780"/>
    <n v="1294"/>
    <n v="-18"/>
    <n v="26"/>
    <x v="0"/>
    <x v="0"/>
    <n v="0"/>
    <n v="0"/>
    <n v="0"/>
    <n v="0"/>
    <n v="0"/>
    <n v="0"/>
    <n v="0"/>
    <n v="0"/>
    <n v="0"/>
    <x v="0"/>
    <x v="0"/>
    <x v="1"/>
    <x v="0"/>
    <x v="0"/>
  </r>
  <r>
    <n v="1690"/>
    <x v="0"/>
    <x v="1"/>
    <s v="W"/>
    <n v="22900"/>
    <n v="481"/>
    <n v="-32"/>
    <n v="-8"/>
    <x v="0"/>
    <x v="0"/>
    <n v="0"/>
    <n v="0"/>
    <n v="0"/>
    <n v="0"/>
    <n v="0"/>
    <n v="0"/>
    <n v="0"/>
    <n v="0"/>
    <n v="0"/>
    <x v="0"/>
    <x v="0"/>
    <x v="1"/>
    <x v="0"/>
    <x v="0"/>
  </r>
  <r>
    <n v="1691"/>
    <x v="0"/>
    <x v="1"/>
    <s v="W"/>
    <n v="43270"/>
    <n v="673"/>
    <n v="29"/>
    <n v="28"/>
    <x v="0"/>
    <x v="0"/>
    <n v="0"/>
    <n v="0"/>
    <n v="0"/>
    <n v="0"/>
    <n v="0"/>
    <n v="0"/>
    <n v="0"/>
    <n v="0"/>
    <n v="0"/>
    <x v="1"/>
    <x v="1"/>
    <x v="1"/>
    <x v="0"/>
    <x v="0"/>
  </r>
  <r>
    <n v="1692"/>
    <x v="0"/>
    <x v="1"/>
    <s v="N"/>
    <n v="135210"/>
    <n v="3261"/>
    <n v="1245"/>
    <n v="838"/>
    <x v="1"/>
    <x v="2"/>
    <n v="0"/>
    <n v="1"/>
    <n v="0"/>
    <n v="1"/>
    <n v="0"/>
    <n v="0"/>
    <n v="0"/>
    <n v="208000"/>
    <n v="200000"/>
    <x v="0"/>
    <x v="0"/>
    <x v="0"/>
    <x v="2"/>
    <x v="1"/>
  </r>
  <r>
    <n v="1693"/>
    <x v="0"/>
    <x v="1"/>
    <s v="N"/>
    <n v="54770"/>
    <n v="1913"/>
    <n v="445"/>
    <n v="450"/>
    <x v="2"/>
    <x v="0"/>
    <n v="0"/>
    <n v="0"/>
    <n v="0"/>
    <n v="0"/>
    <n v="0"/>
    <n v="0"/>
    <n v="0"/>
    <n v="0"/>
    <n v="0"/>
    <x v="0"/>
    <x v="0"/>
    <x v="0"/>
    <x v="0"/>
    <x v="0"/>
  </r>
  <r>
    <n v="1694"/>
    <x v="0"/>
    <x v="1"/>
    <s v="N"/>
    <n v="30110"/>
    <n v="1068"/>
    <n v="199"/>
    <n v="207"/>
    <x v="1"/>
    <x v="1"/>
    <n v="0"/>
    <n v="1"/>
    <n v="0"/>
    <n v="0"/>
    <n v="0"/>
    <n v="0"/>
    <n v="0"/>
    <n v="2000"/>
    <n v="2000"/>
    <x v="0"/>
    <x v="0"/>
    <x v="0"/>
    <x v="0"/>
    <x v="0"/>
  </r>
  <r>
    <n v="1695"/>
    <x v="1"/>
    <x v="1"/>
    <s v="W"/>
    <n v="26990"/>
    <n v="769"/>
    <n v="-20"/>
    <n v="-24"/>
    <x v="0"/>
    <x v="0"/>
    <n v="0"/>
    <n v="0"/>
    <n v="0"/>
    <n v="0"/>
    <n v="0"/>
    <n v="0"/>
    <n v="0"/>
    <n v="0"/>
    <n v="0"/>
    <x v="0"/>
    <x v="0"/>
    <x v="1"/>
    <x v="0"/>
    <x v="0"/>
  </r>
  <r>
    <n v="1696"/>
    <x v="1"/>
    <x v="1"/>
    <s v="W"/>
    <n v="36970"/>
    <n v="1033"/>
    <n v="9"/>
    <n v="3"/>
    <x v="0"/>
    <x v="0"/>
    <n v="0"/>
    <n v="0"/>
    <n v="0"/>
    <n v="0"/>
    <n v="0"/>
    <n v="0"/>
    <n v="0"/>
    <n v="0"/>
    <n v="0"/>
    <x v="0"/>
    <x v="0"/>
    <x v="1"/>
    <x v="0"/>
    <x v="0"/>
  </r>
  <r>
    <n v="1697"/>
    <x v="1"/>
    <x v="1"/>
    <s v="W"/>
    <n v="31160"/>
    <n v="623"/>
    <n v="-6"/>
    <n v="20"/>
    <x v="0"/>
    <x v="1"/>
    <n v="1"/>
    <n v="0"/>
    <n v="0"/>
    <n v="0"/>
    <n v="0"/>
    <n v="0"/>
    <n v="0"/>
    <n v="400"/>
    <n v="400"/>
    <x v="0"/>
    <x v="0"/>
    <x v="1"/>
    <x v="0"/>
    <x v="0"/>
  </r>
  <r>
    <n v="1698"/>
    <x v="1"/>
    <x v="1"/>
    <s v="W"/>
    <n v="40770"/>
    <n v="910"/>
    <n v="20"/>
    <n v="-10"/>
    <x v="0"/>
    <x v="0"/>
    <n v="0"/>
    <n v="0"/>
    <n v="0"/>
    <n v="0"/>
    <n v="0"/>
    <n v="0"/>
    <n v="0"/>
    <n v="0"/>
    <n v="0"/>
    <x v="0"/>
    <x v="0"/>
    <x v="1"/>
    <x v="0"/>
    <x v="0"/>
  </r>
  <r>
    <n v="1699"/>
    <x v="1"/>
    <x v="1"/>
    <s v="W"/>
    <n v="51560"/>
    <n v="1088"/>
    <n v="52"/>
    <n v="8"/>
    <x v="0"/>
    <x v="0"/>
    <n v="0"/>
    <n v="0"/>
    <n v="0"/>
    <n v="0"/>
    <n v="0"/>
    <n v="0"/>
    <n v="0"/>
    <n v="0"/>
    <n v="0"/>
    <x v="0"/>
    <x v="0"/>
    <x v="1"/>
    <x v="0"/>
    <x v="0"/>
  </r>
  <r>
    <n v="1700"/>
    <x v="1"/>
    <x v="1"/>
    <s v="W"/>
    <n v="37610"/>
    <n v="1004"/>
    <n v="11"/>
    <n v="0"/>
    <x v="0"/>
    <x v="0"/>
    <n v="0"/>
    <n v="0"/>
    <n v="0"/>
    <n v="0"/>
    <n v="0"/>
    <n v="0"/>
    <n v="0"/>
    <n v="0"/>
    <n v="0"/>
    <x v="0"/>
    <x v="0"/>
    <x v="1"/>
    <x v="0"/>
    <x v="0"/>
  </r>
  <r>
    <n v="1701"/>
    <x v="1"/>
    <x v="1"/>
    <s v="W"/>
    <n v="36100"/>
    <n v="608"/>
    <n v="8"/>
    <n v="17"/>
    <x v="0"/>
    <x v="0"/>
    <n v="0"/>
    <n v="0"/>
    <n v="0"/>
    <n v="0"/>
    <n v="0"/>
    <n v="0"/>
    <n v="0"/>
    <n v="0"/>
    <n v="0"/>
    <x v="1"/>
    <x v="1"/>
    <x v="1"/>
    <x v="0"/>
    <x v="0"/>
  </r>
  <r>
    <n v="1702"/>
    <x v="1"/>
    <x v="1"/>
    <s v="N"/>
    <n v="32600"/>
    <n v="880"/>
    <n v="224"/>
    <n v="153"/>
    <x v="0"/>
    <x v="2"/>
    <n v="1"/>
    <n v="0"/>
    <n v="1"/>
    <n v="0"/>
    <n v="0"/>
    <n v="0"/>
    <n v="0"/>
    <n v="60500"/>
    <n v="60000"/>
    <x v="0"/>
    <x v="0"/>
    <x v="0"/>
    <x v="0"/>
    <x v="0"/>
  </r>
  <r>
    <n v="1703"/>
    <x v="0"/>
    <x v="1"/>
    <s v="W"/>
    <n v="18820"/>
    <n v="396"/>
    <n v="-45"/>
    <n v="-28"/>
    <x v="0"/>
    <x v="0"/>
    <n v="0"/>
    <n v="0"/>
    <n v="0"/>
    <n v="0"/>
    <n v="0"/>
    <n v="0"/>
    <n v="0"/>
    <n v="0"/>
    <n v="0"/>
    <x v="1"/>
    <x v="1"/>
    <x v="1"/>
    <x v="0"/>
    <x v="0"/>
  </r>
  <r>
    <n v="1704"/>
    <x v="0"/>
    <x v="1"/>
    <s v="W"/>
    <n v="25710"/>
    <n v="365"/>
    <n v="-25"/>
    <n v="-33"/>
    <x v="0"/>
    <x v="1"/>
    <n v="0"/>
    <n v="0"/>
    <n v="1"/>
    <n v="0"/>
    <n v="0"/>
    <n v="0"/>
    <n v="0"/>
    <n v="10000"/>
    <n v="10000"/>
    <x v="0"/>
    <x v="0"/>
    <x v="1"/>
    <x v="0"/>
    <x v="0"/>
  </r>
  <r>
    <n v="1705"/>
    <x v="0"/>
    <x v="1"/>
    <s v="W"/>
    <n v="14000"/>
    <n v="286"/>
    <n v="-59"/>
    <n v="-48"/>
    <x v="0"/>
    <x v="0"/>
    <n v="0"/>
    <n v="0"/>
    <n v="0"/>
    <n v="0"/>
    <n v="0"/>
    <n v="0"/>
    <n v="0"/>
    <n v="0"/>
    <n v="0"/>
    <x v="0"/>
    <x v="0"/>
    <x v="1"/>
    <x v="0"/>
    <x v="0"/>
  </r>
  <r>
    <n v="1706"/>
    <x v="0"/>
    <x v="1"/>
    <s v="W"/>
    <n v="18680"/>
    <n v="586"/>
    <n v="-47"/>
    <n v="-44"/>
    <x v="0"/>
    <x v="2"/>
    <n v="1"/>
    <n v="1"/>
    <n v="0"/>
    <n v="0"/>
    <n v="0"/>
    <n v="0"/>
    <n v="0"/>
    <n v="2500"/>
    <n v="2000"/>
    <x v="0"/>
    <x v="0"/>
    <x v="1"/>
    <x v="0"/>
    <x v="0"/>
  </r>
  <r>
    <n v="1707"/>
    <x v="0"/>
    <x v="1"/>
    <s v="W"/>
    <n v="37440"/>
    <n v="686"/>
    <n v="7"/>
    <n v="-35"/>
    <x v="0"/>
    <x v="0"/>
    <n v="0"/>
    <n v="0"/>
    <n v="0"/>
    <n v="0"/>
    <n v="0"/>
    <n v="0"/>
    <n v="0"/>
    <n v="0"/>
    <n v="0"/>
    <x v="0"/>
    <x v="0"/>
    <x v="1"/>
    <x v="0"/>
    <x v="0"/>
  </r>
  <r>
    <n v="1708"/>
    <x v="0"/>
    <x v="1"/>
    <s v="W"/>
    <n v="36460"/>
    <n v="902"/>
    <n v="4"/>
    <n v="-14"/>
    <x v="0"/>
    <x v="0"/>
    <n v="0"/>
    <n v="0"/>
    <n v="0"/>
    <n v="0"/>
    <n v="0"/>
    <n v="0"/>
    <n v="0"/>
    <n v="0"/>
    <n v="0"/>
    <x v="0"/>
    <x v="0"/>
    <x v="1"/>
    <x v="0"/>
    <x v="0"/>
  </r>
  <r>
    <n v="1709"/>
    <x v="0"/>
    <x v="1"/>
    <s v="W"/>
    <n v="20610"/>
    <n v="670"/>
    <n v="-41"/>
    <n v="-36"/>
    <x v="0"/>
    <x v="0"/>
    <n v="0"/>
    <n v="0"/>
    <n v="0"/>
    <n v="0"/>
    <n v="0"/>
    <n v="0"/>
    <n v="0"/>
    <n v="0"/>
    <n v="0"/>
    <x v="0"/>
    <x v="0"/>
    <x v="1"/>
    <x v="0"/>
    <x v="0"/>
  </r>
  <r>
    <n v="1710"/>
    <x v="0"/>
    <x v="1"/>
    <s v="W"/>
    <n v="21350"/>
    <n v="376"/>
    <n v="-38"/>
    <n v="-31"/>
    <x v="0"/>
    <x v="0"/>
    <n v="0"/>
    <n v="0"/>
    <n v="0"/>
    <n v="0"/>
    <n v="0"/>
    <n v="0"/>
    <n v="0"/>
    <n v="0"/>
    <n v="0"/>
    <x v="0"/>
    <x v="0"/>
    <x v="1"/>
    <x v="0"/>
    <x v="0"/>
  </r>
  <r>
    <n v="1711"/>
    <x v="0"/>
    <x v="1"/>
    <s v="W"/>
    <n v="39850"/>
    <n v="714"/>
    <n v="13"/>
    <n v="-32"/>
    <x v="0"/>
    <x v="1"/>
    <n v="1"/>
    <n v="0"/>
    <n v="0"/>
    <n v="0"/>
    <n v="0"/>
    <n v="0"/>
    <n v="0"/>
    <n v="300"/>
    <n v="300"/>
    <x v="0"/>
    <x v="0"/>
    <x v="1"/>
    <x v="0"/>
    <x v="0"/>
  </r>
  <r>
    <n v="1712"/>
    <x v="0"/>
    <x v="1"/>
    <s v="W"/>
    <n v="39410"/>
    <n v="1146"/>
    <n v="12"/>
    <n v="9"/>
    <x v="0"/>
    <x v="1"/>
    <n v="0"/>
    <n v="1"/>
    <n v="0"/>
    <n v="0"/>
    <n v="0"/>
    <n v="0"/>
    <n v="0"/>
    <n v="3000"/>
    <n v="3000"/>
    <x v="0"/>
    <x v="0"/>
    <x v="1"/>
    <x v="0"/>
    <x v="0"/>
  </r>
  <r>
    <n v="1713"/>
    <x v="0"/>
    <x v="1"/>
    <s v="W"/>
    <n v="28440"/>
    <n v="405"/>
    <n v="-19"/>
    <n v="-27"/>
    <x v="0"/>
    <x v="0"/>
    <n v="0"/>
    <n v="0"/>
    <n v="0"/>
    <n v="0"/>
    <n v="0"/>
    <n v="0"/>
    <n v="0"/>
    <n v="0"/>
    <n v="0"/>
    <x v="0"/>
    <x v="0"/>
    <x v="1"/>
    <x v="0"/>
    <x v="0"/>
  </r>
  <r>
    <n v="1714"/>
    <x v="0"/>
    <x v="1"/>
    <s v="W"/>
    <n v="21750"/>
    <n v="635"/>
    <n v="-38"/>
    <n v="-40"/>
    <x v="0"/>
    <x v="0"/>
    <n v="0"/>
    <n v="0"/>
    <n v="0"/>
    <n v="0"/>
    <n v="0"/>
    <n v="0"/>
    <n v="0"/>
    <n v="0"/>
    <n v="0"/>
    <x v="0"/>
    <x v="0"/>
    <x v="1"/>
    <x v="0"/>
    <x v="0"/>
  </r>
  <r>
    <n v="1715"/>
    <x v="0"/>
    <x v="1"/>
    <s v="W"/>
    <n v="68830"/>
    <n v="633"/>
    <n v="96"/>
    <n v="13"/>
    <x v="0"/>
    <x v="2"/>
    <n v="0"/>
    <n v="2"/>
    <n v="0"/>
    <n v="0"/>
    <n v="0"/>
    <n v="0"/>
    <n v="0"/>
    <n v="5000"/>
    <n v="3000"/>
    <x v="0"/>
    <x v="0"/>
    <x v="1"/>
    <x v="0"/>
    <x v="0"/>
  </r>
  <r>
    <n v="1716"/>
    <x v="0"/>
    <x v="1"/>
    <s v="W"/>
    <n v="29550"/>
    <n v="486"/>
    <n v="-16"/>
    <n v="-13"/>
    <x v="0"/>
    <x v="0"/>
    <n v="0"/>
    <n v="0"/>
    <n v="0"/>
    <n v="0"/>
    <n v="0"/>
    <n v="0"/>
    <n v="0"/>
    <n v="0"/>
    <n v="0"/>
    <x v="0"/>
    <x v="0"/>
    <x v="1"/>
    <x v="0"/>
    <x v="0"/>
  </r>
  <r>
    <n v="1717"/>
    <x v="0"/>
    <x v="1"/>
    <s v="W"/>
    <n v="23710"/>
    <n v="387"/>
    <n v="-32"/>
    <n v="-31"/>
    <x v="0"/>
    <x v="1"/>
    <n v="0"/>
    <n v="1"/>
    <n v="0"/>
    <n v="0"/>
    <n v="0"/>
    <n v="0"/>
    <n v="0"/>
    <n v="1000"/>
    <n v="1000"/>
    <x v="0"/>
    <x v="0"/>
    <x v="1"/>
    <x v="0"/>
    <x v="0"/>
  </r>
  <r>
    <n v="1718"/>
    <x v="0"/>
    <x v="1"/>
    <s v="W"/>
    <n v="24650"/>
    <n v="391"/>
    <n v="-30"/>
    <n v="-30"/>
    <x v="0"/>
    <x v="0"/>
    <n v="0"/>
    <n v="0"/>
    <n v="0"/>
    <n v="0"/>
    <n v="0"/>
    <n v="0"/>
    <n v="0"/>
    <n v="0"/>
    <n v="0"/>
    <x v="0"/>
    <x v="0"/>
    <x v="1"/>
    <x v="0"/>
    <x v="0"/>
  </r>
  <r>
    <n v="1719"/>
    <x v="1"/>
    <x v="1"/>
    <s v="W"/>
    <n v="31030"/>
    <n v="534"/>
    <n v="-8"/>
    <n v="0"/>
    <x v="0"/>
    <x v="1"/>
    <n v="1"/>
    <n v="0"/>
    <n v="0"/>
    <n v="0"/>
    <n v="0"/>
    <n v="0"/>
    <n v="0"/>
    <n v="600"/>
    <n v="600"/>
    <x v="0"/>
    <x v="0"/>
    <x v="1"/>
    <x v="0"/>
    <x v="0"/>
  </r>
  <r>
    <n v="1720"/>
    <x v="1"/>
    <x v="1"/>
    <s v="N"/>
    <n v="19200"/>
    <n v="418"/>
    <n v="131"/>
    <n v="149"/>
    <x v="0"/>
    <x v="0"/>
    <n v="0"/>
    <n v="0"/>
    <n v="0"/>
    <n v="0"/>
    <n v="0"/>
    <n v="0"/>
    <n v="0"/>
    <n v="0"/>
    <n v="0"/>
    <x v="0"/>
    <x v="0"/>
    <x v="0"/>
    <x v="0"/>
    <x v="0"/>
  </r>
  <r>
    <n v="1721"/>
    <x v="1"/>
    <x v="1"/>
    <s v="N"/>
    <n v="23200"/>
    <n v="366"/>
    <n v="179"/>
    <n v="118"/>
    <x v="0"/>
    <x v="0"/>
    <n v="0"/>
    <n v="0"/>
    <n v="0"/>
    <n v="0"/>
    <n v="0"/>
    <n v="0"/>
    <n v="0"/>
    <n v="0"/>
    <n v="0"/>
    <x v="0"/>
    <x v="0"/>
    <x v="0"/>
    <x v="0"/>
    <x v="0"/>
  </r>
  <r>
    <n v="1722"/>
    <x v="1"/>
    <x v="1"/>
    <s v="N"/>
    <n v="10820"/>
    <n v="426"/>
    <n v="8"/>
    <n v="22"/>
    <x v="0"/>
    <x v="1"/>
    <n v="0"/>
    <n v="1"/>
    <n v="0"/>
    <n v="0"/>
    <n v="0"/>
    <n v="0"/>
    <n v="0"/>
    <n v="3000"/>
    <n v="3000"/>
    <x v="0"/>
    <x v="0"/>
    <x v="0"/>
    <x v="0"/>
    <x v="0"/>
  </r>
  <r>
    <n v="1723"/>
    <x v="1"/>
    <x v="1"/>
    <s v="W"/>
    <n v="13360"/>
    <n v="383"/>
    <n v="-59"/>
    <n v="-61"/>
    <x v="0"/>
    <x v="0"/>
    <n v="0"/>
    <n v="0"/>
    <n v="0"/>
    <n v="0"/>
    <n v="0"/>
    <n v="0"/>
    <n v="0"/>
    <n v="0"/>
    <n v="0"/>
    <x v="0"/>
    <x v="0"/>
    <x v="1"/>
    <x v="0"/>
    <x v="0"/>
  </r>
  <r>
    <n v="1724"/>
    <x v="1"/>
    <x v="1"/>
    <s v="W"/>
    <n v="58460"/>
    <n v="540"/>
    <n v="73"/>
    <n v="1"/>
    <x v="0"/>
    <x v="2"/>
    <n v="1"/>
    <n v="1"/>
    <n v="0"/>
    <n v="0"/>
    <n v="0"/>
    <n v="0"/>
    <n v="0"/>
    <n v="3900"/>
    <n v="3000"/>
    <x v="1"/>
    <x v="1"/>
    <x v="1"/>
    <x v="0"/>
    <x v="0"/>
  </r>
  <r>
    <n v="1725"/>
    <x v="1"/>
    <x v="1"/>
    <s v="W"/>
    <n v="26370"/>
    <n v="524"/>
    <n v="73"/>
    <n v="119"/>
    <x v="0"/>
    <x v="1"/>
    <n v="0"/>
    <n v="0"/>
    <n v="1"/>
    <n v="0"/>
    <n v="0"/>
    <n v="0"/>
    <n v="0"/>
    <n v="30000"/>
    <n v="30000"/>
    <x v="0"/>
    <x v="0"/>
    <x v="1"/>
    <x v="0"/>
    <x v="0"/>
  </r>
  <r>
    <n v="1726"/>
    <x v="1"/>
    <x v="1"/>
    <s v="N"/>
    <n v="13110"/>
    <n v="417"/>
    <n v="57"/>
    <n v="148"/>
    <x v="0"/>
    <x v="0"/>
    <n v="0"/>
    <n v="0"/>
    <n v="0"/>
    <n v="0"/>
    <n v="0"/>
    <n v="0"/>
    <n v="0"/>
    <n v="0"/>
    <n v="0"/>
    <x v="0"/>
    <x v="0"/>
    <x v="0"/>
    <x v="0"/>
    <x v="0"/>
  </r>
  <r>
    <n v="1727"/>
    <x v="1"/>
    <x v="0"/>
    <s v="N"/>
    <n v="11010"/>
    <n v="319"/>
    <n v="32"/>
    <n v="90"/>
    <x v="0"/>
    <x v="0"/>
    <n v="0"/>
    <n v="0"/>
    <n v="0"/>
    <n v="0"/>
    <n v="0"/>
    <n v="0"/>
    <n v="0"/>
    <n v="0"/>
    <n v="0"/>
    <x v="0"/>
    <x v="0"/>
    <x v="0"/>
    <x v="0"/>
    <x v="0"/>
  </r>
  <r>
    <n v="1728"/>
    <x v="1"/>
    <x v="0"/>
    <s v="N"/>
    <n v="15840"/>
    <n v="275"/>
    <n v="90"/>
    <n v="64"/>
    <x v="0"/>
    <x v="1"/>
    <n v="0"/>
    <n v="1"/>
    <n v="0"/>
    <n v="0"/>
    <n v="0"/>
    <n v="0"/>
    <n v="0"/>
    <n v="4000"/>
    <n v="4000"/>
    <x v="0"/>
    <x v="0"/>
    <x v="0"/>
    <x v="0"/>
    <x v="0"/>
  </r>
  <r>
    <n v="1729"/>
    <x v="1"/>
    <x v="0"/>
    <s v="N"/>
    <n v="12650"/>
    <n v="214"/>
    <n v="52"/>
    <n v="27"/>
    <x v="0"/>
    <x v="0"/>
    <n v="0"/>
    <n v="0"/>
    <n v="0"/>
    <n v="0"/>
    <n v="0"/>
    <n v="0"/>
    <n v="0"/>
    <n v="0"/>
    <n v="0"/>
    <x v="0"/>
    <x v="0"/>
    <x v="0"/>
    <x v="0"/>
    <x v="0"/>
  </r>
  <r>
    <n v="1730"/>
    <x v="1"/>
    <x v="0"/>
    <s v="N"/>
    <n v="10020"/>
    <n v="370"/>
    <n v="0"/>
    <n v="6"/>
    <x v="0"/>
    <x v="0"/>
    <n v="0"/>
    <n v="0"/>
    <n v="0"/>
    <n v="0"/>
    <n v="0"/>
    <n v="0"/>
    <n v="0"/>
    <n v="0"/>
    <n v="0"/>
    <x v="0"/>
    <x v="0"/>
    <x v="0"/>
    <x v="0"/>
    <x v="0"/>
  </r>
  <r>
    <n v="1731"/>
    <x v="1"/>
    <x v="0"/>
    <s v="W"/>
    <n v="11390"/>
    <n v="233"/>
    <n v="-66"/>
    <n v="-55"/>
    <x v="0"/>
    <x v="0"/>
    <n v="0"/>
    <n v="0"/>
    <n v="0"/>
    <n v="0"/>
    <n v="0"/>
    <n v="0"/>
    <n v="0"/>
    <n v="0"/>
    <n v="0"/>
    <x v="0"/>
    <x v="0"/>
    <x v="1"/>
    <x v="0"/>
    <x v="0"/>
  </r>
  <r>
    <n v="1732"/>
    <x v="1"/>
    <x v="0"/>
    <s v="W"/>
    <n v="19890"/>
    <n v="236"/>
    <n v="-40"/>
    <n v="-55"/>
    <x v="0"/>
    <x v="1"/>
    <n v="0"/>
    <n v="1"/>
    <n v="0"/>
    <n v="0"/>
    <n v="0"/>
    <n v="0"/>
    <n v="0"/>
    <n v="8000"/>
    <n v="8000"/>
    <x v="1"/>
    <x v="1"/>
    <x v="1"/>
    <x v="0"/>
    <x v="0"/>
  </r>
  <r>
    <n v="1733"/>
    <x v="1"/>
    <x v="0"/>
    <s v="W"/>
    <n v="56940"/>
    <n v="769"/>
    <n v="72"/>
    <n v="48"/>
    <x v="0"/>
    <x v="1"/>
    <n v="0"/>
    <n v="0"/>
    <n v="1"/>
    <n v="0"/>
    <n v="0"/>
    <n v="0"/>
    <n v="0"/>
    <n v="40000"/>
    <n v="40000"/>
    <x v="0"/>
    <x v="0"/>
    <x v="1"/>
    <x v="0"/>
    <x v="0"/>
  </r>
  <r>
    <n v="1734"/>
    <x v="1"/>
    <x v="0"/>
    <s v="W"/>
    <n v="27390"/>
    <n v="674"/>
    <n v="-17"/>
    <n v="30"/>
    <x v="0"/>
    <x v="0"/>
    <n v="0"/>
    <n v="0"/>
    <n v="0"/>
    <n v="0"/>
    <n v="0"/>
    <n v="0"/>
    <n v="0"/>
    <n v="0"/>
    <n v="0"/>
    <x v="0"/>
    <x v="0"/>
    <x v="1"/>
    <x v="0"/>
    <x v="0"/>
  </r>
  <r>
    <n v="1735"/>
    <x v="1"/>
    <x v="0"/>
    <s v="W"/>
    <n v="26940"/>
    <n v="429"/>
    <n v="-18"/>
    <n v="-17"/>
    <x v="0"/>
    <x v="0"/>
    <n v="0"/>
    <n v="0"/>
    <n v="0"/>
    <n v="0"/>
    <n v="0"/>
    <n v="0"/>
    <n v="0"/>
    <n v="0"/>
    <n v="0"/>
    <x v="0"/>
    <x v="0"/>
    <x v="1"/>
    <x v="0"/>
    <x v="0"/>
  </r>
  <r>
    <n v="1736"/>
    <x v="1"/>
    <x v="0"/>
    <s v="N"/>
    <n v="15760"/>
    <n v="318"/>
    <n v="89"/>
    <n v="89"/>
    <x v="0"/>
    <x v="0"/>
    <n v="0"/>
    <n v="0"/>
    <n v="0"/>
    <n v="0"/>
    <n v="0"/>
    <n v="0"/>
    <n v="0"/>
    <n v="0"/>
    <n v="0"/>
    <x v="0"/>
    <x v="0"/>
    <x v="0"/>
    <x v="0"/>
    <x v="0"/>
  </r>
  <r>
    <n v="1737"/>
    <x v="1"/>
    <x v="0"/>
    <s v="N"/>
    <n v="13160"/>
    <n v="271"/>
    <n v="58"/>
    <n v="61"/>
    <x v="0"/>
    <x v="0"/>
    <n v="0"/>
    <n v="0"/>
    <n v="0"/>
    <n v="0"/>
    <n v="0"/>
    <n v="0"/>
    <n v="0"/>
    <n v="0"/>
    <n v="0"/>
    <x v="0"/>
    <x v="0"/>
    <x v="0"/>
    <x v="0"/>
    <x v="0"/>
  </r>
  <r>
    <n v="1738"/>
    <x v="1"/>
    <x v="0"/>
    <s v="W"/>
    <n v="20550"/>
    <n v="381"/>
    <n v="-37"/>
    <n v="-26"/>
    <x v="0"/>
    <x v="0"/>
    <n v="0"/>
    <n v="0"/>
    <n v="0"/>
    <n v="0"/>
    <n v="0"/>
    <n v="0"/>
    <n v="0"/>
    <n v="0"/>
    <n v="0"/>
    <x v="1"/>
    <x v="1"/>
    <x v="1"/>
    <x v="0"/>
    <x v="0"/>
  </r>
  <r>
    <n v="1739"/>
    <x v="1"/>
    <x v="0"/>
    <s v="W"/>
    <n v="28510"/>
    <n v="805"/>
    <n v="-7"/>
    <n v="-13"/>
    <x v="0"/>
    <x v="1"/>
    <n v="0"/>
    <n v="0"/>
    <n v="1"/>
    <n v="0"/>
    <n v="0"/>
    <n v="0"/>
    <n v="0"/>
    <n v="10000"/>
    <n v="10000"/>
    <x v="0"/>
    <x v="0"/>
    <x v="1"/>
    <x v="0"/>
    <x v="0"/>
  </r>
  <r>
    <n v="1740"/>
    <x v="1"/>
    <x v="0"/>
    <s v="W"/>
    <n v="26210"/>
    <n v="619"/>
    <n v="-20"/>
    <n v="20"/>
    <x v="0"/>
    <x v="0"/>
    <n v="0"/>
    <n v="0"/>
    <n v="0"/>
    <n v="0"/>
    <n v="0"/>
    <n v="0"/>
    <n v="0"/>
    <n v="0"/>
    <n v="0"/>
    <x v="1"/>
    <x v="1"/>
    <x v="1"/>
    <x v="0"/>
    <x v="0"/>
  </r>
  <r>
    <n v="1741"/>
    <x v="1"/>
    <x v="0"/>
    <s v="N"/>
    <n v="18840"/>
    <n v="434"/>
    <n v="126"/>
    <n v="158"/>
    <x v="0"/>
    <x v="1"/>
    <n v="0"/>
    <n v="0"/>
    <n v="0"/>
    <n v="1"/>
    <n v="0"/>
    <n v="0"/>
    <n v="0"/>
    <n v="300000"/>
    <n v="300000"/>
    <x v="0"/>
    <x v="0"/>
    <x v="0"/>
    <x v="0"/>
    <x v="0"/>
  </r>
  <r>
    <n v="1742"/>
    <x v="1"/>
    <x v="0"/>
    <s v="N"/>
    <n v="18440"/>
    <n v="398"/>
    <n v="122"/>
    <n v="137"/>
    <x v="0"/>
    <x v="1"/>
    <n v="1"/>
    <n v="0"/>
    <n v="0"/>
    <n v="0"/>
    <n v="0"/>
    <n v="0"/>
    <n v="0"/>
    <n v="200"/>
    <n v="200"/>
    <x v="0"/>
    <x v="0"/>
    <x v="0"/>
    <x v="0"/>
    <x v="0"/>
  </r>
  <r>
    <n v="1743"/>
    <x v="1"/>
    <x v="0"/>
    <s v="N"/>
    <n v="11080"/>
    <n v="343"/>
    <n v="33"/>
    <n v="104"/>
    <x v="0"/>
    <x v="0"/>
    <n v="0"/>
    <n v="0"/>
    <n v="0"/>
    <n v="0"/>
    <n v="0"/>
    <n v="0"/>
    <n v="0"/>
    <n v="0"/>
    <n v="0"/>
    <x v="0"/>
    <x v="0"/>
    <x v="0"/>
    <x v="0"/>
    <x v="0"/>
  </r>
  <r>
    <n v="1744"/>
    <x v="1"/>
    <x v="0"/>
    <s v="N"/>
    <n v="16380"/>
    <n v="736"/>
    <n v="63"/>
    <n v="112"/>
    <x v="0"/>
    <x v="0"/>
    <n v="0"/>
    <n v="0"/>
    <n v="0"/>
    <n v="0"/>
    <n v="0"/>
    <n v="0"/>
    <n v="0"/>
    <n v="0"/>
    <n v="0"/>
    <x v="0"/>
    <x v="0"/>
    <x v="0"/>
    <x v="0"/>
    <x v="0"/>
  </r>
  <r>
    <n v="1745"/>
    <x v="1"/>
    <x v="0"/>
    <s v="W"/>
    <n v="27440"/>
    <n v="635"/>
    <n v="-5"/>
    <n v="-28"/>
    <x v="0"/>
    <x v="1"/>
    <n v="1"/>
    <n v="0"/>
    <n v="0"/>
    <n v="0"/>
    <n v="0"/>
    <n v="0"/>
    <n v="0"/>
    <n v="400"/>
    <n v="400"/>
    <x v="0"/>
    <x v="0"/>
    <x v="1"/>
    <x v="0"/>
    <x v="0"/>
  </r>
  <r>
    <n v="1746"/>
    <x v="1"/>
    <x v="0"/>
    <s v="W"/>
    <n v="44980"/>
    <n v="597"/>
    <n v="45"/>
    <n v="19"/>
    <x v="0"/>
    <x v="0"/>
    <n v="0"/>
    <n v="0"/>
    <n v="0"/>
    <n v="0"/>
    <n v="0"/>
    <n v="0"/>
    <n v="0"/>
    <n v="0"/>
    <n v="0"/>
    <x v="0"/>
    <x v="0"/>
    <x v="1"/>
    <x v="0"/>
    <x v="0"/>
  </r>
  <r>
    <n v="1747"/>
    <x v="1"/>
    <x v="0"/>
    <s v="W"/>
    <n v="31430"/>
    <n v="553"/>
    <n v="1"/>
    <n v="10"/>
    <x v="0"/>
    <x v="1"/>
    <n v="1"/>
    <n v="0"/>
    <n v="0"/>
    <n v="0"/>
    <n v="0"/>
    <n v="0"/>
    <n v="0"/>
    <n v="600"/>
    <n v="600"/>
    <x v="0"/>
    <x v="0"/>
    <x v="1"/>
    <x v="0"/>
    <x v="0"/>
  </r>
  <r>
    <n v="1748"/>
    <x v="1"/>
    <x v="0"/>
    <s v="W"/>
    <n v="21660"/>
    <n v="433"/>
    <n v="-30"/>
    <n v="-14"/>
    <x v="0"/>
    <x v="0"/>
    <n v="0"/>
    <n v="0"/>
    <n v="0"/>
    <n v="0"/>
    <n v="0"/>
    <n v="0"/>
    <n v="0"/>
    <n v="0"/>
    <n v="0"/>
    <x v="0"/>
    <x v="0"/>
    <x v="1"/>
    <x v="0"/>
    <x v="0"/>
  </r>
  <r>
    <n v="1749"/>
    <x v="1"/>
    <x v="0"/>
    <s v="W"/>
    <n v="38220"/>
    <n v="1192"/>
    <n v="33"/>
    <n v="35"/>
    <x v="0"/>
    <x v="1"/>
    <n v="0"/>
    <n v="1"/>
    <n v="0"/>
    <n v="0"/>
    <n v="0"/>
    <n v="0"/>
    <n v="0"/>
    <n v="6000"/>
    <n v="6000"/>
    <x v="0"/>
    <x v="0"/>
    <x v="1"/>
    <x v="0"/>
    <x v="0"/>
  </r>
  <r>
    <n v="1750"/>
    <x v="1"/>
    <x v="0"/>
    <s v="N"/>
    <n v="20040"/>
    <n v="777"/>
    <n v="99"/>
    <n v="123"/>
    <x v="0"/>
    <x v="0"/>
    <n v="0"/>
    <n v="0"/>
    <n v="0"/>
    <n v="0"/>
    <n v="0"/>
    <n v="0"/>
    <n v="0"/>
    <n v="0"/>
    <n v="0"/>
    <x v="0"/>
    <x v="0"/>
    <x v="0"/>
    <x v="0"/>
    <x v="0"/>
  </r>
  <r>
    <n v="1751"/>
    <x v="0"/>
    <x v="0"/>
    <s v="N"/>
    <n v="9660"/>
    <n v="511"/>
    <n v="-4"/>
    <n v="47"/>
    <x v="0"/>
    <x v="0"/>
    <n v="0"/>
    <n v="0"/>
    <n v="0"/>
    <n v="0"/>
    <n v="0"/>
    <n v="0"/>
    <n v="0"/>
    <n v="0"/>
    <n v="0"/>
    <x v="0"/>
    <x v="0"/>
    <x v="0"/>
    <x v="1"/>
    <x v="0"/>
  </r>
  <r>
    <n v="1752"/>
    <x v="0"/>
    <x v="0"/>
    <s v="N"/>
    <n v="11020"/>
    <n v="589"/>
    <n v="10"/>
    <n v="69"/>
    <x v="0"/>
    <x v="0"/>
    <n v="0"/>
    <n v="0"/>
    <n v="0"/>
    <n v="0"/>
    <n v="0"/>
    <n v="0"/>
    <n v="0"/>
    <n v="0"/>
    <n v="0"/>
    <x v="0"/>
    <x v="0"/>
    <x v="0"/>
    <x v="0"/>
    <x v="0"/>
  </r>
  <r>
    <n v="1753"/>
    <x v="0"/>
    <x v="0"/>
    <s v="N"/>
    <n v="10410"/>
    <n v="422"/>
    <n v="4"/>
    <n v="21"/>
    <x v="0"/>
    <x v="0"/>
    <n v="0"/>
    <n v="0"/>
    <n v="0"/>
    <n v="0"/>
    <n v="0"/>
    <n v="0"/>
    <n v="0"/>
    <n v="0"/>
    <n v="0"/>
    <x v="0"/>
    <x v="0"/>
    <x v="0"/>
    <x v="0"/>
    <x v="0"/>
  </r>
  <r>
    <n v="1754"/>
    <x v="0"/>
    <x v="0"/>
    <s v="N"/>
    <n v="15040"/>
    <n v="458"/>
    <n v="50"/>
    <n v="32"/>
    <x v="0"/>
    <x v="1"/>
    <n v="1"/>
    <n v="0"/>
    <n v="0"/>
    <n v="0"/>
    <n v="0"/>
    <n v="0"/>
    <n v="0"/>
    <n v="400"/>
    <n v="400"/>
    <x v="0"/>
    <x v="0"/>
    <x v="0"/>
    <x v="0"/>
    <x v="0"/>
  </r>
  <r>
    <n v="1755"/>
    <x v="0"/>
    <x v="0"/>
    <s v="N"/>
    <n v="5600"/>
    <n v="344"/>
    <n v="-44"/>
    <n v="-1"/>
    <x v="0"/>
    <x v="0"/>
    <n v="0"/>
    <n v="0"/>
    <n v="0"/>
    <n v="0"/>
    <n v="0"/>
    <n v="0"/>
    <n v="0"/>
    <n v="0"/>
    <n v="0"/>
    <x v="0"/>
    <x v="0"/>
    <x v="0"/>
    <x v="1"/>
    <x v="0"/>
  </r>
  <r>
    <n v="1756"/>
    <x v="0"/>
    <x v="0"/>
    <s v="N"/>
    <n v="7560"/>
    <n v="513"/>
    <n v="-25"/>
    <n v="47"/>
    <x v="0"/>
    <x v="1"/>
    <n v="1"/>
    <n v="0"/>
    <n v="0"/>
    <n v="0"/>
    <n v="0"/>
    <n v="0"/>
    <n v="0"/>
    <n v="300"/>
    <n v="300"/>
    <x v="0"/>
    <x v="0"/>
    <x v="0"/>
    <x v="1"/>
    <x v="0"/>
  </r>
  <r>
    <n v="1757"/>
    <x v="0"/>
    <x v="0"/>
    <s v="N"/>
    <n v="10370"/>
    <n v="402"/>
    <n v="3"/>
    <n v="16"/>
    <x v="0"/>
    <x v="0"/>
    <n v="0"/>
    <n v="0"/>
    <n v="0"/>
    <n v="0"/>
    <n v="0"/>
    <n v="0"/>
    <n v="0"/>
    <n v="0"/>
    <n v="0"/>
    <x v="0"/>
    <x v="0"/>
    <x v="0"/>
    <x v="0"/>
    <x v="0"/>
  </r>
  <r>
    <n v="1758"/>
    <x v="0"/>
    <x v="0"/>
    <s v="N"/>
    <n v="8850"/>
    <n v="361"/>
    <n v="-12"/>
    <n v="4"/>
    <x v="0"/>
    <x v="0"/>
    <n v="0"/>
    <n v="0"/>
    <n v="0"/>
    <n v="0"/>
    <n v="0"/>
    <n v="0"/>
    <n v="0"/>
    <n v="0"/>
    <n v="0"/>
    <x v="0"/>
    <x v="0"/>
    <x v="0"/>
    <x v="1"/>
    <x v="0"/>
  </r>
  <r>
    <n v="1759"/>
    <x v="0"/>
    <x v="0"/>
    <s v="N"/>
    <n v="5640"/>
    <n v="296"/>
    <n v="-47"/>
    <n v="-21"/>
    <x v="0"/>
    <x v="0"/>
    <n v="0"/>
    <n v="0"/>
    <n v="0"/>
    <n v="0"/>
    <n v="0"/>
    <n v="0"/>
    <n v="0"/>
    <n v="0"/>
    <n v="0"/>
    <x v="0"/>
    <x v="0"/>
    <x v="0"/>
    <x v="1"/>
    <x v="0"/>
  </r>
  <r>
    <n v="1760"/>
    <x v="0"/>
    <x v="0"/>
    <s v="N"/>
    <n v="6700"/>
    <n v="347"/>
    <n v="-36"/>
    <n v="-7"/>
    <x v="0"/>
    <x v="0"/>
    <n v="0"/>
    <n v="0"/>
    <n v="0"/>
    <n v="0"/>
    <n v="0"/>
    <n v="0"/>
    <n v="0"/>
    <n v="0"/>
    <n v="0"/>
    <x v="0"/>
    <x v="0"/>
    <x v="0"/>
    <x v="1"/>
    <x v="0"/>
  </r>
  <r>
    <n v="1761"/>
    <x v="0"/>
    <x v="0"/>
    <s v="N"/>
    <n v="10140"/>
    <n v="176"/>
    <n v="12"/>
    <n v="-5"/>
    <x v="0"/>
    <x v="0"/>
    <n v="0"/>
    <n v="0"/>
    <n v="0"/>
    <n v="0"/>
    <n v="0"/>
    <n v="0"/>
    <n v="0"/>
    <n v="0"/>
    <n v="0"/>
    <x v="0"/>
    <x v="0"/>
    <x v="0"/>
    <x v="0"/>
    <x v="0"/>
  </r>
  <r>
    <n v="1762"/>
    <x v="0"/>
    <x v="0"/>
    <s v="N"/>
    <n v="7290"/>
    <n v="185"/>
    <n v="-20"/>
    <n v="0"/>
    <x v="0"/>
    <x v="0"/>
    <n v="0"/>
    <n v="0"/>
    <n v="0"/>
    <n v="0"/>
    <n v="0"/>
    <n v="0"/>
    <n v="0"/>
    <n v="0"/>
    <n v="0"/>
    <x v="1"/>
    <x v="1"/>
    <x v="0"/>
    <x v="1"/>
    <x v="0"/>
  </r>
  <r>
    <n v="1763"/>
    <x v="0"/>
    <x v="0"/>
    <s v="N"/>
    <n v="9030"/>
    <n v="342"/>
    <n v="-14"/>
    <n v="-8"/>
    <x v="0"/>
    <x v="1"/>
    <n v="0"/>
    <n v="0"/>
    <n v="1"/>
    <n v="0"/>
    <n v="0"/>
    <n v="0"/>
    <n v="0"/>
    <n v="80000"/>
    <n v="80000"/>
    <x v="0"/>
    <x v="0"/>
    <x v="0"/>
    <x v="1"/>
    <x v="0"/>
  </r>
  <r>
    <n v="1764"/>
    <x v="0"/>
    <x v="0"/>
    <s v="N"/>
    <n v="3380"/>
    <n v="262"/>
    <n v="-68"/>
    <n v="-30"/>
    <x v="0"/>
    <x v="0"/>
    <n v="0"/>
    <n v="0"/>
    <n v="0"/>
    <n v="0"/>
    <n v="0"/>
    <n v="0"/>
    <n v="0"/>
    <n v="0"/>
    <n v="0"/>
    <x v="0"/>
    <x v="0"/>
    <x v="0"/>
    <x v="1"/>
    <x v="0"/>
  </r>
  <r>
    <n v="1765"/>
    <x v="0"/>
    <x v="0"/>
    <s v="N"/>
    <n v="5180"/>
    <n v="167"/>
    <n v="-43"/>
    <n v="-10"/>
    <x v="0"/>
    <x v="0"/>
    <n v="0"/>
    <n v="0"/>
    <n v="0"/>
    <n v="0"/>
    <n v="0"/>
    <n v="0"/>
    <n v="0"/>
    <n v="0"/>
    <n v="0"/>
    <x v="0"/>
    <x v="0"/>
    <x v="0"/>
    <x v="1"/>
    <x v="0"/>
  </r>
  <r>
    <n v="1766"/>
    <x v="0"/>
    <x v="0"/>
    <s v="N"/>
    <n v="10300"/>
    <n v="144"/>
    <n v="13"/>
    <n v="-22"/>
    <x v="0"/>
    <x v="0"/>
    <n v="0"/>
    <n v="0"/>
    <n v="0"/>
    <n v="0"/>
    <n v="0"/>
    <n v="0"/>
    <n v="0"/>
    <n v="0"/>
    <n v="0"/>
    <x v="0"/>
    <x v="0"/>
    <x v="0"/>
    <x v="0"/>
    <x v="0"/>
  </r>
  <r>
    <n v="1767"/>
    <x v="1"/>
    <x v="0"/>
    <s v="N"/>
    <n v="5350"/>
    <n v="162"/>
    <n v="-49"/>
    <n v="-57"/>
    <x v="0"/>
    <x v="0"/>
    <n v="0"/>
    <n v="0"/>
    <n v="0"/>
    <n v="0"/>
    <n v="0"/>
    <n v="0"/>
    <n v="0"/>
    <n v="0"/>
    <n v="0"/>
    <x v="0"/>
    <x v="0"/>
    <x v="0"/>
    <x v="1"/>
    <x v="0"/>
  </r>
  <r>
    <n v="1768"/>
    <x v="1"/>
    <x v="0"/>
    <s v="N"/>
    <n v="5520"/>
    <n v="171"/>
    <n v="-38"/>
    <n v="-8"/>
    <x v="0"/>
    <x v="0"/>
    <n v="0"/>
    <n v="0"/>
    <n v="0"/>
    <n v="0"/>
    <n v="0"/>
    <n v="0"/>
    <n v="0"/>
    <n v="0"/>
    <n v="0"/>
    <x v="0"/>
    <x v="0"/>
    <x v="0"/>
    <x v="1"/>
    <x v="0"/>
  </r>
  <r>
    <n v="1769"/>
    <x v="1"/>
    <x v="0"/>
    <s v="N"/>
    <n v="7300"/>
    <n v="159"/>
    <n v="210"/>
    <n v="83"/>
    <x v="0"/>
    <x v="0"/>
    <n v="0"/>
    <n v="0"/>
    <n v="0"/>
    <n v="0"/>
    <n v="0"/>
    <n v="0"/>
    <n v="0"/>
    <n v="0"/>
    <n v="0"/>
    <x v="0"/>
    <x v="0"/>
    <x v="0"/>
    <x v="1"/>
    <x v="0"/>
  </r>
  <r>
    <n v="1770"/>
    <x v="1"/>
    <x v="0"/>
    <s v="N"/>
    <n v="7510"/>
    <n v="141"/>
    <n v="-15"/>
    <n v="-24"/>
    <x v="0"/>
    <x v="0"/>
    <n v="0"/>
    <n v="0"/>
    <n v="0"/>
    <n v="0"/>
    <n v="0"/>
    <n v="0"/>
    <n v="0"/>
    <n v="0"/>
    <n v="0"/>
    <x v="0"/>
    <x v="0"/>
    <x v="0"/>
    <x v="1"/>
    <x v="0"/>
  </r>
  <r>
    <n v="1771"/>
    <x v="1"/>
    <x v="0"/>
    <s v="N"/>
    <n v="4340"/>
    <n v="129"/>
    <n v="-51"/>
    <n v="-31"/>
    <x v="0"/>
    <x v="0"/>
    <n v="0"/>
    <n v="0"/>
    <n v="0"/>
    <n v="0"/>
    <n v="0"/>
    <n v="0"/>
    <n v="0"/>
    <n v="0"/>
    <n v="0"/>
    <x v="0"/>
    <x v="0"/>
    <x v="0"/>
    <x v="1"/>
    <x v="0"/>
  </r>
  <r>
    <n v="1772"/>
    <x v="1"/>
    <x v="0"/>
    <s v="N"/>
    <n v="6850"/>
    <n v="355"/>
    <n v="191"/>
    <n v="309"/>
    <x v="1"/>
    <x v="0"/>
    <n v="0"/>
    <n v="0"/>
    <n v="0"/>
    <n v="0"/>
    <n v="0"/>
    <n v="0"/>
    <n v="0"/>
    <n v="0"/>
    <n v="0"/>
    <x v="0"/>
    <x v="0"/>
    <x v="0"/>
    <x v="1"/>
    <x v="0"/>
  </r>
  <r>
    <n v="1773"/>
    <x v="1"/>
    <x v="0"/>
    <s v="N"/>
    <n v="8880"/>
    <n v="112"/>
    <n v="-15"/>
    <n v="-71"/>
    <x v="0"/>
    <x v="1"/>
    <n v="0"/>
    <n v="1"/>
    <n v="0"/>
    <n v="0"/>
    <n v="0"/>
    <n v="0"/>
    <n v="0"/>
    <n v="7000"/>
    <n v="7000"/>
    <x v="0"/>
    <x v="0"/>
    <x v="0"/>
    <x v="1"/>
    <x v="0"/>
  </r>
  <r>
    <n v="1774"/>
    <x v="1"/>
    <x v="0"/>
    <s v="N"/>
    <n v="3270"/>
    <n v="118"/>
    <n v="-69"/>
    <n v="-69"/>
    <x v="0"/>
    <x v="0"/>
    <n v="0"/>
    <n v="0"/>
    <n v="0"/>
    <n v="0"/>
    <n v="0"/>
    <n v="0"/>
    <n v="0"/>
    <n v="0"/>
    <n v="0"/>
    <x v="0"/>
    <x v="0"/>
    <x v="0"/>
    <x v="1"/>
    <x v="0"/>
  </r>
  <r>
    <n v="1775"/>
    <x v="1"/>
    <x v="0"/>
    <s v="N"/>
    <n v="2940"/>
    <n v="123"/>
    <n v="-72"/>
    <n v="-68"/>
    <x v="0"/>
    <x v="0"/>
    <n v="0"/>
    <n v="0"/>
    <n v="0"/>
    <n v="0"/>
    <n v="0"/>
    <n v="0"/>
    <n v="0"/>
    <n v="0"/>
    <n v="0"/>
    <x v="0"/>
    <x v="0"/>
    <x v="0"/>
    <x v="1"/>
    <x v="0"/>
  </r>
  <r>
    <n v="1776"/>
    <x v="1"/>
    <x v="0"/>
    <s v="N"/>
    <n v="3610"/>
    <n v="107"/>
    <n v="-65"/>
    <n v="-72"/>
    <x v="0"/>
    <x v="0"/>
    <n v="0"/>
    <n v="0"/>
    <n v="0"/>
    <n v="0"/>
    <n v="0"/>
    <n v="0"/>
    <n v="0"/>
    <n v="0"/>
    <n v="0"/>
    <x v="0"/>
    <x v="0"/>
    <x v="0"/>
    <x v="1"/>
    <x v="0"/>
  </r>
  <r>
    <n v="1777"/>
    <x v="1"/>
    <x v="0"/>
    <s v="N"/>
    <n v="6450"/>
    <n v="112"/>
    <n v="-38"/>
    <n v="-71"/>
    <x v="0"/>
    <x v="0"/>
    <n v="0"/>
    <n v="0"/>
    <n v="0"/>
    <n v="0"/>
    <n v="0"/>
    <n v="0"/>
    <n v="0"/>
    <n v="0"/>
    <n v="0"/>
    <x v="0"/>
    <x v="0"/>
    <x v="0"/>
    <x v="1"/>
    <x v="0"/>
  </r>
  <r>
    <n v="1778"/>
    <x v="1"/>
    <x v="0"/>
    <s v="W"/>
    <n v="9360"/>
    <n v="157"/>
    <n v="-69"/>
    <n v="-68"/>
    <x v="0"/>
    <x v="0"/>
    <n v="0"/>
    <n v="0"/>
    <n v="0"/>
    <n v="0"/>
    <n v="0"/>
    <n v="0"/>
    <n v="0"/>
    <n v="0"/>
    <n v="0"/>
    <x v="0"/>
    <x v="0"/>
    <x v="1"/>
    <x v="1"/>
    <x v="0"/>
  </r>
  <r>
    <n v="1779"/>
    <x v="1"/>
    <x v="0"/>
    <s v="N"/>
    <n v="8980"/>
    <n v="189"/>
    <n v="-14"/>
    <n v="-50"/>
    <x v="0"/>
    <x v="0"/>
    <n v="0"/>
    <n v="0"/>
    <n v="0"/>
    <n v="0"/>
    <n v="0"/>
    <n v="0"/>
    <n v="0"/>
    <n v="0"/>
    <n v="0"/>
    <x v="0"/>
    <x v="0"/>
    <x v="0"/>
    <x v="1"/>
    <x v="0"/>
  </r>
  <r>
    <n v="1780"/>
    <x v="1"/>
    <x v="0"/>
    <s v="N"/>
    <n v="9340"/>
    <n v="153"/>
    <n v="-10"/>
    <n v="-60"/>
    <x v="0"/>
    <x v="0"/>
    <n v="0"/>
    <n v="0"/>
    <n v="0"/>
    <n v="0"/>
    <n v="0"/>
    <n v="0"/>
    <n v="0"/>
    <n v="0"/>
    <n v="0"/>
    <x v="0"/>
    <x v="0"/>
    <x v="0"/>
    <x v="1"/>
    <x v="0"/>
  </r>
  <r>
    <n v="1781"/>
    <x v="1"/>
    <x v="0"/>
    <s v="N"/>
    <n v="9680"/>
    <n v="210"/>
    <n v="-7"/>
    <n v="-45"/>
    <x v="0"/>
    <x v="0"/>
    <n v="0"/>
    <n v="0"/>
    <n v="0"/>
    <n v="0"/>
    <n v="0"/>
    <n v="0"/>
    <n v="0"/>
    <n v="0"/>
    <n v="0"/>
    <x v="0"/>
    <x v="0"/>
    <x v="0"/>
    <x v="1"/>
    <x v="0"/>
  </r>
  <r>
    <n v="1782"/>
    <x v="1"/>
    <x v="0"/>
    <s v="N"/>
    <n v="26510"/>
    <n v="445"/>
    <n v="155"/>
    <n v="17"/>
    <x v="0"/>
    <x v="1"/>
    <n v="1"/>
    <n v="0"/>
    <n v="0"/>
    <n v="0"/>
    <n v="0"/>
    <n v="0"/>
    <n v="0"/>
    <n v="900"/>
    <n v="900"/>
    <x v="0"/>
    <x v="0"/>
    <x v="0"/>
    <x v="0"/>
    <x v="0"/>
  </r>
  <r>
    <n v="1783"/>
    <x v="1"/>
    <x v="0"/>
    <s v="W"/>
    <n v="34120"/>
    <n v="519"/>
    <n v="14"/>
    <n v="5"/>
    <x v="0"/>
    <x v="1"/>
    <n v="1"/>
    <n v="0"/>
    <n v="0"/>
    <n v="0"/>
    <n v="0"/>
    <n v="0"/>
    <n v="0"/>
    <n v="400"/>
    <n v="400"/>
    <x v="0"/>
    <x v="0"/>
    <x v="1"/>
    <x v="0"/>
    <x v="0"/>
  </r>
  <r>
    <n v="1784"/>
    <x v="1"/>
    <x v="0"/>
    <s v="W"/>
    <n v="37340"/>
    <n v="683"/>
    <n v="25"/>
    <n v="38"/>
    <x v="0"/>
    <x v="0"/>
    <n v="0"/>
    <n v="0"/>
    <n v="0"/>
    <n v="0"/>
    <n v="0"/>
    <n v="0"/>
    <n v="0"/>
    <n v="0"/>
    <n v="0"/>
    <x v="0"/>
    <x v="0"/>
    <x v="1"/>
    <x v="0"/>
    <x v="0"/>
  </r>
  <r>
    <n v="1785"/>
    <x v="1"/>
    <x v="0"/>
    <s v="W"/>
    <n v="25550"/>
    <n v="451"/>
    <n v="-8"/>
    <n v="-47"/>
    <x v="0"/>
    <x v="0"/>
    <n v="0"/>
    <n v="0"/>
    <n v="0"/>
    <n v="0"/>
    <n v="0"/>
    <n v="0"/>
    <n v="0"/>
    <n v="0"/>
    <n v="0"/>
    <x v="0"/>
    <x v="0"/>
    <x v="1"/>
    <x v="0"/>
    <x v="0"/>
  </r>
  <r>
    <n v="1786"/>
    <x v="1"/>
    <x v="0"/>
    <s v="W"/>
    <n v="58850"/>
    <n v="679"/>
    <n v="113"/>
    <n v="-20"/>
    <x v="0"/>
    <x v="3"/>
    <n v="3"/>
    <n v="0"/>
    <n v="0"/>
    <n v="0"/>
    <n v="0"/>
    <n v="0"/>
    <n v="0"/>
    <n v="1300"/>
    <n v="800"/>
    <x v="1"/>
    <x v="1"/>
    <x v="1"/>
    <x v="0"/>
    <x v="0"/>
  </r>
  <r>
    <n v="1787"/>
    <x v="1"/>
    <x v="0"/>
    <s v="W"/>
    <n v="42330"/>
    <n v="661"/>
    <n v="53"/>
    <n v="-22"/>
    <x v="0"/>
    <x v="1"/>
    <n v="0"/>
    <n v="0"/>
    <n v="1"/>
    <n v="0"/>
    <n v="0"/>
    <n v="0"/>
    <n v="0"/>
    <n v="20000"/>
    <n v="20000"/>
    <x v="0"/>
    <x v="0"/>
    <x v="1"/>
    <x v="0"/>
    <x v="0"/>
  </r>
  <r>
    <n v="1788"/>
    <x v="1"/>
    <x v="0"/>
    <s v="W"/>
    <n v="53990"/>
    <n v="718"/>
    <n v="80"/>
    <n v="45"/>
    <x v="0"/>
    <x v="1"/>
    <n v="0"/>
    <n v="1"/>
    <n v="0"/>
    <n v="0"/>
    <n v="0"/>
    <n v="0"/>
    <n v="0"/>
    <n v="4000"/>
    <n v="4000"/>
    <x v="0"/>
    <x v="0"/>
    <x v="1"/>
    <x v="0"/>
    <x v="0"/>
  </r>
  <r>
    <n v="1789"/>
    <x v="1"/>
    <x v="0"/>
    <s v="W"/>
    <n v="18470"/>
    <n v="505"/>
    <n v="-38"/>
    <n v="2"/>
    <x v="0"/>
    <x v="0"/>
    <n v="0"/>
    <n v="0"/>
    <n v="0"/>
    <n v="0"/>
    <n v="0"/>
    <n v="0"/>
    <n v="0"/>
    <n v="0"/>
    <n v="0"/>
    <x v="0"/>
    <x v="0"/>
    <x v="1"/>
    <x v="0"/>
    <x v="0"/>
  </r>
  <r>
    <n v="1790"/>
    <x v="1"/>
    <x v="0"/>
    <s v="W"/>
    <n v="12870"/>
    <n v="364"/>
    <n v="-57"/>
    <n v="-26"/>
    <x v="0"/>
    <x v="0"/>
    <n v="0"/>
    <n v="0"/>
    <n v="0"/>
    <n v="0"/>
    <n v="0"/>
    <n v="0"/>
    <n v="0"/>
    <n v="0"/>
    <n v="0"/>
    <x v="0"/>
    <x v="0"/>
    <x v="1"/>
    <x v="0"/>
    <x v="0"/>
  </r>
  <r>
    <n v="1791"/>
    <x v="1"/>
    <x v="0"/>
    <s v="W"/>
    <n v="26300"/>
    <n v="520"/>
    <n v="-9"/>
    <n v="6"/>
    <x v="0"/>
    <x v="1"/>
    <n v="0"/>
    <n v="1"/>
    <n v="0"/>
    <n v="0"/>
    <n v="0"/>
    <n v="0"/>
    <n v="0"/>
    <n v="7000"/>
    <n v="7000"/>
    <x v="0"/>
    <x v="0"/>
    <x v="1"/>
    <x v="0"/>
    <x v="0"/>
  </r>
  <r>
    <n v="1792"/>
    <x v="1"/>
    <x v="0"/>
    <s v="W"/>
    <n v="36530"/>
    <n v="700"/>
    <n v="27"/>
    <n v="42"/>
    <x v="0"/>
    <x v="0"/>
    <n v="0"/>
    <n v="0"/>
    <n v="0"/>
    <n v="0"/>
    <n v="0"/>
    <n v="0"/>
    <n v="0"/>
    <n v="0"/>
    <n v="0"/>
    <x v="0"/>
    <x v="0"/>
    <x v="1"/>
    <x v="0"/>
    <x v="0"/>
  </r>
  <r>
    <n v="1793"/>
    <x v="1"/>
    <x v="0"/>
    <s v="W"/>
    <n v="71730"/>
    <n v="1093"/>
    <n v="149"/>
    <n v="122"/>
    <x v="0"/>
    <x v="0"/>
    <n v="0"/>
    <n v="0"/>
    <n v="0"/>
    <n v="0"/>
    <n v="0"/>
    <n v="0"/>
    <n v="0"/>
    <n v="0"/>
    <n v="0"/>
    <x v="0"/>
    <x v="0"/>
    <x v="1"/>
    <x v="0"/>
    <x v="0"/>
  </r>
  <r>
    <n v="1794"/>
    <x v="1"/>
    <x v="0"/>
    <s v="W"/>
    <n v="34490"/>
    <n v="594"/>
    <n v="20"/>
    <n v="21"/>
    <x v="0"/>
    <x v="0"/>
    <n v="0"/>
    <n v="0"/>
    <n v="0"/>
    <n v="0"/>
    <n v="0"/>
    <n v="0"/>
    <n v="0"/>
    <n v="0"/>
    <n v="0"/>
    <x v="0"/>
    <x v="0"/>
    <x v="1"/>
    <x v="0"/>
    <x v="0"/>
  </r>
  <r>
    <n v="1795"/>
    <x v="1"/>
    <x v="0"/>
    <s v="W"/>
    <n v="14390"/>
    <n v="455"/>
    <n v="-50"/>
    <n v="-8"/>
    <x v="0"/>
    <x v="1"/>
    <n v="0"/>
    <n v="1"/>
    <n v="0"/>
    <n v="0"/>
    <n v="0"/>
    <n v="0"/>
    <n v="0"/>
    <n v="1000"/>
    <n v="1000"/>
    <x v="0"/>
    <x v="0"/>
    <x v="1"/>
    <x v="0"/>
    <x v="0"/>
  </r>
  <r>
    <n v="1796"/>
    <x v="1"/>
    <x v="0"/>
    <s v="W"/>
    <n v="53700"/>
    <n v="573"/>
    <n v="87"/>
    <n v="16"/>
    <x v="0"/>
    <x v="0"/>
    <n v="0"/>
    <n v="0"/>
    <n v="0"/>
    <n v="0"/>
    <n v="0"/>
    <n v="0"/>
    <n v="0"/>
    <n v="0"/>
    <n v="0"/>
    <x v="0"/>
    <x v="0"/>
    <x v="1"/>
    <x v="0"/>
    <x v="0"/>
  </r>
  <r>
    <n v="1797"/>
    <x v="1"/>
    <x v="0"/>
    <s v="W"/>
    <n v="70980"/>
    <n v="1157"/>
    <n v="161"/>
    <n v="37"/>
    <x v="0"/>
    <x v="2"/>
    <n v="0"/>
    <n v="2"/>
    <n v="0"/>
    <n v="0"/>
    <n v="0"/>
    <n v="0"/>
    <n v="0"/>
    <n v="10000"/>
    <n v="6000"/>
    <x v="0"/>
    <x v="0"/>
    <x v="1"/>
    <x v="0"/>
    <x v="0"/>
  </r>
  <r>
    <n v="1798"/>
    <x v="1"/>
    <x v="0"/>
    <s v="N"/>
    <n v="35440"/>
    <n v="930"/>
    <n v="304"/>
    <n v="384"/>
    <x v="1"/>
    <x v="0"/>
    <n v="0"/>
    <n v="0"/>
    <n v="0"/>
    <n v="0"/>
    <n v="0"/>
    <n v="0"/>
    <n v="0"/>
    <n v="0"/>
    <n v="0"/>
    <x v="0"/>
    <x v="0"/>
    <x v="0"/>
    <x v="0"/>
    <x v="0"/>
  </r>
  <r>
    <n v="1799"/>
    <x v="1"/>
    <x v="1"/>
    <s v="N"/>
    <n v="37600"/>
    <n v="833"/>
    <n v="329"/>
    <n v="334"/>
    <x v="1"/>
    <x v="0"/>
    <n v="0"/>
    <n v="0"/>
    <n v="0"/>
    <n v="0"/>
    <n v="0"/>
    <n v="0"/>
    <n v="0"/>
    <n v="0"/>
    <n v="0"/>
    <x v="0"/>
    <x v="0"/>
    <x v="0"/>
    <x v="0"/>
    <x v="0"/>
  </r>
  <r>
    <n v="1800"/>
    <x v="1"/>
    <x v="1"/>
    <s v="N"/>
    <n v="21780"/>
    <n v="428"/>
    <n v="110"/>
    <n v="13"/>
    <x v="0"/>
    <x v="1"/>
    <n v="0"/>
    <n v="1"/>
    <n v="0"/>
    <n v="0"/>
    <n v="0"/>
    <n v="0"/>
    <n v="0"/>
    <n v="8000"/>
    <n v="8000"/>
    <x v="0"/>
    <x v="0"/>
    <x v="0"/>
    <x v="0"/>
    <x v="0"/>
  </r>
  <r>
    <n v="1801"/>
    <x v="1"/>
    <x v="1"/>
    <s v="W"/>
    <n v="17370"/>
    <n v="365"/>
    <n v="-37"/>
    <n v="-54"/>
    <x v="0"/>
    <x v="0"/>
    <n v="0"/>
    <n v="0"/>
    <n v="0"/>
    <n v="0"/>
    <n v="0"/>
    <n v="0"/>
    <n v="0"/>
    <n v="0"/>
    <n v="0"/>
    <x v="0"/>
    <x v="0"/>
    <x v="1"/>
    <x v="0"/>
    <x v="0"/>
  </r>
  <r>
    <n v="1802"/>
    <x v="1"/>
    <x v="1"/>
    <s v="W"/>
    <n v="17580"/>
    <n v="406"/>
    <n v="-38"/>
    <n v="-16"/>
    <x v="0"/>
    <x v="0"/>
    <n v="0"/>
    <n v="0"/>
    <n v="0"/>
    <n v="0"/>
    <n v="0"/>
    <n v="0"/>
    <n v="0"/>
    <n v="0"/>
    <n v="0"/>
    <x v="0"/>
    <x v="0"/>
    <x v="1"/>
    <x v="0"/>
    <x v="0"/>
  </r>
  <r>
    <n v="1803"/>
    <x v="1"/>
    <x v="1"/>
    <s v="W"/>
    <n v="21900"/>
    <n v="276"/>
    <n v="128"/>
    <n v="71"/>
    <x v="0"/>
    <x v="1"/>
    <n v="1"/>
    <n v="0"/>
    <n v="0"/>
    <n v="0"/>
    <n v="0"/>
    <n v="0"/>
    <n v="0"/>
    <n v="600"/>
    <n v="600"/>
    <x v="0"/>
    <x v="0"/>
    <x v="1"/>
    <x v="0"/>
    <x v="0"/>
  </r>
  <r>
    <n v="1804"/>
    <x v="1"/>
    <x v="1"/>
    <s v="W"/>
    <n v="38350"/>
    <n v="532"/>
    <n v="36"/>
    <n v="10"/>
    <x v="0"/>
    <x v="0"/>
    <n v="0"/>
    <n v="0"/>
    <n v="0"/>
    <n v="0"/>
    <n v="0"/>
    <n v="0"/>
    <n v="0"/>
    <n v="0"/>
    <n v="0"/>
    <x v="0"/>
    <x v="0"/>
    <x v="1"/>
    <x v="0"/>
    <x v="0"/>
  </r>
  <r>
    <n v="1805"/>
    <x v="1"/>
    <x v="1"/>
    <s v="W"/>
    <n v="44640"/>
    <n v="743"/>
    <n v="58"/>
    <n v="54"/>
    <x v="0"/>
    <x v="0"/>
    <n v="0"/>
    <n v="0"/>
    <n v="0"/>
    <n v="0"/>
    <n v="0"/>
    <n v="0"/>
    <n v="0"/>
    <n v="0"/>
    <n v="0"/>
    <x v="0"/>
    <x v="0"/>
    <x v="1"/>
    <x v="0"/>
    <x v="0"/>
  </r>
  <r>
    <n v="1806"/>
    <x v="1"/>
    <x v="1"/>
    <s v="W"/>
    <n v="27960"/>
    <n v="591"/>
    <n v="-1"/>
    <n v="23"/>
    <x v="0"/>
    <x v="1"/>
    <n v="0"/>
    <n v="1"/>
    <n v="0"/>
    <n v="0"/>
    <n v="0"/>
    <n v="0"/>
    <n v="0"/>
    <n v="2000"/>
    <n v="2000"/>
    <x v="0"/>
    <x v="0"/>
    <x v="1"/>
    <x v="0"/>
    <x v="0"/>
  </r>
  <r>
    <n v="1807"/>
    <x v="1"/>
    <x v="1"/>
    <s v="W"/>
    <n v="23770"/>
    <n v="519"/>
    <n v="-21"/>
    <n v="0"/>
    <x v="0"/>
    <x v="1"/>
    <n v="1"/>
    <n v="0"/>
    <n v="0"/>
    <n v="0"/>
    <n v="0"/>
    <n v="0"/>
    <n v="0"/>
    <n v="500"/>
    <n v="500"/>
    <x v="0"/>
    <x v="0"/>
    <x v="1"/>
    <x v="0"/>
    <x v="0"/>
  </r>
  <r>
    <n v="1808"/>
    <x v="1"/>
    <x v="1"/>
    <s v="W"/>
    <n v="59820"/>
    <n v="855"/>
    <n v="100"/>
    <n v="65"/>
    <x v="0"/>
    <x v="2"/>
    <n v="2"/>
    <n v="0"/>
    <n v="0"/>
    <n v="0"/>
    <n v="0"/>
    <n v="0"/>
    <n v="0"/>
    <n v="600"/>
    <n v="300"/>
    <x v="0"/>
    <x v="0"/>
    <x v="1"/>
    <x v="0"/>
    <x v="0"/>
  </r>
  <r>
    <n v="1809"/>
    <x v="1"/>
    <x v="1"/>
    <s v="W"/>
    <n v="48020"/>
    <n v="688"/>
    <n v="61"/>
    <n v="33"/>
    <x v="0"/>
    <x v="0"/>
    <n v="0"/>
    <n v="0"/>
    <n v="0"/>
    <n v="0"/>
    <n v="0"/>
    <n v="0"/>
    <n v="0"/>
    <n v="0"/>
    <n v="0"/>
    <x v="0"/>
    <x v="0"/>
    <x v="1"/>
    <x v="0"/>
    <x v="0"/>
  </r>
  <r>
    <n v="1810"/>
    <x v="1"/>
    <x v="1"/>
    <s v="W"/>
    <n v="25450"/>
    <n v="504"/>
    <n v="-15"/>
    <n v="-3"/>
    <x v="0"/>
    <x v="0"/>
    <n v="0"/>
    <n v="0"/>
    <n v="0"/>
    <n v="0"/>
    <n v="0"/>
    <n v="0"/>
    <n v="0"/>
    <n v="0"/>
    <n v="0"/>
    <x v="0"/>
    <x v="0"/>
    <x v="1"/>
    <x v="0"/>
    <x v="0"/>
  </r>
  <r>
    <n v="1811"/>
    <x v="1"/>
    <x v="1"/>
    <s v="W"/>
    <n v="64790"/>
    <n v="909"/>
    <n v="117"/>
    <n v="76"/>
    <x v="0"/>
    <x v="1"/>
    <n v="0"/>
    <n v="1"/>
    <n v="0"/>
    <n v="0"/>
    <n v="0"/>
    <n v="0"/>
    <n v="0"/>
    <n v="8000"/>
    <n v="8000"/>
    <x v="0"/>
    <x v="0"/>
    <x v="1"/>
    <x v="0"/>
    <x v="0"/>
  </r>
  <r>
    <n v="1812"/>
    <x v="1"/>
    <x v="1"/>
    <s v="W"/>
    <n v="34090"/>
    <n v="601"/>
    <n v="14"/>
    <n v="16"/>
    <x v="0"/>
    <x v="0"/>
    <n v="0"/>
    <n v="0"/>
    <n v="0"/>
    <n v="0"/>
    <n v="0"/>
    <n v="0"/>
    <n v="0"/>
    <n v="0"/>
    <n v="0"/>
    <x v="0"/>
    <x v="0"/>
    <x v="1"/>
    <x v="0"/>
    <x v="0"/>
  </r>
  <r>
    <n v="1813"/>
    <x v="1"/>
    <x v="1"/>
    <s v="W"/>
    <n v="25130"/>
    <n v="455"/>
    <n v="-13"/>
    <n v="-42"/>
    <x v="0"/>
    <x v="1"/>
    <n v="0"/>
    <n v="1"/>
    <n v="0"/>
    <n v="0"/>
    <n v="0"/>
    <n v="0"/>
    <n v="0"/>
    <n v="1000"/>
    <n v="1000"/>
    <x v="0"/>
    <x v="0"/>
    <x v="1"/>
    <x v="0"/>
    <x v="0"/>
  </r>
  <r>
    <n v="1814"/>
    <x v="1"/>
    <x v="1"/>
    <s v="W"/>
    <n v="34820"/>
    <n v="550"/>
    <n v="16"/>
    <n v="6"/>
    <x v="0"/>
    <x v="0"/>
    <n v="0"/>
    <n v="0"/>
    <n v="0"/>
    <n v="0"/>
    <n v="0"/>
    <n v="0"/>
    <n v="0"/>
    <n v="0"/>
    <n v="0"/>
    <x v="0"/>
    <x v="0"/>
    <x v="1"/>
    <x v="0"/>
    <x v="0"/>
  </r>
  <r>
    <n v="1815"/>
    <x v="0"/>
    <x v="1"/>
    <s v="W"/>
    <n v="69880"/>
    <n v="855"/>
    <n v="144"/>
    <n v="72"/>
    <x v="0"/>
    <x v="2"/>
    <n v="2"/>
    <n v="0"/>
    <n v="0"/>
    <n v="0"/>
    <n v="0"/>
    <n v="0"/>
    <n v="0"/>
    <n v="1200"/>
    <n v="800"/>
    <x v="0"/>
    <x v="0"/>
    <x v="1"/>
    <x v="0"/>
    <x v="0"/>
  </r>
  <r>
    <n v="1816"/>
    <x v="0"/>
    <x v="1"/>
    <s v="W"/>
    <n v="40900"/>
    <n v="776"/>
    <n v="43"/>
    <n v="57"/>
    <x v="0"/>
    <x v="1"/>
    <n v="1"/>
    <n v="0"/>
    <n v="0"/>
    <n v="0"/>
    <n v="0"/>
    <n v="0"/>
    <n v="0"/>
    <n v="400"/>
    <n v="400"/>
    <x v="0"/>
    <x v="0"/>
    <x v="1"/>
    <x v="0"/>
    <x v="0"/>
  </r>
  <r>
    <n v="1817"/>
    <x v="0"/>
    <x v="1"/>
    <s v="W"/>
    <n v="57040"/>
    <n v="754"/>
    <n v="99"/>
    <n v="52"/>
    <x v="0"/>
    <x v="1"/>
    <n v="0"/>
    <n v="1"/>
    <n v="0"/>
    <n v="0"/>
    <n v="0"/>
    <n v="0"/>
    <n v="0"/>
    <n v="3000"/>
    <n v="3000"/>
    <x v="0"/>
    <x v="0"/>
    <x v="1"/>
    <x v="0"/>
    <x v="0"/>
  </r>
  <r>
    <n v="1818"/>
    <x v="0"/>
    <x v="1"/>
    <s v="W"/>
    <n v="69240"/>
    <n v="857"/>
    <n v="142"/>
    <n v="73"/>
    <x v="0"/>
    <x v="0"/>
    <n v="0"/>
    <n v="0"/>
    <n v="0"/>
    <n v="0"/>
    <n v="0"/>
    <n v="0"/>
    <n v="0"/>
    <n v="0"/>
    <n v="0"/>
    <x v="0"/>
    <x v="0"/>
    <x v="1"/>
    <x v="0"/>
    <x v="0"/>
  </r>
  <r>
    <n v="1819"/>
    <x v="0"/>
    <x v="1"/>
    <s v="W"/>
    <n v="43030"/>
    <n v="625"/>
    <n v="50"/>
    <n v="26"/>
    <x v="0"/>
    <x v="1"/>
    <n v="1"/>
    <n v="0"/>
    <n v="0"/>
    <n v="0"/>
    <n v="0"/>
    <n v="0"/>
    <n v="0"/>
    <n v="300"/>
    <n v="300"/>
    <x v="0"/>
    <x v="0"/>
    <x v="1"/>
    <x v="0"/>
    <x v="0"/>
  </r>
  <r>
    <n v="1820"/>
    <x v="0"/>
    <x v="1"/>
    <s v="W"/>
    <n v="34170"/>
    <n v="610"/>
    <n v="19"/>
    <n v="23"/>
    <x v="0"/>
    <x v="1"/>
    <n v="1"/>
    <n v="0"/>
    <n v="0"/>
    <n v="0"/>
    <n v="0"/>
    <n v="0"/>
    <n v="0"/>
    <n v="500"/>
    <n v="500"/>
    <x v="0"/>
    <x v="0"/>
    <x v="1"/>
    <x v="0"/>
    <x v="0"/>
  </r>
  <r>
    <n v="1821"/>
    <x v="0"/>
    <x v="1"/>
    <s v="N"/>
    <n v="24530"/>
    <n v="626"/>
    <n v="180"/>
    <n v="226"/>
    <x v="0"/>
    <x v="0"/>
    <n v="0"/>
    <n v="0"/>
    <n v="0"/>
    <n v="0"/>
    <n v="0"/>
    <n v="0"/>
    <n v="0"/>
    <n v="0"/>
    <n v="0"/>
    <x v="0"/>
    <x v="0"/>
    <x v="0"/>
    <x v="0"/>
    <x v="0"/>
  </r>
  <r>
    <n v="1822"/>
    <x v="0"/>
    <x v="1"/>
    <s v="N"/>
    <n v="17930"/>
    <n v="347"/>
    <n v="668"/>
    <n v="323"/>
    <x v="2"/>
    <x v="0"/>
    <n v="0"/>
    <n v="0"/>
    <n v="0"/>
    <n v="0"/>
    <n v="0"/>
    <n v="0"/>
    <n v="0"/>
    <n v="0"/>
    <n v="0"/>
    <x v="0"/>
    <x v="0"/>
    <x v="0"/>
    <x v="0"/>
    <x v="0"/>
  </r>
  <r>
    <n v="1823"/>
    <x v="0"/>
    <x v="1"/>
    <s v="N"/>
    <n v="16060"/>
    <n v="335"/>
    <n v="83"/>
    <n v="74"/>
    <x v="0"/>
    <x v="0"/>
    <n v="0"/>
    <n v="0"/>
    <n v="0"/>
    <n v="0"/>
    <n v="0"/>
    <n v="0"/>
    <n v="0"/>
    <n v="0"/>
    <n v="0"/>
    <x v="0"/>
    <x v="0"/>
    <x v="0"/>
    <x v="0"/>
    <x v="0"/>
  </r>
  <r>
    <n v="1824"/>
    <x v="0"/>
    <x v="1"/>
    <s v="N"/>
    <n v="24150"/>
    <n v="364"/>
    <n v="176"/>
    <n v="90"/>
    <x v="0"/>
    <x v="1"/>
    <n v="0"/>
    <n v="1"/>
    <n v="0"/>
    <n v="0"/>
    <n v="0"/>
    <n v="0"/>
    <n v="0"/>
    <n v="5000"/>
    <n v="5000"/>
    <x v="0"/>
    <x v="0"/>
    <x v="0"/>
    <x v="0"/>
    <x v="0"/>
  </r>
  <r>
    <n v="1825"/>
    <x v="0"/>
    <x v="1"/>
    <s v="W"/>
    <n v="17300"/>
    <n v="367"/>
    <n v="-40"/>
    <n v="-27"/>
    <x v="0"/>
    <x v="0"/>
    <n v="0"/>
    <n v="0"/>
    <n v="0"/>
    <n v="0"/>
    <n v="0"/>
    <n v="0"/>
    <n v="0"/>
    <n v="0"/>
    <n v="0"/>
    <x v="0"/>
    <x v="0"/>
    <x v="1"/>
    <x v="0"/>
    <x v="0"/>
  </r>
  <r>
    <n v="1826"/>
    <x v="0"/>
    <x v="1"/>
    <s v="W"/>
    <n v="59840"/>
    <n v="696"/>
    <n v="124"/>
    <n v="7"/>
    <x v="0"/>
    <x v="2"/>
    <n v="1"/>
    <n v="1"/>
    <n v="0"/>
    <n v="0"/>
    <n v="0"/>
    <n v="0"/>
    <n v="0"/>
    <n v="6300"/>
    <n v="6000"/>
    <x v="1"/>
    <x v="1"/>
    <x v="1"/>
    <x v="0"/>
    <x v="0"/>
  </r>
  <r>
    <n v="1827"/>
    <x v="0"/>
    <x v="1"/>
    <s v="W"/>
    <n v="52200"/>
    <n v="828"/>
    <n v="95"/>
    <n v="27"/>
    <x v="0"/>
    <x v="1"/>
    <n v="0"/>
    <n v="0"/>
    <n v="1"/>
    <n v="0"/>
    <n v="0"/>
    <n v="0"/>
    <n v="0"/>
    <n v="10000"/>
    <n v="10000"/>
    <x v="0"/>
    <x v="0"/>
    <x v="1"/>
    <x v="0"/>
    <x v="0"/>
  </r>
  <r>
    <n v="1828"/>
    <x v="0"/>
    <x v="1"/>
    <s v="W"/>
    <n v="29800"/>
    <n v="627"/>
    <n v="12"/>
    <n v="-4"/>
    <x v="0"/>
    <x v="0"/>
    <n v="0"/>
    <n v="0"/>
    <n v="0"/>
    <n v="0"/>
    <n v="0"/>
    <n v="0"/>
    <n v="0"/>
    <n v="0"/>
    <n v="0"/>
    <x v="0"/>
    <x v="0"/>
    <x v="1"/>
    <x v="0"/>
    <x v="0"/>
  </r>
  <r>
    <n v="1829"/>
    <x v="0"/>
    <x v="1"/>
    <s v="W"/>
    <n v="55310"/>
    <n v="644"/>
    <n v="107"/>
    <n v="-1"/>
    <x v="0"/>
    <x v="3"/>
    <n v="2"/>
    <n v="1"/>
    <n v="0"/>
    <n v="0"/>
    <n v="0"/>
    <n v="0"/>
    <n v="0"/>
    <n v="4900"/>
    <n v="4000"/>
    <x v="0"/>
    <x v="0"/>
    <x v="1"/>
    <x v="0"/>
    <x v="0"/>
  </r>
  <r>
    <n v="1830"/>
    <x v="0"/>
    <x v="1"/>
    <s v="W"/>
    <n v="40480"/>
    <n v="639"/>
    <n v="51"/>
    <n v="-2"/>
    <x v="0"/>
    <x v="0"/>
    <n v="0"/>
    <n v="0"/>
    <n v="0"/>
    <n v="0"/>
    <n v="0"/>
    <n v="0"/>
    <n v="0"/>
    <n v="0"/>
    <n v="0"/>
    <x v="0"/>
    <x v="0"/>
    <x v="1"/>
    <x v="0"/>
    <x v="0"/>
  </r>
  <r>
    <n v="1831"/>
    <x v="0"/>
    <x v="1"/>
    <s v="W"/>
    <n v="32830"/>
    <n v="1134"/>
    <n v="17"/>
    <n v="75"/>
    <x v="1"/>
    <x v="0"/>
    <n v="0"/>
    <n v="0"/>
    <n v="0"/>
    <n v="0"/>
    <n v="0"/>
    <n v="0"/>
    <n v="0"/>
    <n v="0"/>
    <n v="0"/>
    <x v="0"/>
    <x v="0"/>
    <x v="1"/>
    <x v="0"/>
    <x v="0"/>
  </r>
  <r>
    <n v="1832"/>
    <x v="0"/>
    <x v="1"/>
    <s v="W"/>
    <n v="34660"/>
    <n v="516"/>
    <n v="23"/>
    <n v="-20"/>
    <x v="1"/>
    <x v="0"/>
    <n v="0"/>
    <n v="0"/>
    <n v="0"/>
    <n v="0"/>
    <n v="0"/>
    <n v="0"/>
    <n v="0"/>
    <n v="0"/>
    <n v="0"/>
    <x v="0"/>
    <x v="0"/>
    <x v="1"/>
    <x v="0"/>
    <x v="0"/>
  </r>
  <r>
    <n v="1833"/>
    <x v="0"/>
    <x v="1"/>
    <s v="W"/>
    <n v="35940"/>
    <n v="609"/>
    <n v="28"/>
    <n v="-6"/>
    <x v="1"/>
    <x v="0"/>
    <n v="0"/>
    <n v="0"/>
    <n v="0"/>
    <n v="0"/>
    <n v="0"/>
    <n v="0"/>
    <n v="0"/>
    <n v="0"/>
    <n v="0"/>
    <x v="0"/>
    <x v="0"/>
    <x v="1"/>
    <x v="0"/>
    <x v="0"/>
  </r>
  <r>
    <n v="1834"/>
    <x v="0"/>
    <x v="1"/>
    <s v="W"/>
    <n v="25490"/>
    <n v="546"/>
    <n v="-18"/>
    <n v="2"/>
    <x v="0"/>
    <x v="0"/>
    <n v="0"/>
    <n v="0"/>
    <n v="0"/>
    <n v="0"/>
    <n v="0"/>
    <n v="0"/>
    <n v="0"/>
    <n v="0"/>
    <n v="0"/>
    <x v="0"/>
    <x v="0"/>
    <x v="1"/>
    <x v="0"/>
    <x v="0"/>
  </r>
  <r>
    <n v="1835"/>
    <x v="0"/>
    <x v="1"/>
    <s v="W"/>
    <n v="22830"/>
    <n v="467"/>
    <n v="-19"/>
    <n v="-28"/>
    <x v="1"/>
    <x v="1"/>
    <n v="1"/>
    <n v="0"/>
    <n v="0"/>
    <n v="0"/>
    <n v="0"/>
    <n v="0"/>
    <n v="0"/>
    <n v="500"/>
    <n v="500"/>
    <x v="0"/>
    <x v="0"/>
    <x v="1"/>
    <x v="0"/>
    <x v="0"/>
  </r>
  <r>
    <n v="1836"/>
    <x v="0"/>
    <x v="1"/>
    <s v="W"/>
    <n v="66030"/>
    <n v="812"/>
    <n v="112"/>
    <n v="52"/>
    <x v="0"/>
    <x v="0"/>
    <n v="0"/>
    <n v="0"/>
    <n v="0"/>
    <n v="0"/>
    <n v="0"/>
    <n v="0"/>
    <n v="0"/>
    <n v="0"/>
    <n v="0"/>
    <x v="1"/>
    <x v="1"/>
    <x v="1"/>
    <x v="0"/>
    <x v="0"/>
  </r>
  <r>
    <n v="1837"/>
    <x v="0"/>
    <x v="1"/>
    <s v="W"/>
    <n v="67360"/>
    <n v="1525"/>
    <n v="139"/>
    <n v="135"/>
    <x v="1"/>
    <x v="2"/>
    <n v="1"/>
    <n v="0"/>
    <n v="1"/>
    <n v="0"/>
    <n v="0"/>
    <n v="0"/>
    <n v="0"/>
    <n v="80200"/>
    <n v="80000"/>
    <x v="0"/>
    <x v="0"/>
    <x v="1"/>
    <x v="0"/>
    <x v="0"/>
  </r>
  <r>
    <n v="1838"/>
    <x v="0"/>
    <x v="1"/>
    <s v="W"/>
    <n v="35800"/>
    <n v="722"/>
    <n v="27"/>
    <n v="11"/>
    <x v="1"/>
    <x v="0"/>
    <n v="0"/>
    <n v="0"/>
    <n v="0"/>
    <n v="0"/>
    <n v="0"/>
    <n v="0"/>
    <n v="0"/>
    <n v="0"/>
    <n v="0"/>
    <x v="0"/>
    <x v="0"/>
    <x v="1"/>
    <x v="0"/>
    <x v="0"/>
  </r>
  <r>
    <n v="1839"/>
    <x v="1"/>
    <x v="1"/>
    <s v="W"/>
    <n v="21220"/>
    <n v="540"/>
    <n v="-26"/>
    <n v="-14"/>
    <x v="1"/>
    <x v="0"/>
    <n v="0"/>
    <n v="0"/>
    <n v="0"/>
    <n v="0"/>
    <n v="0"/>
    <n v="0"/>
    <n v="0"/>
    <n v="0"/>
    <n v="0"/>
    <x v="1"/>
    <x v="1"/>
    <x v="1"/>
    <x v="0"/>
    <x v="0"/>
  </r>
  <r>
    <n v="1840"/>
    <x v="1"/>
    <x v="1"/>
    <s v="W"/>
    <n v="32780"/>
    <n v="677"/>
    <n v="15"/>
    <n v="8"/>
    <x v="1"/>
    <x v="1"/>
    <n v="0"/>
    <n v="0"/>
    <n v="1"/>
    <n v="0"/>
    <n v="0"/>
    <n v="0"/>
    <n v="0"/>
    <n v="10000"/>
    <n v="10000"/>
    <x v="0"/>
    <x v="0"/>
    <x v="1"/>
    <x v="0"/>
    <x v="0"/>
  </r>
  <r>
    <n v="1841"/>
    <x v="1"/>
    <x v="1"/>
    <s v="W"/>
    <n v="51410"/>
    <n v="922"/>
    <n v="80"/>
    <n v="47"/>
    <x v="1"/>
    <x v="0"/>
    <n v="0"/>
    <n v="0"/>
    <n v="0"/>
    <n v="0"/>
    <n v="0"/>
    <n v="0"/>
    <n v="0"/>
    <n v="0"/>
    <n v="0"/>
    <x v="0"/>
    <x v="0"/>
    <x v="1"/>
    <x v="0"/>
    <x v="0"/>
  </r>
  <r>
    <n v="1842"/>
    <x v="1"/>
    <x v="1"/>
    <s v="W"/>
    <n v="30220"/>
    <n v="592"/>
    <n v="6"/>
    <n v="-6"/>
    <x v="1"/>
    <x v="1"/>
    <n v="1"/>
    <n v="0"/>
    <n v="0"/>
    <n v="0"/>
    <n v="0"/>
    <n v="0"/>
    <n v="0"/>
    <n v="100"/>
    <n v="100"/>
    <x v="0"/>
    <x v="0"/>
    <x v="1"/>
    <x v="0"/>
    <x v="0"/>
  </r>
  <r>
    <n v="1843"/>
    <x v="1"/>
    <x v="1"/>
    <s v="W"/>
    <n v="23050"/>
    <n v="428"/>
    <n v="-19"/>
    <n v="-32"/>
    <x v="1"/>
    <x v="0"/>
    <n v="0"/>
    <n v="0"/>
    <n v="0"/>
    <n v="0"/>
    <n v="0"/>
    <n v="0"/>
    <n v="0"/>
    <n v="0"/>
    <n v="0"/>
    <x v="0"/>
    <x v="0"/>
    <x v="1"/>
    <x v="0"/>
    <x v="0"/>
  </r>
  <r>
    <n v="1844"/>
    <x v="1"/>
    <x v="1"/>
    <s v="N"/>
    <n v="21190"/>
    <n v="402"/>
    <n v="105"/>
    <n v="6"/>
    <x v="1"/>
    <x v="1"/>
    <n v="0"/>
    <n v="1"/>
    <n v="0"/>
    <n v="0"/>
    <n v="0"/>
    <n v="0"/>
    <n v="0"/>
    <n v="6000"/>
    <n v="6000"/>
    <x v="0"/>
    <x v="0"/>
    <x v="0"/>
    <x v="0"/>
    <x v="0"/>
  </r>
  <r>
    <n v="1845"/>
    <x v="1"/>
    <x v="1"/>
    <s v="N"/>
    <n v="44240"/>
    <n v="678"/>
    <n v="327"/>
    <n v="79"/>
    <x v="1"/>
    <x v="0"/>
    <n v="0"/>
    <n v="0"/>
    <n v="0"/>
    <n v="0"/>
    <n v="0"/>
    <n v="0"/>
    <n v="0"/>
    <n v="0"/>
    <n v="0"/>
    <x v="0"/>
    <x v="0"/>
    <x v="0"/>
    <x v="0"/>
    <x v="0"/>
  </r>
  <r>
    <n v="1846"/>
    <x v="1"/>
    <x v="1"/>
    <s v="N"/>
    <n v="26360"/>
    <n v="459"/>
    <n v="154"/>
    <n v="21"/>
    <x v="1"/>
    <x v="2"/>
    <n v="2"/>
    <n v="0"/>
    <n v="0"/>
    <n v="0"/>
    <n v="0"/>
    <n v="0"/>
    <n v="0"/>
    <n v="700"/>
    <n v="500"/>
    <x v="0"/>
    <x v="0"/>
    <x v="0"/>
    <x v="0"/>
    <x v="0"/>
  </r>
  <r>
    <n v="1847"/>
    <x v="1"/>
    <x v="1"/>
    <s v="N"/>
    <n v="12780"/>
    <n v="376"/>
    <n v="23"/>
    <n v="-1"/>
    <x v="1"/>
    <x v="0"/>
    <n v="0"/>
    <n v="0"/>
    <n v="0"/>
    <n v="0"/>
    <n v="0"/>
    <n v="0"/>
    <n v="0"/>
    <n v="0"/>
    <n v="0"/>
    <x v="0"/>
    <x v="0"/>
    <x v="0"/>
    <x v="0"/>
    <x v="0"/>
  </r>
  <r>
    <n v="1848"/>
    <x v="1"/>
    <x v="1"/>
    <s v="N"/>
    <n v="13010"/>
    <n v="322"/>
    <n v="26"/>
    <n v="-15"/>
    <x v="1"/>
    <x v="0"/>
    <n v="0"/>
    <n v="0"/>
    <n v="0"/>
    <n v="0"/>
    <n v="0"/>
    <n v="0"/>
    <n v="0"/>
    <n v="0"/>
    <n v="0"/>
    <x v="0"/>
    <x v="0"/>
    <x v="0"/>
    <x v="0"/>
    <x v="0"/>
  </r>
  <r>
    <n v="1849"/>
    <x v="1"/>
    <x v="1"/>
    <s v="N"/>
    <n v="10600"/>
    <n v="268"/>
    <n v="2"/>
    <n v="-29"/>
    <x v="1"/>
    <x v="0"/>
    <n v="0"/>
    <n v="0"/>
    <n v="0"/>
    <n v="0"/>
    <n v="0"/>
    <n v="0"/>
    <n v="0"/>
    <n v="0"/>
    <n v="0"/>
    <x v="0"/>
    <x v="0"/>
    <x v="0"/>
    <x v="0"/>
    <x v="0"/>
  </r>
  <r>
    <n v="1850"/>
    <x v="1"/>
    <x v="1"/>
    <s v="N"/>
    <n v="7590"/>
    <n v="233"/>
    <n v="-27"/>
    <n v="-38"/>
    <x v="1"/>
    <x v="0"/>
    <n v="0"/>
    <n v="0"/>
    <n v="0"/>
    <n v="0"/>
    <n v="0"/>
    <n v="0"/>
    <n v="0"/>
    <n v="0"/>
    <n v="0"/>
    <x v="0"/>
    <x v="0"/>
    <x v="0"/>
    <x v="1"/>
    <x v="0"/>
  </r>
  <r>
    <n v="1851"/>
    <x v="1"/>
    <x v="1"/>
    <s v="N"/>
    <n v="11330"/>
    <n v="204"/>
    <n v="9"/>
    <n v="-46"/>
    <x v="1"/>
    <x v="0"/>
    <n v="0"/>
    <n v="0"/>
    <n v="0"/>
    <n v="0"/>
    <n v="0"/>
    <n v="0"/>
    <n v="0"/>
    <n v="0"/>
    <n v="0"/>
    <x v="0"/>
    <x v="0"/>
    <x v="0"/>
    <x v="0"/>
    <x v="0"/>
  </r>
  <r>
    <n v="1852"/>
    <x v="1"/>
    <x v="1"/>
    <s v="N"/>
    <n v="6890"/>
    <n v="204"/>
    <n v="-34"/>
    <n v="-46"/>
    <x v="1"/>
    <x v="0"/>
    <n v="0"/>
    <n v="0"/>
    <n v="0"/>
    <n v="0"/>
    <n v="0"/>
    <n v="0"/>
    <n v="0"/>
    <n v="0"/>
    <n v="0"/>
    <x v="0"/>
    <x v="0"/>
    <x v="0"/>
    <x v="1"/>
    <x v="0"/>
  </r>
  <r>
    <n v="1853"/>
    <x v="1"/>
    <x v="1"/>
    <s v="N"/>
    <n v="8620"/>
    <n v="172"/>
    <n v="-17"/>
    <n v="-55"/>
    <x v="1"/>
    <x v="0"/>
    <n v="0"/>
    <n v="0"/>
    <n v="0"/>
    <n v="0"/>
    <n v="0"/>
    <n v="0"/>
    <n v="0"/>
    <n v="0"/>
    <n v="0"/>
    <x v="0"/>
    <x v="0"/>
    <x v="0"/>
    <x v="1"/>
    <x v="0"/>
  </r>
  <r>
    <n v="1854"/>
    <x v="1"/>
    <x v="1"/>
    <s v="N"/>
    <n v="4070"/>
    <n v="173"/>
    <n v="-61"/>
    <n v="-54"/>
    <x v="1"/>
    <x v="0"/>
    <n v="0"/>
    <n v="0"/>
    <n v="0"/>
    <n v="0"/>
    <n v="0"/>
    <n v="0"/>
    <n v="0"/>
    <n v="0"/>
    <n v="0"/>
    <x v="0"/>
    <x v="0"/>
    <x v="0"/>
    <x v="1"/>
    <x v="0"/>
  </r>
  <r>
    <n v="1855"/>
    <x v="1"/>
    <x v="1"/>
    <s v="N"/>
    <n v="7400"/>
    <n v="169"/>
    <n v="-28"/>
    <n v="-54"/>
    <x v="1"/>
    <x v="0"/>
    <n v="0"/>
    <n v="0"/>
    <n v="0"/>
    <n v="0"/>
    <n v="0"/>
    <n v="0"/>
    <n v="0"/>
    <n v="0"/>
    <n v="0"/>
    <x v="0"/>
    <x v="0"/>
    <x v="0"/>
    <x v="1"/>
    <x v="0"/>
  </r>
  <r>
    <n v="1856"/>
    <x v="1"/>
    <x v="1"/>
    <s v="N"/>
    <n v="6660"/>
    <n v="153"/>
    <n v="-35"/>
    <n v="-58"/>
    <x v="1"/>
    <x v="0"/>
    <n v="0"/>
    <n v="0"/>
    <n v="0"/>
    <n v="0"/>
    <n v="0"/>
    <n v="0"/>
    <n v="0"/>
    <n v="0"/>
    <n v="0"/>
    <x v="0"/>
    <x v="0"/>
    <x v="0"/>
    <x v="1"/>
    <x v="0"/>
  </r>
  <r>
    <n v="1857"/>
    <x v="1"/>
    <x v="1"/>
    <s v="N"/>
    <n v="9980"/>
    <n v="145"/>
    <n v="-3"/>
    <n v="-60"/>
    <x v="1"/>
    <x v="0"/>
    <n v="0"/>
    <n v="0"/>
    <n v="0"/>
    <n v="0"/>
    <n v="0"/>
    <n v="0"/>
    <n v="0"/>
    <n v="0"/>
    <n v="0"/>
    <x v="0"/>
    <x v="0"/>
    <x v="0"/>
    <x v="1"/>
    <x v="0"/>
  </r>
  <r>
    <n v="1858"/>
    <x v="1"/>
    <x v="1"/>
    <s v="N"/>
    <n v="6710"/>
    <n v="164"/>
    <n v="-35"/>
    <n v="-55"/>
    <x v="1"/>
    <x v="0"/>
    <n v="0"/>
    <n v="0"/>
    <n v="0"/>
    <n v="0"/>
    <n v="0"/>
    <n v="0"/>
    <n v="0"/>
    <n v="0"/>
    <n v="0"/>
    <x v="0"/>
    <x v="0"/>
    <x v="0"/>
    <x v="1"/>
    <x v="0"/>
  </r>
  <r>
    <n v="1859"/>
    <x v="1"/>
    <x v="1"/>
    <s v="N"/>
    <n v="8330"/>
    <n v="113"/>
    <n v="-19"/>
    <n v="-69"/>
    <x v="1"/>
    <x v="0"/>
    <n v="0"/>
    <n v="0"/>
    <n v="0"/>
    <n v="0"/>
    <n v="0"/>
    <n v="0"/>
    <n v="0"/>
    <n v="0"/>
    <n v="0"/>
    <x v="0"/>
    <x v="0"/>
    <x v="0"/>
    <x v="1"/>
    <x v="0"/>
  </r>
  <r>
    <n v="1860"/>
    <x v="1"/>
    <x v="1"/>
    <s v="N"/>
    <n v="2970"/>
    <n v="142"/>
    <n v="-71"/>
    <n v="-61"/>
    <x v="1"/>
    <x v="0"/>
    <n v="0"/>
    <n v="0"/>
    <n v="0"/>
    <n v="0"/>
    <n v="0"/>
    <n v="0"/>
    <n v="0"/>
    <n v="0"/>
    <n v="0"/>
    <x v="0"/>
    <x v="0"/>
    <x v="0"/>
    <x v="1"/>
    <x v="0"/>
  </r>
  <r>
    <n v="1861"/>
    <x v="1"/>
    <x v="1"/>
    <s v="N"/>
    <n v="4690"/>
    <n v="126"/>
    <n v="-55"/>
    <n v="-65"/>
    <x v="1"/>
    <x v="0"/>
    <n v="0"/>
    <n v="0"/>
    <n v="0"/>
    <n v="0"/>
    <n v="0"/>
    <n v="0"/>
    <n v="0"/>
    <n v="0"/>
    <n v="0"/>
    <x v="0"/>
    <x v="0"/>
    <x v="0"/>
    <x v="1"/>
    <x v="0"/>
  </r>
  <r>
    <n v="1862"/>
    <x v="1"/>
    <x v="1"/>
    <s v="N"/>
    <n v="3080"/>
    <n v="123"/>
    <n v="-70"/>
    <n v="-66"/>
    <x v="1"/>
    <x v="0"/>
    <n v="0"/>
    <n v="0"/>
    <n v="0"/>
    <n v="0"/>
    <n v="0"/>
    <n v="0"/>
    <n v="0"/>
    <n v="0"/>
    <n v="0"/>
    <x v="0"/>
    <x v="0"/>
    <x v="0"/>
    <x v="1"/>
    <x v="0"/>
  </r>
  <r>
    <n v="1863"/>
    <x v="0"/>
    <x v="1"/>
    <s v="N"/>
    <n v="11920"/>
    <n v="141"/>
    <n v="21"/>
    <n v="-60"/>
    <x v="0"/>
    <x v="1"/>
    <n v="1"/>
    <n v="0"/>
    <n v="0"/>
    <n v="0"/>
    <n v="0"/>
    <n v="0"/>
    <n v="0"/>
    <n v="800"/>
    <n v="800"/>
    <x v="0"/>
    <x v="0"/>
    <x v="0"/>
    <x v="0"/>
    <x v="0"/>
  </r>
  <r>
    <n v="1864"/>
    <x v="0"/>
    <x v="1"/>
    <s v="N"/>
    <n v="5680"/>
    <n v="127"/>
    <n v="-43"/>
    <n v="-64"/>
    <x v="0"/>
    <x v="0"/>
    <n v="0"/>
    <n v="0"/>
    <n v="0"/>
    <n v="0"/>
    <n v="0"/>
    <n v="0"/>
    <n v="0"/>
    <n v="0"/>
    <n v="0"/>
    <x v="0"/>
    <x v="0"/>
    <x v="0"/>
    <x v="1"/>
    <x v="0"/>
  </r>
  <r>
    <n v="1865"/>
    <x v="0"/>
    <x v="1"/>
    <s v="N"/>
    <n v="4890"/>
    <n v="162"/>
    <n v="97"/>
    <n v="88"/>
    <x v="0"/>
    <x v="0"/>
    <n v="0"/>
    <n v="0"/>
    <n v="0"/>
    <n v="0"/>
    <n v="0"/>
    <n v="0"/>
    <n v="0"/>
    <n v="0"/>
    <n v="0"/>
    <x v="0"/>
    <x v="0"/>
    <x v="0"/>
    <x v="1"/>
    <x v="0"/>
  </r>
  <r>
    <n v="1866"/>
    <x v="0"/>
    <x v="1"/>
    <s v="N"/>
    <n v="10320"/>
    <n v="172"/>
    <n v="4"/>
    <n v="-51"/>
    <x v="0"/>
    <x v="0"/>
    <n v="0"/>
    <n v="0"/>
    <n v="0"/>
    <n v="0"/>
    <n v="0"/>
    <n v="0"/>
    <n v="0"/>
    <n v="0"/>
    <n v="0"/>
    <x v="0"/>
    <x v="0"/>
    <x v="0"/>
    <x v="0"/>
    <x v="0"/>
  </r>
  <r>
    <n v="1867"/>
    <x v="0"/>
    <x v="1"/>
    <s v="N"/>
    <n v="22610"/>
    <n v="242"/>
    <n v="193"/>
    <n v="30"/>
    <x v="0"/>
    <x v="0"/>
    <n v="0"/>
    <n v="0"/>
    <n v="0"/>
    <n v="0"/>
    <n v="0"/>
    <n v="0"/>
    <n v="0"/>
    <n v="0"/>
    <n v="0"/>
    <x v="0"/>
    <x v="0"/>
    <x v="0"/>
    <x v="0"/>
    <x v="0"/>
  </r>
  <r>
    <n v="1868"/>
    <x v="0"/>
    <x v="1"/>
    <s v="N"/>
    <n v="2410"/>
    <n v="109"/>
    <n v="-76"/>
    <n v="-69"/>
    <x v="0"/>
    <x v="0"/>
    <n v="0"/>
    <n v="0"/>
    <n v="0"/>
    <n v="0"/>
    <n v="0"/>
    <n v="0"/>
    <n v="0"/>
    <n v="0"/>
    <n v="0"/>
    <x v="0"/>
    <x v="0"/>
    <x v="0"/>
    <x v="1"/>
    <x v="0"/>
  </r>
  <r>
    <n v="1869"/>
    <x v="0"/>
    <x v="1"/>
    <s v="N"/>
    <n v="8690"/>
    <n v="92"/>
    <n v="-12"/>
    <n v="-74"/>
    <x v="0"/>
    <x v="1"/>
    <n v="0"/>
    <n v="1"/>
    <n v="0"/>
    <n v="0"/>
    <n v="0"/>
    <n v="0"/>
    <n v="0"/>
    <n v="4000"/>
    <n v="4000"/>
    <x v="0"/>
    <x v="0"/>
    <x v="0"/>
    <x v="1"/>
    <x v="0"/>
  </r>
  <r>
    <n v="1870"/>
    <x v="0"/>
    <x v="1"/>
    <s v="N"/>
    <n v="4530"/>
    <n v="98"/>
    <n v="-54"/>
    <n v="-72"/>
    <x v="0"/>
    <x v="0"/>
    <n v="0"/>
    <n v="0"/>
    <n v="0"/>
    <n v="0"/>
    <n v="0"/>
    <n v="0"/>
    <n v="0"/>
    <n v="0"/>
    <n v="0"/>
    <x v="0"/>
    <x v="0"/>
    <x v="0"/>
    <x v="1"/>
    <x v="0"/>
  </r>
  <r>
    <n v="1871"/>
    <x v="0"/>
    <x v="1"/>
    <s v="N"/>
    <n v="4040"/>
    <n v="92"/>
    <n v="-57"/>
    <n v="-72"/>
    <x v="0"/>
    <x v="0"/>
    <n v="0"/>
    <n v="0"/>
    <n v="0"/>
    <n v="0"/>
    <n v="0"/>
    <n v="0"/>
    <n v="0"/>
    <n v="0"/>
    <n v="0"/>
    <x v="0"/>
    <x v="0"/>
    <x v="0"/>
    <x v="1"/>
    <x v="0"/>
  </r>
  <r>
    <n v="1872"/>
    <x v="0"/>
    <x v="1"/>
    <s v="N"/>
    <n v="6920"/>
    <n v="100"/>
    <n v="-26"/>
    <n v="-69"/>
    <x v="0"/>
    <x v="0"/>
    <n v="0"/>
    <n v="0"/>
    <n v="0"/>
    <n v="0"/>
    <n v="0"/>
    <n v="0"/>
    <n v="0"/>
    <n v="0"/>
    <n v="0"/>
    <x v="0"/>
    <x v="0"/>
    <x v="0"/>
    <x v="1"/>
    <x v="0"/>
  </r>
  <r>
    <n v="1873"/>
    <x v="0"/>
    <x v="1"/>
    <s v="N"/>
    <n v="4230"/>
    <n v="126"/>
    <n v="-55"/>
    <n v="-61"/>
    <x v="0"/>
    <x v="0"/>
    <n v="0"/>
    <n v="0"/>
    <n v="0"/>
    <n v="0"/>
    <n v="0"/>
    <n v="0"/>
    <n v="0"/>
    <n v="0"/>
    <n v="0"/>
    <x v="0"/>
    <x v="0"/>
    <x v="0"/>
    <x v="1"/>
    <x v="0"/>
  </r>
  <r>
    <n v="1874"/>
    <x v="0"/>
    <x v="1"/>
    <s v="W"/>
    <n v="22820"/>
    <n v="311"/>
    <n v="-25"/>
    <n v="-51"/>
    <x v="0"/>
    <x v="0"/>
    <n v="0"/>
    <n v="0"/>
    <n v="0"/>
    <n v="0"/>
    <n v="0"/>
    <n v="0"/>
    <n v="0"/>
    <n v="0"/>
    <n v="0"/>
    <x v="0"/>
    <x v="0"/>
    <x v="1"/>
    <x v="0"/>
    <x v="0"/>
  </r>
  <r>
    <n v="1875"/>
    <x v="0"/>
    <x v="1"/>
    <s v="W"/>
    <n v="20760"/>
    <n v="326"/>
    <n v="-32"/>
    <n v="-49"/>
    <x v="0"/>
    <x v="0"/>
    <n v="0"/>
    <n v="0"/>
    <n v="0"/>
    <n v="0"/>
    <n v="0"/>
    <n v="0"/>
    <n v="0"/>
    <n v="0"/>
    <n v="0"/>
    <x v="0"/>
    <x v="0"/>
    <x v="1"/>
    <x v="0"/>
    <x v="0"/>
  </r>
  <r>
    <n v="1876"/>
    <x v="0"/>
    <x v="1"/>
    <s v="W"/>
    <n v="27150"/>
    <n v="441"/>
    <n v="-11"/>
    <n v="-31"/>
    <x v="0"/>
    <x v="0"/>
    <n v="0"/>
    <n v="0"/>
    <n v="0"/>
    <n v="0"/>
    <n v="0"/>
    <n v="0"/>
    <n v="0"/>
    <n v="0"/>
    <n v="0"/>
    <x v="0"/>
    <x v="0"/>
    <x v="1"/>
    <x v="0"/>
    <x v="0"/>
  </r>
  <r>
    <n v="1877"/>
    <x v="0"/>
    <x v="1"/>
    <s v="W"/>
    <n v="66520"/>
    <n v="685"/>
    <n v="118"/>
    <n v="7"/>
    <x v="0"/>
    <x v="0"/>
    <n v="0"/>
    <n v="0"/>
    <n v="0"/>
    <n v="0"/>
    <n v="0"/>
    <n v="0"/>
    <n v="0"/>
    <n v="0"/>
    <n v="0"/>
    <x v="0"/>
    <x v="0"/>
    <x v="1"/>
    <x v="0"/>
    <x v="0"/>
  </r>
  <r>
    <n v="1878"/>
    <x v="0"/>
    <x v="1"/>
    <s v="W"/>
    <n v="24360"/>
    <n v="444"/>
    <n v="-20"/>
    <n v="-31"/>
    <x v="0"/>
    <x v="0"/>
    <n v="0"/>
    <n v="0"/>
    <n v="0"/>
    <n v="0"/>
    <n v="0"/>
    <n v="0"/>
    <n v="0"/>
    <n v="0"/>
    <n v="0"/>
    <x v="0"/>
    <x v="0"/>
    <x v="1"/>
    <x v="0"/>
    <x v="0"/>
  </r>
  <r>
    <n v="1879"/>
    <x v="0"/>
    <x v="0"/>
    <s v="W"/>
    <n v="18160"/>
    <n v="378"/>
    <n v="-43"/>
    <n v="-41"/>
    <x v="0"/>
    <x v="0"/>
    <n v="0"/>
    <n v="0"/>
    <n v="0"/>
    <n v="0"/>
    <n v="0"/>
    <n v="0"/>
    <n v="0"/>
    <n v="0"/>
    <n v="0"/>
    <x v="0"/>
    <x v="0"/>
    <x v="1"/>
    <x v="0"/>
    <x v="0"/>
  </r>
  <r>
    <n v="1880"/>
    <x v="0"/>
    <x v="0"/>
    <s v="W"/>
    <n v="17860"/>
    <n v="321"/>
    <n v="-44"/>
    <n v="-50"/>
    <x v="0"/>
    <x v="1"/>
    <n v="1"/>
    <n v="0"/>
    <n v="0"/>
    <n v="0"/>
    <n v="0"/>
    <n v="0"/>
    <n v="0"/>
    <n v="400"/>
    <n v="400"/>
    <x v="0"/>
    <x v="0"/>
    <x v="1"/>
    <x v="0"/>
    <x v="0"/>
  </r>
  <r>
    <n v="1881"/>
    <x v="0"/>
    <x v="0"/>
    <s v="W"/>
    <n v="75050"/>
    <n v="675"/>
    <n v="134"/>
    <n v="5"/>
    <x v="0"/>
    <x v="3"/>
    <n v="0"/>
    <n v="3"/>
    <n v="0"/>
    <n v="0"/>
    <n v="0"/>
    <n v="0"/>
    <n v="0"/>
    <n v="13000"/>
    <n v="8000"/>
    <x v="0"/>
    <x v="0"/>
    <x v="1"/>
    <x v="0"/>
    <x v="0"/>
  </r>
  <r>
    <n v="1882"/>
    <x v="0"/>
    <x v="0"/>
    <s v="W"/>
    <n v="80100"/>
    <n v="867"/>
    <n v="150"/>
    <n v="35"/>
    <x v="0"/>
    <x v="2"/>
    <n v="1"/>
    <n v="1"/>
    <n v="0"/>
    <n v="0"/>
    <n v="0"/>
    <n v="0"/>
    <n v="0"/>
    <n v="1500"/>
    <n v="1000"/>
    <x v="0"/>
    <x v="0"/>
    <x v="1"/>
    <x v="0"/>
    <x v="0"/>
  </r>
  <r>
    <n v="1883"/>
    <x v="0"/>
    <x v="0"/>
    <s v="W"/>
    <n v="27740"/>
    <n v="423"/>
    <n v="-13"/>
    <n v="-34"/>
    <x v="0"/>
    <x v="0"/>
    <n v="0"/>
    <n v="0"/>
    <n v="0"/>
    <n v="0"/>
    <n v="0"/>
    <n v="0"/>
    <n v="0"/>
    <n v="0"/>
    <n v="0"/>
    <x v="0"/>
    <x v="0"/>
    <x v="1"/>
    <x v="0"/>
    <x v="0"/>
  </r>
  <r>
    <n v="1884"/>
    <x v="0"/>
    <x v="0"/>
    <s v="W"/>
    <n v="32430"/>
    <n v="527"/>
    <n v="1"/>
    <n v="-18"/>
    <x v="0"/>
    <x v="0"/>
    <n v="0"/>
    <n v="0"/>
    <n v="0"/>
    <n v="0"/>
    <n v="0"/>
    <n v="0"/>
    <n v="0"/>
    <n v="0"/>
    <n v="0"/>
    <x v="0"/>
    <x v="0"/>
    <x v="1"/>
    <x v="0"/>
    <x v="0"/>
  </r>
  <r>
    <n v="1885"/>
    <x v="0"/>
    <x v="0"/>
    <s v="W"/>
    <n v="30750"/>
    <n v="508"/>
    <n v="-4"/>
    <n v="-21"/>
    <x v="0"/>
    <x v="0"/>
    <n v="0"/>
    <n v="0"/>
    <n v="0"/>
    <n v="0"/>
    <n v="0"/>
    <n v="0"/>
    <n v="0"/>
    <n v="0"/>
    <n v="0"/>
    <x v="0"/>
    <x v="0"/>
    <x v="1"/>
    <x v="0"/>
    <x v="0"/>
  </r>
  <r>
    <n v="1886"/>
    <x v="0"/>
    <x v="0"/>
    <s v="W"/>
    <n v="64920"/>
    <n v="690"/>
    <n v="103"/>
    <n v="7"/>
    <x v="0"/>
    <x v="1"/>
    <n v="0"/>
    <n v="1"/>
    <n v="0"/>
    <n v="0"/>
    <n v="0"/>
    <n v="0"/>
    <n v="0"/>
    <n v="1000"/>
    <n v="1000"/>
    <x v="0"/>
    <x v="0"/>
    <x v="1"/>
    <x v="0"/>
    <x v="0"/>
  </r>
  <r>
    <n v="1887"/>
    <x v="0"/>
    <x v="0"/>
    <s v="W"/>
    <n v="36930"/>
    <n v="534"/>
    <n v="14"/>
    <n v="-13"/>
    <x v="0"/>
    <x v="0"/>
    <n v="0"/>
    <n v="0"/>
    <n v="0"/>
    <n v="0"/>
    <n v="0"/>
    <n v="0"/>
    <n v="0"/>
    <n v="0"/>
    <n v="0"/>
    <x v="0"/>
    <x v="0"/>
    <x v="1"/>
    <x v="0"/>
    <x v="0"/>
  </r>
  <r>
    <n v="1888"/>
    <x v="0"/>
    <x v="0"/>
    <s v="N"/>
    <n v="18890"/>
    <n v="386"/>
    <n v="102"/>
    <n v="19"/>
    <x v="0"/>
    <x v="1"/>
    <n v="1"/>
    <n v="0"/>
    <n v="0"/>
    <n v="0"/>
    <n v="0"/>
    <n v="0"/>
    <n v="0"/>
    <n v="400"/>
    <n v="400"/>
    <x v="0"/>
    <x v="0"/>
    <x v="0"/>
    <x v="0"/>
    <x v="0"/>
  </r>
  <r>
    <n v="1889"/>
    <x v="0"/>
    <x v="0"/>
    <s v="W"/>
    <n v="46400"/>
    <n v="652"/>
    <n v="43"/>
    <n v="7"/>
    <x v="0"/>
    <x v="0"/>
    <n v="0"/>
    <n v="0"/>
    <n v="0"/>
    <n v="0"/>
    <n v="0"/>
    <n v="0"/>
    <n v="0"/>
    <n v="0"/>
    <n v="0"/>
    <x v="0"/>
    <x v="0"/>
    <x v="1"/>
    <x v="0"/>
    <x v="0"/>
  </r>
  <r>
    <n v="1890"/>
    <x v="0"/>
    <x v="0"/>
    <s v="W"/>
    <n v="96760"/>
    <n v="1125"/>
    <n v="197"/>
    <n v="84"/>
    <x v="0"/>
    <x v="0"/>
    <n v="0"/>
    <n v="0"/>
    <n v="0"/>
    <n v="0"/>
    <n v="0"/>
    <n v="0"/>
    <n v="0"/>
    <n v="0"/>
    <n v="0"/>
    <x v="0"/>
    <x v="0"/>
    <x v="1"/>
    <x v="0"/>
    <x v="0"/>
  </r>
  <r>
    <n v="1891"/>
    <x v="0"/>
    <x v="0"/>
    <s v="W"/>
    <n v="40350"/>
    <n v="645"/>
    <n v="24"/>
    <n v="5"/>
    <x v="0"/>
    <x v="0"/>
    <n v="0"/>
    <n v="0"/>
    <n v="0"/>
    <n v="0"/>
    <n v="0"/>
    <n v="0"/>
    <n v="0"/>
    <n v="0"/>
    <n v="0"/>
    <x v="0"/>
    <x v="0"/>
    <x v="1"/>
    <x v="0"/>
    <x v="0"/>
  </r>
  <r>
    <n v="1892"/>
    <x v="0"/>
    <x v="0"/>
    <s v="W"/>
    <n v="90240"/>
    <n v="1080"/>
    <n v="177"/>
    <n v="77"/>
    <x v="0"/>
    <x v="0"/>
    <n v="0"/>
    <n v="0"/>
    <n v="0"/>
    <n v="0"/>
    <n v="0"/>
    <n v="0"/>
    <n v="0"/>
    <n v="0"/>
    <n v="0"/>
    <x v="0"/>
    <x v="0"/>
    <x v="1"/>
    <x v="0"/>
    <x v="0"/>
  </r>
  <r>
    <n v="1893"/>
    <x v="0"/>
    <x v="0"/>
    <s v="W"/>
    <n v="104340"/>
    <n v="1269"/>
    <n v="221"/>
    <n v="108"/>
    <x v="0"/>
    <x v="0"/>
    <n v="0"/>
    <n v="0"/>
    <n v="0"/>
    <n v="0"/>
    <n v="0"/>
    <n v="0"/>
    <n v="0"/>
    <n v="0"/>
    <n v="0"/>
    <x v="0"/>
    <x v="0"/>
    <x v="1"/>
    <x v="2"/>
    <x v="0"/>
  </r>
  <r>
    <n v="1894"/>
    <x v="0"/>
    <x v="0"/>
    <s v="W"/>
    <n v="32620"/>
    <n v="718"/>
    <n v="0"/>
    <n v="17"/>
    <x v="0"/>
    <x v="0"/>
    <n v="0"/>
    <n v="0"/>
    <n v="0"/>
    <n v="0"/>
    <n v="0"/>
    <n v="0"/>
    <n v="0"/>
    <n v="0"/>
    <n v="0"/>
    <x v="0"/>
    <x v="0"/>
    <x v="1"/>
    <x v="0"/>
    <x v="0"/>
  </r>
  <r>
    <n v="1895"/>
    <x v="0"/>
    <x v="0"/>
    <s v="N"/>
    <n v="22480"/>
    <n v="508"/>
    <n v="227"/>
    <n v="195"/>
    <x v="0"/>
    <x v="0"/>
    <n v="0"/>
    <n v="0"/>
    <n v="0"/>
    <n v="0"/>
    <n v="0"/>
    <n v="0"/>
    <n v="0"/>
    <n v="0"/>
    <n v="0"/>
    <x v="0"/>
    <x v="0"/>
    <x v="0"/>
    <x v="0"/>
    <x v="0"/>
  </r>
  <r>
    <n v="1896"/>
    <x v="0"/>
    <x v="0"/>
    <s v="N"/>
    <n v="28710"/>
    <n v="454"/>
    <n v="207"/>
    <n v="40"/>
    <x v="0"/>
    <x v="1"/>
    <n v="0"/>
    <n v="1"/>
    <n v="0"/>
    <n v="0"/>
    <n v="0"/>
    <n v="0"/>
    <n v="0"/>
    <n v="4000"/>
    <n v="4000"/>
    <x v="0"/>
    <x v="0"/>
    <x v="0"/>
    <x v="0"/>
    <x v="0"/>
  </r>
  <r>
    <n v="1897"/>
    <x v="0"/>
    <x v="0"/>
    <s v="N"/>
    <n v="29310"/>
    <n v="445"/>
    <n v="214"/>
    <n v="38"/>
    <x v="0"/>
    <x v="0"/>
    <n v="0"/>
    <n v="0"/>
    <n v="0"/>
    <n v="0"/>
    <n v="0"/>
    <n v="0"/>
    <n v="0"/>
    <n v="0"/>
    <n v="0"/>
    <x v="0"/>
    <x v="0"/>
    <x v="0"/>
    <x v="0"/>
    <x v="0"/>
  </r>
  <r>
    <n v="1898"/>
    <x v="0"/>
    <x v="0"/>
    <s v="W"/>
    <n v="19910"/>
    <n v="568"/>
    <n v="-42"/>
    <n v="-3"/>
    <x v="0"/>
    <x v="0"/>
    <n v="0"/>
    <n v="0"/>
    <n v="0"/>
    <n v="0"/>
    <n v="0"/>
    <n v="0"/>
    <n v="0"/>
    <n v="0"/>
    <n v="0"/>
    <x v="0"/>
    <x v="0"/>
    <x v="1"/>
    <x v="0"/>
    <x v="0"/>
  </r>
  <r>
    <n v="1899"/>
    <x v="0"/>
    <x v="0"/>
    <s v="W"/>
    <n v="12250"/>
    <n v="342"/>
    <n v="-64"/>
    <n v="-41"/>
    <x v="0"/>
    <x v="0"/>
    <n v="0"/>
    <n v="0"/>
    <n v="0"/>
    <n v="0"/>
    <n v="0"/>
    <n v="0"/>
    <n v="0"/>
    <n v="0"/>
    <n v="0"/>
    <x v="0"/>
    <x v="0"/>
    <x v="1"/>
    <x v="0"/>
    <x v="0"/>
  </r>
  <r>
    <n v="1900"/>
    <x v="0"/>
    <x v="0"/>
    <s v="W"/>
    <n v="15080"/>
    <n v="306"/>
    <n v="-56"/>
    <n v="-48"/>
    <x v="0"/>
    <x v="0"/>
    <n v="0"/>
    <n v="0"/>
    <n v="0"/>
    <n v="0"/>
    <n v="0"/>
    <n v="0"/>
    <n v="0"/>
    <n v="0"/>
    <n v="0"/>
    <x v="0"/>
    <x v="0"/>
    <x v="1"/>
    <x v="0"/>
    <x v="0"/>
  </r>
  <r>
    <n v="1901"/>
    <x v="0"/>
    <x v="0"/>
    <s v="W"/>
    <n v="17180"/>
    <n v="310"/>
    <n v="-50"/>
    <n v="-47"/>
    <x v="0"/>
    <x v="0"/>
    <n v="0"/>
    <n v="0"/>
    <n v="0"/>
    <n v="0"/>
    <n v="0"/>
    <n v="0"/>
    <n v="0"/>
    <n v="0"/>
    <n v="0"/>
    <x v="0"/>
    <x v="0"/>
    <x v="1"/>
    <x v="0"/>
    <x v="0"/>
  </r>
  <r>
    <n v="1902"/>
    <x v="0"/>
    <x v="0"/>
    <s v="W"/>
    <n v="36680"/>
    <n v="513"/>
    <n v="47"/>
    <n v="3"/>
    <x v="0"/>
    <x v="0"/>
    <n v="0"/>
    <n v="0"/>
    <n v="0"/>
    <n v="0"/>
    <n v="0"/>
    <n v="0"/>
    <n v="0"/>
    <n v="0"/>
    <n v="0"/>
    <x v="0"/>
    <x v="0"/>
    <x v="1"/>
    <x v="0"/>
    <x v="0"/>
  </r>
  <r>
    <n v="1903"/>
    <x v="0"/>
    <x v="0"/>
    <s v="N"/>
    <n v="14170"/>
    <n v="381"/>
    <n v="52"/>
    <n v="18"/>
    <x v="0"/>
    <x v="0"/>
    <n v="0"/>
    <n v="0"/>
    <n v="0"/>
    <n v="0"/>
    <n v="0"/>
    <n v="0"/>
    <n v="0"/>
    <n v="0"/>
    <n v="0"/>
    <x v="0"/>
    <x v="0"/>
    <x v="0"/>
    <x v="0"/>
    <x v="0"/>
  </r>
  <r>
    <n v="1904"/>
    <x v="0"/>
    <x v="0"/>
    <s v="N"/>
    <n v="18790"/>
    <n v="322"/>
    <n v="101"/>
    <n v="0"/>
    <x v="0"/>
    <x v="0"/>
    <n v="0"/>
    <n v="0"/>
    <n v="0"/>
    <n v="0"/>
    <n v="0"/>
    <n v="0"/>
    <n v="0"/>
    <n v="0"/>
    <n v="0"/>
    <x v="0"/>
    <x v="0"/>
    <x v="0"/>
    <x v="0"/>
    <x v="0"/>
  </r>
  <r>
    <n v="1905"/>
    <x v="0"/>
    <x v="0"/>
    <s v="W"/>
    <n v="14580"/>
    <n v="321"/>
    <n v="-60"/>
    <n v="-47"/>
    <x v="0"/>
    <x v="0"/>
    <n v="0"/>
    <n v="0"/>
    <n v="0"/>
    <n v="0"/>
    <n v="0"/>
    <n v="0"/>
    <n v="0"/>
    <n v="0"/>
    <n v="0"/>
    <x v="0"/>
    <x v="0"/>
    <x v="1"/>
    <x v="0"/>
    <x v="0"/>
  </r>
  <r>
    <n v="1906"/>
    <x v="0"/>
    <x v="0"/>
    <s v="W"/>
    <n v="22530"/>
    <n v="328"/>
    <n v="-39"/>
    <n v="-46"/>
    <x v="0"/>
    <x v="1"/>
    <n v="1"/>
    <n v="0"/>
    <n v="0"/>
    <n v="0"/>
    <n v="0"/>
    <n v="0"/>
    <n v="0"/>
    <n v="400"/>
    <n v="400"/>
    <x v="0"/>
    <x v="0"/>
    <x v="1"/>
    <x v="0"/>
    <x v="0"/>
  </r>
  <r>
    <n v="1907"/>
    <x v="0"/>
    <x v="0"/>
    <s v="W"/>
    <n v="18440"/>
    <n v="403"/>
    <n v="-50"/>
    <n v="-34"/>
    <x v="0"/>
    <x v="0"/>
    <n v="0"/>
    <n v="0"/>
    <n v="0"/>
    <n v="0"/>
    <n v="0"/>
    <n v="0"/>
    <n v="0"/>
    <n v="0"/>
    <n v="0"/>
    <x v="0"/>
    <x v="0"/>
    <x v="1"/>
    <x v="0"/>
    <x v="0"/>
  </r>
  <r>
    <n v="1908"/>
    <x v="0"/>
    <x v="0"/>
    <s v="W"/>
    <n v="64990"/>
    <n v="802"/>
    <n v="77"/>
    <n v="32"/>
    <x v="0"/>
    <x v="1"/>
    <n v="0"/>
    <n v="1"/>
    <n v="0"/>
    <n v="0"/>
    <n v="0"/>
    <n v="0"/>
    <n v="0"/>
    <n v="4000"/>
    <n v="4000"/>
    <x v="0"/>
    <x v="0"/>
    <x v="1"/>
    <x v="0"/>
    <x v="0"/>
  </r>
  <r>
    <n v="1909"/>
    <x v="0"/>
    <x v="0"/>
    <s v="W"/>
    <n v="36860"/>
    <n v="681"/>
    <n v="0"/>
    <n v="12"/>
    <x v="0"/>
    <x v="1"/>
    <n v="0"/>
    <n v="1"/>
    <n v="0"/>
    <n v="0"/>
    <n v="0"/>
    <n v="0"/>
    <n v="0"/>
    <n v="3000"/>
    <n v="3000"/>
    <x v="0"/>
    <x v="0"/>
    <x v="1"/>
    <x v="0"/>
    <x v="0"/>
  </r>
  <r>
    <n v="1910"/>
    <x v="0"/>
    <x v="0"/>
    <s v="W"/>
    <n v="18130"/>
    <n v="463"/>
    <n v="-51"/>
    <n v="-24"/>
    <x v="0"/>
    <x v="0"/>
    <n v="0"/>
    <n v="0"/>
    <n v="0"/>
    <n v="0"/>
    <n v="0"/>
    <n v="0"/>
    <n v="0"/>
    <n v="0"/>
    <n v="0"/>
    <x v="0"/>
    <x v="0"/>
    <x v="1"/>
    <x v="0"/>
    <x v="0"/>
  </r>
  <r>
    <n v="1911"/>
    <x v="0"/>
    <x v="0"/>
    <s v="N"/>
    <n v="14610"/>
    <n v="373"/>
    <n v="56"/>
    <n v="15"/>
    <x v="0"/>
    <x v="0"/>
    <n v="0"/>
    <n v="0"/>
    <n v="0"/>
    <n v="0"/>
    <n v="0"/>
    <n v="0"/>
    <n v="0"/>
    <n v="0"/>
    <n v="0"/>
    <x v="0"/>
    <x v="0"/>
    <x v="0"/>
    <x v="0"/>
    <x v="0"/>
  </r>
  <r>
    <n v="1912"/>
    <x v="0"/>
    <x v="0"/>
    <s v="N"/>
    <n v="10040"/>
    <n v="300"/>
    <n v="7"/>
    <n v="-7"/>
    <x v="0"/>
    <x v="0"/>
    <n v="0"/>
    <n v="0"/>
    <n v="0"/>
    <n v="0"/>
    <n v="0"/>
    <n v="0"/>
    <n v="0"/>
    <n v="0"/>
    <n v="0"/>
    <x v="0"/>
    <x v="0"/>
    <x v="0"/>
    <x v="0"/>
    <x v="0"/>
  </r>
  <r>
    <n v="1913"/>
    <x v="0"/>
    <x v="0"/>
    <s v="W"/>
    <n v="11410"/>
    <n v="250"/>
    <n v="-67"/>
    <n v="-57"/>
    <x v="0"/>
    <x v="0"/>
    <n v="0"/>
    <n v="0"/>
    <n v="0"/>
    <n v="0"/>
    <n v="0"/>
    <n v="0"/>
    <n v="0"/>
    <n v="0"/>
    <n v="0"/>
    <x v="0"/>
    <x v="0"/>
    <x v="1"/>
    <x v="0"/>
    <x v="0"/>
  </r>
  <r>
    <n v="1914"/>
    <x v="0"/>
    <x v="0"/>
    <s v="N"/>
    <n v="14020"/>
    <n v="251"/>
    <n v="50"/>
    <n v="-22"/>
    <x v="0"/>
    <x v="0"/>
    <n v="0"/>
    <n v="0"/>
    <n v="0"/>
    <n v="0"/>
    <n v="0"/>
    <n v="0"/>
    <n v="0"/>
    <n v="0"/>
    <n v="0"/>
    <x v="0"/>
    <x v="0"/>
    <x v="0"/>
    <x v="0"/>
    <x v="0"/>
  </r>
  <r>
    <n v="1915"/>
    <x v="0"/>
    <x v="0"/>
    <s v="N"/>
    <n v="12170"/>
    <n v="226"/>
    <n v="30"/>
    <n v="-30"/>
    <x v="0"/>
    <x v="0"/>
    <n v="0"/>
    <n v="0"/>
    <n v="0"/>
    <n v="0"/>
    <n v="0"/>
    <n v="0"/>
    <n v="0"/>
    <n v="0"/>
    <n v="0"/>
    <x v="0"/>
    <x v="0"/>
    <x v="0"/>
    <x v="0"/>
    <x v="0"/>
  </r>
  <r>
    <n v="1916"/>
    <x v="0"/>
    <x v="0"/>
    <s v="N"/>
    <n v="10040"/>
    <n v="216"/>
    <n v="7"/>
    <n v="-33"/>
    <x v="0"/>
    <x v="0"/>
    <n v="0"/>
    <n v="0"/>
    <n v="0"/>
    <n v="0"/>
    <n v="0"/>
    <n v="0"/>
    <n v="0"/>
    <n v="0"/>
    <n v="0"/>
    <x v="0"/>
    <x v="0"/>
    <x v="0"/>
    <x v="0"/>
    <x v="0"/>
  </r>
  <r>
    <n v="1917"/>
    <x v="0"/>
    <x v="0"/>
    <s v="W"/>
    <n v="9710"/>
    <n v="248"/>
    <n v="-72"/>
    <n v="-57"/>
    <x v="0"/>
    <x v="0"/>
    <n v="0"/>
    <n v="0"/>
    <n v="0"/>
    <n v="0"/>
    <n v="0"/>
    <n v="0"/>
    <n v="0"/>
    <n v="0"/>
    <n v="0"/>
    <x v="0"/>
    <x v="0"/>
    <x v="1"/>
    <x v="1"/>
    <x v="0"/>
  </r>
  <r>
    <n v="1918"/>
    <x v="0"/>
    <x v="0"/>
    <s v="W"/>
    <n v="55230"/>
    <n v="904"/>
    <n v="57"/>
    <n v="56"/>
    <x v="0"/>
    <x v="0"/>
    <n v="0"/>
    <n v="0"/>
    <n v="0"/>
    <n v="0"/>
    <n v="0"/>
    <n v="0"/>
    <n v="0"/>
    <n v="0"/>
    <n v="0"/>
    <x v="0"/>
    <x v="0"/>
    <x v="1"/>
    <x v="0"/>
    <x v="0"/>
  </r>
  <r>
    <n v="1919"/>
    <x v="0"/>
    <x v="0"/>
    <s v="W"/>
    <n v="19580"/>
    <n v="439"/>
    <n v="-44"/>
    <n v="-24"/>
    <x v="0"/>
    <x v="0"/>
    <n v="0"/>
    <n v="0"/>
    <n v="0"/>
    <n v="0"/>
    <n v="0"/>
    <n v="0"/>
    <n v="0"/>
    <n v="0"/>
    <n v="0"/>
    <x v="0"/>
    <x v="0"/>
    <x v="1"/>
    <x v="0"/>
    <x v="0"/>
  </r>
  <r>
    <n v="1920"/>
    <x v="0"/>
    <x v="0"/>
    <s v="N"/>
    <n v="15640"/>
    <n v="326"/>
    <n v="67"/>
    <n v="1"/>
    <x v="0"/>
    <x v="1"/>
    <n v="1"/>
    <n v="0"/>
    <n v="0"/>
    <n v="0"/>
    <n v="0"/>
    <n v="0"/>
    <n v="0"/>
    <n v="200"/>
    <n v="200"/>
    <x v="0"/>
    <x v="0"/>
    <x v="0"/>
    <x v="0"/>
    <x v="0"/>
  </r>
  <r>
    <n v="1921"/>
    <x v="0"/>
    <x v="0"/>
    <s v="N"/>
    <n v="13610"/>
    <n v="262"/>
    <n v="46"/>
    <n v="-19"/>
    <x v="0"/>
    <x v="0"/>
    <n v="0"/>
    <n v="0"/>
    <n v="0"/>
    <n v="0"/>
    <n v="0"/>
    <n v="0"/>
    <n v="0"/>
    <n v="0"/>
    <n v="0"/>
    <x v="0"/>
    <x v="0"/>
    <x v="0"/>
    <x v="0"/>
    <x v="0"/>
  </r>
  <r>
    <n v="1922"/>
    <x v="0"/>
    <x v="0"/>
    <s v="N"/>
    <n v="9280"/>
    <n v="294"/>
    <n v="35"/>
    <n v="71"/>
    <x v="0"/>
    <x v="0"/>
    <n v="0"/>
    <n v="0"/>
    <n v="0"/>
    <n v="0"/>
    <n v="0"/>
    <n v="0"/>
    <n v="0"/>
    <n v="0"/>
    <n v="0"/>
    <x v="0"/>
    <x v="0"/>
    <x v="0"/>
    <x v="1"/>
    <x v="0"/>
  </r>
  <r>
    <n v="1923"/>
    <x v="0"/>
    <x v="0"/>
    <s v="N"/>
    <n v="9000"/>
    <n v="241"/>
    <n v="31"/>
    <n v="40"/>
    <x v="0"/>
    <x v="0"/>
    <n v="0"/>
    <n v="0"/>
    <n v="0"/>
    <n v="0"/>
    <n v="0"/>
    <n v="0"/>
    <n v="0"/>
    <n v="0"/>
    <n v="0"/>
    <x v="0"/>
    <x v="0"/>
    <x v="0"/>
    <x v="1"/>
    <x v="0"/>
  </r>
  <r>
    <n v="1924"/>
    <x v="0"/>
    <x v="0"/>
    <s v="N"/>
    <n v="23440"/>
    <n v="514"/>
    <n v="151"/>
    <n v="59"/>
    <x v="0"/>
    <x v="1"/>
    <n v="0"/>
    <n v="1"/>
    <n v="0"/>
    <n v="0"/>
    <n v="0"/>
    <n v="0"/>
    <n v="0"/>
    <n v="8000"/>
    <n v="8000"/>
    <x v="0"/>
    <x v="0"/>
    <x v="0"/>
    <x v="0"/>
    <x v="0"/>
  </r>
  <r>
    <n v="1925"/>
    <x v="0"/>
    <x v="0"/>
    <s v="N"/>
    <n v="6660"/>
    <n v="274"/>
    <n v="-29"/>
    <n v="-15"/>
    <x v="0"/>
    <x v="0"/>
    <n v="0"/>
    <n v="0"/>
    <n v="0"/>
    <n v="0"/>
    <n v="0"/>
    <n v="0"/>
    <n v="0"/>
    <n v="0"/>
    <n v="0"/>
    <x v="0"/>
    <x v="0"/>
    <x v="0"/>
    <x v="1"/>
    <x v="0"/>
  </r>
  <r>
    <n v="1926"/>
    <x v="0"/>
    <x v="0"/>
    <s v="N"/>
    <n v="5480"/>
    <n v="236"/>
    <n v="-20"/>
    <n v="37"/>
    <x v="0"/>
    <x v="0"/>
    <n v="0"/>
    <n v="0"/>
    <n v="0"/>
    <n v="0"/>
    <n v="0"/>
    <n v="0"/>
    <n v="0"/>
    <n v="0"/>
    <n v="0"/>
    <x v="0"/>
    <x v="0"/>
    <x v="0"/>
    <x v="1"/>
    <x v="0"/>
  </r>
  <r>
    <n v="1927"/>
    <x v="0"/>
    <x v="0"/>
    <s v="N"/>
    <n v="8030"/>
    <n v="224"/>
    <n v="31"/>
    <n v="42"/>
    <x v="0"/>
    <x v="0"/>
    <n v="0"/>
    <n v="0"/>
    <n v="0"/>
    <n v="0"/>
    <n v="0"/>
    <n v="0"/>
    <n v="0"/>
    <n v="0"/>
    <n v="0"/>
    <x v="0"/>
    <x v="0"/>
    <x v="0"/>
    <x v="1"/>
    <x v="0"/>
  </r>
  <r>
    <n v="1928"/>
    <x v="0"/>
    <x v="0"/>
    <s v="N"/>
    <n v="4170"/>
    <n v="181"/>
    <n v="-49"/>
    <n v="-34"/>
    <x v="0"/>
    <x v="0"/>
    <n v="0"/>
    <n v="0"/>
    <n v="0"/>
    <n v="0"/>
    <n v="0"/>
    <n v="0"/>
    <n v="0"/>
    <n v="0"/>
    <n v="0"/>
    <x v="0"/>
    <x v="0"/>
    <x v="0"/>
    <x v="1"/>
    <x v="0"/>
  </r>
  <r>
    <n v="1929"/>
    <x v="0"/>
    <x v="0"/>
    <s v="N"/>
    <n v="7160"/>
    <n v="182"/>
    <n v="-13"/>
    <n v="-34"/>
    <x v="0"/>
    <x v="0"/>
    <n v="0"/>
    <n v="0"/>
    <n v="0"/>
    <n v="0"/>
    <n v="0"/>
    <n v="0"/>
    <n v="0"/>
    <n v="0"/>
    <n v="0"/>
    <x v="0"/>
    <x v="0"/>
    <x v="0"/>
    <x v="1"/>
    <x v="0"/>
  </r>
  <r>
    <n v="1930"/>
    <x v="0"/>
    <x v="0"/>
    <s v="N"/>
    <n v="13640"/>
    <n v="210"/>
    <n v="123"/>
    <n v="33"/>
    <x v="0"/>
    <x v="0"/>
    <n v="0"/>
    <n v="0"/>
    <n v="0"/>
    <n v="0"/>
    <n v="0"/>
    <n v="0"/>
    <n v="0"/>
    <n v="0"/>
    <n v="0"/>
    <x v="0"/>
    <x v="0"/>
    <x v="0"/>
    <x v="0"/>
    <x v="0"/>
  </r>
  <r>
    <n v="1931"/>
    <x v="0"/>
    <x v="0"/>
    <s v="N"/>
    <n v="4310"/>
    <n v="172"/>
    <n v="-30"/>
    <n v="9"/>
    <x v="0"/>
    <x v="0"/>
    <n v="0"/>
    <n v="0"/>
    <n v="0"/>
    <n v="0"/>
    <n v="0"/>
    <n v="0"/>
    <n v="0"/>
    <n v="0"/>
    <n v="0"/>
    <x v="0"/>
    <x v="0"/>
    <x v="0"/>
    <x v="1"/>
    <x v="0"/>
  </r>
  <r>
    <n v="1932"/>
    <x v="0"/>
    <x v="0"/>
    <s v="N"/>
    <n v="3250"/>
    <n v="127"/>
    <n v="-47"/>
    <n v="-20"/>
    <x v="0"/>
    <x v="0"/>
    <n v="0"/>
    <n v="0"/>
    <n v="0"/>
    <n v="0"/>
    <n v="0"/>
    <n v="0"/>
    <n v="0"/>
    <n v="0"/>
    <n v="0"/>
    <x v="0"/>
    <x v="0"/>
    <x v="0"/>
    <x v="1"/>
    <x v="0"/>
  </r>
  <r>
    <n v="1933"/>
    <x v="0"/>
    <x v="0"/>
    <s v="N"/>
    <n v="3520"/>
    <n v="107"/>
    <n v="-42"/>
    <n v="-32"/>
    <x v="0"/>
    <x v="0"/>
    <n v="0"/>
    <n v="0"/>
    <n v="0"/>
    <n v="0"/>
    <n v="0"/>
    <n v="0"/>
    <n v="0"/>
    <n v="0"/>
    <n v="0"/>
    <x v="0"/>
    <x v="0"/>
    <x v="0"/>
    <x v="1"/>
    <x v="0"/>
  </r>
  <r>
    <n v="1934"/>
    <x v="0"/>
    <x v="0"/>
    <s v="N"/>
    <n v="2270"/>
    <n v="78"/>
    <n v="-82"/>
    <n v="-69"/>
    <x v="0"/>
    <x v="0"/>
    <n v="0"/>
    <n v="0"/>
    <n v="0"/>
    <n v="0"/>
    <n v="0"/>
    <n v="0"/>
    <n v="0"/>
    <n v="0"/>
    <n v="0"/>
    <x v="0"/>
    <x v="0"/>
    <x v="0"/>
    <x v="1"/>
    <x v="0"/>
  </r>
  <r>
    <n v="1935"/>
    <x v="0"/>
    <x v="0"/>
    <s v="N"/>
    <n v="6130"/>
    <n v="111"/>
    <n v="-28"/>
    <n v="-59"/>
    <x v="0"/>
    <x v="0"/>
    <n v="0"/>
    <n v="0"/>
    <n v="0"/>
    <n v="0"/>
    <n v="0"/>
    <n v="0"/>
    <n v="0"/>
    <n v="0"/>
    <n v="0"/>
    <x v="0"/>
    <x v="0"/>
    <x v="0"/>
    <x v="1"/>
    <x v="0"/>
  </r>
  <r>
    <n v="1936"/>
    <x v="0"/>
    <x v="0"/>
    <s v="N"/>
    <n v="3470"/>
    <n v="84"/>
    <n v="-59"/>
    <n v="-69"/>
    <x v="0"/>
    <x v="0"/>
    <n v="0"/>
    <n v="0"/>
    <n v="0"/>
    <n v="0"/>
    <n v="0"/>
    <n v="0"/>
    <n v="0"/>
    <n v="0"/>
    <n v="0"/>
    <x v="0"/>
    <x v="0"/>
    <x v="0"/>
    <x v="1"/>
    <x v="0"/>
  </r>
  <r>
    <n v="1937"/>
    <x v="0"/>
    <x v="0"/>
    <s v="N"/>
    <n v="9680"/>
    <n v="139"/>
    <n v="14"/>
    <n v="-48"/>
    <x v="0"/>
    <x v="1"/>
    <n v="1"/>
    <n v="0"/>
    <n v="0"/>
    <n v="0"/>
    <n v="0"/>
    <n v="0"/>
    <n v="0"/>
    <n v="700"/>
    <n v="700"/>
    <x v="0"/>
    <x v="0"/>
    <x v="0"/>
    <x v="1"/>
    <x v="0"/>
  </r>
  <r>
    <n v="1938"/>
    <x v="0"/>
    <x v="0"/>
    <s v="N"/>
    <n v="8680"/>
    <n v="188"/>
    <n v="31"/>
    <n v="7"/>
    <x v="0"/>
    <x v="0"/>
    <n v="0"/>
    <n v="0"/>
    <n v="0"/>
    <n v="0"/>
    <n v="0"/>
    <n v="0"/>
    <n v="0"/>
    <n v="0"/>
    <n v="0"/>
    <x v="0"/>
    <x v="0"/>
    <x v="0"/>
    <x v="1"/>
    <x v="0"/>
  </r>
  <r>
    <n v="1939"/>
    <x v="0"/>
    <x v="0"/>
    <s v="N"/>
    <n v="2440"/>
    <n v="104"/>
    <n v="-71"/>
    <n v="-61"/>
    <x v="0"/>
    <x v="0"/>
    <n v="0"/>
    <n v="0"/>
    <n v="0"/>
    <n v="0"/>
    <n v="0"/>
    <n v="0"/>
    <n v="0"/>
    <n v="0"/>
    <n v="0"/>
    <x v="0"/>
    <x v="0"/>
    <x v="0"/>
    <x v="1"/>
    <x v="0"/>
  </r>
  <r>
    <n v="1940"/>
    <x v="0"/>
    <x v="0"/>
    <s v="N"/>
    <n v="1350"/>
    <n v="112"/>
    <n v="-80"/>
    <n v="-36"/>
    <x v="0"/>
    <x v="0"/>
    <n v="0"/>
    <n v="0"/>
    <n v="0"/>
    <n v="0"/>
    <n v="0"/>
    <n v="0"/>
    <n v="0"/>
    <n v="0"/>
    <n v="0"/>
    <x v="0"/>
    <x v="0"/>
    <x v="0"/>
    <x v="1"/>
    <x v="0"/>
  </r>
  <r>
    <n v="1941"/>
    <x v="0"/>
    <x v="0"/>
    <s v="N"/>
    <n v="5440"/>
    <n v="126"/>
    <n v="-18"/>
    <n v="-28"/>
    <x v="0"/>
    <x v="1"/>
    <n v="1"/>
    <n v="0"/>
    <n v="0"/>
    <n v="0"/>
    <n v="0"/>
    <n v="0"/>
    <n v="0"/>
    <n v="300"/>
    <n v="300"/>
    <x v="0"/>
    <x v="0"/>
    <x v="0"/>
    <x v="1"/>
    <x v="0"/>
  </r>
  <r>
    <n v="1942"/>
    <x v="0"/>
    <x v="0"/>
    <s v="N"/>
    <n v="9990"/>
    <n v="118"/>
    <n v="17"/>
    <n v="-56"/>
    <x v="0"/>
    <x v="1"/>
    <n v="0"/>
    <n v="1"/>
    <n v="0"/>
    <n v="0"/>
    <n v="0"/>
    <n v="0"/>
    <n v="0"/>
    <n v="1000"/>
    <n v="1000"/>
    <x v="0"/>
    <x v="0"/>
    <x v="0"/>
    <x v="1"/>
    <x v="0"/>
  </r>
  <r>
    <n v="1943"/>
    <x v="0"/>
    <x v="0"/>
    <s v="N"/>
    <n v="2960"/>
    <n v="108"/>
    <n v="-76"/>
    <n v="-57"/>
    <x v="0"/>
    <x v="0"/>
    <n v="0"/>
    <n v="0"/>
    <n v="0"/>
    <n v="0"/>
    <n v="0"/>
    <n v="0"/>
    <n v="0"/>
    <n v="0"/>
    <n v="0"/>
    <x v="0"/>
    <x v="0"/>
    <x v="0"/>
    <x v="1"/>
    <x v="0"/>
  </r>
  <r>
    <n v="1944"/>
    <x v="0"/>
    <x v="0"/>
    <s v="N"/>
    <n v="7020"/>
    <n v="98"/>
    <n v="-44"/>
    <n v="-61"/>
    <x v="0"/>
    <x v="0"/>
    <n v="0"/>
    <n v="0"/>
    <n v="0"/>
    <n v="0"/>
    <n v="0"/>
    <n v="0"/>
    <n v="0"/>
    <n v="0"/>
    <n v="0"/>
    <x v="0"/>
    <x v="0"/>
    <x v="0"/>
    <x v="1"/>
    <x v="0"/>
  </r>
  <r>
    <n v="1945"/>
    <x v="0"/>
    <x v="0"/>
    <s v="N"/>
    <n v="6130"/>
    <n v="129"/>
    <n v="-27"/>
    <n v="-50"/>
    <x v="0"/>
    <x v="0"/>
    <n v="0"/>
    <n v="0"/>
    <n v="0"/>
    <n v="0"/>
    <n v="0"/>
    <n v="0"/>
    <n v="0"/>
    <n v="0"/>
    <n v="0"/>
    <x v="0"/>
    <x v="0"/>
    <x v="0"/>
    <x v="1"/>
    <x v="0"/>
  </r>
  <r>
    <n v="1946"/>
    <x v="0"/>
    <x v="0"/>
    <s v="W"/>
    <n v="7320"/>
    <n v="177"/>
    <n v="-71"/>
    <n v="-65"/>
    <x v="0"/>
    <x v="0"/>
    <n v="0"/>
    <n v="0"/>
    <n v="0"/>
    <n v="0"/>
    <n v="0"/>
    <n v="0"/>
    <n v="0"/>
    <n v="0"/>
    <n v="0"/>
    <x v="0"/>
    <x v="0"/>
    <x v="1"/>
    <x v="1"/>
    <x v="0"/>
  </r>
  <r>
    <n v="1947"/>
    <x v="0"/>
    <x v="0"/>
    <s v="W"/>
    <n v="5710"/>
    <n v="195"/>
    <n v="-77"/>
    <n v="-61"/>
    <x v="0"/>
    <x v="0"/>
    <n v="0"/>
    <n v="0"/>
    <n v="0"/>
    <n v="0"/>
    <n v="0"/>
    <n v="0"/>
    <n v="0"/>
    <n v="0"/>
    <n v="0"/>
    <x v="0"/>
    <x v="0"/>
    <x v="1"/>
    <x v="1"/>
    <x v="0"/>
  </r>
  <r>
    <n v="1948"/>
    <x v="0"/>
    <x v="0"/>
    <s v="W"/>
    <n v="7430"/>
    <n v="196"/>
    <n v="-70"/>
    <n v="-61"/>
    <x v="0"/>
    <x v="0"/>
    <n v="0"/>
    <n v="0"/>
    <n v="0"/>
    <n v="0"/>
    <n v="0"/>
    <n v="0"/>
    <n v="0"/>
    <n v="0"/>
    <n v="0"/>
    <x v="0"/>
    <x v="0"/>
    <x v="1"/>
    <x v="1"/>
    <x v="0"/>
  </r>
  <r>
    <n v="1949"/>
    <x v="0"/>
    <x v="0"/>
    <s v="W"/>
    <n v="22220"/>
    <n v="415"/>
    <n v="-5"/>
    <n v="-11"/>
    <x v="0"/>
    <x v="1"/>
    <n v="0"/>
    <n v="1"/>
    <n v="0"/>
    <n v="0"/>
    <n v="0"/>
    <n v="0"/>
    <n v="0"/>
    <n v="7000"/>
    <n v="7000"/>
    <x v="0"/>
    <x v="0"/>
    <x v="1"/>
    <x v="0"/>
    <x v="0"/>
  </r>
  <r>
    <n v="1950"/>
    <x v="0"/>
    <x v="0"/>
    <s v="W"/>
    <n v="26400"/>
    <n v="510"/>
    <n v="13"/>
    <n v="9"/>
    <x v="0"/>
    <x v="0"/>
    <n v="0"/>
    <n v="0"/>
    <n v="0"/>
    <n v="0"/>
    <n v="0"/>
    <n v="0"/>
    <n v="0"/>
    <n v="0"/>
    <n v="0"/>
    <x v="0"/>
    <x v="0"/>
    <x v="1"/>
    <x v="0"/>
    <x v="0"/>
  </r>
  <r>
    <n v="1951"/>
    <x v="0"/>
    <x v="0"/>
    <s v="W"/>
    <n v="11610"/>
    <n v="315"/>
    <n v="-21"/>
    <n v="3"/>
    <x v="0"/>
    <x v="0"/>
    <n v="0"/>
    <n v="0"/>
    <n v="0"/>
    <n v="0"/>
    <n v="0"/>
    <n v="0"/>
    <n v="0"/>
    <n v="0"/>
    <n v="0"/>
    <x v="0"/>
    <x v="0"/>
    <x v="1"/>
    <x v="0"/>
    <x v="0"/>
  </r>
  <r>
    <n v="1952"/>
    <x v="0"/>
    <x v="0"/>
    <s v="W"/>
    <n v="14580"/>
    <n v="308"/>
    <n v="-42"/>
    <n v="-38"/>
    <x v="0"/>
    <x v="0"/>
    <n v="0"/>
    <n v="0"/>
    <n v="0"/>
    <n v="0"/>
    <n v="0"/>
    <n v="0"/>
    <n v="0"/>
    <n v="0"/>
    <n v="0"/>
    <x v="0"/>
    <x v="0"/>
    <x v="1"/>
    <x v="0"/>
    <x v="0"/>
  </r>
  <r>
    <n v="1953"/>
    <x v="0"/>
    <x v="0"/>
    <s v="W"/>
    <n v="20760"/>
    <n v="324"/>
    <n v="41"/>
    <n v="6"/>
    <x v="0"/>
    <x v="1"/>
    <n v="1"/>
    <n v="0"/>
    <n v="0"/>
    <n v="0"/>
    <n v="0"/>
    <n v="0"/>
    <n v="0"/>
    <n v="400"/>
    <n v="400"/>
    <x v="1"/>
    <x v="1"/>
    <x v="1"/>
    <x v="0"/>
    <x v="0"/>
  </r>
  <r>
    <n v="1954"/>
    <x v="0"/>
    <x v="0"/>
    <s v="W"/>
    <n v="28380"/>
    <n v="628"/>
    <n v="14"/>
    <n v="26"/>
    <x v="0"/>
    <x v="1"/>
    <n v="0"/>
    <n v="0"/>
    <n v="1"/>
    <n v="0"/>
    <n v="0"/>
    <n v="0"/>
    <n v="0"/>
    <n v="20000"/>
    <n v="20000"/>
    <x v="0"/>
    <x v="0"/>
    <x v="1"/>
    <x v="0"/>
    <x v="0"/>
  </r>
  <r>
    <n v="1955"/>
    <x v="0"/>
    <x v="0"/>
    <s v="W"/>
    <n v="42140"/>
    <n v="525"/>
    <n v="187"/>
    <n v="72"/>
    <x v="0"/>
    <x v="1"/>
    <n v="0"/>
    <n v="1"/>
    <n v="0"/>
    <n v="0"/>
    <n v="0"/>
    <n v="0"/>
    <n v="0"/>
    <n v="5000"/>
    <n v="5000"/>
    <x v="0"/>
    <x v="0"/>
    <x v="1"/>
    <x v="0"/>
    <x v="0"/>
  </r>
  <r>
    <n v="1956"/>
    <x v="0"/>
    <x v="0"/>
    <s v="W"/>
    <n v="20350"/>
    <n v="439"/>
    <n v="39"/>
    <n v="44"/>
    <x v="0"/>
    <x v="0"/>
    <n v="0"/>
    <n v="0"/>
    <n v="0"/>
    <n v="0"/>
    <n v="0"/>
    <n v="0"/>
    <n v="0"/>
    <n v="0"/>
    <n v="0"/>
    <x v="0"/>
    <x v="0"/>
    <x v="1"/>
    <x v="0"/>
    <x v="0"/>
  </r>
  <r>
    <n v="1957"/>
    <x v="0"/>
    <x v="0"/>
    <s v="W"/>
    <n v="31810"/>
    <n v="514"/>
    <n v="27"/>
    <n v="3"/>
    <x v="0"/>
    <x v="1"/>
    <n v="1"/>
    <n v="0"/>
    <n v="0"/>
    <n v="0"/>
    <n v="0"/>
    <n v="0"/>
    <n v="0"/>
    <n v="100"/>
    <n v="100"/>
    <x v="0"/>
    <x v="0"/>
    <x v="1"/>
    <x v="0"/>
    <x v="0"/>
  </r>
  <r>
    <n v="1958"/>
    <x v="0"/>
    <x v="0"/>
    <s v="W"/>
    <n v="44190"/>
    <n v="696"/>
    <n v="201"/>
    <n v="129"/>
    <x v="0"/>
    <x v="1"/>
    <n v="0"/>
    <n v="1"/>
    <n v="0"/>
    <n v="0"/>
    <n v="0"/>
    <n v="0"/>
    <n v="0"/>
    <n v="2000"/>
    <n v="2000"/>
    <x v="0"/>
    <x v="0"/>
    <x v="1"/>
    <x v="0"/>
    <x v="0"/>
  </r>
  <r>
    <n v="1959"/>
    <x v="1"/>
    <x v="0"/>
    <s v="W"/>
    <n v="28290"/>
    <n v="527"/>
    <n v="100"/>
    <n v="79"/>
    <x v="0"/>
    <x v="0"/>
    <n v="0"/>
    <n v="0"/>
    <n v="0"/>
    <n v="0"/>
    <n v="0"/>
    <n v="0"/>
    <n v="0"/>
    <n v="0"/>
    <n v="0"/>
    <x v="0"/>
    <x v="0"/>
    <x v="1"/>
    <x v="0"/>
    <x v="0"/>
  </r>
  <r>
    <n v="1960"/>
    <x v="1"/>
    <x v="0"/>
    <s v="W"/>
    <n v="25090"/>
    <n v="383"/>
    <n v="78"/>
    <n v="30"/>
    <x v="0"/>
    <x v="0"/>
    <n v="0"/>
    <n v="0"/>
    <n v="0"/>
    <n v="0"/>
    <n v="0"/>
    <n v="0"/>
    <n v="0"/>
    <n v="0"/>
    <n v="0"/>
    <x v="0"/>
    <x v="0"/>
    <x v="1"/>
    <x v="0"/>
    <x v="0"/>
  </r>
  <r>
    <n v="1961"/>
    <x v="1"/>
    <x v="0"/>
    <s v="W"/>
    <n v="16750"/>
    <n v="398"/>
    <n v="19"/>
    <n v="35"/>
    <x v="0"/>
    <x v="0"/>
    <n v="0"/>
    <n v="0"/>
    <n v="0"/>
    <n v="0"/>
    <n v="0"/>
    <n v="0"/>
    <n v="0"/>
    <n v="0"/>
    <n v="0"/>
    <x v="0"/>
    <x v="0"/>
    <x v="1"/>
    <x v="0"/>
    <x v="0"/>
  </r>
  <r>
    <n v="1962"/>
    <x v="1"/>
    <x v="0"/>
    <s v="W"/>
    <n v="21650"/>
    <n v="348"/>
    <n v="53"/>
    <n v="18"/>
    <x v="0"/>
    <x v="0"/>
    <n v="0"/>
    <n v="0"/>
    <n v="0"/>
    <n v="0"/>
    <n v="0"/>
    <n v="0"/>
    <n v="0"/>
    <n v="0"/>
    <n v="0"/>
    <x v="0"/>
    <x v="0"/>
    <x v="1"/>
    <x v="0"/>
    <x v="0"/>
  </r>
  <r>
    <n v="1963"/>
    <x v="1"/>
    <x v="0"/>
    <s v="W"/>
    <n v="27320"/>
    <n v="453"/>
    <n v="17"/>
    <n v="-4"/>
    <x v="0"/>
    <x v="0"/>
    <n v="0"/>
    <n v="0"/>
    <n v="0"/>
    <n v="0"/>
    <n v="0"/>
    <n v="0"/>
    <n v="0"/>
    <n v="0"/>
    <n v="0"/>
    <x v="1"/>
    <x v="1"/>
    <x v="1"/>
    <x v="0"/>
    <x v="0"/>
  </r>
  <r>
    <n v="1964"/>
    <x v="1"/>
    <x v="0"/>
    <s v="W"/>
    <n v="60930"/>
    <n v="866"/>
    <n v="101"/>
    <n v="72"/>
    <x v="0"/>
    <x v="1"/>
    <n v="0"/>
    <n v="0"/>
    <n v="1"/>
    <n v="0"/>
    <n v="0"/>
    <n v="0"/>
    <n v="0"/>
    <n v="10000"/>
    <n v="10000"/>
    <x v="0"/>
    <x v="0"/>
    <x v="1"/>
    <x v="0"/>
    <x v="0"/>
  </r>
  <r>
    <n v="1965"/>
    <x v="1"/>
    <x v="0"/>
    <s v="W"/>
    <n v="19660"/>
    <n v="644"/>
    <n v="-16"/>
    <n v="36"/>
    <x v="0"/>
    <x v="0"/>
    <n v="0"/>
    <n v="0"/>
    <n v="0"/>
    <n v="0"/>
    <n v="0"/>
    <n v="0"/>
    <n v="0"/>
    <n v="0"/>
    <n v="0"/>
    <x v="0"/>
    <x v="0"/>
    <x v="1"/>
    <x v="0"/>
    <x v="0"/>
  </r>
  <r>
    <n v="1966"/>
    <x v="1"/>
    <x v="0"/>
    <s v="W"/>
    <n v="21000"/>
    <n v="466"/>
    <n v="-10"/>
    <n v="-1"/>
    <x v="0"/>
    <x v="0"/>
    <n v="0"/>
    <n v="0"/>
    <n v="0"/>
    <n v="0"/>
    <n v="0"/>
    <n v="0"/>
    <n v="0"/>
    <n v="0"/>
    <n v="0"/>
    <x v="0"/>
    <x v="0"/>
    <x v="1"/>
    <x v="0"/>
    <x v="0"/>
  </r>
  <r>
    <n v="1967"/>
    <x v="1"/>
    <x v="0"/>
    <s v="W"/>
    <n v="13600"/>
    <n v="368"/>
    <n v="-11"/>
    <n v="20"/>
    <x v="0"/>
    <x v="1"/>
    <n v="1"/>
    <n v="0"/>
    <n v="0"/>
    <n v="0"/>
    <n v="0"/>
    <n v="0"/>
    <n v="0"/>
    <n v="800"/>
    <n v="800"/>
    <x v="0"/>
    <x v="0"/>
    <x v="1"/>
    <x v="0"/>
    <x v="0"/>
  </r>
  <r>
    <n v="1968"/>
    <x v="1"/>
    <x v="0"/>
    <s v="W"/>
    <n v="18780"/>
    <n v="337"/>
    <n v="-35"/>
    <n v="-32"/>
    <x v="0"/>
    <x v="2"/>
    <n v="1"/>
    <n v="1"/>
    <n v="0"/>
    <n v="0"/>
    <n v="0"/>
    <n v="0"/>
    <n v="0"/>
    <n v="9900"/>
    <n v="9000"/>
    <x v="0"/>
    <x v="0"/>
    <x v="1"/>
    <x v="0"/>
    <x v="0"/>
  </r>
  <r>
    <n v="1969"/>
    <x v="1"/>
    <x v="0"/>
    <s v="W"/>
    <n v="19920"/>
    <n v="400"/>
    <n v="-15"/>
    <n v="-15"/>
    <x v="0"/>
    <x v="0"/>
    <n v="0"/>
    <n v="0"/>
    <n v="0"/>
    <n v="0"/>
    <n v="0"/>
    <n v="0"/>
    <n v="0"/>
    <n v="0"/>
    <n v="0"/>
    <x v="0"/>
    <x v="0"/>
    <x v="1"/>
    <x v="0"/>
    <x v="0"/>
  </r>
  <r>
    <n v="1970"/>
    <x v="1"/>
    <x v="0"/>
    <s v="W"/>
    <n v="20050"/>
    <n v="295"/>
    <n v="-14"/>
    <n v="-37"/>
    <x v="0"/>
    <x v="0"/>
    <n v="0"/>
    <n v="0"/>
    <n v="0"/>
    <n v="0"/>
    <n v="0"/>
    <n v="0"/>
    <n v="0"/>
    <n v="0"/>
    <n v="0"/>
    <x v="0"/>
    <x v="0"/>
    <x v="1"/>
    <x v="0"/>
    <x v="0"/>
  </r>
  <r>
    <n v="1971"/>
    <x v="1"/>
    <x v="0"/>
    <s v="W"/>
    <n v="18420"/>
    <n v="255"/>
    <n v="-21"/>
    <n v="-46"/>
    <x v="0"/>
    <x v="0"/>
    <n v="0"/>
    <n v="0"/>
    <n v="0"/>
    <n v="0"/>
    <n v="0"/>
    <n v="0"/>
    <n v="0"/>
    <n v="0"/>
    <n v="0"/>
    <x v="0"/>
    <x v="0"/>
    <x v="1"/>
    <x v="0"/>
    <x v="0"/>
  </r>
  <r>
    <n v="1972"/>
    <x v="1"/>
    <x v="0"/>
    <s v="W"/>
    <n v="36100"/>
    <n v="350"/>
    <n v="54"/>
    <n v="-26"/>
    <x v="0"/>
    <x v="1"/>
    <n v="1"/>
    <n v="0"/>
    <n v="0"/>
    <n v="0"/>
    <n v="0"/>
    <n v="0"/>
    <n v="0"/>
    <n v="100"/>
    <n v="100"/>
    <x v="0"/>
    <x v="0"/>
    <x v="1"/>
    <x v="0"/>
    <x v="0"/>
  </r>
  <r>
    <n v="1973"/>
    <x v="1"/>
    <x v="0"/>
    <s v="W"/>
    <n v="57010"/>
    <n v="535"/>
    <n v="144"/>
    <n v="14"/>
    <x v="0"/>
    <x v="1"/>
    <n v="1"/>
    <n v="0"/>
    <n v="0"/>
    <n v="0"/>
    <n v="0"/>
    <n v="0"/>
    <n v="0"/>
    <n v="600"/>
    <n v="600"/>
    <x v="0"/>
    <x v="0"/>
    <x v="1"/>
    <x v="0"/>
    <x v="0"/>
  </r>
  <r>
    <n v="1974"/>
    <x v="1"/>
    <x v="0"/>
    <s v="W"/>
    <n v="56060"/>
    <n v="600"/>
    <n v="140"/>
    <n v="27"/>
    <x v="0"/>
    <x v="0"/>
    <n v="0"/>
    <n v="0"/>
    <n v="0"/>
    <n v="0"/>
    <n v="0"/>
    <n v="0"/>
    <n v="0"/>
    <n v="0"/>
    <n v="0"/>
    <x v="0"/>
    <x v="0"/>
    <x v="1"/>
    <x v="0"/>
    <x v="0"/>
  </r>
  <r>
    <n v="1975"/>
    <x v="1"/>
    <x v="0"/>
    <s v="W"/>
    <n v="31320"/>
    <n v="407"/>
    <n v="35"/>
    <n v="-13"/>
    <x v="0"/>
    <x v="1"/>
    <n v="0"/>
    <n v="1"/>
    <n v="0"/>
    <n v="0"/>
    <n v="0"/>
    <n v="0"/>
    <n v="0"/>
    <n v="2000"/>
    <n v="2000"/>
    <x v="0"/>
    <x v="0"/>
    <x v="1"/>
    <x v="0"/>
    <x v="0"/>
  </r>
  <r>
    <n v="1976"/>
    <x v="1"/>
    <x v="0"/>
    <s v="W"/>
    <n v="26330"/>
    <n v="386"/>
    <n v="13"/>
    <n v="-18"/>
    <x v="0"/>
    <x v="0"/>
    <n v="0"/>
    <n v="0"/>
    <n v="0"/>
    <n v="0"/>
    <n v="0"/>
    <n v="0"/>
    <n v="0"/>
    <n v="0"/>
    <n v="0"/>
    <x v="0"/>
    <x v="0"/>
    <x v="1"/>
    <x v="0"/>
    <x v="0"/>
  </r>
  <r>
    <n v="1977"/>
    <x v="1"/>
    <x v="0"/>
    <s v="W"/>
    <n v="19640"/>
    <n v="302"/>
    <n v="-16"/>
    <n v="-36"/>
    <x v="0"/>
    <x v="0"/>
    <n v="0"/>
    <n v="0"/>
    <n v="0"/>
    <n v="0"/>
    <n v="0"/>
    <n v="0"/>
    <n v="0"/>
    <n v="0"/>
    <n v="0"/>
    <x v="0"/>
    <x v="0"/>
    <x v="1"/>
    <x v="0"/>
    <x v="0"/>
  </r>
  <r>
    <n v="1978"/>
    <x v="1"/>
    <x v="0"/>
    <s v="W"/>
    <n v="41260"/>
    <n v="529"/>
    <n v="77"/>
    <n v="13"/>
    <x v="0"/>
    <x v="0"/>
    <n v="0"/>
    <n v="0"/>
    <n v="0"/>
    <n v="0"/>
    <n v="0"/>
    <n v="0"/>
    <n v="0"/>
    <n v="0"/>
    <n v="0"/>
    <x v="0"/>
    <x v="0"/>
    <x v="1"/>
    <x v="0"/>
    <x v="0"/>
  </r>
  <r>
    <n v="1979"/>
    <x v="1"/>
    <x v="0"/>
    <s v="W"/>
    <n v="60320"/>
    <n v="632"/>
    <n v="159"/>
    <n v="35"/>
    <x v="0"/>
    <x v="1"/>
    <n v="0"/>
    <n v="1"/>
    <n v="0"/>
    <n v="0"/>
    <n v="0"/>
    <n v="0"/>
    <n v="0"/>
    <n v="3000"/>
    <n v="3000"/>
    <x v="0"/>
    <x v="0"/>
    <x v="1"/>
    <x v="0"/>
    <x v="0"/>
  </r>
  <r>
    <n v="1980"/>
    <x v="1"/>
    <x v="0"/>
    <s v="W"/>
    <n v="47840"/>
    <n v="594"/>
    <n v="106"/>
    <n v="27"/>
    <x v="0"/>
    <x v="0"/>
    <n v="0"/>
    <n v="0"/>
    <n v="0"/>
    <n v="0"/>
    <n v="0"/>
    <n v="0"/>
    <n v="0"/>
    <n v="0"/>
    <n v="0"/>
    <x v="0"/>
    <x v="0"/>
    <x v="1"/>
    <x v="0"/>
    <x v="0"/>
  </r>
  <r>
    <n v="1981"/>
    <x v="1"/>
    <x v="0"/>
    <s v="W"/>
    <n v="18690"/>
    <n v="401"/>
    <n v="-20"/>
    <n v="-15"/>
    <x v="0"/>
    <x v="1"/>
    <n v="1"/>
    <n v="0"/>
    <n v="0"/>
    <n v="0"/>
    <n v="0"/>
    <n v="0"/>
    <n v="0"/>
    <n v="700"/>
    <n v="700"/>
    <x v="0"/>
    <x v="0"/>
    <x v="1"/>
    <x v="0"/>
    <x v="0"/>
  </r>
  <r>
    <n v="1982"/>
    <x v="1"/>
    <x v="0"/>
    <s v="W"/>
    <n v="35830"/>
    <n v="407"/>
    <n v="54"/>
    <n v="-13"/>
    <x v="0"/>
    <x v="0"/>
    <n v="0"/>
    <n v="0"/>
    <n v="0"/>
    <n v="0"/>
    <n v="0"/>
    <n v="0"/>
    <n v="0"/>
    <n v="0"/>
    <n v="0"/>
    <x v="0"/>
    <x v="0"/>
    <x v="1"/>
    <x v="0"/>
    <x v="0"/>
  </r>
  <r>
    <n v="1983"/>
    <x v="0"/>
    <x v="0"/>
    <s v="W"/>
    <n v="30650"/>
    <n v="424"/>
    <n v="29"/>
    <n v="-8"/>
    <x v="0"/>
    <x v="1"/>
    <n v="0"/>
    <n v="1"/>
    <n v="0"/>
    <n v="0"/>
    <n v="0"/>
    <n v="0"/>
    <n v="0"/>
    <n v="4000"/>
    <n v="4000"/>
    <x v="0"/>
    <x v="0"/>
    <x v="1"/>
    <x v="0"/>
    <x v="0"/>
  </r>
  <r>
    <n v="1984"/>
    <x v="0"/>
    <x v="0"/>
    <s v="W"/>
    <n v="38400"/>
    <n v="555"/>
    <n v="62"/>
    <n v="21"/>
    <x v="0"/>
    <x v="2"/>
    <n v="0"/>
    <n v="2"/>
    <n v="0"/>
    <n v="0"/>
    <n v="0"/>
    <n v="0"/>
    <n v="0"/>
    <n v="12000"/>
    <n v="8000"/>
    <x v="0"/>
    <x v="0"/>
    <x v="1"/>
    <x v="0"/>
    <x v="0"/>
  </r>
  <r>
    <n v="1985"/>
    <x v="0"/>
    <x v="0"/>
    <s v="W"/>
    <n v="48560"/>
    <n v="726"/>
    <n v="105"/>
    <n v="58"/>
    <x v="0"/>
    <x v="0"/>
    <n v="0"/>
    <n v="0"/>
    <n v="0"/>
    <n v="0"/>
    <n v="0"/>
    <n v="0"/>
    <n v="0"/>
    <n v="0"/>
    <n v="0"/>
    <x v="1"/>
    <x v="1"/>
    <x v="1"/>
    <x v="0"/>
    <x v="0"/>
  </r>
  <r>
    <n v="1986"/>
    <x v="0"/>
    <x v="0"/>
    <s v="W"/>
    <n v="42210"/>
    <n v="662"/>
    <n v="78"/>
    <n v="44"/>
    <x v="0"/>
    <x v="2"/>
    <n v="0"/>
    <n v="1"/>
    <n v="1"/>
    <n v="0"/>
    <n v="0"/>
    <n v="0"/>
    <n v="0"/>
    <n v="33000"/>
    <n v="30000"/>
    <x v="0"/>
    <x v="0"/>
    <x v="1"/>
    <x v="0"/>
    <x v="0"/>
  </r>
  <r>
    <n v="1987"/>
    <x v="0"/>
    <x v="0"/>
    <s v="W"/>
    <n v="48390"/>
    <n v="532"/>
    <n v="104"/>
    <n v="16"/>
    <x v="0"/>
    <x v="0"/>
    <n v="0"/>
    <n v="0"/>
    <n v="0"/>
    <n v="0"/>
    <n v="0"/>
    <n v="0"/>
    <n v="0"/>
    <n v="0"/>
    <n v="0"/>
    <x v="0"/>
    <x v="0"/>
    <x v="1"/>
    <x v="0"/>
    <x v="0"/>
  </r>
  <r>
    <n v="1988"/>
    <x v="0"/>
    <x v="0"/>
    <s v="W"/>
    <n v="33310"/>
    <n v="541"/>
    <n v="40"/>
    <n v="18"/>
    <x v="0"/>
    <x v="0"/>
    <n v="0"/>
    <n v="0"/>
    <n v="0"/>
    <n v="0"/>
    <n v="0"/>
    <n v="0"/>
    <n v="0"/>
    <n v="0"/>
    <n v="0"/>
    <x v="0"/>
    <x v="0"/>
    <x v="1"/>
    <x v="0"/>
    <x v="0"/>
  </r>
  <r>
    <n v="1989"/>
    <x v="0"/>
    <x v="0"/>
    <s v="W"/>
    <n v="65760"/>
    <n v="772"/>
    <n v="177"/>
    <n v="68"/>
    <x v="0"/>
    <x v="0"/>
    <n v="0"/>
    <n v="0"/>
    <n v="0"/>
    <n v="0"/>
    <n v="0"/>
    <n v="0"/>
    <n v="0"/>
    <n v="0"/>
    <n v="0"/>
    <x v="0"/>
    <x v="0"/>
    <x v="1"/>
    <x v="0"/>
    <x v="0"/>
  </r>
  <r>
    <n v="1990"/>
    <x v="0"/>
    <x v="0"/>
    <s v="W"/>
    <n v="24300"/>
    <n v="508"/>
    <n v="2"/>
    <n v="11"/>
    <x v="0"/>
    <x v="0"/>
    <n v="0"/>
    <n v="0"/>
    <n v="0"/>
    <n v="0"/>
    <n v="0"/>
    <n v="0"/>
    <n v="0"/>
    <n v="0"/>
    <n v="0"/>
    <x v="0"/>
    <x v="0"/>
    <x v="1"/>
    <x v="0"/>
    <x v="0"/>
  </r>
  <r>
    <n v="1991"/>
    <x v="1"/>
    <x v="1"/>
    <s v="W"/>
    <n v="22010"/>
    <n v="380"/>
    <n v="-11"/>
    <n v="-16"/>
    <x v="1"/>
    <x v="0"/>
    <n v="0"/>
    <n v="0"/>
    <n v="0"/>
    <n v="0"/>
    <n v="0"/>
    <n v="0"/>
    <n v="0"/>
    <n v="0"/>
    <n v="0"/>
    <x v="0"/>
    <x v="0"/>
    <x v="1"/>
    <x v="0"/>
    <x v="0"/>
  </r>
  <r>
    <n v="1992"/>
    <x v="1"/>
    <x v="1"/>
    <s v="W"/>
    <n v="17290"/>
    <n v="278"/>
    <n v="-30"/>
    <n v="-39"/>
    <x v="1"/>
    <x v="1"/>
    <n v="0"/>
    <n v="1"/>
    <n v="0"/>
    <n v="0"/>
    <n v="0"/>
    <n v="0"/>
    <n v="0"/>
    <n v="4000"/>
    <n v="4000"/>
    <x v="0"/>
    <x v="0"/>
    <x v="1"/>
    <x v="0"/>
    <x v="0"/>
  </r>
  <r>
    <n v="1993"/>
    <x v="1"/>
    <x v="1"/>
    <s v="W"/>
    <n v="14460"/>
    <n v="271"/>
    <n v="-42"/>
    <n v="-40"/>
    <x v="1"/>
    <x v="0"/>
    <n v="0"/>
    <n v="0"/>
    <n v="0"/>
    <n v="0"/>
    <n v="0"/>
    <n v="0"/>
    <n v="0"/>
    <n v="0"/>
    <n v="0"/>
    <x v="0"/>
    <x v="0"/>
    <x v="1"/>
    <x v="0"/>
    <x v="0"/>
  </r>
  <r>
    <n v="1994"/>
    <x v="1"/>
    <x v="1"/>
    <s v="W"/>
    <n v="47200"/>
    <n v="562"/>
    <n v="91"/>
    <n v="24"/>
    <x v="1"/>
    <x v="0"/>
    <n v="0"/>
    <n v="0"/>
    <n v="0"/>
    <n v="0"/>
    <n v="0"/>
    <n v="0"/>
    <n v="0"/>
    <n v="0"/>
    <n v="0"/>
    <x v="0"/>
    <x v="0"/>
    <x v="1"/>
    <x v="0"/>
    <x v="0"/>
  </r>
  <r>
    <n v="1995"/>
    <x v="1"/>
    <x v="1"/>
    <s v="W"/>
    <n v="26750"/>
    <n v="408"/>
    <n v="8"/>
    <n v="-10"/>
    <x v="1"/>
    <x v="0"/>
    <n v="0"/>
    <n v="0"/>
    <n v="0"/>
    <n v="0"/>
    <n v="0"/>
    <n v="0"/>
    <n v="0"/>
    <n v="0"/>
    <n v="0"/>
    <x v="0"/>
    <x v="0"/>
    <x v="1"/>
    <x v="0"/>
    <x v="0"/>
  </r>
  <r>
    <n v="1996"/>
    <x v="1"/>
    <x v="1"/>
    <s v="W"/>
    <n v="19120"/>
    <n v="389"/>
    <n v="-23"/>
    <n v="-14"/>
    <x v="1"/>
    <x v="0"/>
    <n v="0"/>
    <n v="0"/>
    <n v="0"/>
    <n v="0"/>
    <n v="0"/>
    <n v="0"/>
    <n v="0"/>
    <n v="0"/>
    <n v="0"/>
    <x v="0"/>
    <x v="0"/>
    <x v="1"/>
    <x v="0"/>
    <x v="0"/>
  </r>
  <r>
    <n v="1997"/>
    <x v="1"/>
    <x v="1"/>
    <s v="W"/>
    <n v="21400"/>
    <n v="391"/>
    <n v="-14"/>
    <n v="-14"/>
    <x v="1"/>
    <x v="1"/>
    <n v="1"/>
    <n v="0"/>
    <n v="0"/>
    <n v="0"/>
    <n v="0"/>
    <n v="0"/>
    <n v="0"/>
    <n v="300"/>
    <n v="300"/>
    <x v="0"/>
    <x v="0"/>
    <x v="1"/>
    <x v="0"/>
    <x v="0"/>
  </r>
  <r>
    <n v="1998"/>
    <x v="1"/>
    <x v="1"/>
    <s v="W"/>
    <n v="62860"/>
    <n v="596"/>
    <n v="154"/>
    <n v="31"/>
    <x v="1"/>
    <x v="3"/>
    <n v="3"/>
    <n v="0"/>
    <n v="0"/>
    <n v="0"/>
    <n v="0"/>
    <n v="0"/>
    <n v="0"/>
    <n v="1300"/>
    <n v="500"/>
    <x v="0"/>
    <x v="0"/>
    <x v="1"/>
    <x v="0"/>
    <x v="0"/>
  </r>
  <r>
    <n v="1999"/>
    <x v="1"/>
    <x v="1"/>
    <s v="W"/>
    <n v="60490"/>
    <n v="788"/>
    <n v="129"/>
    <n v="70"/>
    <x v="1"/>
    <x v="1"/>
    <n v="1"/>
    <n v="0"/>
    <n v="0"/>
    <n v="0"/>
    <n v="0"/>
    <n v="0"/>
    <n v="0"/>
    <n v="600"/>
    <n v="600"/>
    <x v="0"/>
    <x v="0"/>
    <x v="1"/>
    <x v="0"/>
    <x v="0"/>
  </r>
  <r>
    <n v="2000"/>
    <x v="1"/>
    <x v="1"/>
    <s v="W"/>
    <n v="33960"/>
    <n v="593"/>
    <n v="29"/>
    <n v="28"/>
    <x v="1"/>
    <x v="1"/>
    <n v="0"/>
    <n v="1"/>
    <n v="0"/>
    <n v="0"/>
    <n v="0"/>
    <n v="0"/>
    <n v="0"/>
    <n v="4000"/>
    <n v="4000"/>
    <x v="0"/>
    <x v="0"/>
    <x v="1"/>
    <x v="0"/>
    <x v="0"/>
  </r>
  <r>
    <n v="2001"/>
    <x v="1"/>
    <x v="1"/>
    <s v="W"/>
    <n v="20080"/>
    <n v="370"/>
    <n v="-24"/>
    <n v="-20"/>
    <x v="1"/>
    <x v="0"/>
    <n v="0"/>
    <n v="0"/>
    <n v="0"/>
    <n v="0"/>
    <n v="0"/>
    <n v="0"/>
    <n v="0"/>
    <n v="0"/>
    <n v="0"/>
    <x v="0"/>
    <x v="0"/>
    <x v="1"/>
    <x v="0"/>
    <x v="0"/>
  </r>
  <r>
    <n v="2002"/>
    <x v="1"/>
    <x v="1"/>
    <s v="W"/>
    <n v="45330"/>
    <n v="648"/>
    <n v="72"/>
    <n v="40"/>
    <x v="1"/>
    <x v="2"/>
    <n v="2"/>
    <n v="0"/>
    <n v="0"/>
    <n v="0"/>
    <n v="0"/>
    <n v="0"/>
    <n v="0"/>
    <n v="900"/>
    <n v="600"/>
    <x v="1"/>
    <x v="1"/>
    <x v="1"/>
    <x v="0"/>
    <x v="0"/>
  </r>
  <r>
    <n v="2003"/>
    <x v="1"/>
    <x v="1"/>
    <s v="W"/>
    <n v="69230"/>
    <n v="955"/>
    <n v="162"/>
    <n v="106"/>
    <x v="1"/>
    <x v="2"/>
    <n v="0"/>
    <n v="1"/>
    <n v="1"/>
    <n v="0"/>
    <n v="0"/>
    <n v="0"/>
    <n v="0"/>
    <n v="34000"/>
    <n v="30000"/>
    <x v="0"/>
    <x v="0"/>
    <x v="1"/>
    <x v="0"/>
    <x v="0"/>
  </r>
  <r>
    <n v="2004"/>
    <x v="1"/>
    <x v="1"/>
    <s v="W"/>
    <n v="28360"/>
    <n v="781"/>
    <n v="7"/>
    <n v="68"/>
    <x v="1"/>
    <x v="0"/>
    <n v="0"/>
    <n v="0"/>
    <n v="0"/>
    <n v="0"/>
    <n v="0"/>
    <n v="0"/>
    <n v="0"/>
    <n v="0"/>
    <n v="0"/>
    <x v="0"/>
    <x v="0"/>
    <x v="1"/>
    <x v="0"/>
    <x v="0"/>
  </r>
  <r>
    <n v="2005"/>
    <x v="1"/>
    <x v="1"/>
    <s v="W"/>
    <n v="14190"/>
    <n v="453"/>
    <n v="-46"/>
    <n v="-2"/>
    <x v="1"/>
    <x v="0"/>
    <n v="0"/>
    <n v="0"/>
    <n v="0"/>
    <n v="0"/>
    <n v="0"/>
    <n v="0"/>
    <n v="0"/>
    <n v="0"/>
    <n v="0"/>
    <x v="0"/>
    <x v="0"/>
    <x v="1"/>
    <x v="0"/>
    <x v="0"/>
  </r>
  <r>
    <n v="2006"/>
    <x v="1"/>
    <x v="1"/>
    <s v="W"/>
    <n v="15760"/>
    <n v="570"/>
    <n v="-40"/>
    <n v="23"/>
    <x v="1"/>
    <x v="1"/>
    <n v="1"/>
    <n v="0"/>
    <n v="0"/>
    <n v="0"/>
    <n v="0"/>
    <n v="0"/>
    <n v="0"/>
    <n v="300"/>
    <n v="300"/>
    <x v="0"/>
    <x v="0"/>
    <x v="1"/>
    <x v="0"/>
    <x v="0"/>
  </r>
  <r>
    <n v="2007"/>
    <x v="1"/>
    <x v="1"/>
    <s v="W"/>
    <n v="20640"/>
    <n v="517"/>
    <n v="-23"/>
    <n v="14"/>
    <x v="0"/>
    <x v="0"/>
    <n v="0"/>
    <n v="0"/>
    <n v="0"/>
    <n v="0"/>
    <n v="0"/>
    <n v="0"/>
    <n v="0"/>
    <n v="0"/>
    <n v="0"/>
    <x v="0"/>
    <x v="0"/>
    <x v="1"/>
    <x v="0"/>
    <x v="0"/>
  </r>
  <r>
    <n v="2008"/>
    <x v="1"/>
    <x v="1"/>
    <s v="W"/>
    <n v="32500"/>
    <n v="566"/>
    <n v="21"/>
    <n v="24"/>
    <x v="0"/>
    <x v="0"/>
    <n v="0"/>
    <n v="0"/>
    <n v="0"/>
    <n v="0"/>
    <n v="0"/>
    <n v="0"/>
    <n v="0"/>
    <n v="0"/>
    <n v="0"/>
    <x v="0"/>
    <x v="0"/>
    <x v="1"/>
    <x v="0"/>
    <x v="0"/>
  </r>
  <r>
    <n v="2009"/>
    <x v="1"/>
    <x v="1"/>
    <s v="W"/>
    <n v="47600"/>
    <n v="763"/>
    <n v="78"/>
    <n v="68"/>
    <x v="0"/>
    <x v="0"/>
    <n v="0"/>
    <n v="0"/>
    <n v="0"/>
    <n v="0"/>
    <n v="0"/>
    <n v="0"/>
    <n v="0"/>
    <n v="0"/>
    <n v="0"/>
    <x v="0"/>
    <x v="0"/>
    <x v="1"/>
    <x v="0"/>
    <x v="0"/>
  </r>
  <r>
    <n v="2010"/>
    <x v="1"/>
    <x v="1"/>
    <s v="W"/>
    <n v="24750"/>
    <n v="548"/>
    <n v="-8"/>
    <n v="21"/>
    <x v="0"/>
    <x v="0"/>
    <n v="0"/>
    <n v="0"/>
    <n v="0"/>
    <n v="0"/>
    <n v="0"/>
    <n v="0"/>
    <n v="0"/>
    <n v="0"/>
    <n v="0"/>
    <x v="0"/>
    <x v="0"/>
    <x v="1"/>
    <x v="0"/>
    <x v="0"/>
  </r>
  <r>
    <n v="2011"/>
    <x v="1"/>
    <x v="1"/>
    <s v="W"/>
    <n v="24500"/>
    <n v="488"/>
    <n v="-9"/>
    <n v="7"/>
    <x v="0"/>
    <x v="0"/>
    <n v="0"/>
    <n v="0"/>
    <n v="0"/>
    <n v="0"/>
    <n v="0"/>
    <n v="0"/>
    <n v="0"/>
    <n v="0"/>
    <n v="0"/>
    <x v="0"/>
    <x v="0"/>
    <x v="1"/>
    <x v="0"/>
    <x v="0"/>
  </r>
  <r>
    <n v="2012"/>
    <x v="1"/>
    <x v="1"/>
    <s v="W"/>
    <n v="63670"/>
    <n v="846"/>
    <n v="138"/>
    <n v="86"/>
    <x v="0"/>
    <x v="0"/>
    <n v="0"/>
    <n v="0"/>
    <n v="0"/>
    <n v="0"/>
    <n v="0"/>
    <n v="0"/>
    <n v="0"/>
    <n v="0"/>
    <n v="0"/>
    <x v="0"/>
    <x v="0"/>
    <x v="1"/>
    <x v="0"/>
    <x v="0"/>
  </r>
  <r>
    <n v="2013"/>
    <x v="1"/>
    <x v="1"/>
    <s v="W"/>
    <n v="67810"/>
    <n v="1002"/>
    <n v="153"/>
    <n v="120"/>
    <x v="0"/>
    <x v="0"/>
    <n v="0"/>
    <n v="0"/>
    <n v="0"/>
    <n v="0"/>
    <n v="0"/>
    <n v="0"/>
    <n v="0"/>
    <n v="0"/>
    <n v="0"/>
    <x v="0"/>
    <x v="0"/>
    <x v="1"/>
    <x v="0"/>
    <x v="0"/>
  </r>
  <r>
    <n v="2014"/>
    <x v="1"/>
    <x v="1"/>
    <s v="W"/>
    <n v="30150"/>
    <n v="691"/>
    <n v="13"/>
    <n v="52"/>
    <x v="0"/>
    <x v="0"/>
    <n v="0"/>
    <n v="0"/>
    <n v="0"/>
    <n v="0"/>
    <n v="0"/>
    <n v="0"/>
    <n v="0"/>
    <n v="0"/>
    <n v="0"/>
    <x v="0"/>
    <x v="0"/>
    <x v="1"/>
    <x v="0"/>
    <x v="0"/>
  </r>
  <r>
    <n v="2015"/>
    <x v="1"/>
    <x v="1"/>
    <s v="W"/>
    <n v="18490"/>
    <n v="451"/>
    <n v="-34"/>
    <n v="-4"/>
    <x v="0"/>
    <x v="0"/>
    <n v="0"/>
    <n v="0"/>
    <n v="0"/>
    <n v="0"/>
    <n v="0"/>
    <n v="0"/>
    <n v="0"/>
    <n v="0"/>
    <n v="0"/>
    <x v="0"/>
    <x v="0"/>
    <x v="1"/>
    <x v="0"/>
    <x v="0"/>
  </r>
  <r>
    <n v="2016"/>
    <x v="1"/>
    <x v="1"/>
    <s v="W"/>
    <n v="12670"/>
    <n v="350"/>
    <n v="-55"/>
    <n v="-25"/>
    <x v="0"/>
    <x v="0"/>
    <n v="0"/>
    <n v="0"/>
    <n v="0"/>
    <n v="0"/>
    <n v="0"/>
    <n v="0"/>
    <n v="0"/>
    <n v="0"/>
    <n v="0"/>
    <x v="0"/>
    <x v="0"/>
    <x v="1"/>
    <x v="0"/>
    <x v="0"/>
  </r>
  <r>
    <n v="2017"/>
    <x v="1"/>
    <x v="1"/>
    <s v="W"/>
    <n v="13590"/>
    <n v="359"/>
    <n v="-51"/>
    <n v="-23"/>
    <x v="0"/>
    <x v="1"/>
    <n v="0"/>
    <n v="1"/>
    <n v="0"/>
    <n v="0"/>
    <n v="0"/>
    <n v="0"/>
    <n v="0"/>
    <n v="1000"/>
    <n v="1000"/>
    <x v="0"/>
    <x v="0"/>
    <x v="1"/>
    <x v="0"/>
    <x v="0"/>
  </r>
  <r>
    <n v="2018"/>
    <x v="1"/>
    <x v="1"/>
    <s v="W"/>
    <n v="27040"/>
    <n v="347"/>
    <n v="-3"/>
    <n v="-26"/>
    <x v="0"/>
    <x v="1"/>
    <n v="1"/>
    <n v="0"/>
    <n v="0"/>
    <n v="0"/>
    <n v="0"/>
    <n v="0"/>
    <n v="0"/>
    <n v="200"/>
    <n v="200"/>
    <x v="0"/>
    <x v="0"/>
    <x v="1"/>
    <x v="0"/>
    <x v="0"/>
  </r>
  <r>
    <n v="2019"/>
    <x v="1"/>
    <x v="1"/>
    <s v="W"/>
    <n v="20890"/>
    <n v="386"/>
    <n v="-25"/>
    <n v="-18"/>
    <x v="0"/>
    <x v="0"/>
    <n v="0"/>
    <n v="0"/>
    <n v="0"/>
    <n v="0"/>
    <n v="0"/>
    <n v="0"/>
    <n v="0"/>
    <n v="0"/>
    <n v="0"/>
    <x v="0"/>
    <x v="0"/>
    <x v="1"/>
    <x v="0"/>
    <x v="0"/>
  </r>
  <r>
    <n v="2020"/>
    <x v="1"/>
    <x v="1"/>
    <s v="W"/>
    <n v="42700"/>
    <n v="700"/>
    <n v="53"/>
    <n v="49"/>
    <x v="0"/>
    <x v="1"/>
    <n v="1"/>
    <n v="0"/>
    <n v="0"/>
    <n v="0"/>
    <n v="0"/>
    <n v="0"/>
    <n v="0"/>
    <n v="400"/>
    <n v="400"/>
    <x v="0"/>
    <x v="0"/>
    <x v="1"/>
    <x v="0"/>
    <x v="0"/>
  </r>
  <r>
    <n v="2021"/>
    <x v="1"/>
    <x v="1"/>
    <s v="W"/>
    <n v="87060"/>
    <n v="1043"/>
    <n v="212"/>
    <n v="122"/>
    <x v="0"/>
    <x v="2"/>
    <n v="1"/>
    <n v="1"/>
    <n v="0"/>
    <n v="0"/>
    <n v="0"/>
    <n v="0"/>
    <n v="0"/>
    <n v="2800"/>
    <n v="2000"/>
    <x v="0"/>
    <x v="0"/>
    <x v="1"/>
    <x v="0"/>
    <x v="0"/>
  </r>
  <r>
    <n v="2022"/>
    <x v="1"/>
    <x v="1"/>
    <s v="W"/>
    <n v="43420"/>
    <n v="623"/>
    <n v="56"/>
    <n v="33"/>
    <x v="0"/>
    <x v="2"/>
    <n v="2"/>
    <n v="0"/>
    <n v="0"/>
    <n v="0"/>
    <n v="0"/>
    <n v="0"/>
    <n v="0"/>
    <n v="500"/>
    <n v="400"/>
    <x v="0"/>
    <x v="0"/>
    <x v="1"/>
    <x v="0"/>
    <x v="0"/>
  </r>
  <r>
    <n v="2023"/>
    <x v="1"/>
    <x v="1"/>
    <s v="W"/>
    <n v="34930"/>
    <n v="459"/>
    <n v="19"/>
    <n v="-6"/>
    <x v="0"/>
    <x v="0"/>
    <n v="0"/>
    <n v="0"/>
    <n v="0"/>
    <n v="0"/>
    <n v="0"/>
    <n v="0"/>
    <n v="0"/>
    <n v="0"/>
    <n v="0"/>
    <x v="0"/>
    <x v="0"/>
    <x v="1"/>
    <x v="0"/>
    <x v="0"/>
  </r>
  <r>
    <n v="2024"/>
    <x v="1"/>
    <x v="1"/>
    <s v="W"/>
    <n v="64830"/>
    <n v="916"/>
    <n v="121"/>
    <n v="88"/>
    <x v="0"/>
    <x v="1"/>
    <n v="0"/>
    <n v="1"/>
    <n v="0"/>
    <n v="0"/>
    <n v="0"/>
    <n v="0"/>
    <n v="0"/>
    <n v="6000"/>
    <n v="6000"/>
    <x v="0"/>
    <x v="0"/>
    <x v="1"/>
    <x v="0"/>
    <x v="0"/>
  </r>
  <r>
    <n v="2025"/>
    <x v="1"/>
    <x v="1"/>
    <s v="W"/>
    <n v="64490"/>
    <n v="755"/>
    <n v="120"/>
    <n v="55"/>
    <x v="0"/>
    <x v="0"/>
    <n v="0"/>
    <n v="0"/>
    <n v="0"/>
    <n v="0"/>
    <n v="0"/>
    <n v="0"/>
    <n v="0"/>
    <n v="0"/>
    <n v="0"/>
    <x v="0"/>
    <x v="0"/>
    <x v="1"/>
    <x v="0"/>
    <x v="0"/>
  </r>
  <r>
    <n v="2026"/>
    <x v="1"/>
    <x v="1"/>
    <s v="W"/>
    <n v="34620"/>
    <n v="661"/>
    <n v="18"/>
    <n v="36"/>
    <x v="0"/>
    <x v="0"/>
    <n v="0"/>
    <n v="0"/>
    <n v="0"/>
    <n v="0"/>
    <n v="0"/>
    <n v="0"/>
    <n v="0"/>
    <n v="0"/>
    <n v="0"/>
    <x v="0"/>
    <x v="0"/>
    <x v="1"/>
    <x v="0"/>
    <x v="0"/>
  </r>
  <r>
    <n v="2027"/>
    <x v="1"/>
    <x v="1"/>
    <s v="W"/>
    <n v="48950"/>
    <n v="744"/>
    <n v="67"/>
    <n v="53"/>
    <x v="0"/>
    <x v="0"/>
    <n v="0"/>
    <n v="0"/>
    <n v="0"/>
    <n v="0"/>
    <n v="0"/>
    <n v="0"/>
    <n v="0"/>
    <n v="0"/>
    <n v="0"/>
    <x v="0"/>
    <x v="0"/>
    <x v="1"/>
    <x v="0"/>
    <x v="0"/>
  </r>
  <r>
    <n v="2028"/>
    <x v="1"/>
    <x v="1"/>
    <s v="W"/>
    <n v="59950"/>
    <n v="815"/>
    <n v="105"/>
    <n v="67"/>
    <x v="0"/>
    <x v="0"/>
    <n v="0"/>
    <n v="0"/>
    <n v="0"/>
    <n v="0"/>
    <n v="0"/>
    <n v="0"/>
    <n v="0"/>
    <n v="0"/>
    <n v="0"/>
    <x v="0"/>
    <x v="0"/>
    <x v="1"/>
    <x v="0"/>
    <x v="0"/>
  </r>
  <r>
    <n v="2029"/>
    <x v="1"/>
    <x v="1"/>
    <s v="W"/>
    <n v="38590"/>
    <n v="716"/>
    <n v="32"/>
    <n v="47"/>
    <x v="0"/>
    <x v="0"/>
    <n v="0"/>
    <n v="0"/>
    <n v="0"/>
    <n v="0"/>
    <n v="0"/>
    <n v="0"/>
    <n v="0"/>
    <n v="0"/>
    <n v="0"/>
    <x v="0"/>
    <x v="0"/>
    <x v="1"/>
    <x v="0"/>
    <x v="0"/>
  </r>
  <r>
    <n v="2030"/>
    <x v="1"/>
    <x v="1"/>
    <s v="W"/>
    <n v="25050"/>
    <n v="451"/>
    <n v="-14"/>
    <n v="-7"/>
    <x v="0"/>
    <x v="0"/>
    <n v="0"/>
    <n v="0"/>
    <n v="0"/>
    <n v="0"/>
    <n v="0"/>
    <n v="0"/>
    <n v="0"/>
    <n v="0"/>
    <n v="0"/>
    <x v="0"/>
    <x v="0"/>
    <x v="1"/>
    <x v="0"/>
    <x v="0"/>
  </r>
  <r>
    <n v="2031"/>
    <x v="0"/>
    <x v="0"/>
    <s v="W"/>
    <n v="23930"/>
    <n v="426"/>
    <n v="-20"/>
    <n v="-13"/>
    <x v="0"/>
    <x v="0"/>
    <n v="0"/>
    <n v="0"/>
    <n v="0"/>
    <n v="0"/>
    <n v="0"/>
    <n v="0"/>
    <n v="0"/>
    <n v="0"/>
    <n v="0"/>
    <x v="0"/>
    <x v="0"/>
    <x v="1"/>
    <x v="0"/>
    <x v="0"/>
  </r>
  <r>
    <n v="2032"/>
    <x v="0"/>
    <x v="0"/>
    <s v="W"/>
    <n v="37480"/>
    <n v="660"/>
    <n v="25"/>
    <n v="35"/>
    <x v="0"/>
    <x v="0"/>
    <n v="0"/>
    <n v="0"/>
    <n v="0"/>
    <n v="0"/>
    <n v="0"/>
    <n v="0"/>
    <n v="0"/>
    <n v="0"/>
    <n v="0"/>
    <x v="0"/>
    <x v="0"/>
    <x v="1"/>
    <x v="0"/>
    <x v="0"/>
  </r>
  <r>
    <n v="2033"/>
    <x v="0"/>
    <x v="0"/>
    <s v="W"/>
    <n v="41410"/>
    <n v="630"/>
    <n v="38"/>
    <n v="29"/>
    <x v="0"/>
    <x v="0"/>
    <n v="0"/>
    <n v="0"/>
    <n v="0"/>
    <n v="0"/>
    <n v="0"/>
    <n v="0"/>
    <n v="0"/>
    <n v="0"/>
    <n v="0"/>
    <x v="0"/>
    <x v="0"/>
    <x v="1"/>
    <x v="0"/>
    <x v="0"/>
  </r>
  <r>
    <n v="2034"/>
    <x v="0"/>
    <x v="0"/>
    <s v="W"/>
    <n v="59640"/>
    <n v="722"/>
    <n v="98"/>
    <n v="47"/>
    <x v="0"/>
    <x v="2"/>
    <n v="2"/>
    <n v="0"/>
    <n v="0"/>
    <n v="0"/>
    <n v="0"/>
    <n v="0"/>
    <n v="0"/>
    <n v="600"/>
    <n v="400"/>
    <x v="0"/>
    <x v="0"/>
    <x v="1"/>
    <x v="0"/>
    <x v="0"/>
  </r>
  <r>
    <n v="2035"/>
    <x v="0"/>
    <x v="0"/>
    <s v="W"/>
    <n v="26210"/>
    <n v="512"/>
    <n v="-13"/>
    <n v="4"/>
    <x v="0"/>
    <x v="0"/>
    <n v="0"/>
    <n v="0"/>
    <n v="0"/>
    <n v="0"/>
    <n v="0"/>
    <n v="0"/>
    <n v="0"/>
    <n v="0"/>
    <n v="0"/>
    <x v="0"/>
    <x v="0"/>
    <x v="1"/>
    <x v="0"/>
    <x v="0"/>
  </r>
  <r>
    <n v="2036"/>
    <x v="0"/>
    <x v="0"/>
    <s v="W"/>
    <n v="29730"/>
    <n v="539"/>
    <n v="-1"/>
    <n v="10"/>
    <x v="0"/>
    <x v="1"/>
    <n v="1"/>
    <n v="0"/>
    <n v="0"/>
    <n v="0"/>
    <n v="0"/>
    <n v="0"/>
    <n v="0"/>
    <n v="200"/>
    <n v="200"/>
    <x v="0"/>
    <x v="0"/>
    <x v="1"/>
    <x v="0"/>
    <x v="0"/>
  </r>
  <r>
    <n v="2037"/>
    <x v="0"/>
    <x v="0"/>
    <s v="W"/>
    <n v="26280"/>
    <n v="404"/>
    <n v="-13"/>
    <n v="-18"/>
    <x v="0"/>
    <x v="0"/>
    <n v="0"/>
    <n v="0"/>
    <n v="0"/>
    <n v="0"/>
    <n v="0"/>
    <n v="0"/>
    <n v="0"/>
    <n v="0"/>
    <n v="0"/>
    <x v="0"/>
    <x v="0"/>
    <x v="1"/>
    <x v="0"/>
    <x v="0"/>
  </r>
  <r>
    <n v="2038"/>
    <x v="0"/>
    <x v="0"/>
    <s v="N"/>
    <n v="40370"/>
    <n v="755"/>
    <n v="223"/>
    <n v="202"/>
    <x v="0"/>
    <x v="0"/>
    <n v="0"/>
    <n v="0"/>
    <n v="0"/>
    <n v="0"/>
    <n v="0"/>
    <n v="0"/>
    <n v="0"/>
    <n v="0"/>
    <n v="0"/>
    <x v="0"/>
    <x v="0"/>
    <x v="0"/>
    <x v="0"/>
    <x v="0"/>
  </r>
  <r>
    <n v="2039"/>
    <x v="0"/>
    <x v="0"/>
    <s v="N"/>
    <n v="20740"/>
    <n v="510"/>
    <n v="66"/>
    <n v="104"/>
    <x v="0"/>
    <x v="0"/>
    <n v="0"/>
    <n v="0"/>
    <n v="0"/>
    <n v="0"/>
    <n v="0"/>
    <n v="0"/>
    <n v="0"/>
    <n v="0"/>
    <n v="0"/>
    <x v="0"/>
    <x v="0"/>
    <x v="0"/>
    <x v="0"/>
    <x v="0"/>
  </r>
  <r>
    <n v="2040"/>
    <x v="0"/>
    <x v="0"/>
    <s v="N"/>
    <n v="13520"/>
    <n v="363"/>
    <n v="8"/>
    <n v="45"/>
    <x v="0"/>
    <x v="0"/>
    <n v="0"/>
    <n v="0"/>
    <n v="0"/>
    <n v="0"/>
    <n v="0"/>
    <n v="0"/>
    <n v="0"/>
    <n v="0"/>
    <n v="0"/>
    <x v="0"/>
    <x v="0"/>
    <x v="0"/>
    <x v="0"/>
    <x v="0"/>
  </r>
  <r>
    <n v="2041"/>
    <x v="0"/>
    <x v="0"/>
    <s v="W"/>
    <n v="24890"/>
    <n v="363"/>
    <n v="-26"/>
    <n v="-32"/>
    <x v="0"/>
    <x v="1"/>
    <n v="1"/>
    <n v="0"/>
    <n v="0"/>
    <n v="0"/>
    <n v="0"/>
    <n v="0"/>
    <n v="0"/>
    <n v="500"/>
    <n v="500"/>
    <x v="0"/>
    <x v="0"/>
    <x v="1"/>
    <x v="0"/>
    <x v="0"/>
  </r>
  <r>
    <n v="2042"/>
    <x v="0"/>
    <x v="0"/>
    <s v="W"/>
    <n v="31720"/>
    <n v="423"/>
    <n v="-6"/>
    <n v="-21"/>
    <x v="0"/>
    <x v="1"/>
    <n v="1"/>
    <n v="0"/>
    <n v="0"/>
    <n v="0"/>
    <n v="0"/>
    <n v="0"/>
    <n v="0"/>
    <n v="300"/>
    <n v="300"/>
    <x v="0"/>
    <x v="0"/>
    <x v="1"/>
    <x v="0"/>
    <x v="0"/>
  </r>
  <r>
    <n v="2043"/>
    <x v="0"/>
    <x v="0"/>
    <s v="W"/>
    <n v="19240"/>
    <n v="370"/>
    <n v="-43"/>
    <n v="-31"/>
    <x v="0"/>
    <x v="0"/>
    <n v="0"/>
    <n v="0"/>
    <n v="0"/>
    <n v="0"/>
    <n v="0"/>
    <n v="0"/>
    <n v="0"/>
    <n v="0"/>
    <n v="0"/>
    <x v="0"/>
    <x v="0"/>
    <x v="1"/>
    <x v="0"/>
    <x v="0"/>
  </r>
  <r>
    <n v="2044"/>
    <x v="0"/>
    <x v="0"/>
    <s v="W"/>
    <n v="25630"/>
    <n v="423"/>
    <n v="-24"/>
    <n v="-21"/>
    <x v="0"/>
    <x v="0"/>
    <n v="0"/>
    <n v="0"/>
    <n v="0"/>
    <n v="0"/>
    <n v="0"/>
    <n v="0"/>
    <n v="0"/>
    <n v="0"/>
    <n v="0"/>
    <x v="0"/>
    <x v="0"/>
    <x v="1"/>
    <x v="0"/>
    <x v="0"/>
  </r>
  <r>
    <n v="2045"/>
    <x v="0"/>
    <x v="0"/>
    <s v="W"/>
    <n v="21040"/>
    <n v="402"/>
    <n v="-38"/>
    <n v="-25"/>
    <x v="0"/>
    <x v="1"/>
    <n v="1"/>
    <n v="0"/>
    <n v="0"/>
    <n v="0"/>
    <n v="0"/>
    <n v="0"/>
    <n v="0"/>
    <n v="300"/>
    <n v="300"/>
    <x v="0"/>
    <x v="0"/>
    <x v="1"/>
    <x v="0"/>
    <x v="0"/>
  </r>
  <r>
    <n v="2046"/>
    <x v="0"/>
    <x v="0"/>
    <s v="W"/>
    <n v="32810"/>
    <n v="524"/>
    <n v="-3"/>
    <n v="-2"/>
    <x v="0"/>
    <x v="0"/>
    <n v="0"/>
    <n v="0"/>
    <n v="0"/>
    <n v="0"/>
    <n v="0"/>
    <n v="0"/>
    <n v="0"/>
    <n v="0"/>
    <n v="0"/>
    <x v="1"/>
    <x v="1"/>
    <x v="1"/>
    <x v="0"/>
    <x v="0"/>
  </r>
  <r>
    <n v="2047"/>
    <x v="0"/>
    <x v="0"/>
    <s v="W"/>
    <n v="33330"/>
    <n v="482"/>
    <n v="-5"/>
    <n v="-12"/>
    <x v="0"/>
    <x v="2"/>
    <n v="1"/>
    <n v="0"/>
    <n v="1"/>
    <n v="0"/>
    <n v="0"/>
    <n v="0"/>
    <n v="0"/>
    <n v="40200"/>
    <n v="40000"/>
    <x v="0"/>
    <x v="0"/>
    <x v="1"/>
    <x v="0"/>
    <x v="0"/>
  </r>
  <r>
    <n v="2048"/>
    <x v="0"/>
    <x v="0"/>
    <s v="W"/>
    <n v="50840"/>
    <n v="719"/>
    <n v="46"/>
    <n v="32"/>
    <x v="0"/>
    <x v="1"/>
    <n v="0"/>
    <n v="1"/>
    <n v="0"/>
    <n v="0"/>
    <n v="0"/>
    <n v="0"/>
    <n v="0"/>
    <n v="7000"/>
    <n v="7000"/>
    <x v="0"/>
    <x v="0"/>
    <x v="1"/>
    <x v="0"/>
    <x v="0"/>
  </r>
  <r>
    <n v="2049"/>
    <x v="0"/>
    <x v="0"/>
    <s v="W"/>
    <n v="31430"/>
    <n v="484"/>
    <n v="-10"/>
    <n v="-11"/>
    <x v="0"/>
    <x v="0"/>
    <n v="0"/>
    <n v="0"/>
    <n v="0"/>
    <n v="0"/>
    <n v="0"/>
    <n v="0"/>
    <n v="0"/>
    <n v="0"/>
    <n v="0"/>
    <x v="0"/>
    <x v="0"/>
    <x v="1"/>
    <x v="0"/>
    <x v="0"/>
  </r>
  <r>
    <n v="2050"/>
    <x v="0"/>
    <x v="0"/>
    <s v="W"/>
    <n v="22810"/>
    <n v="508"/>
    <n v="-35"/>
    <n v="-7"/>
    <x v="0"/>
    <x v="0"/>
    <n v="0"/>
    <n v="0"/>
    <n v="0"/>
    <n v="0"/>
    <n v="0"/>
    <n v="0"/>
    <n v="0"/>
    <n v="0"/>
    <n v="0"/>
    <x v="0"/>
    <x v="0"/>
    <x v="1"/>
    <x v="0"/>
    <x v="0"/>
  </r>
  <r>
    <n v="2051"/>
    <x v="0"/>
    <x v="0"/>
    <s v="W"/>
    <n v="32220"/>
    <n v="513"/>
    <n v="-8"/>
    <n v="-6"/>
    <x v="0"/>
    <x v="2"/>
    <n v="1"/>
    <n v="1"/>
    <n v="0"/>
    <n v="0"/>
    <n v="0"/>
    <n v="0"/>
    <n v="0"/>
    <n v="2300"/>
    <n v="2000"/>
    <x v="0"/>
    <x v="0"/>
    <x v="1"/>
    <x v="0"/>
    <x v="0"/>
  </r>
  <r>
    <n v="2052"/>
    <x v="0"/>
    <x v="0"/>
    <s v="W"/>
    <n v="49480"/>
    <n v="579"/>
    <n v="42"/>
    <n v="6"/>
    <x v="0"/>
    <x v="0"/>
    <n v="0"/>
    <n v="0"/>
    <n v="0"/>
    <n v="0"/>
    <n v="0"/>
    <n v="0"/>
    <n v="0"/>
    <n v="0"/>
    <n v="0"/>
    <x v="0"/>
    <x v="0"/>
    <x v="1"/>
    <x v="0"/>
    <x v="0"/>
  </r>
  <r>
    <n v="2053"/>
    <x v="0"/>
    <x v="0"/>
    <s v="W"/>
    <n v="28350"/>
    <n v="467"/>
    <n v="-19"/>
    <n v="-15"/>
    <x v="0"/>
    <x v="0"/>
    <n v="0"/>
    <n v="0"/>
    <n v="0"/>
    <n v="0"/>
    <n v="0"/>
    <n v="0"/>
    <n v="0"/>
    <n v="0"/>
    <n v="0"/>
    <x v="0"/>
    <x v="0"/>
    <x v="1"/>
    <x v="0"/>
    <x v="0"/>
  </r>
  <r>
    <n v="2054"/>
    <x v="0"/>
    <x v="0"/>
    <s v="W"/>
    <n v="23160"/>
    <n v="393"/>
    <n v="-34"/>
    <n v="-28"/>
    <x v="0"/>
    <x v="0"/>
    <n v="0"/>
    <n v="0"/>
    <n v="0"/>
    <n v="0"/>
    <n v="0"/>
    <n v="0"/>
    <n v="0"/>
    <n v="0"/>
    <n v="0"/>
    <x v="0"/>
    <x v="0"/>
    <x v="1"/>
    <x v="0"/>
    <x v="0"/>
  </r>
  <r>
    <n v="2055"/>
    <x v="1"/>
    <x v="0"/>
    <s v="W"/>
    <n v="37570"/>
    <n v="539"/>
    <n v="8"/>
    <n v="0"/>
    <x v="0"/>
    <x v="0"/>
    <n v="0"/>
    <n v="0"/>
    <n v="0"/>
    <n v="0"/>
    <n v="0"/>
    <n v="0"/>
    <n v="0"/>
    <n v="0"/>
    <n v="0"/>
    <x v="0"/>
    <x v="0"/>
    <x v="1"/>
    <x v="0"/>
    <x v="0"/>
  </r>
  <r>
    <n v="2056"/>
    <x v="1"/>
    <x v="0"/>
    <s v="W"/>
    <n v="27480"/>
    <n v="441"/>
    <n v="-21"/>
    <n v="-18"/>
    <x v="0"/>
    <x v="1"/>
    <n v="0"/>
    <n v="1"/>
    <n v="0"/>
    <n v="0"/>
    <n v="0"/>
    <n v="0"/>
    <n v="0"/>
    <n v="4000"/>
    <n v="4000"/>
    <x v="0"/>
    <x v="0"/>
    <x v="1"/>
    <x v="0"/>
    <x v="0"/>
  </r>
  <r>
    <n v="2057"/>
    <x v="1"/>
    <x v="0"/>
    <s v="W"/>
    <n v="16830"/>
    <n v="396"/>
    <n v="-14"/>
    <n v="-18"/>
    <x v="0"/>
    <x v="0"/>
    <n v="0"/>
    <n v="0"/>
    <n v="0"/>
    <n v="0"/>
    <n v="0"/>
    <n v="0"/>
    <n v="0"/>
    <n v="0"/>
    <n v="0"/>
    <x v="0"/>
    <x v="0"/>
    <x v="1"/>
    <x v="0"/>
    <x v="0"/>
  </r>
  <r>
    <n v="2058"/>
    <x v="1"/>
    <x v="0"/>
    <s v="W"/>
    <n v="44330"/>
    <n v="485"/>
    <n v="27"/>
    <n v="-10"/>
    <x v="0"/>
    <x v="0"/>
    <n v="0"/>
    <n v="0"/>
    <n v="0"/>
    <n v="0"/>
    <n v="0"/>
    <n v="0"/>
    <n v="0"/>
    <n v="0"/>
    <n v="0"/>
    <x v="0"/>
    <x v="0"/>
    <x v="1"/>
    <x v="0"/>
    <x v="0"/>
  </r>
  <r>
    <n v="2059"/>
    <x v="1"/>
    <x v="0"/>
    <s v="W"/>
    <n v="28360"/>
    <n v="434"/>
    <n v="-19"/>
    <n v="-20"/>
    <x v="0"/>
    <x v="0"/>
    <n v="0"/>
    <n v="0"/>
    <n v="0"/>
    <n v="0"/>
    <n v="0"/>
    <n v="0"/>
    <n v="0"/>
    <n v="0"/>
    <n v="0"/>
    <x v="0"/>
    <x v="0"/>
    <x v="1"/>
    <x v="0"/>
    <x v="0"/>
  </r>
  <r>
    <n v="2060"/>
    <x v="1"/>
    <x v="0"/>
    <s v="W"/>
    <n v="28240"/>
    <n v="460"/>
    <n v="-19"/>
    <n v="-15"/>
    <x v="0"/>
    <x v="0"/>
    <n v="0"/>
    <n v="0"/>
    <n v="0"/>
    <n v="0"/>
    <n v="0"/>
    <n v="0"/>
    <n v="0"/>
    <n v="0"/>
    <n v="0"/>
    <x v="0"/>
    <x v="0"/>
    <x v="1"/>
    <x v="0"/>
    <x v="0"/>
  </r>
  <r>
    <n v="2061"/>
    <x v="1"/>
    <x v="0"/>
    <s v="W"/>
    <n v="31620"/>
    <n v="520"/>
    <n v="-9"/>
    <n v="-4"/>
    <x v="0"/>
    <x v="0"/>
    <n v="0"/>
    <n v="0"/>
    <n v="0"/>
    <n v="0"/>
    <n v="0"/>
    <n v="0"/>
    <n v="0"/>
    <n v="0"/>
    <n v="0"/>
    <x v="0"/>
    <x v="0"/>
    <x v="1"/>
    <x v="0"/>
    <x v="0"/>
  </r>
  <r>
    <n v="2062"/>
    <x v="1"/>
    <x v="0"/>
    <s v="W"/>
    <n v="22850"/>
    <n v="515"/>
    <n v="-13"/>
    <n v="-10"/>
    <x v="0"/>
    <x v="0"/>
    <n v="0"/>
    <n v="0"/>
    <n v="0"/>
    <n v="0"/>
    <n v="0"/>
    <n v="0"/>
    <n v="0"/>
    <n v="0"/>
    <n v="0"/>
    <x v="0"/>
    <x v="0"/>
    <x v="1"/>
    <x v="0"/>
    <x v="0"/>
  </r>
  <r>
    <n v="2063"/>
    <x v="1"/>
    <x v="0"/>
    <s v="W"/>
    <n v="14710"/>
    <n v="321"/>
    <n v="-58"/>
    <n v="-42"/>
    <x v="0"/>
    <x v="1"/>
    <n v="0"/>
    <n v="1"/>
    <n v="0"/>
    <n v="0"/>
    <n v="0"/>
    <n v="0"/>
    <n v="0"/>
    <n v="2000"/>
    <n v="2000"/>
    <x v="0"/>
    <x v="0"/>
    <x v="1"/>
    <x v="0"/>
    <x v="0"/>
  </r>
  <r>
    <n v="2064"/>
    <x v="1"/>
    <x v="0"/>
    <s v="N"/>
    <n v="11210"/>
    <n v="323"/>
    <n v="-10"/>
    <n v="29"/>
    <x v="0"/>
    <x v="0"/>
    <n v="0"/>
    <n v="0"/>
    <n v="0"/>
    <n v="0"/>
    <n v="0"/>
    <n v="0"/>
    <n v="0"/>
    <n v="0"/>
    <n v="0"/>
    <x v="0"/>
    <x v="0"/>
    <x v="0"/>
    <x v="0"/>
    <x v="0"/>
  </r>
  <r>
    <n v="2065"/>
    <x v="1"/>
    <x v="0"/>
    <s v="N"/>
    <n v="16690"/>
    <n v="267"/>
    <n v="34"/>
    <n v="7"/>
    <x v="0"/>
    <x v="1"/>
    <n v="1"/>
    <n v="0"/>
    <n v="0"/>
    <n v="0"/>
    <n v="0"/>
    <n v="0"/>
    <n v="0"/>
    <n v="800"/>
    <n v="800"/>
    <x v="0"/>
    <x v="0"/>
    <x v="0"/>
    <x v="0"/>
    <x v="0"/>
  </r>
  <r>
    <n v="2066"/>
    <x v="1"/>
    <x v="0"/>
    <s v="N"/>
    <n v="15610"/>
    <n v="246"/>
    <n v="25"/>
    <n v="-2"/>
    <x v="0"/>
    <x v="0"/>
    <n v="0"/>
    <n v="0"/>
    <n v="0"/>
    <n v="0"/>
    <n v="0"/>
    <n v="0"/>
    <n v="0"/>
    <n v="0"/>
    <n v="0"/>
    <x v="0"/>
    <x v="0"/>
    <x v="0"/>
    <x v="0"/>
    <x v="0"/>
  </r>
  <r>
    <n v="2067"/>
    <x v="1"/>
    <x v="0"/>
    <s v="W"/>
    <n v="20330"/>
    <n v="413"/>
    <n v="-42"/>
    <n v="-25"/>
    <x v="0"/>
    <x v="0"/>
    <n v="0"/>
    <n v="0"/>
    <n v="0"/>
    <n v="0"/>
    <n v="0"/>
    <n v="0"/>
    <n v="0"/>
    <n v="0"/>
    <n v="0"/>
    <x v="0"/>
    <x v="0"/>
    <x v="1"/>
    <x v="0"/>
    <x v="0"/>
  </r>
  <r>
    <n v="2068"/>
    <x v="1"/>
    <x v="0"/>
    <s v="W"/>
    <n v="18920"/>
    <n v="330"/>
    <n v="-46"/>
    <n v="-40"/>
    <x v="0"/>
    <x v="1"/>
    <n v="1"/>
    <n v="0"/>
    <n v="0"/>
    <n v="0"/>
    <n v="0"/>
    <n v="0"/>
    <n v="0"/>
    <n v="200"/>
    <n v="200"/>
    <x v="0"/>
    <x v="0"/>
    <x v="1"/>
    <x v="0"/>
    <x v="0"/>
  </r>
  <r>
    <n v="2069"/>
    <x v="1"/>
    <x v="0"/>
    <s v="W"/>
    <n v="30130"/>
    <n v="403"/>
    <n v="-15"/>
    <n v="-27"/>
    <x v="0"/>
    <x v="0"/>
    <n v="0"/>
    <n v="0"/>
    <n v="0"/>
    <n v="0"/>
    <n v="0"/>
    <n v="0"/>
    <n v="0"/>
    <n v="0"/>
    <n v="0"/>
    <x v="0"/>
    <x v="0"/>
    <x v="1"/>
    <x v="0"/>
    <x v="0"/>
  </r>
  <r>
    <n v="2070"/>
    <x v="1"/>
    <x v="0"/>
    <s v="W"/>
    <n v="20660"/>
    <n v="335"/>
    <n v="-42"/>
    <n v="-39"/>
    <x v="0"/>
    <x v="1"/>
    <n v="1"/>
    <n v="0"/>
    <n v="0"/>
    <n v="0"/>
    <n v="0"/>
    <n v="0"/>
    <n v="0"/>
    <n v="200"/>
    <n v="200"/>
    <x v="0"/>
    <x v="0"/>
    <x v="1"/>
    <x v="0"/>
    <x v="0"/>
  </r>
  <r>
    <n v="2071"/>
    <x v="1"/>
    <x v="0"/>
    <s v="W"/>
    <n v="14110"/>
    <n v="280"/>
    <n v="-59"/>
    <n v="-49"/>
    <x v="0"/>
    <x v="0"/>
    <n v="0"/>
    <n v="0"/>
    <n v="0"/>
    <n v="0"/>
    <n v="0"/>
    <n v="0"/>
    <n v="0"/>
    <n v="0"/>
    <n v="0"/>
    <x v="0"/>
    <x v="0"/>
    <x v="1"/>
    <x v="0"/>
    <x v="0"/>
  </r>
  <r>
    <n v="2072"/>
    <x v="1"/>
    <x v="0"/>
    <s v="W"/>
    <n v="36910"/>
    <n v="455"/>
    <n v="6"/>
    <n v="-18"/>
    <x v="0"/>
    <x v="0"/>
    <n v="0"/>
    <n v="0"/>
    <n v="0"/>
    <n v="0"/>
    <n v="0"/>
    <n v="0"/>
    <n v="0"/>
    <n v="0"/>
    <n v="0"/>
    <x v="0"/>
    <x v="0"/>
    <x v="1"/>
    <x v="0"/>
    <x v="0"/>
  </r>
  <r>
    <n v="2073"/>
    <x v="1"/>
    <x v="0"/>
    <s v="W"/>
    <n v="37620"/>
    <n v="520"/>
    <n v="8"/>
    <n v="-6"/>
    <x v="0"/>
    <x v="0"/>
    <n v="0"/>
    <n v="0"/>
    <n v="0"/>
    <n v="0"/>
    <n v="0"/>
    <n v="0"/>
    <n v="0"/>
    <n v="0"/>
    <n v="0"/>
    <x v="0"/>
    <x v="0"/>
    <x v="1"/>
    <x v="0"/>
    <x v="0"/>
  </r>
  <r>
    <n v="2074"/>
    <x v="1"/>
    <x v="0"/>
    <s v="W"/>
    <n v="24100"/>
    <n v="392"/>
    <n v="-31"/>
    <n v="-29"/>
    <x v="0"/>
    <x v="0"/>
    <n v="0"/>
    <n v="0"/>
    <n v="0"/>
    <n v="0"/>
    <n v="0"/>
    <n v="0"/>
    <n v="0"/>
    <n v="0"/>
    <n v="0"/>
    <x v="0"/>
    <x v="0"/>
    <x v="1"/>
    <x v="0"/>
    <x v="0"/>
  </r>
  <r>
    <n v="2075"/>
    <x v="1"/>
    <x v="0"/>
    <s v="W"/>
    <n v="39120"/>
    <n v="651"/>
    <n v="13"/>
    <n v="18"/>
    <x v="0"/>
    <x v="2"/>
    <n v="2"/>
    <n v="0"/>
    <n v="0"/>
    <n v="0"/>
    <n v="0"/>
    <n v="0"/>
    <n v="0"/>
    <n v="1000"/>
    <n v="900"/>
    <x v="0"/>
    <x v="0"/>
    <x v="1"/>
    <x v="0"/>
    <x v="0"/>
  </r>
  <r>
    <n v="2076"/>
    <x v="1"/>
    <x v="0"/>
    <s v="W"/>
    <n v="54070"/>
    <n v="696"/>
    <n v="56"/>
    <n v="26"/>
    <x v="0"/>
    <x v="0"/>
    <n v="0"/>
    <n v="0"/>
    <n v="0"/>
    <n v="0"/>
    <n v="0"/>
    <n v="0"/>
    <n v="0"/>
    <n v="0"/>
    <n v="0"/>
    <x v="0"/>
    <x v="0"/>
    <x v="1"/>
    <x v="0"/>
    <x v="0"/>
  </r>
  <r>
    <n v="2077"/>
    <x v="1"/>
    <x v="0"/>
    <s v="W"/>
    <n v="32490"/>
    <n v="595"/>
    <n v="-7"/>
    <n v="7"/>
    <x v="0"/>
    <x v="0"/>
    <n v="0"/>
    <n v="0"/>
    <n v="0"/>
    <n v="0"/>
    <n v="0"/>
    <n v="0"/>
    <n v="0"/>
    <n v="0"/>
    <n v="0"/>
    <x v="0"/>
    <x v="0"/>
    <x v="1"/>
    <x v="0"/>
    <x v="0"/>
  </r>
  <r>
    <n v="2078"/>
    <x v="1"/>
    <x v="0"/>
    <s v="W"/>
    <n v="31800"/>
    <n v="585"/>
    <n v="-9"/>
    <n v="6"/>
    <x v="0"/>
    <x v="1"/>
    <n v="1"/>
    <n v="0"/>
    <n v="0"/>
    <n v="0"/>
    <n v="0"/>
    <n v="0"/>
    <n v="0"/>
    <n v="100"/>
    <n v="100"/>
    <x v="0"/>
    <x v="0"/>
    <x v="1"/>
    <x v="0"/>
    <x v="0"/>
  </r>
  <r>
    <n v="2079"/>
    <x v="0"/>
    <x v="0"/>
    <s v="W"/>
    <n v="28060"/>
    <n v="470"/>
    <n v="-14"/>
    <n v="-11"/>
    <x v="0"/>
    <x v="0"/>
    <n v="0"/>
    <n v="0"/>
    <n v="0"/>
    <n v="0"/>
    <n v="0"/>
    <n v="0"/>
    <n v="0"/>
    <n v="0"/>
    <n v="0"/>
    <x v="0"/>
    <x v="0"/>
    <x v="1"/>
    <x v="0"/>
    <x v="0"/>
  </r>
  <r>
    <n v="2080"/>
    <x v="0"/>
    <x v="0"/>
    <s v="W"/>
    <n v="42090"/>
    <n v="794"/>
    <n v="30"/>
    <n v="50"/>
    <x v="0"/>
    <x v="2"/>
    <n v="2"/>
    <n v="0"/>
    <n v="0"/>
    <n v="0"/>
    <n v="0"/>
    <n v="0"/>
    <n v="0"/>
    <n v="400"/>
    <n v="200"/>
    <x v="0"/>
    <x v="0"/>
    <x v="1"/>
    <x v="0"/>
    <x v="0"/>
  </r>
  <r>
    <n v="2081"/>
    <x v="0"/>
    <x v="0"/>
    <s v="W"/>
    <n v="34390"/>
    <n v="646"/>
    <n v="6"/>
    <n v="22"/>
    <x v="0"/>
    <x v="0"/>
    <n v="0"/>
    <n v="0"/>
    <n v="0"/>
    <n v="0"/>
    <n v="0"/>
    <n v="0"/>
    <n v="0"/>
    <n v="0"/>
    <n v="0"/>
    <x v="0"/>
    <x v="0"/>
    <x v="1"/>
    <x v="0"/>
    <x v="0"/>
  </r>
  <r>
    <n v="2082"/>
    <x v="0"/>
    <x v="0"/>
    <s v="N"/>
    <n v="39770"/>
    <n v="870"/>
    <n v="218"/>
    <n v="248"/>
    <x v="0"/>
    <x v="0"/>
    <n v="0"/>
    <n v="0"/>
    <n v="0"/>
    <n v="0"/>
    <n v="0"/>
    <n v="0"/>
    <n v="0"/>
    <n v="0"/>
    <n v="0"/>
    <x v="0"/>
    <x v="0"/>
    <x v="0"/>
    <x v="0"/>
    <x v="0"/>
  </r>
  <r>
    <n v="2083"/>
    <x v="0"/>
    <x v="0"/>
    <s v="N"/>
    <n v="12560"/>
    <n v="469"/>
    <n v="0"/>
    <n v="88"/>
    <x v="0"/>
    <x v="0"/>
    <n v="0"/>
    <n v="0"/>
    <n v="0"/>
    <n v="0"/>
    <n v="0"/>
    <n v="0"/>
    <n v="0"/>
    <n v="0"/>
    <n v="0"/>
    <x v="0"/>
    <x v="0"/>
    <x v="0"/>
    <x v="0"/>
    <x v="0"/>
  </r>
  <r>
    <n v="2084"/>
    <x v="0"/>
    <x v="0"/>
    <s v="N"/>
    <n v="15840"/>
    <n v="436"/>
    <n v="27"/>
    <n v="74"/>
    <x v="0"/>
    <x v="0"/>
    <n v="0"/>
    <n v="0"/>
    <n v="0"/>
    <n v="0"/>
    <n v="0"/>
    <n v="0"/>
    <n v="0"/>
    <n v="0"/>
    <n v="0"/>
    <x v="0"/>
    <x v="0"/>
    <x v="0"/>
    <x v="0"/>
    <x v="0"/>
  </r>
  <r>
    <n v="2085"/>
    <x v="0"/>
    <x v="0"/>
    <s v="N"/>
    <n v="10690"/>
    <n v="297"/>
    <n v="-14"/>
    <n v="19"/>
    <x v="0"/>
    <x v="0"/>
    <n v="0"/>
    <n v="0"/>
    <n v="0"/>
    <n v="0"/>
    <n v="0"/>
    <n v="0"/>
    <n v="0"/>
    <n v="0"/>
    <n v="0"/>
    <x v="0"/>
    <x v="0"/>
    <x v="0"/>
    <x v="0"/>
    <x v="0"/>
  </r>
  <r>
    <n v="2086"/>
    <x v="0"/>
    <x v="0"/>
    <s v="N"/>
    <n v="8460"/>
    <n v="223"/>
    <n v="-32"/>
    <n v="-11"/>
    <x v="0"/>
    <x v="0"/>
    <n v="0"/>
    <n v="0"/>
    <n v="0"/>
    <n v="0"/>
    <n v="0"/>
    <n v="0"/>
    <n v="0"/>
    <n v="0"/>
    <n v="0"/>
    <x v="0"/>
    <x v="0"/>
    <x v="0"/>
    <x v="1"/>
    <x v="0"/>
  </r>
  <r>
    <n v="2087"/>
    <x v="0"/>
    <x v="0"/>
    <s v="N"/>
    <n v="6530"/>
    <n v="266"/>
    <n v="-48"/>
    <n v="6"/>
    <x v="0"/>
    <x v="0"/>
    <n v="0"/>
    <n v="0"/>
    <n v="0"/>
    <n v="0"/>
    <n v="0"/>
    <n v="0"/>
    <n v="0"/>
    <n v="0"/>
    <n v="0"/>
    <x v="0"/>
    <x v="0"/>
    <x v="0"/>
    <x v="1"/>
    <x v="0"/>
  </r>
  <r>
    <n v="2088"/>
    <x v="0"/>
    <x v="0"/>
    <s v="N"/>
    <n v="9010"/>
    <n v="255"/>
    <n v="-28"/>
    <n v="2"/>
    <x v="0"/>
    <x v="0"/>
    <n v="0"/>
    <n v="0"/>
    <n v="0"/>
    <n v="0"/>
    <n v="0"/>
    <n v="0"/>
    <n v="0"/>
    <n v="0"/>
    <n v="0"/>
    <x v="0"/>
    <x v="0"/>
    <x v="0"/>
    <x v="1"/>
    <x v="0"/>
  </r>
  <r>
    <n v="2089"/>
    <x v="0"/>
    <x v="0"/>
    <s v="N"/>
    <n v="4720"/>
    <n v="186"/>
    <n v="-62"/>
    <n v="-26"/>
    <x v="0"/>
    <x v="0"/>
    <n v="0"/>
    <n v="0"/>
    <n v="0"/>
    <n v="0"/>
    <n v="0"/>
    <n v="0"/>
    <n v="0"/>
    <n v="0"/>
    <n v="0"/>
    <x v="0"/>
    <x v="0"/>
    <x v="0"/>
    <x v="1"/>
    <x v="0"/>
  </r>
  <r>
    <n v="2090"/>
    <x v="0"/>
    <x v="0"/>
    <s v="N"/>
    <n v="10250"/>
    <n v="177"/>
    <n v="-18"/>
    <n v="-29"/>
    <x v="0"/>
    <x v="0"/>
    <n v="0"/>
    <n v="0"/>
    <n v="0"/>
    <n v="0"/>
    <n v="0"/>
    <n v="0"/>
    <n v="0"/>
    <n v="0"/>
    <n v="0"/>
    <x v="0"/>
    <x v="0"/>
    <x v="0"/>
    <x v="0"/>
    <x v="0"/>
  </r>
  <r>
    <n v="2091"/>
    <x v="0"/>
    <x v="0"/>
    <s v="N"/>
    <n v="9890"/>
    <n v="210"/>
    <n v="-21"/>
    <n v="-16"/>
    <x v="0"/>
    <x v="0"/>
    <n v="0"/>
    <n v="0"/>
    <n v="0"/>
    <n v="0"/>
    <n v="0"/>
    <n v="0"/>
    <n v="0"/>
    <n v="0"/>
    <n v="0"/>
    <x v="0"/>
    <x v="0"/>
    <x v="0"/>
    <x v="1"/>
    <x v="0"/>
  </r>
  <r>
    <n v="2092"/>
    <x v="0"/>
    <x v="0"/>
    <s v="N"/>
    <n v="11330"/>
    <n v="246"/>
    <n v="-9"/>
    <n v="-2"/>
    <x v="0"/>
    <x v="0"/>
    <n v="0"/>
    <n v="0"/>
    <n v="0"/>
    <n v="0"/>
    <n v="0"/>
    <n v="0"/>
    <n v="0"/>
    <n v="0"/>
    <n v="0"/>
    <x v="0"/>
    <x v="0"/>
    <x v="0"/>
    <x v="0"/>
    <x v="0"/>
  </r>
  <r>
    <n v="2093"/>
    <x v="0"/>
    <x v="0"/>
    <s v="N"/>
    <n v="4140"/>
    <n v="186"/>
    <n v="-67"/>
    <n v="-26"/>
    <x v="0"/>
    <x v="0"/>
    <n v="0"/>
    <n v="0"/>
    <n v="0"/>
    <n v="0"/>
    <n v="0"/>
    <n v="0"/>
    <n v="0"/>
    <n v="0"/>
    <n v="0"/>
    <x v="0"/>
    <x v="0"/>
    <x v="0"/>
    <x v="1"/>
    <x v="0"/>
  </r>
  <r>
    <n v="2094"/>
    <x v="0"/>
    <x v="0"/>
    <s v="N"/>
    <n v="9700"/>
    <n v="216"/>
    <n v="-22"/>
    <n v="-14"/>
    <x v="0"/>
    <x v="0"/>
    <n v="0"/>
    <n v="0"/>
    <n v="0"/>
    <n v="0"/>
    <n v="0"/>
    <n v="0"/>
    <n v="0"/>
    <n v="0"/>
    <n v="0"/>
    <x v="0"/>
    <x v="0"/>
    <x v="0"/>
    <x v="1"/>
    <x v="0"/>
  </r>
  <r>
    <n v="2095"/>
    <x v="0"/>
    <x v="0"/>
    <s v="N"/>
    <n v="6860"/>
    <n v="282"/>
    <n v="-45"/>
    <n v="13"/>
    <x v="0"/>
    <x v="0"/>
    <n v="0"/>
    <n v="0"/>
    <n v="0"/>
    <n v="0"/>
    <n v="0"/>
    <n v="0"/>
    <n v="0"/>
    <n v="0"/>
    <n v="0"/>
    <x v="0"/>
    <x v="0"/>
    <x v="0"/>
    <x v="1"/>
    <x v="0"/>
  </r>
  <r>
    <n v="2096"/>
    <x v="0"/>
    <x v="0"/>
    <s v="N"/>
    <n v="5470"/>
    <n v="237"/>
    <n v="-56"/>
    <n v="-5"/>
    <x v="0"/>
    <x v="0"/>
    <n v="0"/>
    <n v="0"/>
    <n v="0"/>
    <n v="0"/>
    <n v="0"/>
    <n v="0"/>
    <n v="0"/>
    <n v="0"/>
    <n v="0"/>
    <x v="0"/>
    <x v="0"/>
    <x v="0"/>
    <x v="1"/>
    <x v="0"/>
  </r>
  <r>
    <n v="2097"/>
    <x v="0"/>
    <x v="0"/>
    <s v="N"/>
    <n v="4620"/>
    <n v="175"/>
    <n v="-63"/>
    <n v="-30"/>
    <x v="0"/>
    <x v="0"/>
    <n v="0"/>
    <n v="0"/>
    <n v="0"/>
    <n v="0"/>
    <n v="0"/>
    <n v="0"/>
    <n v="0"/>
    <n v="0"/>
    <n v="0"/>
    <x v="0"/>
    <x v="0"/>
    <x v="0"/>
    <x v="1"/>
    <x v="0"/>
  </r>
  <r>
    <n v="2098"/>
    <x v="0"/>
    <x v="0"/>
    <s v="N"/>
    <n v="3120"/>
    <n v="190"/>
    <n v="-75"/>
    <n v="-24"/>
    <x v="0"/>
    <x v="0"/>
    <n v="0"/>
    <n v="0"/>
    <n v="0"/>
    <n v="0"/>
    <n v="0"/>
    <n v="0"/>
    <n v="0"/>
    <n v="0"/>
    <n v="0"/>
    <x v="0"/>
    <x v="0"/>
    <x v="0"/>
    <x v="1"/>
    <x v="0"/>
  </r>
  <r>
    <n v="2099"/>
    <x v="0"/>
    <x v="0"/>
    <s v="N"/>
    <n v="4160"/>
    <n v="189"/>
    <n v="-67"/>
    <n v="-24"/>
    <x v="0"/>
    <x v="0"/>
    <n v="0"/>
    <n v="0"/>
    <n v="0"/>
    <n v="0"/>
    <n v="0"/>
    <n v="0"/>
    <n v="0"/>
    <n v="0"/>
    <n v="0"/>
    <x v="0"/>
    <x v="0"/>
    <x v="0"/>
    <x v="1"/>
    <x v="0"/>
  </r>
  <r>
    <n v="2100"/>
    <x v="0"/>
    <x v="0"/>
    <s v="N"/>
    <n v="5280"/>
    <n v="178"/>
    <n v="-29"/>
    <n v="-16"/>
    <x v="0"/>
    <x v="0"/>
    <n v="0"/>
    <n v="0"/>
    <n v="0"/>
    <n v="0"/>
    <n v="0"/>
    <n v="0"/>
    <n v="0"/>
    <n v="0"/>
    <n v="0"/>
    <x v="0"/>
    <x v="0"/>
    <x v="0"/>
    <x v="1"/>
    <x v="0"/>
  </r>
  <r>
    <n v="2101"/>
    <x v="0"/>
    <x v="0"/>
    <s v="N"/>
    <n v="5310"/>
    <n v="287"/>
    <n v="-58"/>
    <n v="15"/>
    <x v="0"/>
    <x v="0"/>
    <n v="0"/>
    <n v="0"/>
    <n v="0"/>
    <n v="0"/>
    <n v="0"/>
    <n v="0"/>
    <n v="0"/>
    <n v="0"/>
    <n v="0"/>
    <x v="0"/>
    <x v="0"/>
    <x v="0"/>
    <x v="1"/>
    <x v="0"/>
  </r>
  <r>
    <n v="2102"/>
    <x v="0"/>
    <x v="0"/>
    <s v="N"/>
    <n v="7060"/>
    <n v="241"/>
    <n v="-44"/>
    <n v="-4"/>
    <x v="0"/>
    <x v="0"/>
    <n v="0"/>
    <n v="0"/>
    <n v="0"/>
    <n v="0"/>
    <n v="0"/>
    <n v="0"/>
    <n v="0"/>
    <n v="0"/>
    <n v="0"/>
    <x v="0"/>
    <x v="0"/>
    <x v="0"/>
    <x v="1"/>
    <x v="0"/>
  </r>
  <r>
    <n v="2103"/>
    <x v="0"/>
    <x v="0"/>
    <s v="N"/>
    <n v="8810"/>
    <n v="262"/>
    <n v="-27"/>
    <n v="6"/>
    <x v="0"/>
    <x v="0"/>
    <n v="0"/>
    <n v="0"/>
    <n v="0"/>
    <n v="0"/>
    <n v="0"/>
    <n v="0"/>
    <n v="0"/>
    <n v="0"/>
    <n v="0"/>
    <x v="0"/>
    <x v="0"/>
    <x v="0"/>
    <x v="1"/>
    <x v="0"/>
  </r>
  <r>
    <n v="2104"/>
    <x v="0"/>
    <x v="0"/>
    <s v="N"/>
    <n v="8170"/>
    <n v="274"/>
    <n v="-32"/>
    <n v="11"/>
    <x v="0"/>
    <x v="0"/>
    <n v="0"/>
    <n v="0"/>
    <n v="0"/>
    <n v="0"/>
    <n v="0"/>
    <n v="0"/>
    <n v="0"/>
    <n v="0"/>
    <n v="0"/>
    <x v="0"/>
    <x v="0"/>
    <x v="0"/>
    <x v="1"/>
    <x v="0"/>
  </r>
  <r>
    <n v="2105"/>
    <x v="0"/>
    <x v="0"/>
    <s v="N"/>
    <n v="7080"/>
    <n v="260"/>
    <n v="-41"/>
    <n v="5"/>
    <x v="0"/>
    <x v="0"/>
    <n v="0"/>
    <n v="0"/>
    <n v="0"/>
    <n v="0"/>
    <n v="0"/>
    <n v="0"/>
    <n v="0"/>
    <n v="0"/>
    <n v="0"/>
    <x v="0"/>
    <x v="0"/>
    <x v="0"/>
    <x v="1"/>
    <x v="0"/>
  </r>
  <r>
    <n v="2106"/>
    <x v="0"/>
    <x v="0"/>
    <s v="N"/>
    <n v="9260"/>
    <n v="266"/>
    <n v="-23"/>
    <n v="8"/>
    <x v="0"/>
    <x v="0"/>
    <n v="0"/>
    <n v="0"/>
    <n v="0"/>
    <n v="0"/>
    <n v="0"/>
    <n v="0"/>
    <n v="0"/>
    <n v="0"/>
    <n v="0"/>
    <x v="0"/>
    <x v="0"/>
    <x v="0"/>
    <x v="1"/>
    <x v="0"/>
  </r>
  <r>
    <n v="2107"/>
    <x v="0"/>
    <x v="0"/>
    <s v="N"/>
    <n v="12070"/>
    <n v="296"/>
    <n v="0"/>
    <n v="20"/>
    <x v="0"/>
    <x v="1"/>
    <n v="1"/>
    <n v="0"/>
    <n v="0"/>
    <n v="0"/>
    <n v="0"/>
    <n v="0"/>
    <n v="0"/>
    <n v="100"/>
    <n v="100"/>
    <x v="0"/>
    <x v="0"/>
    <x v="0"/>
    <x v="0"/>
    <x v="0"/>
  </r>
  <r>
    <n v="2108"/>
    <x v="0"/>
    <x v="0"/>
    <s v="N"/>
    <n v="8440"/>
    <n v="261"/>
    <n v="-30"/>
    <n v="6"/>
    <x v="0"/>
    <x v="0"/>
    <n v="0"/>
    <n v="0"/>
    <n v="0"/>
    <n v="0"/>
    <n v="0"/>
    <n v="0"/>
    <n v="0"/>
    <n v="0"/>
    <n v="0"/>
    <x v="0"/>
    <x v="0"/>
    <x v="0"/>
    <x v="1"/>
    <x v="0"/>
  </r>
  <r>
    <n v="2109"/>
    <x v="0"/>
    <x v="0"/>
    <s v="N"/>
    <n v="6880"/>
    <n v="250"/>
    <n v="-43"/>
    <n v="1"/>
    <x v="0"/>
    <x v="0"/>
    <n v="0"/>
    <n v="0"/>
    <n v="0"/>
    <n v="0"/>
    <n v="0"/>
    <n v="0"/>
    <n v="0"/>
    <n v="0"/>
    <n v="0"/>
    <x v="0"/>
    <x v="0"/>
    <x v="0"/>
    <x v="1"/>
    <x v="0"/>
  </r>
  <r>
    <n v="2110"/>
    <x v="0"/>
    <x v="0"/>
    <s v="N"/>
    <n v="15870"/>
    <n v="312"/>
    <n v="31"/>
    <n v="26"/>
    <x v="0"/>
    <x v="1"/>
    <n v="0"/>
    <n v="1"/>
    <n v="0"/>
    <n v="0"/>
    <n v="0"/>
    <n v="0"/>
    <n v="0"/>
    <n v="4000"/>
    <n v="4000"/>
    <x v="0"/>
    <x v="0"/>
    <x v="0"/>
    <x v="0"/>
    <x v="0"/>
  </r>
  <r>
    <n v="2111"/>
    <x v="0"/>
    <x v="0"/>
    <s v="N"/>
    <n v="12400"/>
    <n v="313"/>
    <n v="9"/>
    <n v="28"/>
    <x v="0"/>
    <x v="0"/>
    <n v="0"/>
    <n v="0"/>
    <n v="0"/>
    <n v="0"/>
    <n v="0"/>
    <n v="0"/>
    <n v="0"/>
    <n v="0"/>
    <n v="0"/>
    <x v="0"/>
    <x v="0"/>
    <x v="0"/>
    <x v="0"/>
    <x v="0"/>
  </r>
  <r>
    <n v="2112"/>
    <x v="0"/>
    <x v="0"/>
    <s v="N"/>
    <n v="6160"/>
    <n v="258"/>
    <n v="-46"/>
    <n v="6"/>
    <x v="0"/>
    <x v="0"/>
    <n v="0"/>
    <n v="0"/>
    <n v="0"/>
    <n v="0"/>
    <n v="0"/>
    <n v="0"/>
    <n v="0"/>
    <n v="0"/>
    <n v="0"/>
    <x v="0"/>
    <x v="0"/>
    <x v="0"/>
    <x v="1"/>
    <x v="0"/>
  </r>
  <r>
    <n v="2113"/>
    <x v="0"/>
    <x v="0"/>
    <s v="N"/>
    <n v="22470"/>
    <n v="307"/>
    <n v="98"/>
    <n v="26"/>
    <x v="0"/>
    <x v="1"/>
    <n v="1"/>
    <n v="0"/>
    <n v="0"/>
    <n v="0"/>
    <n v="0"/>
    <n v="0"/>
    <n v="0"/>
    <n v="300"/>
    <n v="300"/>
    <x v="0"/>
    <x v="0"/>
    <x v="0"/>
    <x v="0"/>
    <x v="0"/>
  </r>
  <r>
    <n v="2114"/>
    <x v="0"/>
    <x v="0"/>
    <s v="N"/>
    <n v="8180"/>
    <n v="273"/>
    <n v="-28"/>
    <n v="12"/>
    <x v="0"/>
    <x v="0"/>
    <n v="0"/>
    <n v="0"/>
    <n v="0"/>
    <n v="0"/>
    <n v="0"/>
    <n v="0"/>
    <n v="0"/>
    <n v="0"/>
    <n v="0"/>
    <x v="0"/>
    <x v="0"/>
    <x v="0"/>
    <x v="1"/>
    <x v="0"/>
  </r>
  <r>
    <n v="2115"/>
    <x v="0"/>
    <x v="0"/>
    <s v="N"/>
    <n v="10730"/>
    <n v="205"/>
    <n v="-5"/>
    <n v="-16"/>
    <x v="0"/>
    <x v="0"/>
    <n v="0"/>
    <n v="0"/>
    <n v="0"/>
    <n v="0"/>
    <n v="0"/>
    <n v="0"/>
    <n v="0"/>
    <n v="0"/>
    <n v="0"/>
    <x v="0"/>
    <x v="0"/>
    <x v="0"/>
    <x v="0"/>
    <x v="0"/>
  </r>
  <r>
    <n v="2116"/>
    <x v="0"/>
    <x v="0"/>
    <s v="N"/>
    <n v="7090"/>
    <n v="220"/>
    <n v="-38"/>
    <n v="-10"/>
    <x v="0"/>
    <x v="0"/>
    <n v="0"/>
    <n v="0"/>
    <n v="0"/>
    <n v="0"/>
    <n v="0"/>
    <n v="0"/>
    <n v="0"/>
    <n v="0"/>
    <n v="0"/>
    <x v="0"/>
    <x v="0"/>
    <x v="0"/>
    <x v="1"/>
    <x v="0"/>
  </r>
  <r>
    <n v="2117"/>
    <x v="0"/>
    <x v="0"/>
    <s v="N"/>
    <n v="10720"/>
    <n v="271"/>
    <n v="-5"/>
    <n v="11"/>
    <x v="0"/>
    <x v="1"/>
    <n v="1"/>
    <n v="0"/>
    <n v="0"/>
    <n v="0"/>
    <n v="0"/>
    <n v="0"/>
    <n v="0"/>
    <n v="300"/>
    <n v="300"/>
    <x v="0"/>
    <x v="0"/>
    <x v="0"/>
    <x v="0"/>
    <x v="0"/>
  </r>
  <r>
    <n v="2118"/>
    <x v="0"/>
    <x v="0"/>
    <s v="N"/>
    <n v="7660"/>
    <n v="221"/>
    <n v="-32"/>
    <n v="-9"/>
    <x v="0"/>
    <x v="0"/>
    <n v="0"/>
    <n v="0"/>
    <n v="0"/>
    <n v="0"/>
    <n v="0"/>
    <n v="0"/>
    <n v="0"/>
    <n v="0"/>
    <n v="0"/>
    <x v="0"/>
    <x v="0"/>
    <x v="0"/>
    <x v="1"/>
    <x v="0"/>
  </r>
  <r>
    <n v="2119"/>
    <x v="0"/>
    <x v="0"/>
    <s v="N"/>
    <n v="7360"/>
    <n v="213"/>
    <n v="-4"/>
    <n v="-10"/>
    <x v="0"/>
    <x v="0"/>
    <n v="0"/>
    <n v="0"/>
    <n v="0"/>
    <n v="0"/>
    <n v="0"/>
    <n v="0"/>
    <n v="0"/>
    <n v="0"/>
    <n v="0"/>
    <x v="0"/>
    <x v="0"/>
    <x v="0"/>
    <x v="1"/>
    <x v="0"/>
  </r>
  <r>
    <n v="2120"/>
    <x v="0"/>
    <x v="0"/>
    <s v="N"/>
    <n v="8320"/>
    <n v="213"/>
    <n v="9"/>
    <n v="-10"/>
    <x v="0"/>
    <x v="0"/>
    <n v="0"/>
    <n v="0"/>
    <n v="0"/>
    <n v="0"/>
    <n v="0"/>
    <n v="0"/>
    <n v="0"/>
    <n v="0"/>
    <n v="0"/>
    <x v="0"/>
    <x v="0"/>
    <x v="0"/>
    <x v="1"/>
    <x v="0"/>
  </r>
  <r>
    <n v="2121"/>
    <x v="0"/>
    <x v="0"/>
    <s v="N"/>
    <n v="7160"/>
    <n v="228"/>
    <n v="-6"/>
    <n v="-4"/>
    <x v="0"/>
    <x v="0"/>
    <n v="0"/>
    <n v="0"/>
    <n v="0"/>
    <n v="0"/>
    <n v="0"/>
    <n v="0"/>
    <n v="0"/>
    <n v="0"/>
    <n v="0"/>
    <x v="0"/>
    <x v="0"/>
    <x v="0"/>
    <x v="1"/>
    <x v="0"/>
  </r>
  <r>
    <n v="2122"/>
    <x v="0"/>
    <x v="0"/>
    <s v="W"/>
    <n v="13990"/>
    <n v="307"/>
    <n v="-58"/>
    <n v="-43"/>
    <x v="0"/>
    <x v="0"/>
    <n v="0"/>
    <n v="0"/>
    <n v="0"/>
    <n v="0"/>
    <n v="0"/>
    <n v="0"/>
    <n v="0"/>
    <n v="0"/>
    <n v="0"/>
    <x v="0"/>
    <x v="0"/>
    <x v="1"/>
    <x v="0"/>
    <x v="0"/>
  </r>
  <r>
    <n v="2123"/>
    <x v="0"/>
    <x v="0"/>
    <s v="W"/>
    <n v="14650"/>
    <n v="325"/>
    <n v="-56"/>
    <n v="-40"/>
    <x v="0"/>
    <x v="1"/>
    <n v="1"/>
    <n v="0"/>
    <n v="0"/>
    <n v="0"/>
    <n v="0"/>
    <n v="0"/>
    <n v="0"/>
    <n v="300"/>
    <n v="300"/>
    <x v="0"/>
    <x v="0"/>
    <x v="1"/>
    <x v="0"/>
    <x v="0"/>
  </r>
  <r>
    <n v="2124"/>
    <x v="0"/>
    <x v="0"/>
    <s v="W"/>
    <n v="30000"/>
    <n v="631"/>
    <n v="-9"/>
    <n v="17"/>
    <x v="0"/>
    <x v="2"/>
    <n v="1"/>
    <n v="1"/>
    <n v="0"/>
    <n v="0"/>
    <n v="0"/>
    <n v="0"/>
    <n v="0"/>
    <n v="8300"/>
    <n v="8000"/>
    <x v="0"/>
    <x v="0"/>
    <x v="1"/>
    <x v="0"/>
    <x v="0"/>
  </r>
  <r>
    <n v="2125"/>
    <x v="0"/>
    <x v="0"/>
    <s v="W"/>
    <n v="29690"/>
    <n v="636"/>
    <n v="-10"/>
    <n v="18"/>
    <x v="0"/>
    <x v="1"/>
    <n v="1"/>
    <n v="0"/>
    <n v="0"/>
    <n v="0"/>
    <n v="0"/>
    <n v="0"/>
    <n v="0"/>
    <n v="800"/>
    <n v="800"/>
    <x v="0"/>
    <x v="0"/>
    <x v="1"/>
    <x v="0"/>
    <x v="0"/>
  </r>
  <r>
    <n v="2126"/>
    <x v="0"/>
    <x v="0"/>
    <s v="W"/>
    <n v="34900"/>
    <n v="946"/>
    <n v="6"/>
    <n v="76"/>
    <x v="0"/>
    <x v="1"/>
    <n v="0"/>
    <n v="1"/>
    <n v="0"/>
    <n v="0"/>
    <n v="0"/>
    <n v="0"/>
    <n v="0"/>
    <n v="4000"/>
    <n v="4000"/>
    <x v="0"/>
    <x v="0"/>
    <x v="1"/>
    <x v="0"/>
    <x v="0"/>
  </r>
  <r>
    <n v="2127"/>
    <x v="0"/>
    <x v="0"/>
    <s v="W"/>
    <n v="48930"/>
    <n v="769"/>
    <n v="54"/>
    <n v="46"/>
    <x v="0"/>
    <x v="0"/>
    <n v="0"/>
    <n v="0"/>
    <n v="0"/>
    <n v="0"/>
    <n v="0"/>
    <n v="0"/>
    <n v="0"/>
    <n v="0"/>
    <n v="0"/>
    <x v="0"/>
    <x v="0"/>
    <x v="1"/>
    <x v="0"/>
    <x v="0"/>
  </r>
  <r>
    <n v="2128"/>
    <x v="0"/>
    <x v="0"/>
    <s v="W"/>
    <n v="38530"/>
    <n v="952"/>
    <n v="21"/>
    <n v="81"/>
    <x v="0"/>
    <x v="0"/>
    <n v="0"/>
    <n v="0"/>
    <n v="0"/>
    <n v="0"/>
    <n v="0"/>
    <n v="0"/>
    <n v="0"/>
    <n v="0"/>
    <n v="0"/>
    <x v="0"/>
    <x v="0"/>
    <x v="1"/>
    <x v="0"/>
    <x v="0"/>
  </r>
  <r>
    <n v="2129"/>
    <x v="0"/>
    <x v="0"/>
    <s v="W"/>
    <n v="21480"/>
    <n v="537"/>
    <n v="-32"/>
    <n v="2"/>
    <x v="0"/>
    <x v="0"/>
    <n v="0"/>
    <n v="0"/>
    <n v="0"/>
    <n v="0"/>
    <n v="0"/>
    <n v="0"/>
    <n v="0"/>
    <n v="0"/>
    <n v="0"/>
    <x v="0"/>
    <x v="0"/>
    <x v="1"/>
    <x v="0"/>
    <x v="0"/>
  </r>
  <r>
    <n v="2130"/>
    <x v="0"/>
    <x v="0"/>
    <s v="W"/>
    <n v="25480"/>
    <n v="484"/>
    <n v="-20"/>
    <n v="-8"/>
    <x v="0"/>
    <x v="1"/>
    <n v="0"/>
    <n v="1"/>
    <n v="0"/>
    <n v="0"/>
    <n v="0"/>
    <n v="0"/>
    <n v="0"/>
    <n v="7000"/>
    <n v="7000"/>
    <x v="0"/>
    <x v="0"/>
    <x v="1"/>
    <x v="0"/>
    <x v="0"/>
  </r>
  <r>
    <n v="2131"/>
    <x v="0"/>
    <x v="0"/>
    <s v="W"/>
    <n v="43290"/>
    <n v="663"/>
    <n v="36"/>
    <n v="26"/>
    <x v="0"/>
    <x v="0"/>
    <n v="0"/>
    <n v="0"/>
    <n v="0"/>
    <n v="0"/>
    <n v="0"/>
    <n v="0"/>
    <n v="0"/>
    <n v="0"/>
    <n v="0"/>
    <x v="0"/>
    <x v="0"/>
    <x v="1"/>
    <x v="0"/>
    <x v="0"/>
  </r>
  <r>
    <n v="2132"/>
    <x v="0"/>
    <x v="0"/>
    <s v="W"/>
    <n v="27230"/>
    <n v="430"/>
    <n v="-14"/>
    <n v="-18"/>
    <x v="0"/>
    <x v="0"/>
    <n v="0"/>
    <n v="0"/>
    <n v="0"/>
    <n v="0"/>
    <n v="0"/>
    <n v="0"/>
    <n v="0"/>
    <n v="0"/>
    <n v="0"/>
    <x v="0"/>
    <x v="0"/>
    <x v="1"/>
    <x v="0"/>
    <x v="0"/>
  </r>
  <r>
    <n v="2133"/>
    <x v="0"/>
    <x v="0"/>
    <s v="W"/>
    <n v="49440"/>
    <n v="491"/>
    <n v="56"/>
    <n v="-7"/>
    <x v="0"/>
    <x v="3"/>
    <n v="1"/>
    <n v="2"/>
    <n v="0"/>
    <n v="0"/>
    <n v="0"/>
    <n v="0"/>
    <n v="0"/>
    <n v="9300"/>
    <n v="6000"/>
    <x v="0"/>
    <x v="0"/>
    <x v="1"/>
    <x v="0"/>
    <x v="0"/>
  </r>
  <r>
    <n v="2134"/>
    <x v="0"/>
    <x v="0"/>
    <s v="W"/>
    <n v="33900"/>
    <n v="682"/>
    <n v="7"/>
    <n v="29"/>
    <x v="0"/>
    <x v="0"/>
    <n v="0"/>
    <n v="0"/>
    <n v="0"/>
    <n v="0"/>
    <n v="0"/>
    <n v="0"/>
    <n v="0"/>
    <n v="0"/>
    <n v="0"/>
    <x v="0"/>
    <x v="0"/>
    <x v="1"/>
    <x v="0"/>
    <x v="0"/>
  </r>
  <r>
    <n v="2135"/>
    <x v="0"/>
    <x v="0"/>
    <s v="W"/>
    <n v="25680"/>
    <n v="515"/>
    <n v="-14"/>
    <n v="2"/>
    <x v="0"/>
    <x v="0"/>
    <n v="0"/>
    <n v="0"/>
    <n v="0"/>
    <n v="0"/>
    <n v="0"/>
    <n v="0"/>
    <n v="0"/>
    <n v="0"/>
    <n v="0"/>
    <x v="0"/>
    <x v="0"/>
    <x v="1"/>
    <x v="0"/>
    <x v="0"/>
  </r>
  <r>
    <n v="2136"/>
    <x v="0"/>
    <x v="0"/>
    <s v="W"/>
    <n v="10320"/>
    <n v="311"/>
    <n v="-65"/>
    <n v="-38"/>
    <x v="0"/>
    <x v="0"/>
    <n v="0"/>
    <n v="0"/>
    <n v="0"/>
    <n v="0"/>
    <n v="0"/>
    <n v="0"/>
    <n v="0"/>
    <n v="0"/>
    <n v="0"/>
    <x v="0"/>
    <x v="0"/>
    <x v="1"/>
    <x v="0"/>
    <x v="0"/>
  </r>
  <r>
    <n v="2137"/>
    <x v="0"/>
    <x v="0"/>
    <s v="W"/>
    <n v="11860"/>
    <n v="292"/>
    <n v="-60"/>
    <n v="-42"/>
    <x v="0"/>
    <x v="0"/>
    <n v="0"/>
    <n v="0"/>
    <n v="0"/>
    <n v="0"/>
    <n v="0"/>
    <n v="0"/>
    <n v="0"/>
    <n v="0"/>
    <n v="0"/>
    <x v="0"/>
    <x v="0"/>
    <x v="1"/>
    <x v="0"/>
    <x v="0"/>
  </r>
  <r>
    <n v="2138"/>
    <x v="0"/>
    <x v="0"/>
    <s v="W"/>
    <n v="14010"/>
    <n v="340"/>
    <n v="-53"/>
    <n v="-32"/>
    <x v="0"/>
    <x v="1"/>
    <n v="1"/>
    <n v="0"/>
    <n v="0"/>
    <n v="0"/>
    <n v="0"/>
    <n v="0"/>
    <n v="0"/>
    <n v="600"/>
    <n v="600"/>
    <x v="0"/>
    <x v="0"/>
    <x v="1"/>
    <x v="0"/>
    <x v="0"/>
  </r>
  <r>
    <n v="2139"/>
    <x v="0"/>
    <x v="0"/>
    <s v="W"/>
    <n v="16320"/>
    <n v="297"/>
    <n v="-45"/>
    <n v="-41"/>
    <x v="0"/>
    <x v="0"/>
    <n v="0"/>
    <n v="0"/>
    <n v="0"/>
    <n v="0"/>
    <n v="0"/>
    <n v="0"/>
    <n v="0"/>
    <n v="0"/>
    <n v="0"/>
    <x v="0"/>
    <x v="0"/>
    <x v="1"/>
    <x v="0"/>
    <x v="0"/>
  </r>
  <r>
    <n v="2140"/>
    <x v="0"/>
    <x v="0"/>
    <s v="W"/>
    <n v="23190"/>
    <n v="368"/>
    <n v="-22"/>
    <n v="-27"/>
    <x v="0"/>
    <x v="0"/>
    <n v="0"/>
    <n v="0"/>
    <n v="0"/>
    <n v="0"/>
    <n v="0"/>
    <n v="0"/>
    <n v="0"/>
    <n v="0"/>
    <n v="0"/>
    <x v="0"/>
    <x v="0"/>
    <x v="1"/>
    <x v="0"/>
    <x v="0"/>
  </r>
  <r>
    <n v="2141"/>
    <x v="0"/>
    <x v="0"/>
    <s v="W"/>
    <n v="48600"/>
    <n v="562"/>
    <n v="64"/>
    <n v="12"/>
    <x v="0"/>
    <x v="0"/>
    <n v="0"/>
    <n v="0"/>
    <n v="0"/>
    <n v="0"/>
    <n v="0"/>
    <n v="0"/>
    <n v="0"/>
    <n v="0"/>
    <n v="0"/>
    <x v="0"/>
    <x v="0"/>
    <x v="1"/>
    <x v="0"/>
    <x v="0"/>
  </r>
  <r>
    <n v="2142"/>
    <x v="0"/>
    <x v="0"/>
    <s v="W"/>
    <n v="28660"/>
    <n v="471"/>
    <n v="-3"/>
    <n v="-6"/>
    <x v="0"/>
    <x v="1"/>
    <n v="1"/>
    <n v="0"/>
    <n v="0"/>
    <n v="0"/>
    <n v="0"/>
    <n v="0"/>
    <n v="0"/>
    <n v="600"/>
    <n v="600"/>
    <x v="0"/>
    <x v="0"/>
    <x v="1"/>
    <x v="0"/>
    <x v="0"/>
  </r>
  <r>
    <n v="2143"/>
    <x v="0"/>
    <x v="0"/>
    <s v="W"/>
    <n v="17370"/>
    <n v="379"/>
    <n v="-42"/>
    <n v="-26"/>
    <x v="0"/>
    <x v="0"/>
    <n v="0"/>
    <n v="0"/>
    <n v="0"/>
    <n v="0"/>
    <n v="0"/>
    <n v="0"/>
    <n v="0"/>
    <n v="0"/>
    <n v="0"/>
    <x v="0"/>
    <x v="0"/>
    <x v="1"/>
    <x v="0"/>
    <x v="0"/>
  </r>
  <r>
    <n v="2144"/>
    <x v="0"/>
    <x v="0"/>
    <s v="W"/>
    <n v="21900"/>
    <n v="370"/>
    <n v="-27"/>
    <n v="-28"/>
    <x v="0"/>
    <x v="0"/>
    <n v="0"/>
    <n v="0"/>
    <n v="0"/>
    <n v="0"/>
    <n v="0"/>
    <n v="0"/>
    <n v="0"/>
    <n v="0"/>
    <n v="0"/>
    <x v="0"/>
    <x v="0"/>
    <x v="1"/>
    <x v="0"/>
    <x v="0"/>
  </r>
  <r>
    <n v="2145"/>
    <x v="0"/>
    <x v="0"/>
    <s v="W"/>
    <n v="74470"/>
    <n v="655"/>
    <n v="148"/>
    <n v="28"/>
    <x v="0"/>
    <x v="0"/>
    <n v="0"/>
    <n v="0"/>
    <n v="0"/>
    <n v="0"/>
    <n v="0"/>
    <n v="0"/>
    <n v="0"/>
    <n v="0"/>
    <n v="0"/>
    <x v="0"/>
    <x v="0"/>
    <x v="1"/>
    <x v="0"/>
    <x v="0"/>
  </r>
  <r>
    <n v="2146"/>
    <x v="0"/>
    <x v="0"/>
    <s v="W"/>
    <n v="40770"/>
    <n v="522"/>
    <n v="36"/>
    <n v="2"/>
    <x v="0"/>
    <x v="1"/>
    <n v="0"/>
    <n v="1"/>
    <n v="0"/>
    <n v="0"/>
    <n v="0"/>
    <n v="0"/>
    <n v="0"/>
    <n v="8000"/>
    <n v="8000"/>
    <x v="0"/>
    <x v="0"/>
    <x v="1"/>
    <x v="0"/>
    <x v="0"/>
  </r>
  <r>
    <n v="2147"/>
    <x v="0"/>
    <x v="0"/>
    <s v="W"/>
    <n v="14210"/>
    <n v="469"/>
    <n v="-53"/>
    <n v="-8"/>
    <x v="0"/>
    <x v="0"/>
    <n v="0"/>
    <n v="0"/>
    <n v="0"/>
    <n v="0"/>
    <n v="0"/>
    <n v="0"/>
    <n v="0"/>
    <n v="0"/>
    <n v="0"/>
    <x v="0"/>
    <x v="0"/>
    <x v="1"/>
    <x v="0"/>
    <x v="0"/>
  </r>
  <r>
    <n v="2148"/>
    <x v="0"/>
    <x v="0"/>
    <s v="W"/>
    <n v="15080"/>
    <n v="351"/>
    <n v="-50"/>
    <n v="-32"/>
    <x v="0"/>
    <x v="0"/>
    <n v="0"/>
    <n v="0"/>
    <n v="0"/>
    <n v="0"/>
    <n v="0"/>
    <n v="0"/>
    <n v="0"/>
    <n v="0"/>
    <n v="0"/>
    <x v="0"/>
    <x v="0"/>
    <x v="1"/>
    <x v="0"/>
    <x v="0"/>
  </r>
  <r>
    <n v="2149"/>
    <x v="0"/>
    <x v="0"/>
    <s v="W"/>
    <n v="28140"/>
    <n v="443"/>
    <n v="-6"/>
    <n v="-14"/>
    <x v="0"/>
    <x v="0"/>
    <n v="0"/>
    <n v="0"/>
    <n v="0"/>
    <n v="0"/>
    <n v="0"/>
    <n v="0"/>
    <n v="0"/>
    <n v="0"/>
    <n v="0"/>
    <x v="0"/>
    <x v="0"/>
    <x v="1"/>
    <x v="0"/>
    <x v="0"/>
  </r>
  <r>
    <n v="2150"/>
    <x v="0"/>
    <x v="0"/>
    <s v="W"/>
    <n v="42010"/>
    <n v="601"/>
    <n v="40"/>
    <n v="17"/>
    <x v="0"/>
    <x v="0"/>
    <n v="0"/>
    <n v="0"/>
    <n v="0"/>
    <n v="0"/>
    <n v="0"/>
    <n v="0"/>
    <n v="0"/>
    <n v="0"/>
    <n v="0"/>
    <x v="0"/>
    <x v="0"/>
    <x v="1"/>
    <x v="0"/>
    <x v="0"/>
  </r>
  <r>
    <n v="2151"/>
    <x v="0"/>
    <x v="0"/>
    <s v="W"/>
    <n v="28450"/>
    <n v="528"/>
    <n v="3"/>
    <n v="9"/>
    <x v="0"/>
    <x v="0"/>
    <n v="0"/>
    <n v="0"/>
    <n v="0"/>
    <n v="0"/>
    <n v="0"/>
    <n v="0"/>
    <n v="0"/>
    <n v="0"/>
    <n v="0"/>
    <x v="0"/>
    <x v="0"/>
    <x v="1"/>
    <x v="0"/>
    <x v="0"/>
  </r>
  <r>
    <n v="2152"/>
    <x v="0"/>
    <x v="0"/>
    <s v="W"/>
    <n v="77740"/>
    <n v="758"/>
    <n v="182"/>
    <n v="57"/>
    <x v="0"/>
    <x v="2"/>
    <n v="1"/>
    <n v="1"/>
    <n v="0"/>
    <n v="0"/>
    <n v="0"/>
    <n v="0"/>
    <n v="0"/>
    <n v="1200"/>
    <n v="1000"/>
    <x v="1"/>
    <x v="1"/>
    <x v="1"/>
    <x v="0"/>
    <x v="0"/>
  </r>
  <r>
    <n v="2153"/>
    <x v="0"/>
    <x v="0"/>
    <s v="W"/>
    <n v="39900"/>
    <n v="573"/>
    <n v="45"/>
    <n v="19"/>
    <x v="0"/>
    <x v="1"/>
    <n v="0"/>
    <n v="0"/>
    <n v="1"/>
    <n v="0"/>
    <n v="0"/>
    <n v="0"/>
    <n v="0"/>
    <n v="40000"/>
    <n v="40000"/>
    <x v="0"/>
    <x v="0"/>
    <x v="1"/>
    <x v="0"/>
    <x v="0"/>
  </r>
  <r>
    <n v="2154"/>
    <x v="0"/>
    <x v="0"/>
    <s v="W"/>
    <n v="31220"/>
    <n v="530"/>
    <n v="13"/>
    <n v="10"/>
    <x v="0"/>
    <x v="0"/>
    <n v="0"/>
    <n v="0"/>
    <n v="0"/>
    <n v="0"/>
    <n v="0"/>
    <n v="0"/>
    <n v="0"/>
    <n v="0"/>
    <n v="0"/>
    <x v="0"/>
    <x v="0"/>
    <x v="1"/>
    <x v="0"/>
    <x v="0"/>
  </r>
  <r>
    <n v="2155"/>
    <x v="0"/>
    <x v="0"/>
    <s v="W"/>
    <n v="46540"/>
    <n v="729"/>
    <n v="69"/>
    <n v="51"/>
    <x v="0"/>
    <x v="1"/>
    <n v="1"/>
    <n v="0"/>
    <n v="0"/>
    <n v="0"/>
    <n v="0"/>
    <n v="0"/>
    <n v="0"/>
    <n v="300"/>
    <n v="300"/>
    <x v="1"/>
    <x v="1"/>
    <x v="1"/>
    <x v="0"/>
    <x v="0"/>
  </r>
  <r>
    <n v="2156"/>
    <x v="0"/>
    <x v="0"/>
    <s v="W"/>
    <n v="64150"/>
    <n v="872"/>
    <n v="133"/>
    <n v="81"/>
    <x v="0"/>
    <x v="1"/>
    <n v="0"/>
    <n v="0"/>
    <n v="1"/>
    <n v="0"/>
    <n v="0"/>
    <n v="0"/>
    <n v="0"/>
    <n v="20000"/>
    <n v="20000"/>
    <x v="0"/>
    <x v="0"/>
    <x v="1"/>
    <x v="0"/>
    <x v="0"/>
  </r>
  <r>
    <n v="2157"/>
    <x v="0"/>
    <x v="0"/>
    <s v="W"/>
    <n v="45940"/>
    <n v="702"/>
    <n v="67"/>
    <n v="45"/>
    <x v="0"/>
    <x v="0"/>
    <n v="0"/>
    <n v="0"/>
    <n v="0"/>
    <n v="0"/>
    <n v="0"/>
    <n v="0"/>
    <n v="0"/>
    <n v="0"/>
    <n v="0"/>
    <x v="0"/>
    <x v="0"/>
    <x v="1"/>
    <x v="0"/>
    <x v="0"/>
  </r>
  <r>
    <n v="2158"/>
    <x v="0"/>
    <x v="0"/>
    <s v="W"/>
    <n v="27350"/>
    <n v="602"/>
    <n v="-1"/>
    <n v="25"/>
    <x v="0"/>
    <x v="1"/>
    <n v="1"/>
    <n v="0"/>
    <n v="0"/>
    <n v="0"/>
    <n v="0"/>
    <n v="0"/>
    <n v="0"/>
    <n v="200"/>
    <n v="200"/>
    <x v="0"/>
    <x v="0"/>
    <x v="1"/>
    <x v="0"/>
    <x v="0"/>
  </r>
  <r>
    <n v="2159"/>
    <x v="1"/>
    <x v="0"/>
    <s v="W"/>
    <n v="10220"/>
    <n v="408"/>
    <n v="-62"/>
    <n v="-14"/>
    <x v="0"/>
    <x v="0"/>
    <n v="0"/>
    <n v="0"/>
    <n v="0"/>
    <n v="0"/>
    <n v="0"/>
    <n v="0"/>
    <n v="0"/>
    <n v="0"/>
    <n v="0"/>
    <x v="0"/>
    <x v="0"/>
    <x v="1"/>
    <x v="0"/>
    <x v="0"/>
  </r>
  <r>
    <n v="2160"/>
    <x v="1"/>
    <x v="0"/>
    <s v="W"/>
    <n v="24400"/>
    <n v="352"/>
    <n v="-10"/>
    <n v="-25"/>
    <x v="0"/>
    <x v="1"/>
    <n v="0"/>
    <n v="1"/>
    <n v="0"/>
    <n v="0"/>
    <n v="0"/>
    <n v="0"/>
    <n v="0"/>
    <n v="2000"/>
    <n v="2000"/>
    <x v="0"/>
    <x v="0"/>
    <x v="1"/>
    <x v="0"/>
    <x v="0"/>
  </r>
  <r>
    <n v="2161"/>
    <x v="1"/>
    <x v="0"/>
    <s v="W"/>
    <n v="17120"/>
    <n v="332"/>
    <n v="-37"/>
    <n v="-30"/>
    <x v="0"/>
    <x v="0"/>
    <n v="0"/>
    <n v="0"/>
    <n v="0"/>
    <n v="0"/>
    <n v="0"/>
    <n v="0"/>
    <n v="0"/>
    <n v="0"/>
    <n v="0"/>
    <x v="0"/>
    <x v="0"/>
    <x v="1"/>
    <x v="0"/>
    <x v="0"/>
  </r>
  <r>
    <n v="2162"/>
    <x v="1"/>
    <x v="0"/>
    <s v="W"/>
    <n v="35540"/>
    <n v="487"/>
    <n v="31"/>
    <n v="3"/>
    <x v="0"/>
    <x v="0"/>
    <n v="0"/>
    <n v="0"/>
    <n v="0"/>
    <n v="0"/>
    <n v="0"/>
    <n v="0"/>
    <n v="0"/>
    <n v="0"/>
    <n v="0"/>
    <x v="0"/>
    <x v="0"/>
    <x v="1"/>
    <x v="0"/>
    <x v="0"/>
  </r>
  <r>
    <n v="2163"/>
    <x v="1"/>
    <x v="0"/>
    <s v="W"/>
    <n v="53660"/>
    <n v="627"/>
    <n v="97"/>
    <n v="33"/>
    <x v="0"/>
    <x v="3"/>
    <n v="2"/>
    <n v="1"/>
    <n v="0"/>
    <n v="0"/>
    <n v="0"/>
    <n v="0"/>
    <n v="0"/>
    <n v="2100"/>
    <n v="1000"/>
    <x v="0"/>
    <x v="0"/>
    <x v="1"/>
    <x v="0"/>
    <x v="0"/>
  </r>
  <r>
    <n v="2164"/>
    <x v="1"/>
    <x v="0"/>
    <s v="W"/>
    <n v="31560"/>
    <n v="491"/>
    <n v="16"/>
    <n v="4"/>
    <x v="0"/>
    <x v="1"/>
    <n v="0"/>
    <n v="1"/>
    <n v="0"/>
    <n v="0"/>
    <n v="0"/>
    <n v="0"/>
    <n v="0"/>
    <n v="2000"/>
    <n v="2000"/>
    <x v="0"/>
    <x v="0"/>
    <x v="1"/>
    <x v="0"/>
    <x v="0"/>
  </r>
  <r>
    <n v="2165"/>
    <x v="1"/>
    <x v="0"/>
    <s v="W"/>
    <n v="45910"/>
    <n v="656"/>
    <n v="69"/>
    <n v="39"/>
    <x v="0"/>
    <x v="0"/>
    <n v="0"/>
    <n v="0"/>
    <n v="0"/>
    <n v="0"/>
    <n v="0"/>
    <n v="0"/>
    <n v="0"/>
    <n v="0"/>
    <n v="0"/>
    <x v="0"/>
    <x v="0"/>
    <x v="1"/>
    <x v="0"/>
    <x v="0"/>
  </r>
  <r>
    <n v="2166"/>
    <x v="1"/>
    <x v="0"/>
    <s v="W"/>
    <n v="54920"/>
    <n v="801"/>
    <n v="102"/>
    <n v="70"/>
    <x v="0"/>
    <x v="1"/>
    <n v="1"/>
    <n v="0"/>
    <n v="0"/>
    <n v="0"/>
    <n v="0"/>
    <n v="0"/>
    <n v="0"/>
    <n v="200"/>
    <n v="200"/>
    <x v="0"/>
    <x v="0"/>
    <x v="1"/>
    <x v="0"/>
    <x v="0"/>
  </r>
  <r>
    <n v="2167"/>
    <x v="1"/>
    <x v="0"/>
    <s v="W"/>
    <n v="71360"/>
    <n v="827"/>
    <n v="143"/>
    <n v="67"/>
    <x v="0"/>
    <x v="2"/>
    <n v="1"/>
    <n v="1"/>
    <n v="0"/>
    <n v="0"/>
    <n v="0"/>
    <n v="0"/>
    <n v="0"/>
    <n v="4700"/>
    <n v="4000"/>
    <x v="0"/>
    <x v="0"/>
    <x v="1"/>
    <x v="0"/>
    <x v="0"/>
  </r>
  <r>
    <n v="2168"/>
    <x v="1"/>
    <x v="0"/>
    <s v="W"/>
    <n v="34740"/>
    <n v="563"/>
    <n v="18"/>
    <n v="13"/>
    <x v="0"/>
    <x v="0"/>
    <n v="0"/>
    <n v="0"/>
    <n v="0"/>
    <n v="0"/>
    <n v="0"/>
    <n v="0"/>
    <n v="0"/>
    <n v="0"/>
    <n v="0"/>
    <x v="0"/>
    <x v="0"/>
    <x v="1"/>
    <x v="0"/>
    <x v="0"/>
  </r>
  <r>
    <n v="2169"/>
    <x v="1"/>
    <x v="0"/>
    <s v="W"/>
    <n v="39830"/>
    <n v="636"/>
    <n v="36"/>
    <n v="28"/>
    <x v="0"/>
    <x v="0"/>
    <n v="0"/>
    <n v="0"/>
    <n v="0"/>
    <n v="0"/>
    <n v="0"/>
    <n v="0"/>
    <n v="0"/>
    <n v="0"/>
    <n v="0"/>
    <x v="0"/>
    <x v="0"/>
    <x v="1"/>
    <x v="0"/>
    <x v="0"/>
  </r>
  <r>
    <n v="2170"/>
    <x v="1"/>
    <x v="0"/>
    <s v="W"/>
    <n v="55130"/>
    <n v="800"/>
    <n v="88"/>
    <n v="61"/>
    <x v="0"/>
    <x v="0"/>
    <n v="0"/>
    <n v="0"/>
    <n v="0"/>
    <n v="0"/>
    <n v="0"/>
    <n v="0"/>
    <n v="0"/>
    <n v="0"/>
    <n v="0"/>
    <x v="0"/>
    <x v="0"/>
    <x v="1"/>
    <x v="0"/>
    <x v="0"/>
  </r>
  <r>
    <n v="2171"/>
    <x v="1"/>
    <x v="0"/>
    <s v="W"/>
    <n v="42060"/>
    <n v="740"/>
    <n v="43"/>
    <n v="49"/>
    <x v="0"/>
    <x v="0"/>
    <n v="0"/>
    <n v="0"/>
    <n v="0"/>
    <n v="0"/>
    <n v="0"/>
    <n v="0"/>
    <n v="0"/>
    <n v="0"/>
    <n v="0"/>
    <x v="0"/>
    <x v="0"/>
    <x v="1"/>
    <x v="0"/>
    <x v="0"/>
  </r>
  <r>
    <n v="2172"/>
    <x v="1"/>
    <x v="0"/>
    <s v="W"/>
    <n v="56550"/>
    <n v="1092"/>
    <n v="93"/>
    <n v="120"/>
    <x v="0"/>
    <x v="0"/>
    <n v="0"/>
    <n v="0"/>
    <n v="0"/>
    <n v="0"/>
    <n v="0"/>
    <n v="0"/>
    <n v="0"/>
    <n v="0"/>
    <n v="0"/>
    <x v="0"/>
    <x v="0"/>
    <x v="1"/>
    <x v="0"/>
    <x v="0"/>
  </r>
  <r>
    <n v="2173"/>
    <x v="1"/>
    <x v="0"/>
    <s v="W"/>
    <n v="65930"/>
    <n v="869"/>
    <n v="125"/>
    <n v="75"/>
    <x v="0"/>
    <x v="0"/>
    <n v="0"/>
    <n v="0"/>
    <n v="0"/>
    <n v="0"/>
    <n v="0"/>
    <n v="0"/>
    <n v="0"/>
    <n v="0"/>
    <n v="0"/>
    <x v="0"/>
    <x v="0"/>
    <x v="1"/>
    <x v="0"/>
    <x v="0"/>
  </r>
  <r>
    <n v="2174"/>
    <x v="1"/>
    <x v="0"/>
    <s v="W"/>
    <n v="29370"/>
    <n v="694"/>
    <n v="0"/>
    <n v="40"/>
    <x v="0"/>
    <x v="0"/>
    <n v="0"/>
    <n v="0"/>
    <n v="0"/>
    <n v="0"/>
    <n v="0"/>
    <n v="0"/>
    <n v="0"/>
    <n v="0"/>
    <n v="0"/>
    <x v="0"/>
    <x v="0"/>
    <x v="1"/>
    <x v="0"/>
    <x v="0"/>
  </r>
  <r>
    <n v="2175"/>
    <x v="1"/>
    <x v="1"/>
    <s v="W"/>
    <n v="74380"/>
    <n v="895"/>
    <n v="153"/>
    <n v="80"/>
    <x v="0"/>
    <x v="0"/>
    <n v="0"/>
    <n v="0"/>
    <n v="0"/>
    <n v="0"/>
    <n v="0"/>
    <n v="0"/>
    <n v="0"/>
    <n v="0"/>
    <n v="0"/>
    <x v="0"/>
    <x v="0"/>
    <x v="1"/>
    <x v="0"/>
    <x v="0"/>
  </r>
  <r>
    <n v="2176"/>
    <x v="1"/>
    <x v="1"/>
    <s v="W"/>
    <n v="63190"/>
    <n v="840"/>
    <n v="115"/>
    <n v="69"/>
    <x v="0"/>
    <x v="2"/>
    <n v="2"/>
    <n v="0"/>
    <n v="0"/>
    <n v="0"/>
    <n v="0"/>
    <n v="0"/>
    <n v="0"/>
    <n v="600"/>
    <n v="400"/>
    <x v="0"/>
    <x v="0"/>
    <x v="1"/>
    <x v="0"/>
    <x v="0"/>
  </r>
  <r>
    <n v="2177"/>
    <x v="1"/>
    <x v="1"/>
    <s v="W"/>
    <n v="90090"/>
    <n v="1132"/>
    <n v="207"/>
    <n v="128"/>
    <x v="0"/>
    <x v="1"/>
    <n v="0"/>
    <n v="1"/>
    <n v="0"/>
    <n v="0"/>
    <n v="0"/>
    <n v="0"/>
    <n v="0"/>
    <n v="4000"/>
    <n v="4000"/>
    <x v="0"/>
    <x v="0"/>
    <x v="1"/>
    <x v="0"/>
    <x v="0"/>
  </r>
  <r>
    <n v="2178"/>
    <x v="1"/>
    <x v="1"/>
    <s v="W"/>
    <n v="134070"/>
    <n v="1283"/>
    <n v="357"/>
    <n v="159"/>
    <x v="1"/>
    <x v="0"/>
    <n v="0"/>
    <n v="0"/>
    <n v="0"/>
    <n v="0"/>
    <n v="0"/>
    <n v="0"/>
    <n v="0"/>
    <n v="0"/>
    <n v="0"/>
    <x v="0"/>
    <x v="0"/>
    <x v="1"/>
    <x v="2"/>
    <x v="1"/>
  </r>
  <r>
    <n v="2179"/>
    <x v="1"/>
    <x v="1"/>
    <s v="W"/>
    <n v="100960"/>
    <n v="1183"/>
    <n v="244"/>
    <n v="138"/>
    <x v="1"/>
    <x v="1"/>
    <n v="1"/>
    <n v="0"/>
    <n v="0"/>
    <n v="0"/>
    <n v="0"/>
    <n v="0"/>
    <n v="0"/>
    <n v="100"/>
    <n v="100"/>
    <x v="0"/>
    <x v="0"/>
    <x v="1"/>
    <x v="2"/>
    <x v="0"/>
  </r>
  <r>
    <n v="2180"/>
    <x v="1"/>
    <x v="1"/>
    <s v="W"/>
    <n v="124380"/>
    <n v="1220"/>
    <n v="324"/>
    <n v="146"/>
    <x v="2"/>
    <x v="0"/>
    <n v="0"/>
    <n v="0"/>
    <n v="0"/>
    <n v="0"/>
    <n v="0"/>
    <n v="0"/>
    <n v="0"/>
    <n v="0"/>
    <n v="0"/>
    <x v="0"/>
    <x v="0"/>
    <x v="1"/>
    <x v="2"/>
    <x v="1"/>
  </r>
  <r>
    <n v="2181"/>
    <x v="1"/>
    <x v="1"/>
    <s v="W"/>
    <n v="162810"/>
    <n v="1768"/>
    <n v="455"/>
    <n v="256"/>
    <x v="2"/>
    <x v="2"/>
    <n v="2"/>
    <n v="0"/>
    <n v="0"/>
    <n v="0"/>
    <n v="0"/>
    <n v="0"/>
    <n v="0"/>
    <n v="700"/>
    <n v="500"/>
    <x v="0"/>
    <x v="0"/>
    <x v="1"/>
    <x v="2"/>
    <x v="1"/>
  </r>
  <r>
    <n v="2182"/>
    <x v="1"/>
    <x v="1"/>
    <s v="W"/>
    <n v="69450"/>
    <n v="1412"/>
    <n v="137"/>
    <n v="185"/>
    <x v="1"/>
    <x v="0"/>
    <n v="0"/>
    <n v="0"/>
    <n v="0"/>
    <n v="0"/>
    <n v="0"/>
    <n v="0"/>
    <n v="0"/>
    <n v="0"/>
    <n v="0"/>
    <x v="0"/>
    <x v="0"/>
    <x v="1"/>
    <x v="0"/>
    <x v="0"/>
  </r>
  <r>
    <n v="2183"/>
    <x v="0"/>
    <x v="2"/>
    <s v="N"/>
    <n v="47250"/>
    <n v="961"/>
    <n v="517"/>
    <n v="305"/>
    <x v="2"/>
    <x v="1"/>
    <n v="1"/>
    <n v="0"/>
    <n v="0"/>
    <n v="0"/>
    <n v="0"/>
    <n v="0"/>
    <n v="0"/>
    <n v="200"/>
    <n v="200"/>
    <x v="0"/>
    <x v="0"/>
    <x v="0"/>
    <x v="0"/>
    <x v="0"/>
  </r>
  <r>
    <n v="2184"/>
    <x v="0"/>
    <x v="2"/>
    <s v="N"/>
    <n v="33530"/>
    <n v="747"/>
    <n v="338"/>
    <n v="215"/>
    <x v="2"/>
    <x v="1"/>
    <n v="0"/>
    <n v="1"/>
    <n v="0"/>
    <n v="0"/>
    <n v="0"/>
    <n v="0"/>
    <n v="0"/>
    <n v="1000"/>
    <n v="1000"/>
    <x v="0"/>
    <x v="0"/>
    <x v="0"/>
    <x v="0"/>
    <x v="0"/>
  </r>
  <r>
    <n v="2185"/>
    <x v="0"/>
    <x v="2"/>
    <s v="N"/>
    <n v="25050"/>
    <n v="678"/>
    <n v="227"/>
    <n v="186"/>
    <x v="2"/>
    <x v="0"/>
    <n v="0"/>
    <n v="0"/>
    <n v="0"/>
    <n v="0"/>
    <n v="0"/>
    <n v="0"/>
    <n v="0"/>
    <n v="0"/>
    <n v="0"/>
    <x v="0"/>
    <x v="0"/>
    <x v="0"/>
    <x v="0"/>
    <x v="0"/>
  </r>
  <r>
    <n v="2186"/>
    <x v="0"/>
    <x v="2"/>
    <s v="N"/>
    <n v="24940"/>
    <n v="543"/>
    <n v="226"/>
    <n v="129"/>
    <x v="2"/>
    <x v="2"/>
    <n v="1"/>
    <n v="1"/>
    <n v="0"/>
    <n v="0"/>
    <n v="0"/>
    <n v="0"/>
    <n v="0"/>
    <n v="2500"/>
    <n v="2000"/>
    <x v="0"/>
    <x v="0"/>
    <x v="0"/>
    <x v="0"/>
    <x v="0"/>
  </r>
  <r>
    <n v="2187"/>
    <x v="0"/>
    <x v="2"/>
    <s v="N"/>
    <n v="24740"/>
    <n v="530"/>
    <n v="223"/>
    <n v="123"/>
    <x v="2"/>
    <x v="1"/>
    <n v="0"/>
    <n v="1"/>
    <n v="0"/>
    <n v="0"/>
    <n v="0"/>
    <n v="0"/>
    <n v="0"/>
    <n v="7000"/>
    <n v="7000"/>
    <x v="0"/>
    <x v="0"/>
    <x v="0"/>
    <x v="0"/>
    <x v="0"/>
  </r>
  <r>
    <n v="2188"/>
    <x v="0"/>
    <x v="2"/>
    <s v="N"/>
    <n v="24620"/>
    <n v="490"/>
    <n v="222"/>
    <n v="106"/>
    <x v="2"/>
    <x v="1"/>
    <n v="1"/>
    <n v="0"/>
    <n v="0"/>
    <n v="0"/>
    <n v="0"/>
    <n v="0"/>
    <n v="0"/>
    <n v="400"/>
    <n v="400"/>
    <x v="0"/>
    <x v="0"/>
    <x v="0"/>
    <x v="0"/>
    <x v="0"/>
  </r>
  <r>
    <n v="2189"/>
    <x v="0"/>
    <x v="2"/>
    <s v="W"/>
    <n v="34360"/>
    <n v="730"/>
    <n v="10"/>
    <n v="39"/>
    <x v="2"/>
    <x v="0"/>
    <n v="0"/>
    <n v="0"/>
    <n v="0"/>
    <n v="0"/>
    <n v="0"/>
    <n v="0"/>
    <n v="0"/>
    <n v="0"/>
    <n v="0"/>
    <x v="0"/>
    <x v="0"/>
    <x v="1"/>
    <x v="0"/>
    <x v="0"/>
  </r>
  <r>
    <n v="2190"/>
    <x v="0"/>
    <x v="2"/>
    <s v="W"/>
    <n v="101280"/>
    <n v="1116"/>
    <n v="223"/>
    <n v="112"/>
    <x v="2"/>
    <x v="1"/>
    <n v="1"/>
    <n v="0"/>
    <n v="0"/>
    <n v="0"/>
    <n v="0"/>
    <n v="0"/>
    <n v="0"/>
    <n v="700"/>
    <n v="700"/>
    <x v="0"/>
    <x v="0"/>
    <x v="1"/>
    <x v="2"/>
    <x v="0"/>
  </r>
  <r>
    <n v="2191"/>
    <x v="0"/>
    <x v="2"/>
    <s v="W"/>
    <n v="53180"/>
    <n v="1048"/>
    <n v="34"/>
    <n v="70"/>
    <x v="2"/>
    <x v="0"/>
    <n v="0"/>
    <n v="0"/>
    <n v="0"/>
    <n v="0"/>
    <n v="0"/>
    <n v="0"/>
    <n v="0"/>
    <n v="0"/>
    <n v="0"/>
    <x v="0"/>
    <x v="0"/>
    <x v="1"/>
    <x v="0"/>
    <x v="0"/>
  </r>
  <r>
    <n v="2192"/>
    <x v="0"/>
    <x v="2"/>
    <s v="W"/>
    <n v="34900"/>
    <n v="798"/>
    <n v="-12"/>
    <n v="30"/>
    <x v="2"/>
    <x v="0"/>
    <n v="0"/>
    <n v="0"/>
    <n v="0"/>
    <n v="0"/>
    <n v="0"/>
    <n v="0"/>
    <n v="0"/>
    <n v="0"/>
    <n v="0"/>
    <x v="0"/>
    <x v="0"/>
    <x v="1"/>
    <x v="0"/>
    <x v="0"/>
  </r>
  <r>
    <n v="2193"/>
    <x v="0"/>
    <x v="2"/>
    <s v="W"/>
    <n v="71540"/>
    <n v="608"/>
    <n v="80"/>
    <n v="-1"/>
    <x v="2"/>
    <x v="2"/>
    <n v="0"/>
    <n v="2"/>
    <n v="0"/>
    <n v="0"/>
    <n v="0"/>
    <n v="0"/>
    <n v="0"/>
    <n v="4000"/>
    <n v="2000"/>
    <x v="0"/>
    <x v="0"/>
    <x v="1"/>
    <x v="0"/>
    <x v="0"/>
  </r>
  <r>
    <n v="2194"/>
    <x v="0"/>
    <x v="2"/>
    <s v="W"/>
    <n v="60300"/>
    <n v="575"/>
    <n v="52"/>
    <n v="-7"/>
    <x v="2"/>
    <x v="0"/>
    <n v="0"/>
    <n v="0"/>
    <n v="0"/>
    <n v="0"/>
    <n v="0"/>
    <n v="0"/>
    <n v="0"/>
    <n v="0"/>
    <n v="0"/>
    <x v="0"/>
    <x v="0"/>
    <x v="1"/>
    <x v="0"/>
    <x v="0"/>
  </r>
  <r>
    <n v="2195"/>
    <x v="0"/>
    <x v="2"/>
    <s v="W"/>
    <n v="43730"/>
    <n v="832"/>
    <n v="10"/>
    <n v="35"/>
    <x v="2"/>
    <x v="0"/>
    <n v="0"/>
    <n v="0"/>
    <n v="0"/>
    <n v="0"/>
    <n v="0"/>
    <n v="0"/>
    <n v="0"/>
    <n v="0"/>
    <n v="0"/>
    <x v="0"/>
    <x v="0"/>
    <x v="1"/>
    <x v="0"/>
    <x v="0"/>
  </r>
  <r>
    <n v="2196"/>
    <x v="0"/>
    <x v="2"/>
    <s v="W"/>
    <n v="52680"/>
    <n v="985"/>
    <n v="33"/>
    <n v="60"/>
    <x v="2"/>
    <x v="1"/>
    <n v="0"/>
    <n v="1"/>
    <n v="0"/>
    <n v="0"/>
    <n v="0"/>
    <n v="0"/>
    <n v="0"/>
    <n v="3000"/>
    <n v="3000"/>
    <x v="0"/>
    <x v="0"/>
    <x v="1"/>
    <x v="0"/>
    <x v="0"/>
  </r>
  <r>
    <n v="2197"/>
    <x v="0"/>
    <x v="2"/>
    <s v="W"/>
    <n v="40750"/>
    <n v="725"/>
    <n v="3"/>
    <n v="18"/>
    <x v="2"/>
    <x v="0"/>
    <n v="0"/>
    <n v="0"/>
    <n v="0"/>
    <n v="0"/>
    <n v="0"/>
    <n v="0"/>
    <n v="0"/>
    <n v="0"/>
    <n v="0"/>
    <x v="0"/>
    <x v="0"/>
    <x v="1"/>
    <x v="0"/>
    <x v="0"/>
  </r>
  <r>
    <n v="2198"/>
    <x v="0"/>
    <x v="2"/>
    <s v="W"/>
    <n v="37660"/>
    <n v="658"/>
    <n v="-5"/>
    <n v="7"/>
    <x v="2"/>
    <x v="0"/>
    <n v="0"/>
    <n v="0"/>
    <n v="0"/>
    <n v="0"/>
    <n v="0"/>
    <n v="0"/>
    <n v="0"/>
    <n v="0"/>
    <n v="0"/>
    <x v="0"/>
    <x v="0"/>
    <x v="1"/>
    <x v="0"/>
    <x v="0"/>
  </r>
  <r>
    <n v="2199"/>
    <x v="0"/>
    <x v="2"/>
    <s v="W"/>
    <n v="26590"/>
    <n v="552"/>
    <n v="-34"/>
    <n v="-13"/>
    <x v="2"/>
    <x v="0"/>
    <n v="0"/>
    <n v="0"/>
    <n v="0"/>
    <n v="0"/>
    <n v="0"/>
    <n v="0"/>
    <n v="0"/>
    <n v="0"/>
    <n v="0"/>
    <x v="0"/>
    <x v="0"/>
    <x v="1"/>
    <x v="0"/>
    <x v="0"/>
  </r>
  <r>
    <n v="2200"/>
    <x v="0"/>
    <x v="2"/>
    <s v="W"/>
    <n v="63410"/>
    <n v="767"/>
    <n v="57"/>
    <n v="21"/>
    <x v="2"/>
    <x v="1"/>
    <n v="1"/>
    <n v="0"/>
    <n v="0"/>
    <n v="0"/>
    <n v="0"/>
    <n v="0"/>
    <n v="0"/>
    <n v="600"/>
    <n v="600"/>
    <x v="0"/>
    <x v="0"/>
    <x v="1"/>
    <x v="0"/>
    <x v="0"/>
  </r>
  <r>
    <n v="2201"/>
    <x v="0"/>
    <x v="2"/>
    <s v="W"/>
    <n v="51740"/>
    <n v="847"/>
    <n v="28"/>
    <n v="33"/>
    <x v="2"/>
    <x v="1"/>
    <n v="1"/>
    <n v="0"/>
    <n v="0"/>
    <n v="0"/>
    <n v="0"/>
    <n v="0"/>
    <n v="0"/>
    <n v="200"/>
    <n v="200"/>
    <x v="0"/>
    <x v="0"/>
    <x v="1"/>
    <x v="0"/>
    <x v="0"/>
  </r>
  <r>
    <n v="2202"/>
    <x v="0"/>
    <x v="2"/>
    <s v="W"/>
    <n v="27950"/>
    <n v="702"/>
    <n v="-31"/>
    <n v="10"/>
    <x v="2"/>
    <x v="0"/>
    <n v="0"/>
    <n v="0"/>
    <n v="0"/>
    <n v="0"/>
    <n v="0"/>
    <n v="0"/>
    <n v="0"/>
    <n v="0"/>
    <n v="0"/>
    <x v="0"/>
    <x v="0"/>
    <x v="1"/>
    <x v="0"/>
    <x v="0"/>
  </r>
  <r>
    <n v="2203"/>
    <x v="0"/>
    <x v="2"/>
    <s v="W"/>
    <n v="37170"/>
    <n v="881"/>
    <n v="-8"/>
    <n v="39"/>
    <x v="2"/>
    <x v="0"/>
    <n v="0"/>
    <n v="0"/>
    <n v="0"/>
    <n v="0"/>
    <n v="0"/>
    <n v="0"/>
    <n v="0"/>
    <n v="0"/>
    <n v="0"/>
    <x v="0"/>
    <x v="0"/>
    <x v="1"/>
    <x v="0"/>
    <x v="0"/>
  </r>
  <r>
    <n v="2204"/>
    <x v="0"/>
    <x v="2"/>
    <s v="W"/>
    <n v="38620"/>
    <n v="719"/>
    <n v="-4"/>
    <n v="13"/>
    <x v="2"/>
    <x v="1"/>
    <n v="1"/>
    <n v="0"/>
    <n v="0"/>
    <n v="0"/>
    <n v="0"/>
    <n v="0"/>
    <n v="0"/>
    <n v="500"/>
    <n v="500"/>
    <x v="0"/>
    <x v="0"/>
    <x v="1"/>
    <x v="0"/>
    <x v="0"/>
  </r>
  <r>
    <n v="2205"/>
    <x v="0"/>
    <x v="2"/>
    <s v="W"/>
    <n v="54500"/>
    <n v="757"/>
    <n v="35"/>
    <n v="19"/>
    <x v="2"/>
    <x v="0"/>
    <n v="0"/>
    <n v="0"/>
    <n v="0"/>
    <n v="0"/>
    <n v="0"/>
    <n v="0"/>
    <n v="0"/>
    <n v="0"/>
    <n v="0"/>
    <x v="0"/>
    <x v="0"/>
    <x v="1"/>
    <x v="0"/>
    <x v="0"/>
  </r>
  <r>
    <n v="2206"/>
    <x v="0"/>
    <x v="2"/>
    <s v="W"/>
    <n v="43740"/>
    <n v="1056"/>
    <n v="9"/>
    <n v="66"/>
    <x v="2"/>
    <x v="0"/>
    <n v="0"/>
    <n v="0"/>
    <n v="0"/>
    <n v="0"/>
    <n v="0"/>
    <n v="0"/>
    <n v="0"/>
    <n v="0"/>
    <n v="0"/>
    <x v="0"/>
    <x v="0"/>
    <x v="1"/>
    <x v="0"/>
    <x v="0"/>
  </r>
  <r>
    <n v="2207"/>
    <x v="0"/>
    <x v="2"/>
    <s v="W"/>
    <n v="22210"/>
    <n v="658"/>
    <n v="-48"/>
    <n v="0"/>
    <x v="1"/>
    <x v="0"/>
    <n v="0"/>
    <n v="0"/>
    <n v="0"/>
    <n v="0"/>
    <n v="0"/>
    <n v="0"/>
    <n v="0"/>
    <n v="0"/>
    <n v="0"/>
    <x v="0"/>
    <x v="0"/>
    <x v="1"/>
    <x v="0"/>
    <x v="0"/>
  </r>
  <r>
    <n v="2208"/>
    <x v="0"/>
    <x v="2"/>
    <s v="W"/>
    <n v="52510"/>
    <n v="917"/>
    <n v="23"/>
    <n v="39"/>
    <x v="1"/>
    <x v="1"/>
    <n v="0"/>
    <n v="1"/>
    <n v="0"/>
    <n v="0"/>
    <n v="0"/>
    <n v="0"/>
    <n v="0"/>
    <n v="4000"/>
    <n v="4000"/>
    <x v="0"/>
    <x v="0"/>
    <x v="1"/>
    <x v="0"/>
    <x v="0"/>
  </r>
  <r>
    <n v="2209"/>
    <x v="0"/>
    <x v="2"/>
    <s v="W"/>
    <n v="67230"/>
    <n v="1155"/>
    <n v="57"/>
    <n v="75"/>
    <x v="1"/>
    <x v="2"/>
    <n v="1"/>
    <n v="1"/>
    <n v="0"/>
    <n v="0"/>
    <n v="0"/>
    <n v="0"/>
    <n v="0"/>
    <n v="3500"/>
    <n v="3000"/>
    <x v="1"/>
    <x v="1"/>
    <x v="1"/>
    <x v="0"/>
    <x v="0"/>
  </r>
  <r>
    <n v="2210"/>
    <x v="0"/>
    <x v="2"/>
    <s v="W"/>
    <n v="95180"/>
    <n v="1144"/>
    <n v="122"/>
    <n v="73"/>
    <x v="1"/>
    <x v="2"/>
    <n v="0"/>
    <n v="1"/>
    <n v="1"/>
    <n v="0"/>
    <n v="0"/>
    <n v="0"/>
    <n v="0"/>
    <n v="27000"/>
    <n v="20000"/>
    <x v="1"/>
    <x v="1"/>
    <x v="1"/>
    <x v="0"/>
    <x v="0"/>
  </r>
  <r>
    <n v="2211"/>
    <x v="0"/>
    <x v="2"/>
    <s v="W"/>
    <n v="151920"/>
    <n v="1132"/>
    <n v="255"/>
    <n v="71"/>
    <x v="1"/>
    <x v="2"/>
    <n v="1"/>
    <n v="0"/>
    <n v="1"/>
    <n v="0"/>
    <n v="0"/>
    <n v="0"/>
    <n v="0"/>
    <n v="20300"/>
    <n v="20000"/>
    <x v="0"/>
    <x v="0"/>
    <x v="1"/>
    <x v="2"/>
    <x v="1"/>
  </r>
  <r>
    <n v="2212"/>
    <x v="0"/>
    <x v="2"/>
    <s v="W"/>
    <n v="106030"/>
    <n v="988"/>
    <n v="148"/>
    <n v="49"/>
    <x v="1"/>
    <x v="0"/>
    <n v="0"/>
    <n v="0"/>
    <n v="0"/>
    <n v="0"/>
    <n v="0"/>
    <n v="0"/>
    <n v="0"/>
    <n v="0"/>
    <n v="0"/>
    <x v="0"/>
    <x v="0"/>
    <x v="1"/>
    <x v="2"/>
    <x v="0"/>
  </r>
  <r>
    <n v="2213"/>
    <x v="0"/>
    <x v="2"/>
    <s v="W"/>
    <n v="81430"/>
    <n v="886"/>
    <n v="90"/>
    <n v="34"/>
    <x v="1"/>
    <x v="0"/>
    <n v="0"/>
    <n v="0"/>
    <n v="0"/>
    <n v="0"/>
    <n v="0"/>
    <n v="0"/>
    <n v="0"/>
    <n v="0"/>
    <n v="0"/>
    <x v="0"/>
    <x v="0"/>
    <x v="1"/>
    <x v="0"/>
    <x v="0"/>
  </r>
  <r>
    <n v="2214"/>
    <x v="0"/>
    <x v="2"/>
    <s v="W"/>
    <n v="124850"/>
    <n v="1014"/>
    <n v="191"/>
    <n v="53"/>
    <x v="1"/>
    <x v="0"/>
    <n v="0"/>
    <n v="0"/>
    <n v="0"/>
    <n v="0"/>
    <n v="0"/>
    <n v="0"/>
    <n v="0"/>
    <n v="0"/>
    <n v="0"/>
    <x v="0"/>
    <x v="0"/>
    <x v="1"/>
    <x v="2"/>
    <x v="1"/>
  </r>
  <r>
    <n v="2215"/>
    <x v="1"/>
    <x v="2"/>
    <s v="W"/>
    <n v="68040"/>
    <n v="1049"/>
    <n v="50"/>
    <n v="51"/>
    <x v="1"/>
    <x v="1"/>
    <n v="0"/>
    <n v="1"/>
    <n v="0"/>
    <n v="0"/>
    <n v="0"/>
    <n v="0"/>
    <n v="0"/>
    <n v="4000"/>
    <n v="4000"/>
    <x v="0"/>
    <x v="0"/>
    <x v="1"/>
    <x v="0"/>
    <x v="0"/>
  </r>
  <r>
    <n v="2216"/>
    <x v="1"/>
    <x v="2"/>
    <s v="W"/>
    <n v="57440"/>
    <n v="538"/>
    <n v="27"/>
    <n v="-23"/>
    <x v="1"/>
    <x v="0"/>
    <n v="0"/>
    <n v="0"/>
    <n v="0"/>
    <n v="0"/>
    <n v="0"/>
    <n v="0"/>
    <n v="0"/>
    <n v="0"/>
    <n v="0"/>
    <x v="0"/>
    <x v="0"/>
    <x v="1"/>
    <x v="0"/>
    <x v="0"/>
  </r>
  <r>
    <n v="2217"/>
    <x v="1"/>
    <x v="2"/>
    <s v="W"/>
    <n v="111380"/>
    <n v="952"/>
    <n v="146"/>
    <n v="37"/>
    <x v="1"/>
    <x v="1"/>
    <n v="1"/>
    <n v="0"/>
    <n v="0"/>
    <n v="0"/>
    <n v="0"/>
    <n v="0"/>
    <n v="0"/>
    <n v="400"/>
    <n v="400"/>
    <x v="0"/>
    <x v="0"/>
    <x v="1"/>
    <x v="2"/>
    <x v="0"/>
  </r>
  <r>
    <n v="2218"/>
    <x v="1"/>
    <x v="2"/>
    <s v="W"/>
    <n v="84510"/>
    <n v="1049"/>
    <n v="87"/>
    <n v="51"/>
    <x v="1"/>
    <x v="1"/>
    <n v="1"/>
    <n v="0"/>
    <n v="0"/>
    <n v="0"/>
    <n v="0"/>
    <n v="0"/>
    <n v="0"/>
    <n v="200"/>
    <n v="200"/>
    <x v="0"/>
    <x v="0"/>
    <x v="1"/>
    <x v="0"/>
    <x v="0"/>
  </r>
  <r>
    <n v="2219"/>
    <x v="1"/>
    <x v="2"/>
    <s v="W"/>
    <n v="52690"/>
    <n v="684"/>
    <n v="16"/>
    <n v="-2"/>
    <x v="1"/>
    <x v="1"/>
    <n v="0"/>
    <n v="1"/>
    <n v="0"/>
    <n v="0"/>
    <n v="0"/>
    <n v="0"/>
    <n v="0"/>
    <n v="2000"/>
    <n v="2000"/>
    <x v="0"/>
    <x v="0"/>
    <x v="1"/>
    <x v="0"/>
    <x v="0"/>
  </r>
  <r>
    <n v="2220"/>
    <x v="1"/>
    <x v="2"/>
    <s v="W"/>
    <n v="87250"/>
    <n v="1048"/>
    <n v="93"/>
    <n v="51"/>
    <x v="1"/>
    <x v="1"/>
    <n v="1"/>
    <n v="0"/>
    <n v="0"/>
    <n v="0"/>
    <n v="0"/>
    <n v="0"/>
    <n v="0"/>
    <n v="500"/>
    <n v="500"/>
    <x v="0"/>
    <x v="0"/>
    <x v="1"/>
    <x v="0"/>
    <x v="0"/>
  </r>
  <r>
    <n v="2221"/>
    <x v="1"/>
    <x v="2"/>
    <s v="W"/>
    <n v="39900"/>
    <n v="984"/>
    <n v="-12"/>
    <n v="41"/>
    <x v="1"/>
    <x v="1"/>
    <n v="0"/>
    <n v="1"/>
    <n v="0"/>
    <n v="0"/>
    <n v="0"/>
    <n v="0"/>
    <n v="0"/>
    <n v="4000"/>
    <n v="4000"/>
    <x v="0"/>
    <x v="0"/>
    <x v="1"/>
    <x v="0"/>
    <x v="0"/>
  </r>
  <r>
    <n v="2222"/>
    <x v="1"/>
    <x v="2"/>
    <s v="W"/>
    <n v="45020"/>
    <n v="936"/>
    <n v="-1"/>
    <n v="35"/>
    <x v="1"/>
    <x v="1"/>
    <n v="0"/>
    <n v="1"/>
    <n v="0"/>
    <n v="0"/>
    <n v="0"/>
    <n v="0"/>
    <n v="0"/>
    <n v="1000"/>
    <n v="1000"/>
    <x v="0"/>
    <x v="0"/>
    <x v="1"/>
    <x v="0"/>
    <x v="0"/>
  </r>
  <r>
    <n v="2223"/>
    <x v="1"/>
    <x v="1"/>
    <s v="W"/>
    <n v="31630"/>
    <n v="577"/>
    <n v="-37"/>
    <n v="-21"/>
    <x v="0"/>
    <x v="0"/>
    <n v="0"/>
    <n v="0"/>
    <n v="0"/>
    <n v="0"/>
    <n v="0"/>
    <n v="0"/>
    <n v="0"/>
    <n v="0"/>
    <n v="0"/>
    <x v="0"/>
    <x v="0"/>
    <x v="1"/>
    <x v="0"/>
    <x v="0"/>
  </r>
  <r>
    <n v="2224"/>
    <x v="1"/>
    <x v="1"/>
    <s v="W"/>
    <n v="40670"/>
    <n v="608"/>
    <n v="-19"/>
    <n v="-17"/>
    <x v="0"/>
    <x v="1"/>
    <n v="1"/>
    <n v="0"/>
    <n v="0"/>
    <n v="0"/>
    <n v="0"/>
    <n v="0"/>
    <n v="0"/>
    <n v="200"/>
    <n v="200"/>
    <x v="0"/>
    <x v="0"/>
    <x v="1"/>
    <x v="0"/>
    <x v="0"/>
  </r>
  <r>
    <n v="2225"/>
    <x v="1"/>
    <x v="1"/>
    <s v="W"/>
    <n v="49420"/>
    <n v="819"/>
    <n v="-2"/>
    <n v="12"/>
    <x v="0"/>
    <x v="0"/>
    <n v="0"/>
    <n v="0"/>
    <n v="0"/>
    <n v="0"/>
    <n v="0"/>
    <n v="0"/>
    <n v="0"/>
    <n v="0"/>
    <n v="0"/>
    <x v="0"/>
    <x v="0"/>
    <x v="1"/>
    <x v="0"/>
    <x v="0"/>
  </r>
  <r>
    <n v="2226"/>
    <x v="1"/>
    <x v="1"/>
    <s v="W"/>
    <n v="25250"/>
    <n v="668"/>
    <n v="-50"/>
    <n v="-9"/>
    <x v="0"/>
    <x v="1"/>
    <n v="0"/>
    <n v="1"/>
    <n v="0"/>
    <n v="0"/>
    <n v="0"/>
    <n v="0"/>
    <n v="0"/>
    <n v="4000"/>
    <n v="4000"/>
    <x v="0"/>
    <x v="0"/>
    <x v="1"/>
    <x v="0"/>
    <x v="0"/>
  </r>
  <r>
    <n v="2227"/>
    <x v="1"/>
    <x v="1"/>
    <s v="W"/>
    <n v="27900"/>
    <n v="598"/>
    <n v="-45"/>
    <n v="-18"/>
    <x v="0"/>
    <x v="1"/>
    <n v="1"/>
    <n v="0"/>
    <n v="0"/>
    <n v="0"/>
    <n v="0"/>
    <n v="0"/>
    <n v="0"/>
    <n v="300"/>
    <n v="300"/>
    <x v="0"/>
    <x v="0"/>
    <x v="1"/>
    <x v="0"/>
    <x v="0"/>
  </r>
  <r>
    <n v="2228"/>
    <x v="1"/>
    <x v="1"/>
    <s v="W"/>
    <n v="59950"/>
    <n v="865"/>
    <n v="19"/>
    <n v="18"/>
    <x v="0"/>
    <x v="1"/>
    <n v="1"/>
    <n v="0"/>
    <n v="0"/>
    <n v="0"/>
    <n v="0"/>
    <n v="0"/>
    <n v="0"/>
    <n v="700"/>
    <n v="700"/>
    <x v="0"/>
    <x v="0"/>
    <x v="1"/>
    <x v="0"/>
    <x v="0"/>
  </r>
  <r>
    <n v="2229"/>
    <x v="1"/>
    <x v="1"/>
    <s v="W"/>
    <n v="44410"/>
    <n v="1113"/>
    <n v="-12"/>
    <n v="52"/>
    <x v="0"/>
    <x v="1"/>
    <n v="0"/>
    <n v="1"/>
    <n v="0"/>
    <n v="0"/>
    <n v="0"/>
    <n v="0"/>
    <n v="0"/>
    <n v="4000"/>
    <n v="4000"/>
    <x v="0"/>
    <x v="0"/>
    <x v="1"/>
    <x v="0"/>
    <x v="0"/>
  </r>
  <r>
    <n v="2230"/>
    <x v="1"/>
    <x v="1"/>
    <s v="N"/>
    <n v="16930"/>
    <n v="792"/>
    <n v="121"/>
    <n v="234"/>
    <x v="0"/>
    <x v="1"/>
    <n v="1"/>
    <n v="0"/>
    <n v="0"/>
    <n v="0"/>
    <n v="0"/>
    <n v="0"/>
    <n v="0"/>
    <n v="200"/>
    <n v="200"/>
    <x v="1"/>
    <x v="1"/>
    <x v="0"/>
    <x v="0"/>
    <x v="0"/>
  </r>
  <r>
    <n v="2231"/>
    <x v="1"/>
    <x v="1"/>
    <s v="W"/>
    <n v="7770"/>
    <n v="300"/>
    <n v="-57"/>
    <n v="-33"/>
    <x v="0"/>
    <x v="1"/>
    <n v="0"/>
    <n v="0"/>
    <n v="1"/>
    <n v="0"/>
    <n v="0"/>
    <n v="0"/>
    <n v="0"/>
    <n v="20000"/>
    <n v="20000"/>
    <x v="0"/>
    <x v="0"/>
    <x v="1"/>
    <x v="1"/>
    <x v="0"/>
  </r>
  <r>
    <n v="2232"/>
    <x v="1"/>
    <x v="1"/>
    <s v="W"/>
    <n v="19860"/>
    <n v="732"/>
    <n v="9"/>
    <n v="64"/>
    <x v="0"/>
    <x v="1"/>
    <n v="0"/>
    <n v="1"/>
    <n v="0"/>
    <n v="0"/>
    <n v="0"/>
    <n v="0"/>
    <n v="0"/>
    <n v="3000"/>
    <n v="3000"/>
    <x v="0"/>
    <x v="0"/>
    <x v="1"/>
    <x v="0"/>
    <x v="0"/>
  </r>
  <r>
    <n v="2233"/>
    <x v="1"/>
    <x v="1"/>
    <s v="W"/>
    <n v="12220"/>
    <n v="465"/>
    <n v="-78"/>
    <n v="-41"/>
    <x v="0"/>
    <x v="0"/>
    <n v="0"/>
    <n v="0"/>
    <n v="0"/>
    <n v="0"/>
    <n v="0"/>
    <n v="0"/>
    <n v="0"/>
    <n v="0"/>
    <n v="0"/>
    <x v="0"/>
    <x v="0"/>
    <x v="1"/>
    <x v="0"/>
    <x v="0"/>
  </r>
  <r>
    <n v="2234"/>
    <x v="1"/>
    <x v="1"/>
    <s v="W"/>
    <n v="25430"/>
    <n v="634"/>
    <n v="-11"/>
    <n v="-17"/>
    <x v="0"/>
    <x v="0"/>
    <n v="0"/>
    <n v="0"/>
    <n v="0"/>
    <n v="0"/>
    <n v="0"/>
    <n v="0"/>
    <n v="0"/>
    <n v="0"/>
    <n v="0"/>
    <x v="0"/>
    <x v="0"/>
    <x v="1"/>
    <x v="0"/>
    <x v="0"/>
  </r>
  <r>
    <n v="2235"/>
    <x v="1"/>
    <x v="1"/>
    <s v="W"/>
    <n v="31610"/>
    <n v="860"/>
    <n v="10"/>
    <n v="12"/>
    <x v="0"/>
    <x v="0"/>
    <n v="0"/>
    <n v="0"/>
    <n v="0"/>
    <n v="0"/>
    <n v="0"/>
    <n v="0"/>
    <n v="0"/>
    <n v="0"/>
    <n v="0"/>
    <x v="0"/>
    <x v="0"/>
    <x v="1"/>
    <x v="0"/>
    <x v="0"/>
  </r>
  <r>
    <n v="2236"/>
    <x v="1"/>
    <x v="1"/>
    <s v="W"/>
    <n v="57440"/>
    <n v="879"/>
    <n v="4"/>
    <n v="12"/>
    <x v="0"/>
    <x v="0"/>
    <n v="0"/>
    <n v="0"/>
    <n v="0"/>
    <n v="0"/>
    <n v="0"/>
    <n v="0"/>
    <n v="0"/>
    <n v="0"/>
    <n v="0"/>
    <x v="0"/>
    <x v="0"/>
    <x v="1"/>
    <x v="0"/>
    <x v="0"/>
  </r>
  <r>
    <n v="2237"/>
    <x v="1"/>
    <x v="1"/>
    <s v="W"/>
    <n v="54660"/>
    <n v="1287"/>
    <n v="90"/>
    <n v="68"/>
    <x v="0"/>
    <x v="0"/>
    <n v="0"/>
    <n v="0"/>
    <n v="0"/>
    <n v="0"/>
    <n v="0"/>
    <n v="0"/>
    <n v="0"/>
    <n v="0"/>
    <n v="0"/>
    <x v="0"/>
    <x v="0"/>
    <x v="1"/>
    <x v="0"/>
    <x v="0"/>
  </r>
  <r>
    <n v="2238"/>
    <x v="1"/>
    <x v="1"/>
    <s v="W"/>
    <n v="49030"/>
    <n v="1026"/>
    <n v="71"/>
    <n v="34"/>
    <x v="0"/>
    <x v="0"/>
    <n v="0"/>
    <n v="0"/>
    <n v="0"/>
    <n v="0"/>
    <n v="0"/>
    <n v="0"/>
    <n v="0"/>
    <n v="0"/>
    <n v="0"/>
    <x v="0"/>
    <x v="0"/>
    <x v="1"/>
    <x v="0"/>
    <x v="0"/>
  </r>
  <r>
    <n v="2239"/>
    <x v="1"/>
    <x v="0"/>
    <s v="W"/>
    <n v="68600"/>
    <n v="1052"/>
    <n v="138"/>
    <n v="33"/>
    <x v="0"/>
    <x v="1"/>
    <n v="1"/>
    <n v="0"/>
    <n v="0"/>
    <n v="0"/>
    <n v="0"/>
    <n v="0"/>
    <n v="0"/>
    <n v="900"/>
    <n v="900"/>
    <x v="0"/>
    <x v="0"/>
    <x v="1"/>
    <x v="0"/>
    <x v="0"/>
  </r>
  <r>
    <n v="2240"/>
    <x v="1"/>
    <x v="0"/>
    <s v="W"/>
    <n v="29560"/>
    <n v="1067"/>
    <n v="2"/>
    <n v="35"/>
    <x v="0"/>
    <x v="0"/>
    <n v="0"/>
    <n v="0"/>
    <n v="0"/>
    <n v="0"/>
    <n v="0"/>
    <n v="0"/>
    <n v="0"/>
    <n v="0"/>
    <n v="0"/>
    <x v="0"/>
    <x v="0"/>
    <x v="1"/>
    <x v="0"/>
    <x v="0"/>
  </r>
  <r>
    <n v="2241"/>
    <x v="1"/>
    <x v="0"/>
    <s v="W"/>
    <n v="19990"/>
    <n v="669"/>
    <n v="-64"/>
    <n v="-18"/>
    <x v="0"/>
    <x v="0"/>
    <n v="0"/>
    <n v="0"/>
    <n v="0"/>
    <n v="0"/>
    <n v="0"/>
    <n v="0"/>
    <n v="0"/>
    <n v="0"/>
    <n v="0"/>
    <x v="0"/>
    <x v="0"/>
    <x v="1"/>
    <x v="0"/>
    <x v="0"/>
  </r>
  <r>
    <n v="2242"/>
    <x v="1"/>
    <x v="0"/>
    <s v="W"/>
    <n v="28900"/>
    <n v="692"/>
    <n v="0"/>
    <n v="-13"/>
    <x v="0"/>
    <x v="0"/>
    <n v="0"/>
    <n v="0"/>
    <n v="0"/>
    <n v="0"/>
    <n v="0"/>
    <n v="0"/>
    <n v="0"/>
    <n v="0"/>
    <n v="0"/>
    <x v="0"/>
    <x v="0"/>
    <x v="1"/>
    <x v="0"/>
    <x v="0"/>
  </r>
  <r>
    <n v="2243"/>
    <x v="1"/>
    <x v="0"/>
    <s v="W"/>
    <n v="65350"/>
    <n v="1081"/>
    <n v="18"/>
    <n v="33"/>
    <x v="0"/>
    <x v="0"/>
    <n v="0"/>
    <n v="0"/>
    <n v="0"/>
    <n v="0"/>
    <n v="0"/>
    <n v="0"/>
    <n v="0"/>
    <n v="0"/>
    <n v="0"/>
    <x v="0"/>
    <x v="0"/>
    <x v="1"/>
    <x v="0"/>
    <x v="0"/>
  </r>
  <r>
    <n v="2244"/>
    <x v="1"/>
    <x v="0"/>
    <s v="W"/>
    <n v="81480"/>
    <n v="1112"/>
    <n v="182"/>
    <n v="40"/>
    <x v="0"/>
    <x v="1"/>
    <n v="1"/>
    <n v="0"/>
    <n v="0"/>
    <n v="0"/>
    <n v="0"/>
    <n v="0"/>
    <n v="0"/>
    <n v="300"/>
    <n v="300"/>
    <x v="0"/>
    <x v="0"/>
    <x v="1"/>
    <x v="0"/>
    <x v="0"/>
  </r>
  <r>
    <n v="2245"/>
    <x v="1"/>
    <x v="0"/>
    <s v="W"/>
    <n v="43860"/>
    <n v="947"/>
    <n v="52"/>
    <n v="20"/>
    <x v="0"/>
    <x v="0"/>
    <n v="0"/>
    <n v="0"/>
    <n v="0"/>
    <n v="0"/>
    <n v="0"/>
    <n v="0"/>
    <n v="0"/>
    <n v="0"/>
    <n v="0"/>
    <x v="0"/>
    <x v="0"/>
    <x v="1"/>
    <x v="0"/>
    <x v="0"/>
  </r>
  <r>
    <n v="2246"/>
    <x v="1"/>
    <x v="0"/>
    <s v="W"/>
    <n v="60730"/>
    <n v="797"/>
    <n v="110"/>
    <n v="1"/>
    <x v="0"/>
    <x v="2"/>
    <n v="1"/>
    <n v="1"/>
    <n v="0"/>
    <n v="0"/>
    <n v="0"/>
    <n v="0"/>
    <n v="0"/>
    <n v="3600"/>
    <n v="3000"/>
    <x v="0"/>
    <x v="0"/>
    <x v="1"/>
    <x v="0"/>
    <x v="0"/>
  </r>
  <r>
    <n v="2247"/>
    <x v="1"/>
    <x v="0"/>
    <s v="W"/>
    <n v="70450"/>
    <n v="1244"/>
    <n v="145"/>
    <n v="58"/>
    <x v="0"/>
    <x v="0"/>
    <n v="0"/>
    <n v="0"/>
    <n v="0"/>
    <n v="0"/>
    <n v="0"/>
    <n v="0"/>
    <n v="0"/>
    <n v="0"/>
    <n v="0"/>
    <x v="0"/>
    <x v="0"/>
    <x v="1"/>
    <x v="0"/>
    <x v="0"/>
  </r>
  <r>
    <n v="2248"/>
    <x v="1"/>
    <x v="0"/>
    <s v="W"/>
    <n v="34140"/>
    <n v="792"/>
    <n v="19"/>
    <n v="0"/>
    <x v="0"/>
    <x v="1"/>
    <n v="1"/>
    <n v="0"/>
    <n v="0"/>
    <n v="0"/>
    <n v="0"/>
    <n v="0"/>
    <n v="0"/>
    <n v="500"/>
    <n v="500"/>
    <x v="0"/>
    <x v="0"/>
    <x v="1"/>
    <x v="0"/>
    <x v="0"/>
  </r>
  <r>
    <n v="2249"/>
    <x v="1"/>
    <x v="0"/>
    <s v="W"/>
    <n v="56900"/>
    <n v="761"/>
    <n v="98"/>
    <n v="-4"/>
    <x v="0"/>
    <x v="2"/>
    <n v="1"/>
    <n v="1"/>
    <n v="0"/>
    <n v="0"/>
    <n v="0"/>
    <n v="0"/>
    <n v="0"/>
    <n v="2700"/>
    <n v="2000"/>
    <x v="0"/>
    <x v="0"/>
    <x v="1"/>
    <x v="0"/>
    <x v="0"/>
  </r>
  <r>
    <n v="2250"/>
    <x v="1"/>
    <x v="0"/>
    <s v="W"/>
    <n v="59360"/>
    <n v="1033"/>
    <n v="107"/>
    <n v="31"/>
    <x v="0"/>
    <x v="2"/>
    <n v="1"/>
    <n v="1"/>
    <n v="0"/>
    <n v="0"/>
    <n v="0"/>
    <n v="0"/>
    <n v="0"/>
    <n v="2400"/>
    <n v="2000"/>
    <x v="1"/>
    <x v="1"/>
    <x v="1"/>
    <x v="0"/>
    <x v="0"/>
  </r>
  <r>
    <n v="2251"/>
    <x v="1"/>
    <x v="0"/>
    <s v="W"/>
    <n v="39100"/>
    <n v="868"/>
    <n v="36"/>
    <n v="10"/>
    <x v="0"/>
    <x v="1"/>
    <n v="0"/>
    <n v="0"/>
    <n v="1"/>
    <n v="0"/>
    <n v="0"/>
    <n v="0"/>
    <n v="0"/>
    <n v="30000"/>
    <n v="30000"/>
    <x v="0"/>
    <x v="0"/>
    <x v="1"/>
    <x v="0"/>
    <x v="0"/>
  </r>
  <r>
    <n v="2252"/>
    <x v="1"/>
    <x v="0"/>
    <s v="N"/>
    <n v="37050"/>
    <n v="649"/>
    <n v="435"/>
    <n v="239"/>
    <x v="1"/>
    <x v="0"/>
    <n v="0"/>
    <n v="0"/>
    <n v="0"/>
    <n v="0"/>
    <n v="0"/>
    <n v="0"/>
    <n v="0"/>
    <n v="0"/>
    <n v="0"/>
    <x v="0"/>
    <x v="0"/>
    <x v="0"/>
    <x v="0"/>
    <x v="0"/>
  </r>
  <r>
    <n v="2253"/>
    <x v="1"/>
    <x v="0"/>
    <s v="N"/>
    <n v="26830"/>
    <n v="584"/>
    <n v="287"/>
    <n v="205"/>
    <x v="0"/>
    <x v="0"/>
    <n v="0"/>
    <n v="0"/>
    <n v="0"/>
    <n v="0"/>
    <n v="0"/>
    <n v="0"/>
    <n v="0"/>
    <n v="0"/>
    <n v="0"/>
    <x v="0"/>
    <x v="0"/>
    <x v="0"/>
    <x v="0"/>
    <x v="0"/>
  </r>
  <r>
    <n v="2254"/>
    <x v="1"/>
    <x v="0"/>
    <s v="N"/>
    <n v="24870"/>
    <n v="507"/>
    <n v="259"/>
    <n v="165"/>
    <x v="1"/>
    <x v="0"/>
    <n v="0"/>
    <n v="0"/>
    <n v="0"/>
    <n v="0"/>
    <n v="0"/>
    <n v="0"/>
    <n v="0"/>
    <n v="0"/>
    <n v="0"/>
    <x v="0"/>
    <x v="0"/>
    <x v="0"/>
    <x v="0"/>
    <x v="0"/>
  </r>
  <r>
    <n v="2255"/>
    <x v="1"/>
    <x v="0"/>
    <s v="W"/>
    <n v="23710"/>
    <n v="481"/>
    <n v="-25"/>
    <n v="-42"/>
    <x v="0"/>
    <x v="0"/>
    <n v="0"/>
    <n v="0"/>
    <n v="0"/>
    <n v="0"/>
    <n v="0"/>
    <n v="0"/>
    <n v="0"/>
    <n v="0"/>
    <n v="0"/>
    <x v="0"/>
    <x v="0"/>
    <x v="1"/>
    <x v="0"/>
    <x v="0"/>
  </r>
  <r>
    <n v="2256"/>
    <x v="1"/>
    <x v="0"/>
    <s v="W"/>
    <n v="37670"/>
    <n v="488"/>
    <n v="19"/>
    <n v="-41"/>
    <x v="0"/>
    <x v="0"/>
    <n v="0"/>
    <n v="0"/>
    <n v="0"/>
    <n v="0"/>
    <n v="0"/>
    <n v="0"/>
    <n v="0"/>
    <n v="0"/>
    <n v="0"/>
    <x v="0"/>
    <x v="0"/>
    <x v="1"/>
    <x v="0"/>
    <x v="0"/>
  </r>
  <r>
    <n v="2257"/>
    <x v="1"/>
    <x v="0"/>
    <s v="W"/>
    <n v="29480"/>
    <n v="510"/>
    <n v="-7"/>
    <n v="-39"/>
    <x v="0"/>
    <x v="0"/>
    <n v="0"/>
    <n v="0"/>
    <n v="0"/>
    <n v="0"/>
    <n v="0"/>
    <n v="0"/>
    <n v="0"/>
    <n v="0"/>
    <n v="0"/>
    <x v="0"/>
    <x v="0"/>
    <x v="1"/>
    <x v="0"/>
    <x v="0"/>
  </r>
  <r>
    <n v="2258"/>
    <x v="1"/>
    <x v="0"/>
    <s v="W"/>
    <n v="77040"/>
    <n v="772"/>
    <n v="143"/>
    <n v="-7"/>
    <x v="0"/>
    <x v="1"/>
    <n v="0"/>
    <n v="1"/>
    <n v="0"/>
    <n v="0"/>
    <n v="0"/>
    <n v="0"/>
    <n v="0"/>
    <n v="2000"/>
    <n v="2000"/>
    <x v="0"/>
    <x v="0"/>
    <x v="1"/>
    <x v="0"/>
    <x v="0"/>
  </r>
  <r>
    <n v="2259"/>
    <x v="1"/>
    <x v="0"/>
    <s v="W"/>
    <n v="48980"/>
    <n v="1007"/>
    <n v="54"/>
    <n v="21"/>
    <x v="0"/>
    <x v="0"/>
    <n v="0"/>
    <n v="0"/>
    <n v="0"/>
    <n v="0"/>
    <n v="0"/>
    <n v="0"/>
    <n v="0"/>
    <n v="0"/>
    <n v="0"/>
    <x v="0"/>
    <x v="0"/>
    <x v="1"/>
    <x v="0"/>
    <x v="0"/>
  </r>
  <r>
    <n v="2260"/>
    <x v="1"/>
    <x v="0"/>
    <s v="W"/>
    <n v="76610"/>
    <n v="987"/>
    <n v="141"/>
    <n v="19"/>
    <x v="0"/>
    <x v="0"/>
    <n v="0"/>
    <n v="0"/>
    <n v="0"/>
    <n v="0"/>
    <n v="0"/>
    <n v="0"/>
    <n v="0"/>
    <n v="0"/>
    <n v="0"/>
    <x v="0"/>
    <x v="0"/>
    <x v="1"/>
    <x v="0"/>
    <x v="0"/>
  </r>
  <r>
    <n v="2261"/>
    <x v="1"/>
    <x v="0"/>
    <s v="W"/>
    <n v="99010"/>
    <n v="1360"/>
    <n v="82"/>
    <n v="62"/>
    <x v="0"/>
    <x v="3"/>
    <n v="1"/>
    <n v="2"/>
    <n v="0"/>
    <n v="0"/>
    <n v="0"/>
    <n v="0"/>
    <n v="0"/>
    <n v="4200"/>
    <n v="2000"/>
    <x v="1"/>
    <x v="1"/>
    <x v="1"/>
    <x v="0"/>
    <x v="0"/>
  </r>
  <r>
    <n v="2262"/>
    <x v="1"/>
    <x v="0"/>
    <s v="W"/>
    <n v="78580"/>
    <n v="1327"/>
    <n v="147"/>
    <n v="60"/>
    <x v="0"/>
    <x v="1"/>
    <n v="0"/>
    <n v="0"/>
    <n v="1"/>
    <n v="0"/>
    <n v="0"/>
    <n v="0"/>
    <n v="0"/>
    <n v="40000"/>
    <n v="40000"/>
    <x v="0"/>
    <x v="0"/>
    <x v="1"/>
    <x v="0"/>
    <x v="0"/>
  </r>
  <r>
    <n v="2263"/>
    <x v="1"/>
    <x v="1"/>
    <s v="W"/>
    <n v="68690"/>
    <n v="1038"/>
    <n v="37"/>
    <n v="-17"/>
    <x v="1"/>
    <x v="0"/>
    <n v="0"/>
    <n v="0"/>
    <n v="0"/>
    <n v="0"/>
    <n v="0"/>
    <n v="0"/>
    <n v="0"/>
    <n v="0"/>
    <n v="0"/>
    <x v="0"/>
    <x v="0"/>
    <x v="1"/>
    <x v="0"/>
    <x v="0"/>
  </r>
  <r>
    <n v="2264"/>
    <x v="1"/>
    <x v="1"/>
    <s v="N"/>
    <n v="23040"/>
    <n v="482"/>
    <n v="201"/>
    <n v="103"/>
    <x v="0"/>
    <x v="0"/>
    <n v="0"/>
    <n v="0"/>
    <n v="0"/>
    <n v="0"/>
    <n v="0"/>
    <n v="0"/>
    <n v="0"/>
    <n v="0"/>
    <n v="0"/>
    <x v="0"/>
    <x v="0"/>
    <x v="0"/>
    <x v="0"/>
    <x v="0"/>
  </r>
  <r>
    <n v="2265"/>
    <x v="1"/>
    <x v="1"/>
    <s v="N"/>
    <n v="38900"/>
    <n v="697"/>
    <n v="56"/>
    <n v="12"/>
    <x v="1"/>
    <x v="0"/>
    <n v="0"/>
    <n v="0"/>
    <n v="0"/>
    <n v="0"/>
    <n v="0"/>
    <n v="0"/>
    <n v="0"/>
    <n v="0"/>
    <n v="0"/>
    <x v="0"/>
    <x v="0"/>
    <x v="0"/>
    <x v="0"/>
    <x v="0"/>
  </r>
  <r>
    <n v="2266"/>
    <x v="1"/>
    <x v="1"/>
    <s v="N"/>
    <n v="35370"/>
    <n v="656"/>
    <n v="41"/>
    <n v="5"/>
    <x v="2"/>
    <x v="1"/>
    <n v="1"/>
    <n v="0"/>
    <n v="0"/>
    <n v="0"/>
    <n v="0"/>
    <n v="0"/>
    <n v="0"/>
    <n v="200"/>
    <n v="200"/>
    <x v="0"/>
    <x v="0"/>
    <x v="0"/>
    <x v="0"/>
    <x v="0"/>
  </r>
  <r>
    <n v="2267"/>
    <x v="1"/>
    <x v="1"/>
    <s v="N"/>
    <n v="30810"/>
    <n v="591"/>
    <n v="23"/>
    <n v="-5"/>
    <x v="2"/>
    <x v="1"/>
    <n v="1"/>
    <n v="0"/>
    <n v="0"/>
    <n v="0"/>
    <n v="0"/>
    <n v="0"/>
    <n v="0"/>
    <n v="200"/>
    <n v="200"/>
    <x v="0"/>
    <x v="0"/>
    <x v="0"/>
    <x v="0"/>
    <x v="0"/>
  </r>
  <r>
    <n v="2268"/>
    <x v="1"/>
    <x v="1"/>
    <s v="N"/>
    <n v="19640"/>
    <n v="556"/>
    <n v="-21"/>
    <n v="-11"/>
    <x v="1"/>
    <x v="0"/>
    <n v="0"/>
    <n v="0"/>
    <n v="0"/>
    <n v="0"/>
    <n v="0"/>
    <n v="0"/>
    <n v="0"/>
    <n v="0"/>
    <n v="0"/>
    <x v="0"/>
    <x v="0"/>
    <x v="0"/>
    <x v="0"/>
    <x v="0"/>
  </r>
  <r>
    <n v="2269"/>
    <x v="1"/>
    <x v="1"/>
    <s v="N"/>
    <n v="24020"/>
    <n v="462"/>
    <n v="-4"/>
    <n v="-26"/>
    <x v="1"/>
    <x v="0"/>
    <n v="0"/>
    <n v="0"/>
    <n v="0"/>
    <n v="0"/>
    <n v="0"/>
    <n v="0"/>
    <n v="0"/>
    <n v="0"/>
    <n v="0"/>
    <x v="0"/>
    <x v="0"/>
    <x v="0"/>
    <x v="0"/>
    <x v="0"/>
  </r>
  <r>
    <n v="2270"/>
    <x v="1"/>
    <x v="1"/>
    <s v="N"/>
    <n v="31780"/>
    <n v="538"/>
    <n v="27"/>
    <n v="-14"/>
    <x v="1"/>
    <x v="0"/>
    <n v="0"/>
    <n v="0"/>
    <n v="0"/>
    <n v="0"/>
    <n v="0"/>
    <n v="0"/>
    <n v="0"/>
    <n v="0"/>
    <n v="0"/>
    <x v="0"/>
    <x v="0"/>
    <x v="0"/>
    <x v="0"/>
    <x v="0"/>
  </r>
  <r>
    <n v="2271"/>
    <x v="1"/>
    <x v="1"/>
    <s v="N"/>
    <n v="23880"/>
    <n v="488"/>
    <n v="-4"/>
    <n v="-22"/>
    <x v="0"/>
    <x v="0"/>
    <n v="0"/>
    <n v="0"/>
    <n v="0"/>
    <n v="0"/>
    <n v="0"/>
    <n v="0"/>
    <n v="0"/>
    <n v="0"/>
    <n v="0"/>
    <x v="0"/>
    <x v="0"/>
    <x v="0"/>
    <x v="0"/>
    <x v="0"/>
  </r>
  <r>
    <n v="2272"/>
    <x v="1"/>
    <x v="1"/>
    <s v="N"/>
    <n v="19820"/>
    <n v="362"/>
    <n v="-21"/>
    <n v="-42"/>
    <x v="0"/>
    <x v="0"/>
    <n v="0"/>
    <n v="0"/>
    <n v="0"/>
    <n v="0"/>
    <n v="0"/>
    <n v="0"/>
    <n v="0"/>
    <n v="0"/>
    <n v="0"/>
    <x v="0"/>
    <x v="0"/>
    <x v="0"/>
    <x v="0"/>
    <x v="0"/>
  </r>
  <r>
    <n v="2273"/>
    <x v="1"/>
    <x v="1"/>
    <s v="N"/>
    <n v="9530"/>
    <n v="178"/>
    <n v="-24"/>
    <n v="-29"/>
    <x v="0"/>
    <x v="0"/>
    <n v="0"/>
    <n v="0"/>
    <n v="0"/>
    <n v="0"/>
    <n v="0"/>
    <n v="0"/>
    <n v="0"/>
    <n v="0"/>
    <n v="0"/>
    <x v="0"/>
    <x v="0"/>
    <x v="0"/>
    <x v="1"/>
    <x v="0"/>
  </r>
  <r>
    <n v="2274"/>
    <x v="1"/>
    <x v="1"/>
    <s v="N"/>
    <n v="6930"/>
    <n v="68"/>
    <n v="-45"/>
    <n v="-73"/>
    <x v="0"/>
    <x v="0"/>
    <n v="0"/>
    <n v="0"/>
    <n v="0"/>
    <n v="0"/>
    <n v="0"/>
    <n v="0"/>
    <n v="0"/>
    <n v="0"/>
    <n v="0"/>
    <x v="0"/>
    <x v="0"/>
    <x v="0"/>
    <x v="1"/>
    <x v="0"/>
  </r>
  <r>
    <n v="2275"/>
    <x v="1"/>
    <x v="1"/>
    <s v="N"/>
    <n v="6200"/>
    <n v="211"/>
    <n v="-50"/>
    <n v="-16"/>
    <x v="0"/>
    <x v="0"/>
    <n v="0"/>
    <n v="0"/>
    <n v="0"/>
    <n v="0"/>
    <n v="0"/>
    <n v="0"/>
    <n v="0"/>
    <n v="0"/>
    <n v="0"/>
    <x v="0"/>
    <x v="0"/>
    <x v="0"/>
    <x v="1"/>
    <x v="0"/>
  </r>
  <r>
    <n v="2276"/>
    <x v="1"/>
    <x v="1"/>
    <s v="N"/>
    <n v="4600"/>
    <n v="105"/>
    <n v="-63"/>
    <n v="-58"/>
    <x v="0"/>
    <x v="0"/>
    <n v="0"/>
    <n v="0"/>
    <n v="0"/>
    <n v="0"/>
    <n v="0"/>
    <n v="0"/>
    <n v="0"/>
    <n v="0"/>
    <n v="0"/>
    <x v="0"/>
    <x v="0"/>
    <x v="0"/>
    <x v="1"/>
    <x v="0"/>
  </r>
  <r>
    <n v="2277"/>
    <x v="1"/>
    <x v="1"/>
    <s v="N"/>
    <n v="13040"/>
    <n v="103"/>
    <n v="4"/>
    <n v="-59"/>
    <x v="0"/>
    <x v="1"/>
    <n v="0"/>
    <n v="1"/>
    <n v="0"/>
    <n v="0"/>
    <n v="0"/>
    <n v="0"/>
    <n v="0"/>
    <n v="3000"/>
    <n v="3000"/>
    <x v="0"/>
    <x v="0"/>
    <x v="0"/>
    <x v="0"/>
    <x v="0"/>
  </r>
  <r>
    <n v="2278"/>
    <x v="1"/>
    <x v="1"/>
    <s v="N"/>
    <n v="15210"/>
    <n v="133"/>
    <n v="22"/>
    <n v="-47"/>
    <x v="0"/>
    <x v="1"/>
    <n v="1"/>
    <n v="0"/>
    <n v="0"/>
    <n v="0"/>
    <n v="0"/>
    <n v="0"/>
    <n v="0"/>
    <n v="700"/>
    <n v="700"/>
    <x v="0"/>
    <x v="0"/>
    <x v="0"/>
    <x v="0"/>
    <x v="0"/>
  </r>
  <r>
    <n v="2279"/>
    <x v="1"/>
    <x v="1"/>
    <s v="N"/>
    <n v="7540"/>
    <n v="133"/>
    <n v="-40"/>
    <n v="-47"/>
    <x v="0"/>
    <x v="0"/>
    <n v="0"/>
    <n v="0"/>
    <n v="0"/>
    <n v="0"/>
    <n v="0"/>
    <n v="0"/>
    <n v="0"/>
    <n v="0"/>
    <n v="0"/>
    <x v="0"/>
    <x v="0"/>
    <x v="0"/>
    <x v="1"/>
    <x v="0"/>
  </r>
  <r>
    <n v="2280"/>
    <x v="1"/>
    <x v="1"/>
    <s v="N"/>
    <n v="2580"/>
    <n v="94"/>
    <n v="-79"/>
    <n v="-62"/>
    <x v="0"/>
    <x v="0"/>
    <n v="0"/>
    <n v="0"/>
    <n v="0"/>
    <n v="0"/>
    <n v="0"/>
    <n v="0"/>
    <n v="0"/>
    <n v="0"/>
    <n v="0"/>
    <x v="0"/>
    <x v="0"/>
    <x v="0"/>
    <x v="1"/>
    <x v="0"/>
  </r>
  <r>
    <n v="2281"/>
    <x v="1"/>
    <x v="1"/>
    <s v="N"/>
    <n v="5660"/>
    <n v="93"/>
    <n v="-55"/>
    <n v="-63"/>
    <x v="0"/>
    <x v="0"/>
    <n v="0"/>
    <n v="0"/>
    <n v="0"/>
    <n v="0"/>
    <n v="0"/>
    <n v="0"/>
    <n v="0"/>
    <n v="0"/>
    <n v="0"/>
    <x v="0"/>
    <x v="0"/>
    <x v="0"/>
    <x v="1"/>
    <x v="0"/>
  </r>
  <r>
    <n v="2282"/>
    <x v="1"/>
    <x v="1"/>
    <s v="W"/>
    <n v="22720"/>
    <n v="181"/>
    <n v="-9"/>
    <n v="-64"/>
    <x v="0"/>
    <x v="0"/>
    <n v="0"/>
    <n v="0"/>
    <n v="0"/>
    <n v="0"/>
    <n v="0"/>
    <n v="0"/>
    <n v="0"/>
    <n v="0"/>
    <n v="0"/>
    <x v="0"/>
    <x v="0"/>
    <x v="1"/>
    <x v="0"/>
    <x v="0"/>
  </r>
  <r>
    <n v="2283"/>
    <x v="1"/>
    <x v="1"/>
    <s v="W"/>
    <n v="36940"/>
    <n v="375"/>
    <n v="48"/>
    <n v="-25"/>
    <x v="0"/>
    <x v="0"/>
    <n v="0"/>
    <n v="0"/>
    <n v="0"/>
    <n v="0"/>
    <n v="0"/>
    <n v="0"/>
    <n v="0"/>
    <n v="0"/>
    <n v="0"/>
    <x v="0"/>
    <x v="0"/>
    <x v="1"/>
    <x v="0"/>
    <x v="0"/>
  </r>
  <r>
    <n v="2284"/>
    <x v="1"/>
    <x v="1"/>
    <s v="W"/>
    <n v="65960"/>
    <n v="496"/>
    <n v="164"/>
    <n v="-1"/>
    <x v="0"/>
    <x v="2"/>
    <n v="1"/>
    <n v="1"/>
    <n v="0"/>
    <n v="0"/>
    <n v="0"/>
    <n v="0"/>
    <n v="0"/>
    <n v="2200"/>
    <n v="2000"/>
    <x v="0"/>
    <x v="0"/>
    <x v="1"/>
    <x v="0"/>
    <x v="0"/>
  </r>
  <r>
    <n v="2285"/>
    <x v="1"/>
    <x v="1"/>
    <s v="W"/>
    <n v="49120"/>
    <n v="485"/>
    <n v="96"/>
    <n v="-3"/>
    <x v="0"/>
    <x v="0"/>
    <n v="0"/>
    <n v="0"/>
    <n v="0"/>
    <n v="0"/>
    <n v="0"/>
    <n v="0"/>
    <n v="0"/>
    <n v="0"/>
    <n v="0"/>
    <x v="1"/>
    <x v="1"/>
    <x v="1"/>
    <x v="0"/>
    <x v="0"/>
  </r>
  <r>
    <n v="2286"/>
    <x v="1"/>
    <x v="1"/>
    <s v="W"/>
    <n v="93280"/>
    <n v="747"/>
    <n v="273"/>
    <n v="49"/>
    <x v="0"/>
    <x v="3"/>
    <n v="0"/>
    <n v="2"/>
    <n v="1"/>
    <n v="0"/>
    <n v="0"/>
    <n v="0"/>
    <n v="0"/>
    <n v="16000"/>
    <n v="10000"/>
    <x v="0"/>
    <x v="0"/>
    <x v="1"/>
    <x v="0"/>
    <x v="0"/>
  </r>
  <r>
    <n v="2287"/>
    <x v="0"/>
    <x v="1"/>
    <s v="W"/>
    <n v="36410"/>
    <n v="519"/>
    <n v="46"/>
    <n v="4"/>
    <x v="0"/>
    <x v="0"/>
    <n v="0"/>
    <n v="0"/>
    <n v="0"/>
    <n v="0"/>
    <n v="0"/>
    <n v="0"/>
    <n v="0"/>
    <n v="0"/>
    <n v="0"/>
    <x v="0"/>
    <x v="0"/>
    <x v="1"/>
    <x v="0"/>
    <x v="0"/>
  </r>
  <r>
    <n v="2288"/>
    <x v="0"/>
    <x v="1"/>
    <s v="W"/>
    <n v="32660"/>
    <n v="290"/>
    <n v="31"/>
    <n v="-42"/>
    <x v="0"/>
    <x v="0"/>
    <n v="0"/>
    <n v="0"/>
    <n v="0"/>
    <n v="0"/>
    <n v="0"/>
    <n v="0"/>
    <n v="0"/>
    <n v="0"/>
    <n v="0"/>
    <x v="0"/>
    <x v="0"/>
    <x v="1"/>
    <x v="0"/>
    <x v="0"/>
  </r>
  <r>
    <n v="2289"/>
    <x v="0"/>
    <x v="1"/>
    <s v="W"/>
    <n v="48110"/>
    <n v="433"/>
    <n v="92"/>
    <n v="-13"/>
    <x v="0"/>
    <x v="0"/>
    <n v="0"/>
    <n v="0"/>
    <n v="0"/>
    <n v="0"/>
    <n v="0"/>
    <n v="0"/>
    <n v="0"/>
    <n v="0"/>
    <n v="0"/>
    <x v="0"/>
    <x v="0"/>
    <x v="1"/>
    <x v="0"/>
    <x v="0"/>
  </r>
  <r>
    <n v="2290"/>
    <x v="0"/>
    <x v="1"/>
    <s v="W"/>
    <n v="52020"/>
    <n v="576"/>
    <n v="108"/>
    <n v="15"/>
    <x v="0"/>
    <x v="1"/>
    <n v="1"/>
    <n v="0"/>
    <n v="0"/>
    <n v="0"/>
    <n v="0"/>
    <n v="0"/>
    <n v="0"/>
    <n v="100"/>
    <n v="100"/>
    <x v="0"/>
    <x v="0"/>
    <x v="1"/>
    <x v="0"/>
    <x v="0"/>
  </r>
  <r>
    <n v="2291"/>
    <x v="0"/>
    <x v="1"/>
    <s v="W"/>
    <n v="54900"/>
    <n v="426"/>
    <n v="120"/>
    <n v="-15"/>
    <x v="0"/>
    <x v="0"/>
    <n v="0"/>
    <n v="0"/>
    <n v="0"/>
    <n v="0"/>
    <n v="0"/>
    <n v="0"/>
    <n v="0"/>
    <n v="0"/>
    <n v="0"/>
    <x v="0"/>
    <x v="0"/>
    <x v="1"/>
    <x v="0"/>
    <x v="0"/>
  </r>
  <r>
    <n v="2292"/>
    <x v="0"/>
    <x v="1"/>
    <s v="W"/>
    <n v="32920"/>
    <n v="363"/>
    <n v="32"/>
    <n v="-27"/>
    <x v="0"/>
    <x v="0"/>
    <n v="0"/>
    <n v="0"/>
    <n v="0"/>
    <n v="0"/>
    <n v="0"/>
    <n v="0"/>
    <n v="0"/>
    <n v="0"/>
    <n v="0"/>
    <x v="1"/>
    <x v="1"/>
    <x v="1"/>
    <x v="0"/>
    <x v="0"/>
  </r>
  <r>
    <n v="2293"/>
    <x v="0"/>
    <x v="1"/>
    <s v="W"/>
    <n v="48050"/>
    <n v="531"/>
    <n v="92"/>
    <n v="6"/>
    <x v="0"/>
    <x v="2"/>
    <n v="0"/>
    <n v="1"/>
    <n v="0"/>
    <n v="1"/>
    <n v="0"/>
    <n v="0"/>
    <n v="0"/>
    <n v="205000"/>
    <n v="200000"/>
    <x v="0"/>
    <x v="0"/>
    <x v="1"/>
    <x v="0"/>
    <x v="0"/>
  </r>
  <r>
    <n v="2294"/>
    <x v="0"/>
    <x v="1"/>
    <s v="N"/>
    <n v="39280"/>
    <n v="726"/>
    <n v="214"/>
    <n v="190"/>
    <x v="0"/>
    <x v="0"/>
    <n v="0"/>
    <n v="0"/>
    <n v="0"/>
    <n v="0"/>
    <n v="0"/>
    <n v="0"/>
    <n v="0"/>
    <n v="0"/>
    <n v="0"/>
    <x v="0"/>
    <x v="0"/>
    <x v="0"/>
    <x v="0"/>
    <x v="0"/>
  </r>
  <r>
    <n v="2295"/>
    <x v="1"/>
    <x v="1"/>
    <s v="W"/>
    <n v="38240"/>
    <n v="410"/>
    <n v="47"/>
    <n v="-15"/>
    <x v="0"/>
    <x v="1"/>
    <n v="1"/>
    <n v="0"/>
    <n v="0"/>
    <n v="0"/>
    <n v="0"/>
    <n v="0"/>
    <n v="0"/>
    <n v="100"/>
    <n v="100"/>
    <x v="0"/>
    <x v="0"/>
    <x v="1"/>
    <x v="0"/>
    <x v="0"/>
  </r>
  <r>
    <n v="2296"/>
    <x v="1"/>
    <x v="1"/>
    <s v="W"/>
    <n v="36650"/>
    <n v="414"/>
    <n v="41"/>
    <n v="-14"/>
    <x v="0"/>
    <x v="0"/>
    <n v="0"/>
    <n v="0"/>
    <n v="0"/>
    <n v="0"/>
    <n v="0"/>
    <n v="0"/>
    <n v="0"/>
    <n v="0"/>
    <n v="0"/>
    <x v="0"/>
    <x v="0"/>
    <x v="1"/>
    <x v="0"/>
    <x v="0"/>
  </r>
  <r>
    <n v="2297"/>
    <x v="1"/>
    <x v="1"/>
    <s v="W"/>
    <n v="17720"/>
    <n v="266"/>
    <n v="-32"/>
    <n v="-45"/>
    <x v="0"/>
    <x v="0"/>
    <n v="0"/>
    <n v="0"/>
    <n v="0"/>
    <n v="0"/>
    <n v="0"/>
    <n v="0"/>
    <n v="0"/>
    <n v="0"/>
    <n v="0"/>
    <x v="0"/>
    <x v="0"/>
    <x v="1"/>
    <x v="0"/>
    <x v="0"/>
  </r>
  <r>
    <n v="2298"/>
    <x v="1"/>
    <x v="1"/>
    <s v="W"/>
    <n v="40620"/>
    <n v="398"/>
    <n v="56"/>
    <n v="-18"/>
    <x v="0"/>
    <x v="0"/>
    <n v="0"/>
    <n v="0"/>
    <n v="0"/>
    <n v="0"/>
    <n v="0"/>
    <n v="0"/>
    <n v="0"/>
    <n v="0"/>
    <n v="0"/>
    <x v="1"/>
    <x v="1"/>
    <x v="1"/>
    <x v="0"/>
    <x v="0"/>
  </r>
  <r>
    <n v="2299"/>
    <x v="1"/>
    <x v="1"/>
    <s v="W"/>
    <n v="52380"/>
    <n v="469"/>
    <n v="101"/>
    <n v="-3"/>
    <x v="0"/>
    <x v="1"/>
    <n v="0"/>
    <n v="0"/>
    <n v="1"/>
    <n v="0"/>
    <n v="0"/>
    <n v="0"/>
    <n v="0"/>
    <n v="20000"/>
    <n v="20000"/>
    <x v="0"/>
    <x v="0"/>
    <x v="1"/>
    <x v="0"/>
    <x v="0"/>
  </r>
  <r>
    <n v="2300"/>
    <x v="1"/>
    <x v="1"/>
    <s v="W"/>
    <n v="20420"/>
    <n v="315"/>
    <n v="-22"/>
    <n v="-35"/>
    <x v="0"/>
    <x v="0"/>
    <n v="0"/>
    <n v="0"/>
    <n v="0"/>
    <n v="0"/>
    <n v="0"/>
    <n v="0"/>
    <n v="0"/>
    <n v="0"/>
    <n v="0"/>
    <x v="0"/>
    <x v="0"/>
    <x v="1"/>
    <x v="0"/>
    <x v="0"/>
  </r>
  <r>
    <n v="2301"/>
    <x v="1"/>
    <x v="1"/>
    <s v="W"/>
    <n v="21070"/>
    <n v="266"/>
    <n v="-19"/>
    <n v="-45"/>
    <x v="0"/>
    <x v="0"/>
    <n v="0"/>
    <n v="0"/>
    <n v="0"/>
    <n v="0"/>
    <n v="0"/>
    <n v="0"/>
    <n v="0"/>
    <n v="0"/>
    <n v="0"/>
    <x v="0"/>
    <x v="0"/>
    <x v="1"/>
    <x v="0"/>
    <x v="0"/>
  </r>
  <r>
    <n v="2302"/>
    <x v="1"/>
    <x v="1"/>
    <s v="W"/>
    <n v="12850"/>
    <n v="193"/>
    <n v="-51"/>
    <n v="-60"/>
    <x v="0"/>
    <x v="0"/>
    <n v="0"/>
    <n v="0"/>
    <n v="0"/>
    <n v="0"/>
    <n v="0"/>
    <n v="0"/>
    <n v="0"/>
    <n v="0"/>
    <n v="0"/>
    <x v="0"/>
    <x v="0"/>
    <x v="1"/>
    <x v="0"/>
    <x v="0"/>
  </r>
  <r>
    <n v="2303"/>
    <x v="0"/>
    <x v="1"/>
    <s v="W"/>
    <n v="8450"/>
    <n v="164"/>
    <n v="-70"/>
    <n v="-66"/>
    <x v="0"/>
    <x v="0"/>
    <n v="0"/>
    <n v="0"/>
    <n v="0"/>
    <n v="0"/>
    <n v="0"/>
    <n v="0"/>
    <n v="0"/>
    <n v="0"/>
    <n v="0"/>
    <x v="0"/>
    <x v="0"/>
    <x v="1"/>
    <x v="1"/>
    <x v="0"/>
  </r>
  <r>
    <n v="2304"/>
    <x v="0"/>
    <x v="1"/>
    <s v="W"/>
    <n v="13320"/>
    <n v="153"/>
    <n v="-52"/>
    <n v="-68"/>
    <x v="0"/>
    <x v="1"/>
    <n v="0"/>
    <n v="1"/>
    <n v="0"/>
    <n v="0"/>
    <n v="0"/>
    <n v="0"/>
    <n v="0"/>
    <n v="3000"/>
    <n v="3000"/>
    <x v="0"/>
    <x v="0"/>
    <x v="1"/>
    <x v="0"/>
    <x v="0"/>
  </r>
  <r>
    <n v="2305"/>
    <x v="0"/>
    <x v="1"/>
    <s v="W"/>
    <n v="9060"/>
    <n v="165"/>
    <n v="-67"/>
    <n v="-66"/>
    <x v="0"/>
    <x v="0"/>
    <n v="0"/>
    <n v="0"/>
    <n v="0"/>
    <n v="0"/>
    <n v="0"/>
    <n v="0"/>
    <n v="0"/>
    <n v="0"/>
    <n v="0"/>
    <x v="0"/>
    <x v="0"/>
    <x v="1"/>
    <x v="1"/>
    <x v="0"/>
  </r>
  <r>
    <n v="2306"/>
    <x v="0"/>
    <x v="1"/>
    <s v="W"/>
    <n v="58570"/>
    <n v="481"/>
    <n v="110"/>
    <n v="0"/>
    <x v="0"/>
    <x v="1"/>
    <n v="1"/>
    <n v="0"/>
    <n v="0"/>
    <n v="0"/>
    <n v="0"/>
    <n v="0"/>
    <n v="0"/>
    <n v="400"/>
    <n v="400"/>
    <x v="0"/>
    <x v="0"/>
    <x v="1"/>
    <x v="0"/>
    <x v="0"/>
  </r>
  <r>
    <n v="2307"/>
    <x v="0"/>
    <x v="1"/>
    <s v="W"/>
    <n v="31460"/>
    <n v="396"/>
    <n v="13"/>
    <n v="-18"/>
    <x v="0"/>
    <x v="0"/>
    <n v="0"/>
    <n v="0"/>
    <n v="0"/>
    <n v="0"/>
    <n v="0"/>
    <n v="0"/>
    <n v="0"/>
    <n v="0"/>
    <n v="0"/>
    <x v="0"/>
    <x v="0"/>
    <x v="1"/>
    <x v="0"/>
    <x v="0"/>
  </r>
  <r>
    <n v="2308"/>
    <x v="0"/>
    <x v="1"/>
    <s v="W"/>
    <n v="30980"/>
    <n v="480"/>
    <n v="11"/>
    <n v="0"/>
    <x v="0"/>
    <x v="0"/>
    <n v="0"/>
    <n v="0"/>
    <n v="0"/>
    <n v="0"/>
    <n v="0"/>
    <n v="0"/>
    <n v="0"/>
    <n v="0"/>
    <n v="0"/>
    <x v="0"/>
    <x v="0"/>
    <x v="1"/>
    <x v="0"/>
    <x v="0"/>
  </r>
  <r>
    <n v="2309"/>
    <x v="0"/>
    <x v="1"/>
    <s v="W"/>
    <n v="30180"/>
    <n v="375"/>
    <n v="8"/>
    <n v="-22"/>
    <x v="0"/>
    <x v="1"/>
    <n v="0"/>
    <n v="1"/>
    <n v="0"/>
    <n v="0"/>
    <n v="0"/>
    <n v="0"/>
    <n v="0"/>
    <n v="2000"/>
    <n v="2000"/>
    <x v="0"/>
    <x v="0"/>
    <x v="1"/>
    <x v="0"/>
    <x v="0"/>
  </r>
  <r>
    <n v="2310"/>
    <x v="0"/>
    <x v="1"/>
    <s v="W"/>
    <n v="45450"/>
    <n v="491"/>
    <n v="63"/>
    <n v="2"/>
    <x v="0"/>
    <x v="1"/>
    <n v="1"/>
    <n v="0"/>
    <n v="0"/>
    <n v="0"/>
    <n v="0"/>
    <n v="0"/>
    <n v="0"/>
    <n v="400"/>
    <n v="400"/>
    <x v="0"/>
    <x v="0"/>
    <x v="1"/>
    <x v="0"/>
    <x v="0"/>
  </r>
  <r>
    <n v="2311"/>
    <x v="0"/>
    <x v="0"/>
    <s v="W"/>
    <n v="18590"/>
    <n v="320"/>
    <n v="-34"/>
    <n v="-31"/>
    <x v="0"/>
    <x v="0"/>
    <n v="0"/>
    <n v="0"/>
    <n v="0"/>
    <n v="0"/>
    <n v="0"/>
    <n v="0"/>
    <n v="0"/>
    <n v="0"/>
    <n v="0"/>
    <x v="1"/>
    <x v="1"/>
    <x v="1"/>
    <x v="0"/>
    <x v="0"/>
  </r>
  <r>
    <n v="2312"/>
    <x v="0"/>
    <x v="0"/>
    <s v="W"/>
    <n v="32470"/>
    <n v="388"/>
    <n v="15"/>
    <n v="-17"/>
    <x v="0"/>
    <x v="1"/>
    <n v="0"/>
    <n v="0"/>
    <n v="1"/>
    <n v="0"/>
    <n v="0"/>
    <n v="0"/>
    <n v="0"/>
    <n v="80000"/>
    <n v="80000"/>
    <x v="0"/>
    <x v="0"/>
    <x v="1"/>
    <x v="0"/>
    <x v="0"/>
  </r>
  <r>
    <n v="2313"/>
    <x v="0"/>
    <x v="0"/>
    <s v="W"/>
    <n v="61200"/>
    <n v="625"/>
    <n v="116"/>
    <n v="34"/>
    <x v="0"/>
    <x v="0"/>
    <n v="0"/>
    <n v="0"/>
    <n v="0"/>
    <n v="0"/>
    <n v="0"/>
    <n v="0"/>
    <n v="0"/>
    <n v="0"/>
    <n v="0"/>
    <x v="0"/>
    <x v="0"/>
    <x v="1"/>
    <x v="0"/>
    <x v="0"/>
  </r>
  <r>
    <n v="2314"/>
    <x v="0"/>
    <x v="0"/>
    <s v="W"/>
    <n v="57200"/>
    <n v="773"/>
    <n v="102"/>
    <n v="66"/>
    <x v="0"/>
    <x v="2"/>
    <n v="0"/>
    <n v="2"/>
    <n v="0"/>
    <n v="0"/>
    <n v="0"/>
    <n v="0"/>
    <n v="0"/>
    <n v="5000"/>
    <n v="3000"/>
    <x v="0"/>
    <x v="0"/>
    <x v="1"/>
    <x v="0"/>
    <x v="0"/>
  </r>
  <r>
    <n v="2315"/>
    <x v="0"/>
    <x v="0"/>
    <s v="W"/>
    <n v="37580"/>
    <n v="574"/>
    <n v="33"/>
    <n v="23"/>
    <x v="0"/>
    <x v="0"/>
    <n v="0"/>
    <n v="0"/>
    <n v="0"/>
    <n v="0"/>
    <n v="0"/>
    <n v="0"/>
    <n v="0"/>
    <n v="0"/>
    <n v="0"/>
    <x v="0"/>
    <x v="0"/>
    <x v="1"/>
    <x v="0"/>
    <x v="0"/>
  </r>
  <r>
    <n v="2316"/>
    <x v="0"/>
    <x v="0"/>
    <s v="W"/>
    <n v="21680"/>
    <n v="368"/>
    <n v="-24"/>
    <n v="-21"/>
    <x v="0"/>
    <x v="0"/>
    <n v="0"/>
    <n v="0"/>
    <n v="0"/>
    <n v="0"/>
    <n v="0"/>
    <n v="0"/>
    <n v="0"/>
    <n v="0"/>
    <n v="0"/>
    <x v="0"/>
    <x v="0"/>
    <x v="1"/>
    <x v="0"/>
    <x v="0"/>
  </r>
  <r>
    <n v="2317"/>
    <x v="0"/>
    <x v="0"/>
    <s v="W"/>
    <n v="23170"/>
    <n v="348"/>
    <n v="-18"/>
    <n v="-25"/>
    <x v="0"/>
    <x v="0"/>
    <n v="0"/>
    <n v="0"/>
    <n v="0"/>
    <n v="0"/>
    <n v="0"/>
    <n v="0"/>
    <n v="0"/>
    <n v="0"/>
    <n v="0"/>
    <x v="0"/>
    <x v="0"/>
    <x v="1"/>
    <x v="0"/>
    <x v="0"/>
  </r>
  <r>
    <n v="2318"/>
    <x v="0"/>
    <x v="0"/>
    <s v="W"/>
    <n v="35570"/>
    <n v="505"/>
    <n v="25"/>
    <n v="9"/>
    <x v="0"/>
    <x v="0"/>
    <n v="0"/>
    <n v="0"/>
    <n v="0"/>
    <n v="0"/>
    <n v="0"/>
    <n v="0"/>
    <n v="0"/>
    <n v="0"/>
    <n v="0"/>
    <x v="0"/>
    <x v="0"/>
    <x v="1"/>
    <x v="0"/>
    <x v="0"/>
  </r>
  <r>
    <n v="2319"/>
    <x v="1"/>
    <x v="0"/>
    <s v="W"/>
    <n v="32030"/>
    <n v="350"/>
    <n v="12"/>
    <n v="-22"/>
    <x v="0"/>
    <x v="0"/>
    <n v="0"/>
    <n v="0"/>
    <n v="0"/>
    <n v="0"/>
    <n v="0"/>
    <n v="0"/>
    <n v="0"/>
    <n v="0"/>
    <n v="0"/>
    <x v="0"/>
    <x v="0"/>
    <x v="1"/>
    <x v="0"/>
    <x v="0"/>
  </r>
  <r>
    <n v="2320"/>
    <x v="1"/>
    <x v="0"/>
    <s v="W"/>
    <n v="76200"/>
    <n v="766"/>
    <n v="166"/>
    <n v="71"/>
    <x v="0"/>
    <x v="0"/>
    <n v="0"/>
    <n v="0"/>
    <n v="0"/>
    <n v="0"/>
    <n v="0"/>
    <n v="0"/>
    <n v="0"/>
    <n v="0"/>
    <n v="0"/>
    <x v="0"/>
    <x v="0"/>
    <x v="1"/>
    <x v="0"/>
    <x v="0"/>
  </r>
  <r>
    <n v="2321"/>
    <x v="1"/>
    <x v="0"/>
    <s v="W"/>
    <n v="28500"/>
    <n v="446"/>
    <n v="-1"/>
    <n v="-1"/>
    <x v="0"/>
    <x v="0"/>
    <n v="0"/>
    <n v="0"/>
    <n v="0"/>
    <n v="0"/>
    <n v="0"/>
    <n v="0"/>
    <n v="0"/>
    <n v="0"/>
    <n v="0"/>
    <x v="0"/>
    <x v="0"/>
    <x v="1"/>
    <x v="0"/>
    <x v="0"/>
  </r>
  <r>
    <n v="2322"/>
    <x v="1"/>
    <x v="0"/>
    <s v="W"/>
    <n v="33590"/>
    <n v="457"/>
    <n v="17"/>
    <n v="2"/>
    <x v="0"/>
    <x v="0"/>
    <n v="0"/>
    <n v="0"/>
    <n v="0"/>
    <n v="0"/>
    <n v="0"/>
    <n v="0"/>
    <n v="0"/>
    <n v="0"/>
    <n v="0"/>
    <x v="0"/>
    <x v="0"/>
    <x v="1"/>
    <x v="0"/>
    <x v="0"/>
  </r>
  <r>
    <n v="2323"/>
    <x v="1"/>
    <x v="0"/>
    <s v="W"/>
    <n v="27420"/>
    <n v="400"/>
    <n v="-4"/>
    <n v="-11"/>
    <x v="0"/>
    <x v="1"/>
    <n v="1"/>
    <n v="0"/>
    <n v="0"/>
    <n v="0"/>
    <n v="0"/>
    <n v="0"/>
    <n v="0"/>
    <n v="700"/>
    <n v="700"/>
    <x v="0"/>
    <x v="0"/>
    <x v="1"/>
    <x v="0"/>
    <x v="0"/>
  </r>
  <r>
    <n v="2324"/>
    <x v="1"/>
    <x v="0"/>
    <s v="W"/>
    <n v="73160"/>
    <n v="654"/>
    <n v="155"/>
    <n v="46"/>
    <x v="0"/>
    <x v="1"/>
    <n v="0"/>
    <n v="1"/>
    <n v="0"/>
    <n v="0"/>
    <n v="0"/>
    <n v="0"/>
    <n v="0"/>
    <n v="3000"/>
    <n v="3000"/>
    <x v="0"/>
    <x v="0"/>
    <x v="1"/>
    <x v="0"/>
    <x v="0"/>
  </r>
  <r>
    <n v="2325"/>
    <x v="1"/>
    <x v="0"/>
    <s v="W"/>
    <n v="33780"/>
    <n v="525"/>
    <n v="18"/>
    <n v="17"/>
    <x v="0"/>
    <x v="0"/>
    <n v="0"/>
    <n v="0"/>
    <n v="0"/>
    <n v="0"/>
    <n v="0"/>
    <n v="0"/>
    <n v="0"/>
    <n v="0"/>
    <n v="0"/>
    <x v="0"/>
    <x v="0"/>
    <x v="1"/>
    <x v="0"/>
    <x v="0"/>
  </r>
  <r>
    <n v="2326"/>
    <x v="1"/>
    <x v="0"/>
    <s v="N"/>
    <n v="27200"/>
    <n v="402"/>
    <n v="118"/>
    <n v="61"/>
    <x v="0"/>
    <x v="0"/>
    <n v="0"/>
    <n v="0"/>
    <n v="0"/>
    <n v="0"/>
    <n v="0"/>
    <n v="0"/>
    <n v="0"/>
    <n v="0"/>
    <n v="0"/>
    <x v="0"/>
    <x v="0"/>
    <x v="0"/>
    <x v="0"/>
    <x v="0"/>
  </r>
  <r>
    <n v="2327"/>
    <x v="1"/>
    <x v="0"/>
    <s v="W"/>
    <n v="21510"/>
    <n v="334"/>
    <n v="-28"/>
    <n v="-25"/>
    <x v="0"/>
    <x v="0"/>
    <n v="0"/>
    <n v="0"/>
    <n v="0"/>
    <n v="0"/>
    <n v="0"/>
    <n v="0"/>
    <n v="0"/>
    <n v="0"/>
    <n v="0"/>
    <x v="0"/>
    <x v="0"/>
    <x v="1"/>
    <x v="0"/>
    <x v="0"/>
  </r>
  <r>
    <n v="2328"/>
    <x v="1"/>
    <x v="0"/>
    <s v="W"/>
    <n v="17880"/>
    <n v="237"/>
    <n v="-40"/>
    <n v="-47"/>
    <x v="0"/>
    <x v="1"/>
    <n v="0"/>
    <n v="1"/>
    <n v="0"/>
    <n v="0"/>
    <n v="0"/>
    <n v="0"/>
    <n v="0"/>
    <n v="3000"/>
    <n v="3000"/>
    <x v="0"/>
    <x v="0"/>
    <x v="1"/>
    <x v="0"/>
    <x v="0"/>
  </r>
  <r>
    <n v="2329"/>
    <x v="1"/>
    <x v="0"/>
    <s v="W"/>
    <n v="19180"/>
    <n v="289"/>
    <n v="-36"/>
    <n v="-35"/>
    <x v="0"/>
    <x v="0"/>
    <n v="0"/>
    <n v="0"/>
    <n v="0"/>
    <n v="0"/>
    <n v="0"/>
    <n v="0"/>
    <n v="0"/>
    <n v="0"/>
    <n v="0"/>
    <x v="0"/>
    <x v="0"/>
    <x v="1"/>
    <x v="0"/>
    <x v="0"/>
  </r>
  <r>
    <n v="2330"/>
    <x v="1"/>
    <x v="0"/>
    <s v="W"/>
    <n v="34800"/>
    <n v="450"/>
    <n v="17"/>
    <n v="1"/>
    <x v="0"/>
    <x v="2"/>
    <n v="1"/>
    <n v="1"/>
    <n v="0"/>
    <n v="0"/>
    <n v="0"/>
    <n v="0"/>
    <n v="0"/>
    <n v="3200"/>
    <n v="3000"/>
    <x v="0"/>
    <x v="0"/>
    <x v="1"/>
    <x v="0"/>
    <x v="0"/>
  </r>
  <r>
    <n v="2331"/>
    <x v="1"/>
    <x v="0"/>
    <s v="W"/>
    <n v="35010"/>
    <n v="390"/>
    <n v="18"/>
    <n v="-13"/>
    <x v="0"/>
    <x v="0"/>
    <n v="0"/>
    <n v="0"/>
    <n v="0"/>
    <n v="0"/>
    <n v="0"/>
    <n v="0"/>
    <n v="0"/>
    <n v="0"/>
    <n v="0"/>
    <x v="0"/>
    <x v="0"/>
    <x v="1"/>
    <x v="0"/>
    <x v="0"/>
  </r>
  <r>
    <n v="2332"/>
    <x v="1"/>
    <x v="0"/>
    <s v="W"/>
    <n v="9140"/>
    <n v="335"/>
    <n v="-69"/>
    <n v="-25"/>
    <x v="0"/>
    <x v="0"/>
    <n v="0"/>
    <n v="0"/>
    <n v="0"/>
    <n v="0"/>
    <n v="0"/>
    <n v="0"/>
    <n v="0"/>
    <n v="0"/>
    <n v="0"/>
    <x v="0"/>
    <x v="0"/>
    <x v="1"/>
    <x v="1"/>
    <x v="0"/>
  </r>
  <r>
    <n v="2333"/>
    <x v="1"/>
    <x v="0"/>
    <s v="W"/>
    <n v="23260"/>
    <n v="483"/>
    <n v="-22"/>
    <n v="8"/>
    <x v="0"/>
    <x v="0"/>
    <n v="0"/>
    <n v="0"/>
    <n v="0"/>
    <n v="0"/>
    <n v="0"/>
    <n v="0"/>
    <n v="0"/>
    <n v="0"/>
    <n v="0"/>
    <x v="0"/>
    <x v="0"/>
    <x v="1"/>
    <x v="0"/>
    <x v="0"/>
  </r>
  <r>
    <n v="2334"/>
    <x v="1"/>
    <x v="0"/>
    <s v="W"/>
    <n v="55120"/>
    <n v="713"/>
    <n v="85"/>
    <n v="59"/>
    <x v="0"/>
    <x v="2"/>
    <n v="1"/>
    <n v="1"/>
    <n v="0"/>
    <n v="0"/>
    <n v="0"/>
    <n v="0"/>
    <n v="0"/>
    <n v="9200"/>
    <n v="9000"/>
    <x v="0"/>
    <x v="0"/>
    <x v="1"/>
    <x v="0"/>
    <x v="0"/>
  </r>
  <r>
    <n v="2335"/>
    <x v="1"/>
    <x v="0"/>
    <s v="W"/>
    <n v="16450"/>
    <n v="378"/>
    <n v="-48"/>
    <n v="-16"/>
    <x v="0"/>
    <x v="0"/>
    <n v="0"/>
    <n v="0"/>
    <n v="0"/>
    <n v="0"/>
    <n v="0"/>
    <n v="0"/>
    <n v="0"/>
    <n v="0"/>
    <n v="0"/>
    <x v="0"/>
    <x v="0"/>
    <x v="1"/>
    <x v="0"/>
    <x v="0"/>
  </r>
  <r>
    <n v="2336"/>
    <x v="1"/>
    <x v="0"/>
    <s v="W"/>
    <n v="20660"/>
    <n v="400"/>
    <n v="-34"/>
    <n v="-11"/>
    <x v="0"/>
    <x v="1"/>
    <n v="1"/>
    <n v="0"/>
    <n v="0"/>
    <n v="0"/>
    <n v="0"/>
    <n v="0"/>
    <n v="0"/>
    <n v="400"/>
    <n v="400"/>
    <x v="0"/>
    <x v="0"/>
    <x v="1"/>
    <x v="0"/>
    <x v="0"/>
  </r>
  <r>
    <n v="2337"/>
    <x v="1"/>
    <x v="0"/>
    <s v="W"/>
    <n v="30140"/>
    <n v="426"/>
    <n v="-4"/>
    <n v="-5"/>
    <x v="0"/>
    <x v="5"/>
    <n v="1"/>
    <n v="3"/>
    <n v="0"/>
    <n v="0"/>
    <n v="0"/>
    <n v="0"/>
    <n v="0"/>
    <n v="11900"/>
    <n v="6000"/>
    <x v="0"/>
    <x v="0"/>
    <x v="1"/>
    <x v="0"/>
    <x v="0"/>
  </r>
  <r>
    <n v="2338"/>
    <x v="1"/>
    <x v="0"/>
    <s v="W"/>
    <n v="52120"/>
    <n v="695"/>
    <n v="66"/>
    <n v="55"/>
    <x v="0"/>
    <x v="1"/>
    <n v="0"/>
    <n v="1"/>
    <n v="0"/>
    <n v="0"/>
    <n v="0"/>
    <n v="0"/>
    <n v="0"/>
    <n v="2000"/>
    <n v="2000"/>
    <x v="0"/>
    <x v="0"/>
    <x v="1"/>
    <x v="0"/>
    <x v="0"/>
  </r>
  <r>
    <n v="2339"/>
    <x v="1"/>
    <x v="0"/>
    <s v="W"/>
    <n v="25850"/>
    <n v="504"/>
    <n v="-18"/>
    <n v="13"/>
    <x v="0"/>
    <x v="0"/>
    <n v="0"/>
    <n v="0"/>
    <n v="0"/>
    <n v="0"/>
    <n v="0"/>
    <n v="0"/>
    <n v="0"/>
    <n v="0"/>
    <n v="0"/>
    <x v="0"/>
    <x v="0"/>
    <x v="1"/>
    <x v="0"/>
    <x v="0"/>
  </r>
  <r>
    <n v="2340"/>
    <x v="1"/>
    <x v="0"/>
    <s v="W"/>
    <n v="25160"/>
    <n v="411"/>
    <n v="-20"/>
    <n v="-8"/>
    <x v="0"/>
    <x v="0"/>
    <n v="0"/>
    <n v="0"/>
    <n v="0"/>
    <n v="0"/>
    <n v="0"/>
    <n v="0"/>
    <n v="0"/>
    <n v="0"/>
    <n v="0"/>
    <x v="1"/>
    <x v="1"/>
    <x v="1"/>
    <x v="0"/>
    <x v="0"/>
  </r>
  <r>
    <n v="2341"/>
    <x v="1"/>
    <x v="0"/>
    <s v="W"/>
    <n v="23860"/>
    <n v="389"/>
    <n v="-24"/>
    <n v="-13"/>
    <x v="0"/>
    <x v="1"/>
    <n v="0"/>
    <n v="0"/>
    <n v="1"/>
    <n v="0"/>
    <n v="0"/>
    <n v="0"/>
    <n v="0"/>
    <n v="40000"/>
    <n v="40000"/>
    <x v="0"/>
    <x v="0"/>
    <x v="1"/>
    <x v="0"/>
    <x v="0"/>
  </r>
  <r>
    <n v="2342"/>
    <x v="1"/>
    <x v="0"/>
    <s v="W"/>
    <n v="58660"/>
    <n v="728"/>
    <n v="87"/>
    <n v="63"/>
    <x v="0"/>
    <x v="2"/>
    <n v="1"/>
    <n v="1"/>
    <n v="0"/>
    <n v="0"/>
    <n v="0"/>
    <n v="0"/>
    <n v="0"/>
    <n v="2400"/>
    <n v="2000"/>
    <x v="0"/>
    <x v="0"/>
    <x v="1"/>
    <x v="0"/>
    <x v="0"/>
  </r>
  <r>
    <n v="2343"/>
    <x v="1"/>
    <x v="0"/>
    <s v="W"/>
    <n v="41060"/>
    <n v="555"/>
    <n v="30"/>
    <n v="27"/>
    <x v="0"/>
    <x v="0"/>
    <n v="0"/>
    <n v="0"/>
    <n v="0"/>
    <n v="0"/>
    <n v="0"/>
    <n v="0"/>
    <n v="0"/>
    <n v="0"/>
    <n v="0"/>
    <x v="0"/>
    <x v="0"/>
    <x v="1"/>
    <x v="0"/>
    <x v="0"/>
  </r>
  <r>
    <n v="2344"/>
    <x v="1"/>
    <x v="0"/>
    <s v="W"/>
    <n v="22440"/>
    <n v="483"/>
    <n v="-29"/>
    <n v="10"/>
    <x v="0"/>
    <x v="0"/>
    <n v="0"/>
    <n v="0"/>
    <n v="0"/>
    <n v="0"/>
    <n v="0"/>
    <n v="0"/>
    <n v="0"/>
    <n v="0"/>
    <n v="0"/>
    <x v="0"/>
    <x v="0"/>
    <x v="1"/>
    <x v="0"/>
    <x v="0"/>
  </r>
  <r>
    <n v="2345"/>
    <x v="1"/>
    <x v="0"/>
    <s v="W"/>
    <n v="24660"/>
    <n v="360"/>
    <n v="-22"/>
    <n v="-18"/>
    <x v="0"/>
    <x v="1"/>
    <n v="1"/>
    <n v="0"/>
    <n v="0"/>
    <n v="0"/>
    <n v="0"/>
    <n v="0"/>
    <n v="0"/>
    <n v="400"/>
    <n v="400"/>
    <x v="0"/>
    <x v="0"/>
    <x v="1"/>
    <x v="0"/>
    <x v="0"/>
  </r>
  <r>
    <n v="2346"/>
    <x v="1"/>
    <x v="0"/>
    <s v="W"/>
    <n v="43350"/>
    <n v="611"/>
    <n v="37"/>
    <n v="40"/>
    <x v="0"/>
    <x v="0"/>
    <n v="0"/>
    <n v="0"/>
    <n v="0"/>
    <n v="0"/>
    <n v="0"/>
    <n v="0"/>
    <n v="0"/>
    <n v="0"/>
    <n v="0"/>
    <x v="0"/>
    <x v="0"/>
    <x v="1"/>
    <x v="0"/>
    <x v="0"/>
  </r>
  <r>
    <n v="2347"/>
    <x v="1"/>
    <x v="0"/>
    <s v="W"/>
    <n v="17170"/>
    <n v="356"/>
    <n v="-46"/>
    <n v="-19"/>
    <x v="0"/>
    <x v="1"/>
    <n v="1"/>
    <n v="0"/>
    <n v="0"/>
    <n v="0"/>
    <n v="0"/>
    <n v="0"/>
    <n v="0"/>
    <n v="500"/>
    <n v="500"/>
    <x v="0"/>
    <x v="0"/>
    <x v="1"/>
    <x v="0"/>
    <x v="0"/>
  </r>
  <r>
    <n v="2348"/>
    <x v="1"/>
    <x v="0"/>
    <s v="W"/>
    <n v="60710"/>
    <n v="782"/>
    <n v="92"/>
    <n v="79"/>
    <x v="0"/>
    <x v="3"/>
    <n v="1"/>
    <n v="2"/>
    <n v="0"/>
    <n v="0"/>
    <n v="0"/>
    <n v="0"/>
    <n v="0"/>
    <n v="4800"/>
    <n v="2000"/>
    <x v="0"/>
    <x v="0"/>
    <x v="1"/>
    <x v="0"/>
    <x v="0"/>
  </r>
  <r>
    <n v="2349"/>
    <x v="1"/>
    <x v="0"/>
    <s v="N"/>
    <n v="28290"/>
    <n v="478"/>
    <n v="126"/>
    <n v="91"/>
    <x v="0"/>
    <x v="0"/>
    <n v="0"/>
    <n v="0"/>
    <n v="0"/>
    <n v="0"/>
    <n v="0"/>
    <n v="0"/>
    <n v="0"/>
    <n v="0"/>
    <n v="0"/>
    <x v="0"/>
    <x v="0"/>
    <x v="0"/>
    <x v="0"/>
    <x v="0"/>
  </r>
  <r>
    <n v="2350"/>
    <x v="1"/>
    <x v="0"/>
    <s v="N"/>
    <n v="22710"/>
    <n v="385"/>
    <n v="82"/>
    <n v="54"/>
    <x v="0"/>
    <x v="0"/>
    <n v="0"/>
    <n v="0"/>
    <n v="0"/>
    <n v="0"/>
    <n v="0"/>
    <n v="0"/>
    <n v="0"/>
    <n v="0"/>
    <n v="0"/>
    <x v="0"/>
    <x v="0"/>
    <x v="0"/>
    <x v="0"/>
    <x v="0"/>
  </r>
  <r>
    <n v="2351"/>
    <x v="1"/>
    <x v="0"/>
    <s v="W"/>
    <n v="9510"/>
    <n v="258"/>
    <n v="-71"/>
    <n v="-41"/>
    <x v="0"/>
    <x v="0"/>
    <n v="0"/>
    <n v="0"/>
    <n v="0"/>
    <n v="0"/>
    <n v="0"/>
    <n v="0"/>
    <n v="0"/>
    <n v="0"/>
    <n v="0"/>
    <x v="0"/>
    <x v="0"/>
    <x v="1"/>
    <x v="1"/>
    <x v="0"/>
  </r>
  <r>
    <n v="2352"/>
    <x v="1"/>
    <x v="0"/>
    <s v="W"/>
    <n v="16260"/>
    <n v="220"/>
    <n v="-50"/>
    <n v="-50"/>
    <x v="0"/>
    <x v="2"/>
    <n v="1"/>
    <n v="1"/>
    <n v="0"/>
    <n v="0"/>
    <n v="0"/>
    <n v="0"/>
    <n v="0"/>
    <n v="3500"/>
    <n v="3000"/>
    <x v="0"/>
    <x v="0"/>
    <x v="1"/>
    <x v="0"/>
    <x v="0"/>
  </r>
  <r>
    <n v="2353"/>
    <x v="1"/>
    <x v="0"/>
    <s v="W"/>
    <n v="10530"/>
    <n v="177"/>
    <n v="-67"/>
    <n v="-60"/>
    <x v="0"/>
    <x v="0"/>
    <n v="0"/>
    <n v="0"/>
    <n v="0"/>
    <n v="0"/>
    <n v="0"/>
    <n v="0"/>
    <n v="0"/>
    <n v="0"/>
    <n v="0"/>
    <x v="0"/>
    <x v="0"/>
    <x v="1"/>
    <x v="0"/>
    <x v="0"/>
  </r>
  <r>
    <n v="2354"/>
    <x v="1"/>
    <x v="0"/>
    <s v="W"/>
    <n v="47700"/>
    <n v="535"/>
    <n v="48"/>
    <n v="22"/>
    <x v="0"/>
    <x v="0"/>
    <n v="0"/>
    <n v="0"/>
    <n v="0"/>
    <n v="0"/>
    <n v="0"/>
    <n v="0"/>
    <n v="0"/>
    <n v="0"/>
    <n v="0"/>
    <x v="0"/>
    <x v="0"/>
    <x v="1"/>
    <x v="0"/>
    <x v="0"/>
  </r>
  <r>
    <n v="2355"/>
    <x v="1"/>
    <x v="0"/>
    <s v="W"/>
    <n v="34570"/>
    <n v="446"/>
    <n v="7"/>
    <n v="2"/>
    <x v="0"/>
    <x v="2"/>
    <n v="1"/>
    <n v="1"/>
    <n v="0"/>
    <n v="0"/>
    <n v="0"/>
    <n v="0"/>
    <n v="0"/>
    <n v="3300"/>
    <n v="3000"/>
    <x v="0"/>
    <x v="0"/>
    <x v="1"/>
    <x v="0"/>
    <x v="0"/>
  </r>
  <r>
    <n v="2356"/>
    <x v="1"/>
    <x v="0"/>
    <s v="W"/>
    <n v="7810"/>
    <n v="236"/>
    <n v="-76"/>
    <n v="-46"/>
    <x v="0"/>
    <x v="0"/>
    <n v="0"/>
    <n v="0"/>
    <n v="0"/>
    <n v="0"/>
    <n v="0"/>
    <n v="0"/>
    <n v="0"/>
    <n v="0"/>
    <n v="0"/>
    <x v="0"/>
    <x v="0"/>
    <x v="1"/>
    <x v="1"/>
    <x v="0"/>
  </r>
  <r>
    <n v="2357"/>
    <x v="1"/>
    <x v="0"/>
    <s v="W"/>
    <n v="23170"/>
    <n v="354"/>
    <n v="-28"/>
    <n v="-19"/>
    <x v="0"/>
    <x v="1"/>
    <n v="1"/>
    <n v="0"/>
    <n v="0"/>
    <n v="0"/>
    <n v="0"/>
    <n v="0"/>
    <n v="0"/>
    <n v="600"/>
    <n v="600"/>
    <x v="0"/>
    <x v="0"/>
    <x v="1"/>
    <x v="0"/>
    <x v="0"/>
  </r>
  <r>
    <n v="2358"/>
    <x v="1"/>
    <x v="0"/>
    <s v="W"/>
    <n v="15650"/>
    <n v="316"/>
    <n v="-52"/>
    <n v="-28"/>
    <x v="0"/>
    <x v="0"/>
    <n v="0"/>
    <n v="0"/>
    <n v="0"/>
    <n v="0"/>
    <n v="0"/>
    <n v="0"/>
    <n v="0"/>
    <n v="0"/>
    <n v="0"/>
    <x v="0"/>
    <x v="0"/>
    <x v="1"/>
    <x v="0"/>
    <x v="0"/>
  </r>
  <r>
    <n v="2359"/>
    <x v="1"/>
    <x v="0"/>
    <s v="W"/>
    <n v="24140"/>
    <n v="285"/>
    <n v="-27"/>
    <n v="-35"/>
    <x v="0"/>
    <x v="0"/>
    <n v="0"/>
    <n v="0"/>
    <n v="0"/>
    <n v="0"/>
    <n v="0"/>
    <n v="0"/>
    <n v="0"/>
    <n v="0"/>
    <n v="0"/>
    <x v="0"/>
    <x v="0"/>
    <x v="1"/>
    <x v="0"/>
    <x v="0"/>
  </r>
  <r>
    <n v="2360"/>
    <x v="1"/>
    <x v="0"/>
    <s v="W"/>
    <n v="44990"/>
    <n v="508"/>
    <n v="36"/>
    <n v="16"/>
    <x v="0"/>
    <x v="2"/>
    <n v="1"/>
    <n v="1"/>
    <n v="0"/>
    <n v="0"/>
    <n v="0"/>
    <n v="0"/>
    <n v="0"/>
    <n v="5500"/>
    <n v="5000"/>
    <x v="0"/>
    <x v="0"/>
    <x v="1"/>
    <x v="0"/>
    <x v="0"/>
  </r>
  <r>
    <n v="2361"/>
    <x v="1"/>
    <x v="0"/>
    <s v="W"/>
    <n v="25910"/>
    <n v="424"/>
    <n v="-22"/>
    <n v="-3"/>
    <x v="0"/>
    <x v="1"/>
    <n v="1"/>
    <n v="0"/>
    <n v="0"/>
    <n v="0"/>
    <n v="0"/>
    <n v="0"/>
    <n v="0"/>
    <n v="900"/>
    <n v="900"/>
    <x v="0"/>
    <x v="0"/>
    <x v="1"/>
    <x v="0"/>
    <x v="0"/>
  </r>
  <r>
    <n v="2362"/>
    <x v="1"/>
    <x v="0"/>
    <s v="W"/>
    <n v="18310"/>
    <n v="317"/>
    <n v="-45"/>
    <n v="-27"/>
    <x v="0"/>
    <x v="0"/>
    <n v="0"/>
    <n v="0"/>
    <n v="0"/>
    <n v="0"/>
    <n v="0"/>
    <n v="0"/>
    <n v="0"/>
    <n v="0"/>
    <n v="0"/>
    <x v="0"/>
    <x v="0"/>
    <x v="1"/>
    <x v="0"/>
    <x v="0"/>
  </r>
  <r>
    <n v="2363"/>
    <x v="1"/>
    <x v="0"/>
    <s v="W"/>
    <n v="54980"/>
    <n v="544"/>
    <n v="66"/>
    <n v="24"/>
    <x v="0"/>
    <x v="2"/>
    <n v="1"/>
    <n v="1"/>
    <n v="0"/>
    <n v="0"/>
    <n v="0"/>
    <n v="0"/>
    <n v="0"/>
    <n v="1400"/>
    <n v="1000"/>
    <x v="0"/>
    <x v="0"/>
    <x v="1"/>
    <x v="0"/>
    <x v="0"/>
  </r>
  <r>
    <n v="2364"/>
    <x v="1"/>
    <x v="0"/>
    <s v="W"/>
    <n v="26080"/>
    <n v="420"/>
    <n v="-21"/>
    <n v="-4"/>
    <x v="0"/>
    <x v="2"/>
    <n v="0"/>
    <n v="2"/>
    <n v="0"/>
    <n v="0"/>
    <n v="0"/>
    <n v="0"/>
    <n v="0"/>
    <n v="4000"/>
    <n v="2000"/>
    <x v="0"/>
    <x v="0"/>
    <x v="1"/>
    <x v="0"/>
    <x v="0"/>
  </r>
  <r>
    <n v="2365"/>
    <x v="1"/>
    <x v="0"/>
    <s v="N"/>
    <n v="8520"/>
    <n v="254"/>
    <n v="-32"/>
    <n v="2"/>
    <x v="0"/>
    <x v="0"/>
    <n v="0"/>
    <n v="0"/>
    <n v="0"/>
    <n v="0"/>
    <n v="0"/>
    <n v="0"/>
    <n v="0"/>
    <n v="0"/>
    <n v="0"/>
    <x v="0"/>
    <x v="0"/>
    <x v="0"/>
    <x v="1"/>
    <x v="0"/>
  </r>
  <r>
    <n v="2366"/>
    <x v="1"/>
    <x v="0"/>
    <s v="W"/>
    <n v="19160"/>
    <n v="376"/>
    <n v="-42"/>
    <n v="-14"/>
    <x v="0"/>
    <x v="0"/>
    <n v="0"/>
    <n v="0"/>
    <n v="0"/>
    <n v="0"/>
    <n v="0"/>
    <n v="0"/>
    <n v="0"/>
    <n v="0"/>
    <n v="0"/>
    <x v="0"/>
    <x v="0"/>
    <x v="1"/>
    <x v="0"/>
    <x v="0"/>
  </r>
  <r>
    <n v="2367"/>
    <x v="0"/>
    <x v="0"/>
    <s v="W"/>
    <n v="26620"/>
    <n v="356"/>
    <n v="-18"/>
    <n v="-15"/>
    <x v="0"/>
    <x v="0"/>
    <n v="0"/>
    <n v="0"/>
    <n v="0"/>
    <n v="0"/>
    <n v="0"/>
    <n v="0"/>
    <n v="0"/>
    <n v="0"/>
    <n v="0"/>
    <x v="0"/>
    <x v="0"/>
    <x v="1"/>
    <x v="0"/>
    <x v="0"/>
  </r>
  <r>
    <n v="2368"/>
    <x v="0"/>
    <x v="0"/>
    <s v="W"/>
    <n v="27780"/>
    <n v="386"/>
    <n v="-15"/>
    <n v="-8"/>
    <x v="0"/>
    <x v="1"/>
    <n v="0"/>
    <n v="1"/>
    <n v="0"/>
    <n v="0"/>
    <n v="0"/>
    <n v="0"/>
    <n v="0"/>
    <n v="5000"/>
    <n v="5000"/>
    <x v="0"/>
    <x v="0"/>
    <x v="1"/>
    <x v="0"/>
    <x v="0"/>
  </r>
  <r>
    <n v="2369"/>
    <x v="0"/>
    <x v="0"/>
    <s v="W"/>
    <n v="28920"/>
    <n v="472"/>
    <n v="-11"/>
    <n v="13"/>
    <x v="0"/>
    <x v="1"/>
    <n v="1"/>
    <n v="0"/>
    <n v="0"/>
    <n v="0"/>
    <n v="0"/>
    <n v="0"/>
    <n v="0"/>
    <n v="200"/>
    <n v="200"/>
    <x v="0"/>
    <x v="0"/>
    <x v="1"/>
    <x v="0"/>
    <x v="0"/>
  </r>
  <r>
    <n v="2370"/>
    <x v="0"/>
    <x v="0"/>
    <s v="W"/>
    <n v="24360"/>
    <n v="351"/>
    <n v="-25"/>
    <n v="-16"/>
    <x v="0"/>
    <x v="2"/>
    <n v="2"/>
    <n v="0"/>
    <n v="0"/>
    <n v="0"/>
    <n v="0"/>
    <n v="0"/>
    <n v="0"/>
    <n v="1300"/>
    <n v="900"/>
    <x v="0"/>
    <x v="0"/>
    <x v="1"/>
    <x v="0"/>
    <x v="0"/>
  </r>
  <r>
    <n v="2371"/>
    <x v="0"/>
    <x v="0"/>
    <s v="W"/>
    <n v="11210"/>
    <n v="296"/>
    <n v="-66"/>
    <n v="-29"/>
    <x v="0"/>
    <x v="0"/>
    <n v="0"/>
    <n v="0"/>
    <n v="0"/>
    <n v="0"/>
    <n v="0"/>
    <n v="0"/>
    <n v="0"/>
    <n v="0"/>
    <n v="0"/>
    <x v="0"/>
    <x v="0"/>
    <x v="1"/>
    <x v="0"/>
    <x v="0"/>
  </r>
  <r>
    <n v="2372"/>
    <x v="0"/>
    <x v="0"/>
    <s v="W"/>
    <n v="42220"/>
    <n v="382"/>
    <n v="29"/>
    <n v="-9"/>
    <x v="0"/>
    <x v="1"/>
    <n v="0"/>
    <n v="1"/>
    <n v="0"/>
    <n v="0"/>
    <n v="0"/>
    <n v="0"/>
    <n v="0"/>
    <n v="8000"/>
    <n v="8000"/>
    <x v="0"/>
    <x v="0"/>
    <x v="1"/>
    <x v="0"/>
    <x v="0"/>
  </r>
  <r>
    <n v="2373"/>
    <x v="0"/>
    <x v="0"/>
    <s v="W"/>
    <n v="14590"/>
    <n v="865"/>
    <n v="45"/>
    <n v="90"/>
    <x v="0"/>
    <x v="0"/>
    <n v="0"/>
    <n v="0"/>
    <n v="0"/>
    <n v="0"/>
    <n v="0"/>
    <n v="0"/>
    <n v="0"/>
    <n v="0"/>
    <n v="0"/>
    <x v="0"/>
    <x v="0"/>
    <x v="1"/>
    <x v="0"/>
    <x v="0"/>
  </r>
  <r>
    <n v="2374"/>
    <x v="0"/>
    <x v="0"/>
    <s v="W"/>
    <n v="9160"/>
    <n v="300"/>
    <n v="-72"/>
    <n v="-28"/>
    <x v="0"/>
    <x v="0"/>
    <n v="0"/>
    <n v="0"/>
    <n v="0"/>
    <n v="0"/>
    <n v="0"/>
    <n v="0"/>
    <n v="0"/>
    <n v="0"/>
    <n v="0"/>
    <x v="0"/>
    <x v="0"/>
    <x v="1"/>
    <x v="1"/>
    <x v="0"/>
  </r>
  <r>
    <n v="2375"/>
    <x v="0"/>
    <x v="0"/>
    <s v="W"/>
    <n v="6800"/>
    <n v="224"/>
    <n v="-79"/>
    <n v="-47"/>
    <x v="0"/>
    <x v="0"/>
    <n v="0"/>
    <n v="0"/>
    <n v="0"/>
    <n v="0"/>
    <n v="0"/>
    <n v="0"/>
    <n v="0"/>
    <n v="0"/>
    <n v="0"/>
    <x v="0"/>
    <x v="0"/>
    <x v="1"/>
    <x v="1"/>
    <x v="0"/>
  </r>
  <r>
    <n v="2376"/>
    <x v="0"/>
    <x v="0"/>
    <s v="W"/>
    <n v="7000"/>
    <n v="131"/>
    <n v="-40"/>
    <n v="-56"/>
    <x v="0"/>
    <x v="1"/>
    <n v="0"/>
    <n v="1"/>
    <n v="0"/>
    <n v="0"/>
    <n v="0"/>
    <n v="0"/>
    <n v="0"/>
    <n v="1000"/>
    <n v="1000"/>
    <x v="0"/>
    <x v="0"/>
    <x v="1"/>
    <x v="1"/>
    <x v="0"/>
  </r>
  <r>
    <n v="2377"/>
    <x v="0"/>
    <x v="0"/>
    <s v="W"/>
    <n v="7030"/>
    <n v="202"/>
    <n v="-78"/>
    <n v="-53"/>
    <x v="0"/>
    <x v="0"/>
    <n v="0"/>
    <n v="0"/>
    <n v="0"/>
    <n v="0"/>
    <n v="0"/>
    <n v="0"/>
    <n v="0"/>
    <n v="0"/>
    <n v="0"/>
    <x v="0"/>
    <x v="0"/>
    <x v="1"/>
    <x v="1"/>
    <x v="0"/>
  </r>
  <r>
    <n v="2378"/>
    <x v="0"/>
    <x v="0"/>
    <s v="W"/>
    <n v="35420"/>
    <n v="290"/>
    <n v="11"/>
    <n v="-32"/>
    <x v="0"/>
    <x v="1"/>
    <n v="1"/>
    <n v="0"/>
    <n v="0"/>
    <n v="0"/>
    <n v="0"/>
    <n v="0"/>
    <n v="0"/>
    <n v="900"/>
    <n v="900"/>
    <x v="0"/>
    <x v="0"/>
    <x v="1"/>
    <x v="0"/>
    <x v="0"/>
  </r>
  <r>
    <n v="2379"/>
    <x v="0"/>
    <x v="0"/>
    <s v="W"/>
    <n v="53590"/>
    <n v="527"/>
    <n v="68"/>
    <n v="24"/>
    <x v="0"/>
    <x v="1"/>
    <n v="1"/>
    <n v="0"/>
    <n v="0"/>
    <n v="0"/>
    <n v="0"/>
    <n v="0"/>
    <n v="0"/>
    <n v="900"/>
    <n v="900"/>
    <x v="0"/>
    <x v="0"/>
    <x v="1"/>
    <x v="0"/>
    <x v="0"/>
  </r>
  <r>
    <n v="2380"/>
    <x v="0"/>
    <x v="0"/>
    <s v="W"/>
    <n v="19390"/>
    <n v="469"/>
    <n v="-39"/>
    <n v="10"/>
    <x v="0"/>
    <x v="0"/>
    <n v="0"/>
    <n v="0"/>
    <n v="0"/>
    <n v="0"/>
    <n v="0"/>
    <n v="0"/>
    <n v="0"/>
    <n v="0"/>
    <n v="0"/>
    <x v="0"/>
    <x v="0"/>
    <x v="1"/>
    <x v="0"/>
    <x v="0"/>
  </r>
  <r>
    <n v="2381"/>
    <x v="0"/>
    <x v="0"/>
    <s v="W"/>
    <n v="19680"/>
    <n v="411"/>
    <n v="-38"/>
    <n v="-3"/>
    <x v="0"/>
    <x v="2"/>
    <n v="0"/>
    <n v="2"/>
    <n v="0"/>
    <n v="0"/>
    <n v="0"/>
    <n v="0"/>
    <n v="0"/>
    <n v="10000"/>
    <n v="8000"/>
    <x v="0"/>
    <x v="0"/>
    <x v="1"/>
    <x v="0"/>
    <x v="0"/>
  </r>
  <r>
    <n v="2382"/>
    <x v="0"/>
    <x v="0"/>
    <s v="W"/>
    <n v="67040"/>
    <n v="785"/>
    <n v="111"/>
    <n v="84"/>
    <x v="0"/>
    <x v="2"/>
    <n v="2"/>
    <n v="0"/>
    <n v="0"/>
    <n v="0"/>
    <n v="0"/>
    <n v="0"/>
    <n v="0"/>
    <n v="1600"/>
    <n v="900"/>
    <x v="0"/>
    <x v="0"/>
    <x v="1"/>
    <x v="0"/>
    <x v="0"/>
  </r>
  <r>
    <n v="2383"/>
    <x v="0"/>
    <x v="1"/>
    <s v="W"/>
    <n v="32270"/>
    <n v="631"/>
    <n v="8"/>
    <n v="52"/>
    <x v="0"/>
    <x v="1"/>
    <n v="1"/>
    <n v="0"/>
    <n v="0"/>
    <n v="0"/>
    <n v="0"/>
    <n v="0"/>
    <n v="0"/>
    <n v="500"/>
    <n v="500"/>
    <x v="0"/>
    <x v="0"/>
    <x v="1"/>
    <x v="0"/>
    <x v="0"/>
  </r>
  <r>
    <n v="2384"/>
    <x v="0"/>
    <x v="1"/>
    <s v="W"/>
    <n v="19810"/>
    <n v="364"/>
    <n v="-34"/>
    <n v="-12"/>
    <x v="0"/>
    <x v="0"/>
    <n v="0"/>
    <n v="0"/>
    <n v="0"/>
    <n v="0"/>
    <n v="0"/>
    <n v="0"/>
    <n v="0"/>
    <n v="0"/>
    <n v="0"/>
    <x v="0"/>
    <x v="0"/>
    <x v="1"/>
    <x v="0"/>
    <x v="0"/>
  </r>
  <r>
    <n v="2385"/>
    <x v="0"/>
    <x v="1"/>
    <s v="W"/>
    <n v="38360"/>
    <n v="759"/>
    <n v="29"/>
    <n v="83"/>
    <x v="0"/>
    <x v="1"/>
    <n v="0"/>
    <n v="1"/>
    <n v="0"/>
    <n v="0"/>
    <n v="0"/>
    <n v="0"/>
    <n v="0"/>
    <n v="7000"/>
    <n v="7000"/>
    <x v="0"/>
    <x v="0"/>
    <x v="1"/>
    <x v="0"/>
    <x v="0"/>
  </r>
  <r>
    <n v="2386"/>
    <x v="0"/>
    <x v="1"/>
    <s v="W"/>
    <n v="34230"/>
    <n v="551"/>
    <n v="15"/>
    <n v="33"/>
    <x v="0"/>
    <x v="1"/>
    <n v="0"/>
    <n v="1"/>
    <n v="0"/>
    <n v="0"/>
    <n v="0"/>
    <n v="0"/>
    <n v="0"/>
    <n v="2000"/>
    <n v="2000"/>
    <x v="0"/>
    <x v="0"/>
    <x v="1"/>
    <x v="0"/>
    <x v="0"/>
  </r>
  <r>
    <n v="2387"/>
    <x v="0"/>
    <x v="1"/>
    <s v="W"/>
    <n v="44500"/>
    <n v="660"/>
    <n v="49"/>
    <n v="59"/>
    <x v="0"/>
    <x v="2"/>
    <n v="2"/>
    <n v="0"/>
    <n v="0"/>
    <n v="0"/>
    <n v="0"/>
    <n v="0"/>
    <n v="0"/>
    <n v="1100"/>
    <n v="700"/>
    <x v="0"/>
    <x v="0"/>
    <x v="1"/>
    <x v="0"/>
    <x v="0"/>
  </r>
  <r>
    <n v="2388"/>
    <x v="0"/>
    <x v="1"/>
    <s v="W"/>
    <n v="22260"/>
    <n v="422"/>
    <n v="-25"/>
    <n v="2"/>
    <x v="0"/>
    <x v="0"/>
    <n v="0"/>
    <n v="0"/>
    <n v="0"/>
    <n v="0"/>
    <n v="0"/>
    <n v="0"/>
    <n v="0"/>
    <n v="0"/>
    <n v="0"/>
    <x v="0"/>
    <x v="0"/>
    <x v="1"/>
    <x v="0"/>
    <x v="0"/>
  </r>
  <r>
    <n v="2389"/>
    <x v="0"/>
    <x v="1"/>
    <s v="W"/>
    <n v="28280"/>
    <n v="498"/>
    <n v="-5"/>
    <n v="20"/>
    <x v="0"/>
    <x v="1"/>
    <n v="0"/>
    <n v="1"/>
    <n v="0"/>
    <n v="0"/>
    <n v="0"/>
    <n v="0"/>
    <n v="0"/>
    <n v="5000"/>
    <n v="5000"/>
    <x v="0"/>
    <x v="0"/>
    <x v="1"/>
    <x v="0"/>
    <x v="0"/>
  </r>
  <r>
    <n v="2390"/>
    <x v="0"/>
    <x v="1"/>
    <s v="W"/>
    <n v="32050"/>
    <n v="645"/>
    <n v="7"/>
    <n v="56"/>
    <x v="0"/>
    <x v="1"/>
    <n v="1"/>
    <n v="0"/>
    <n v="0"/>
    <n v="0"/>
    <n v="0"/>
    <n v="0"/>
    <n v="0"/>
    <n v="300"/>
    <n v="300"/>
    <x v="0"/>
    <x v="0"/>
    <x v="1"/>
    <x v="0"/>
    <x v="0"/>
  </r>
  <r>
    <n v="2391"/>
    <x v="0"/>
    <x v="1"/>
    <s v="W"/>
    <n v="30990"/>
    <n v="525"/>
    <n v="5"/>
    <n v="25"/>
    <x v="0"/>
    <x v="0"/>
    <n v="0"/>
    <n v="0"/>
    <n v="0"/>
    <n v="0"/>
    <n v="0"/>
    <n v="0"/>
    <n v="0"/>
    <n v="0"/>
    <n v="0"/>
    <x v="0"/>
    <x v="0"/>
    <x v="1"/>
    <x v="0"/>
    <x v="0"/>
  </r>
  <r>
    <n v="2392"/>
    <x v="0"/>
    <x v="1"/>
    <s v="W"/>
    <n v="20260"/>
    <n v="722"/>
    <n v="-19"/>
    <n v="-42"/>
    <x v="0"/>
    <x v="0"/>
    <n v="0"/>
    <n v="0"/>
    <n v="0"/>
    <n v="0"/>
    <n v="0"/>
    <n v="0"/>
    <n v="0"/>
    <n v="0"/>
    <n v="0"/>
    <x v="0"/>
    <x v="0"/>
    <x v="1"/>
    <x v="0"/>
    <x v="0"/>
  </r>
  <r>
    <n v="2393"/>
    <x v="0"/>
    <x v="1"/>
    <s v="W"/>
    <n v="32110"/>
    <n v="427"/>
    <n v="9"/>
    <n v="2"/>
    <x v="0"/>
    <x v="1"/>
    <n v="1"/>
    <n v="0"/>
    <n v="0"/>
    <n v="0"/>
    <n v="0"/>
    <n v="0"/>
    <n v="0"/>
    <n v="200"/>
    <n v="200"/>
    <x v="0"/>
    <x v="0"/>
    <x v="1"/>
    <x v="0"/>
    <x v="0"/>
  </r>
  <r>
    <n v="2394"/>
    <x v="0"/>
    <x v="1"/>
    <s v="W"/>
    <n v="32460"/>
    <n v="469"/>
    <n v="10"/>
    <n v="12"/>
    <x v="0"/>
    <x v="0"/>
    <n v="0"/>
    <n v="0"/>
    <n v="0"/>
    <n v="0"/>
    <n v="0"/>
    <n v="0"/>
    <n v="0"/>
    <n v="0"/>
    <n v="0"/>
    <x v="0"/>
    <x v="0"/>
    <x v="1"/>
    <x v="0"/>
    <x v="0"/>
  </r>
  <r>
    <n v="2395"/>
    <x v="0"/>
    <x v="1"/>
    <s v="W"/>
    <n v="25480"/>
    <n v="429"/>
    <n v="-14"/>
    <n v="2"/>
    <x v="0"/>
    <x v="0"/>
    <n v="0"/>
    <n v="0"/>
    <n v="0"/>
    <n v="0"/>
    <n v="0"/>
    <n v="0"/>
    <n v="0"/>
    <n v="0"/>
    <n v="0"/>
    <x v="0"/>
    <x v="0"/>
    <x v="1"/>
    <x v="0"/>
    <x v="0"/>
  </r>
  <r>
    <n v="2396"/>
    <x v="0"/>
    <x v="1"/>
    <s v="W"/>
    <n v="25460"/>
    <n v="412"/>
    <n v="-14"/>
    <n v="-2"/>
    <x v="0"/>
    <x v="0"/>
    <n v="0"/>
    <n v="0"/>
    <n v="0"/>
    <n v="0"/>
    <n v="0"/>
    <n v="0"/>
    <n v="0"/>
    <n v="0"/>
    <n v="0"/>
    <x v="0"/>
    <x v="0"/>
    <x v="1"/>
    <x v="0"/>
    <x v="0"/>
  </r>
  <r>
    <n v="2397"/>
    <x v="0"/>
    <x v="1"/>
    <s v="W"/>
    <n v="36770"/>
    <n v="657"/>
    <n v="25"/>
    <n v="57"/>
    <x v="0"/>
    <x v="1"/>
    <n v="0"/>
    <n v="1"/>
    <n v="0"/>
    <n v="0"/>
    <n v="0"/>
    <n v="0"/>
    <n v="0"/>
    <n v="1000"/>
    <n v="1000"/>
    <x v="0"/>
    <x v="0"/>
    <x v="1"/>
    <x v="0"/>
    <x v="0"/>
  </r>
  <r>
    <n v="2398"/>
    <x v="0"/>
    <x v="1"/>
    <s v="W"/>
    <n v="20580"/>
    <n v="436"/>
    <n v="-30"/>
    <n v="4"/>
    <x v="0"/>
    <x v="0"/>
    <n v="0"/>
    <n v="0"/>
    <n v="0"/>
    <n v="0"/>
    <n v="0"/>
    <n v="0"/>
    <n v="0"/>
    <n v="0"/>
    <n v="0"/>
    <x v="0"/>
    <x v="0"/>
    <x v="1"/>
    <x v="0"/>
    <x v="0"/>
  </r>
  <r>
    <n v="2399"/>
    <x v="0"/>
    <x v="1"/>
    <s v="N"/>
    <n v="13550"/>
    <n v="326"/>
    <n v="8"/>
    <n v="30"/>
    <x v="0"/>
    <x v="0"/>
    <n v="0"/>
    <n v="0"/>
    <n v="0"/>
    <n v="0"/>
    <n v="0"/>
    <n v="0"/>
    <n v="0"/>
    <n v="0"/>
    <n v="0"/>
    <x v="0"/>
    <x v="0"/>
    <x v="0"/>
    <x v="0"/>
    <x v="0"/>
  </r>
  <r>
    <n v="2400"/>
    <x v="0"/>
    <x v="1"/>
    <s v="N"/>
    <n v="21510"/>
    <n v="290"/>
    <n v="72"/>
    <n v="16"/>
    <x v="0"/>
    <x v="1"/>
    <n v="0"/>
    <n v="1"/>
    <n v="0"/>
    <n v="0"/>
    <n v="0"/>
    <n v="0"/>
    <n v="0"/>
    <n v="3000"/>
    <n v="3000"/>
    <x v="0"/>
    <x v="0"/>
    <x v="0"/>
    <x v="0"/>
    <x v="0"/>
  </r>
  <r>
    <n v="2401"/>
    <x v="0"/>
    <x v="1"/>
    <s v="N"/>
    <n v="13200"/>
    <n v="505"/>
    <n v="6"/>
    <n v="102"/>
    <x v="0"/>
    <x v="1"/>
    <n v="0"/>
    <n v="1"/>
    <n v="0"/>
    <n v="0"/>
    <n v="0"/>
    <n v="0"/>
    <n v="0"/>
    <n v="9000"/>
    <n v="9000"/>
    <x v="0"/>
    <x v="0"/>
    <x v="0"/>
    <x v="0"/>
    <x v="0"/>
  </r>
  <r>
    <n v="2402"/>
    <x v="0"/>
    <x v="1"/>
    <s v="W"/>
    <n v="34350"/>
    <n v="462"/>
    <n v="15"/>
    <n v="5"/>
    <x v="0"/>
    <x v="0"/>
    <n v="0"/>
    <n v="0"/>
    <n v="0"/>
    <n v="0"/>
    <n v="0"/>
    <n v="0"/>
    <n v="0"/>
    <n v="0"/>
    <n v="0"/>
    <x v="1"/>
    <x v="1"/>
    <x v="1"/>
    <x v="0"/>
    <x v="0"/>
  </r>
  <r>
    <n v="2403"/>
    <x v="0"/>
    <x v="1"/>
    <s v="N"/>
    <n v="30820"/>
    <n v="786"/>
    <n v="147"/>
    <n v="214"/>
    <x v="0"/>
    <x v="2"/>
    <n v="0"/>
    <n v="1"/>
    <n v="0"/>
    <n v="1"/>
    <n v="0"/>
    <n v="0"/>
    <n v="0"/>
    <n v="206000"/>
    <n v="200000"/>
    <x v="0"/>
    <x v="0"/>
    <x v="0"/>
    <x v="0"/>
    <x v="0"/>
  </r>
  <r>
    <n v="2404"/>
    <x v="0"/>
    <x v="1"/>
    <s v="N"/>
    <n v="20040"/>
    <n v="402"/>
    <n v="60"/>
    <n v="61"/>
    <x v="0"/>
    <x v="0"/>
    <n v="0"/>
    <n v="0"/>
    <n v="0"/>
    <n v="0"/>
    <n v="0"/>
    <n v="0"/>
    <n v="0"/>
    <n v="0"/>
    <n v="0"/>
    <x v="0"/>
    <x v="0"/>
    <x v="0"/>
    <x v="0"/>
    <x v="0"/>
  </r>
  <r>
    <n v="2405"/>
    <x v="0"/>
    <x v="1"/>
    <s v="N"/>
    <n v="9980"/>
    <n v="295"/>
    <n v="-20"/>
    <n v="18"/>
    <x v="0"/>
    <x v="0"/>
    <n v="0"/>
    <n v="0"/>
    <n v="0"/>
    <n v="0"/>
    <n v="0"/>
    <n v="0"/>
    <n v="0"/>
    <n v="0"/>
    <n v="0"/>
    <x v="0"/>
    <x v="0"/>
    <x v="0"/>
    <x v="1"/>
    <x v="0"/>
  </r>
  <r>
    <n v="2406"/>
    <x v="0"/>
    <x v="1"/>
    <s v="W"/>
    <n v="29160"/>
    <n v="435"/>
    <n v="-2"/>
    <n v="-1"/>
    <x v="0"/>
    <x v="0"/>
    <n v="0"/>
    <n v="0"/>
    <n v="0"/>
    <n v="0"/>
    <n v="0"/>
    <n v="0"/>
    <n v="0"/>
    <n v="0"/>
    <n v="0"/>
    <x v="0"/>
    <x v="0"/>
    <x v="1"/>
    <x v="0"/>
    <x v="0"/>
  </r>
  <r>
    <n v="2407"/>
    <x v="1"/>
    <x v="1"/>
    <s v="W"/>
    <n v="21760"/>
    <n v="391"/>
    <n v="-25"/>
    <n v="-11"/>
    <x v="0"/>
    <x v="1"/>
    <n v="0"/>
    <n v="1"/>
    <n v="0"/>
    <n v="0"/>
    <n v="0"/>
    <n v="0"/>
    <n v="0"/>
    <n v="1000"/>
    <n v="1000"/>
    <x v="0"/>
    <x v="0"/>
    <x v="1"/>
    <x v="0"/>
    <x v="0"/>
  </r>
  <r>
    <n v="2408"/>
    <x v="1"/>
    <x v="1"/>
    <s v="W"/>
    <n v="20160"/>
    <n v="317"/>
    <n v="-30"/>
    <n v="-28"/>
    <x v="0"/>
    <x v="1"/>
    <n v="1"/>
    <n v="0"/>
    <n v="0"/>
    <n v="0"/>
    <n v="0"/>
    <n v="0"/>
    <n v="0"/>
    <n v="300"/>
    <n v="300"/>
    <x v="0"/>
    <x v="0"/>
    <x v="1"/>
    <x v="0"/>
    <x v="0"/>
  </r>
  <r>
    <n v="2409"/>
    <x v="1"/>
    <x v="1"/>
    <s v="W"/>
    <n v="24370"/>
    <n v="428"/>
    <n v="-16"/>
    <n v="-3"/>
    <x v="0"/>
    <x v="1"/>
    <n v="0"/>
    <n v="1"/>
    <n v="0"/>
    <n v="0"/>
    <n v="0"/>
    <n v="0"/>
    <n v="0"/>
    <n v="2000"/>
    <n v="2000"/>
    <x v="0"/>
    <x v="0"/>
    <x v="1"/>
    <x v="0"/>
    <x v="0"/>
  </r>
  <r>
    <n v="2410"/>
    <x v="1"/>
    <x v="1"/>
    <s v="W"/>
    <n v="15560"/>
    <n v="264"/>
    <n v="-46"/>
    <n v="-40"/>
    <x v="0"/>
    <x v="0"/>
    <n v="0"/>
    <n v="0"/>
    <n v="0"/>
    <n v="0"/>
    <n v="0"/>
    <n v="0"/>
    <n v="0"/>
    <n v="0"/>
    <n v="0"/>
    <x v="0"/>
    <x v="0"/>
    <x v="1"/>
    <x v="0"/>
    <x v="0"/>
  </r>
  <r>
    <n v="2411"/>
    <x v="1"/>
    <x v="1"/>
    <s v="W"/>
    <n v="25760"/>
    <n v="410"/>
    <n v="-11"/>
    <n v="-7"/>
    <x v="0"/>
    <x v="1"/>
    <n v="1"/>
    <n v="0"/>
    <n v="0"/>
    <n v="0"/>
    <n v="0"/>
    <n v="0"/>
    <n v="0"/>
    <n v="200"/>
    <n v="200"/>
    <x v="0"/>
    <x v="0"/>
    <x v="1"/>
    <x v="0"/>
    <x v="0"/>
  </r>
  <r>
    <n v="2412"/>
    <x v="1"/>
    <x v="1"/>
    <s v="W"/>
    <n v="42340"/>
    <n v="515"/>
    <n v="46"/>
    <n v="17"/>
    <x v="0"/>
    <x v="0"/>
    <n v="0"/>
    <n v="0"/>
    <n v="0"/>
    <n v="0"/>
    <n v="0"/>
    <n v="0"/>
    <n v="0"/>
    <n v="0"/>
    <n v="0"/>
    <x v="0"/>
    <x v="0"/>
    <x v="1"/>
    <x v="0"/>
    <x v="0"/>
  </r>
  <r>
    <n v="2413"/>
    <x v="1"/>
    <x v="1"/>
    <s v="W"/>
    <n v="21950"/>
    <n v="375"/>
    <n v="-24"/>
    <n v="-15"/>
    <x v="0"/>
    <x v="1"/>
    <n v="0"/>
    <n v="1"/>
    <n v="0"/>
    <n v="0"/>
    <n v="0"/>
    <n v="0"/>
    <n v="0"/>
    <n v="2000"/>
    <n v="2000"/>
    <x v="0"/>
    <x v="0"/>
    <x v="1"/>
    <x v="0"/>
    <x v="0"/>
  </r>
  <r>
    <n v="2414"/>
    <x v="1"/>
    <x v="1"/>
    <s v="N"/>
    <n v="10030"/>
    <n v="244"/>
    <n v="-20"/>
    <n v="-2"/>
    <x v="0"/>
    <x v="0"/>
    <n v="0"/>
    <n v="0"/>
    <n v="0"/>
    <n v="0"/>
    <n v="0"/>
    <n v="0"/>
    <n v="0"/>
    <n v="0"/>
    <n v="0"/>
    <x v="0"/>
    <x v="0"/>
    <x v="0"/>
    <x v="0"/>
    <x v="0"/>
  </r>
  <r>
    <n v="2415"/>
    <x v="1"/>
    <x v="1"/>
    <s v="N"/>
    <n v="12540"/>
    <n v="211"/>
    <n v="0"/>
    <n v="-16"/>
    <x v="0"/>
    <x v="0"/>
    <n v="0"/>
    <n v="0"/>
    <n v="0"/>
    <n v="0"/>
    <n v="0"/>
    <n v="0"/>
    <n v="0"/>
    <n v="0"/>
    <n v="0"/>
    <x v="0"/>
    <x v="0"/>
    <x v="0"/>
    <x v="0"/>
    <x v="0"/>
  </r>
  <r>
    <n v="2416"/>
    <x v="1"/>
    <x v="1"/>
    <s v="W"/>
    <n v="23860"/>
    <n v="269"/>
    <n v="-11"/>
    <n v="-38"/>
    <x v="0"/>
    <x v="1"/>
    <n v="1"/>
    <n v="0"/>
    <n v="0"/>
    <n v="0"/>
    <n v="0"/>
    <n v="0"/>
    <n v="0"/>
    <n v="200"/>
    <n v="200"/>
    <x v="0"/>
    <x v="0"/>
    <x v="1"/>
    <x v="0"/>
    <x v="0"/>
  </r>
  <r>
    <n v="2417"/>
    <x v="1"/>
    <x v="1"/>
    <s v="W"/>
    <n v="24950"/>
    <n v="344"/>
    <n v="-7"/>
    <n v="-21"/>
    <x v="0"/>
    <x v="1"/>
    <n v="1"/>
    <n v="0"/>
    <n v="0"/>
    <n v="0"/>
    <n v="0"/>
    <n v="0"/>
    <n v="0"/>
    <n v="300"/>
    <n v="300"/>
    <x v="0"/>
    <x v="0"/>
    <x v="1"/>
    <x v="0"/>
    <x v="0"/>
  </r>
  <r>
    <n v="2418"/>
    <x v="1"/>
    <x v="1"/>
    <s v="W"/>
    <n v="37950"/>
    <n v="527"/>
    <n v="41"/>
    <n v="22"/>
    <x v="0"/>
    <x v="1"/>
    <n v="0"/>
    <n v="1"/>
    <n v="0"/>
    <n v="0"/>
    <n v="0"/>
    <n v="0"/>
    <n v="0"/>
    <n v="8000"/>
    <n v="8000"/>
    <x v="0"/>
    <x v="0"/>
    <x v="1"/>
    <x v="0"/>
    <x v="0"/>
  </r>
  <r>
    <n v="2419"/>
    <x v="1"/>
    <x v="1"/>
    <s v="N"/>
    <n v="11540"/>
    <n v="285"/>
    <n v="-8"/>
    <n v="14"/>
    <x v="0"/>
    <x v="0"/>
    <n v="0"/>
    <n v="0"/>
    <n v="0"/>
    <n v="0"/>
    <n v="0"/>
    <n v="0"/>
    <n v="0"/>
    <n v="0"/>
    <n v="0"/>
    <x v="0"/>
    <x v="0"/>
    <x v="0"/>
    <x v="0"/>
    <x v="0"/>
  </r>
  <r>
    <n v="2420"/>
    <x v="1"/>
    <x v="1"/>
    <s v="N"/>
    <n v="12480"/>
    <n v="260"/>
    <n v="0"/>
    <n v="4"/>
    <x v="0"/>
    <x v="0"/>
    <n v="0"/>
    <n v="0"/>
    <n v="0"/>
    <n v="0"/>
    <n v="0"/>
    <n v="0"/>
    <n v="0"/>
    <n v="0"/>
    <n v="0"/>
    <x v="0"/>
    <x v="0"/>
    <x v="0"/>
    <x v="0"/>
    <x v="0"/>
  </r>
  <r>
    <n v="2421"/>
    <x v="1"/>
    <x v="1"/>
    <s v="N"/>
    <n v="4330"/>
    <n v="160"/>
    <n v="-65"/>
    <n v="-36"/>
    <x v="0"/>
    <x v="0"/>
    <n v="0"/>
    <n v="0"/>
    <n v="0"/>
    <n v="0"/>
    <n v="0"/>
    <n v="0"/>
    <n v="0"/>
    <n v="0"/>
    <n v="0"/>
    <x v="0"/>
    <x v="0"/>
    <x v="0"/>
    <x v="1"/>
    <x v="0"/>
  </r>
  <r>
    <n v="2422"/>
    <x v="1"/>
    <x v="1"/>
    <s v="N"/>
    <n v="12520"/>
    <n v="184"/>
    <n v="0"/>
    <n v="-26"/>
    <x v="0"/>
    <x v="0"/>
    <n v="0"/>
    <n v="0"/>
    <n v="0"/>
    <n v="0"/>
    <n v="0"/>
    <n v="0"/>
    <n v="0"/>
    <n v="0"/>
    <n v="0"/>
    <x v="0"/>
    <x v="0"/>
    <x v="0"/>
    <x v="0"/>
    <x v="0"/>
  </r>
  <r>
    <n v="2423"/>
    <x v="0"/>
    <x v="1"/>
    <s v="N"/>
    <n v="2480"/>
    <n v="145"/>
    <n v="-80"/>
    <n v="-40"/>
    <x v="0"/>
    <x v="0"/>
    <n v="0"/>
    <n v="0"/>
    <n v="0"/>
    <n v="0"/>
    <n v="0"/>
    <n v="0"/>
    <n v="0"/>
    <n v="0"/>
    <n v="0"/>
    <x v="0"/>
    <x v="0"/>
    <x v="0"/>
    <x v="1"/>
    <x v="0"/>
  </r>
  <r>
    <n v="2424"/>
    <x v="0"/>
    <x v="1"/>
    <s v="N"/>
    <n v="6260"/>
    <n v="114"/>
    <n v="-49"/>
    <n v="-53"/>
    <x v="0"/>
    <x v="0"/>
    <n v="0"/>
    <n v="0"/>
    <n v="0"/>
    <n v="0"/>
    <n v="0"/>
    <n v="0"/>
    <n v="0"/>
    <n v="0"/>
    <n v="0"/>
    <x v="0"/>
    <x v="0"/>
    <x v="0"/>
    <x v="1"/>
    <x v="0"/>
  </r>
  <r>
    <n v="2425"/>
    <x v="0"/>
    <x v="1"/>
    <s v="N"/>
    <n v="5690"/>
    <n v="100"/>
    <n v="-53"/>
    <n v="-59"/>
    <x v="0"/>
    <x v="0"/>
    <n v="0"/>
    <n v="0"/>
    <n v="0"/>
    <n v="0"/>
    <n v="0"/>
    <n v="0"/>
    <n v="0"/>
    <n v="0"/>
    <n v="0"/>
    <x v="0"/>
    <x v="0"/>
    <x v="0"/>
    <x v="1"/>
    <x v="0"/>
  </r>
  <r>
    <n v="2426"/>
    <x v="0"/>
    <x v="1"/>
    <s v="N"/>
    <n v="3530"/>
    <n v="131"/>
    <n v="-71"/>
    <n v="-46"/>
    <x v="0"/>
    <x v="0"/>
    <n v="0"/>
    <n v="0"/>
    <n v="0"/>
    <n v="0"/>
    <n v="0"/>
    <n v="0"/>
    <n v="0"/>
    <n v="0"/>
    <n v="0"/>
    <x v="0"/>
    <x v="0"/>
    <x v="0"/>
    <x v="1"/>
    <x v="0"/>
  </r>
  <r>
    <n v="2427"/>
    <x v="0"/>
    <x v="1"/>
    <s v="N"/>
    <n v="4560"/>
    <n v="112"/>
    <n v="-63"/>
    <n v="-54"/>
    <x v="0"/>
    <x v="0"/>
    <n v="0"/>
    <n v="0"/>
    <n v="0"/>
    <n v="0"/>
    <n v="0"/>
    <n v="0"/>
    <n v="0"/>
    <n v="0"/>
    <n v="0"/>
    <x v="0"/>
    <x v="0"/>
    <x v="0"/>
    <x v="1"/>
    <x v="0"/>
  </r>
  <r>
    <n v="2428"/>
    <x v="0"/>
    <x v="1"/>
    <s v="N"/>
    <n v="4650"/>
    <n v="104"/>
    <n v="-62"/>
    <n v="-57"/>
    <x v="0"/>
    <x v="0"/>
    <n v="0"/>
    <n v="0"/>
    <n v="0"/>
    <n v="0"/>
    <n v="0"/>
    <n v="0"/>
    <n v="0"/>
    <n v="0"/>
    <n v="0"/>
    <x v="0"/>
    <x v="0"/>
    <x v="0"/>
    <x v="1"/>
    <x v="0"/>
  </r>
  <r>
    <n v="2429"/>
    <x v="0"/>
    <x v="1"/>
    <s v="W"/>
    <n v="3590"/>
    <n v="203"/>
    <n v="-69"/>
    <n v="-60"/>
    <x v="0"/>
    <x v="0"/>
    <n v="0"/>
    <n v="0"/>
    <n v="0"/>
    <n v="0"/>
    <n v="0"/>
    <n v="0"/>
    <n v="0"/>
    <n v="0"/>
    <n v="0"/>
    <x v="0"/>
    <x v="0"/>
    <x v="1"/>
    <x v="1"/>
    <x v="0"/>
  </r>
  <r>
    <n v="2430"/>
    <x v="0"/>
    <x v="1"/>
    <s v="N"/>
    <n v="22930"/>
    <n v="328"/>
    <n v="88"/>
    <n v="36"/>
    <x v="0"/>
    <x v="0"/>
    <n v="0"/>
    <n v="0"/>
    <n v="0"/>
    <n v="0"/>
    <n v="0"/>
    <n v="0"/>
    <n v="0"/>
    <n v="0"/>
    <n v="0"/>
    <x v="0"/>
    <x v="0"/>
    <x v="0"/>
    <x v="0"/>
    <x v="0"/>
  </r>
  <r>
    <n v="2431"/>
    <x v="0"/>
    <x v="0"/>
    <s v="N"/>
    <n v="13880"/>
    <n v="248"/>
    <n v="9"/>
    <n v="2"/>
    <x v="0"/>
    <x v="0"/>
    <n v="0"/>
    <n v="0"/>
    <n v="0"/>
    <n v="0"/>
    <n v="0"/>
    <n v="0"/>
    <n v="0"/>
    <n v="0"/>
    <n v="0"/>
    <x v="0"/>
    <x v="0"/>
    <x v="0"/>
    <x v="0"/>
    <x v="0"/>
  </r>
  <r>
    <n v="2432"/>
    <x v="0"/>
    <x v="0"/>
    <s v="N"/>
    <n v="11780"/>
    <n v="159"/>
    <n v="-7"/>
    <n v="-35"/>
    <x v="0"/>
    <x v="1"/>
    <n v="1"/>
    <n v="0"/>
    <n v="0"/>
    <n v="0"/>
    <n v="0"/>
    <n v="0"/>
    <n v="0"/>
    <n v="300"/>
    <n v="300"/>
    <x v="0"/>
    <x v="0"/>
    <x v="0"/>
    <x v="0"/>
    <x v="0"/>
  </r>
  <r>
    <n v="2433"/>
    <x v="0"/>
    <x v="0"/>
    <s v="N"/>
    <n v="12200"/>
    <n v="580"/>
    <n v="105"/>
    <n v="310"/>
    <x v="1"/>
    <x v="0"/>
    <n v="0"/>
    <n v="0"/>
    <n v="0"/>
    <n v="0"/>
    <n v="0"/>
    <n v="0"/>
    <n v="0"/>
    <n v="0"/>
    <n v="0"/>
    <x v="0"/>
    <x v="0"/>
    <x v="0"/>
    <x v="0"/>
    <x v="0"/>
  </r>
  <r>
    <n v="2434"/>
    <x v="0"/>
    <x v="0"/>
    <s v="N"/>
    <n v="4580"/>
    <n v="100"/>
    <n v="-64"/>
    <n v="-59"/>
    <x v="0"/>
    <x v="0"/>
    <n v="0"/>
    <n v="0"/>
    <n v="0"/>
    <n v="0"/>
    <n v="0"/>
    <n v="0"/>
    <n v="0"/>
    <n v="0"/>
    <n v="0"/>
    <x v="0"/>
    <x v="0"/>
    <x v="0"/>
    <x v="1"/>
    <x v="0"/>
  </r>
  <r>
    <n v="2435"/>
    <x v="0"/>
    <x v="0"/>
    <s v="N"/>
    <n v="3420"/>
    <n v="74"/>
    <n v="-73"/>
    <n v="-70"/>
    <x v="0"/>
    <x v="0"/>
    <n v="0"/>
    <n v="0"/>
    <n v="0"/>
    <n v="0"/>
    <n v="0"/>
    <n v="0"/>
    <n v="0"/>
    <n v="0"/>
    <n v="0"/>
    <x v="0"/>
    <x v="0"/>
    <x v="0"/>
    <x v="1"/>
    <x v="0"/>
  </r>
  <r>
    <n v="2436"/>
    <x v="0"/>
    <x v="0"/>
    <s v="N"/>
    <n v="2930"/>
    <n v="408"/>
    <n v="-77"/>
    <n v="67"/>
    <x v="0"/>
    <x v="0"/>
    <n v="0"/>
    <n v="0"/>
    <n v="0"/>
    <n v="0"/>
    <n v="0"/>
    <n v="0"/>
    <n v="0"/>
    <n v="0"/>
    <n v="0"/>
    <x v="0"/>
    <x v="0"/>
    <x v="0"/>
    <x v="1"/>
    <x v="0"/>
  </r>
  <r>
    <n v="2437"/>
    <x v="0"/>
    <x v="0"/>
    <s v="N"/>
    <n v="3130"/>
    <n v="72"/>
    <n v="-75"/>
    <n v="-71"/>
    <x v="0"/>
    <x v="0"/>
    <n v="0"/>
    <n v="0"/>
    <n v="0"/>
    <n v="0"/>
    <n v="0"/>
    <n v="0"/>
    <n v="0"/>
    <n v="0"/>
    <n v="0"/>
    <x v="0"/>
    <x v="0"/>
    <x v="0"/>
    <x v="1"/>
    <x v="0"/>
  </r>
  <r>
    <n v="2438"/>
    <x v="0"/>
    <x v="0"/>
    <s v="N"/>
    <n v="3160"/>
    <n v="73"/>
    <n v="-75"/>
    <n v="-70"/>
    <x v="0"/>
    <x v="0"/>
    <n v="0"/>
    <n v="0"/>
    <n v="0"/>
    <n v="0"/>
    <n v="0"/>
    <n v="0"/>
    <n v="0"/>
    <n v="0"/>
    <n v="0"/>
    <x v="0"/>
    <x v="0"/>
    <x v="0"/>
    <x v="1"/>
    <x v="0"/>
  </r>
  <r>
    <n v="2439"/>
    <x v="0"/>
    <x v="0"/>
    <s v="N"/>
    <n v="4400"/>
    <n v="67"/>
    <n v="-64"/>
    <n v="-71"/>
    <x v="0"/>
    <x v="0"/>
    <n v="0"/>
    <n v="0"/>
    <n v="0"/>
    <n v="0"/>
    <n v="0"/>
    <n v="0"/>
    <n v="0"/>
    <n v="0"/>
    <n v="0"/>
    <x v="0"/>
    <x v="0"/>
    <x v="0"/>
    <x v="1"/>
    <x v="0"/>
  </r>
  <r>
    <n v="2440"/>
    <x v="0"/>
    <x v="0"/>
    <s v="N"/>
    <n v="1910"/>
    <n v="46"/>
    <n v="-84"/>
    <n v="-80"/>
    <x v="0"/>
    <x v="0"/>
    <n v="0"/>
    <n v="0"/>
    <n v="0"/>
    <n v="0"/>
    <n v="0"/>
    <n v="0"/>
    <n v="0"/>
    <n v="0"/>
    <n v="0"/>
    <x v="0"/>
    <x v="0"/>
    <x v="0"/>
    <x v="1"/>
    <x v="0"/>
  </r>
  <r>
    <n v="2441"/>
    <x v="0"/>
    <x v="0"/>
    <s v="N"/>
    <n v="1400"/>
    <n v="51"/>
    <n v="-88"/>
    <n v="-78"/>
    <x v="0"/>
    <x v="0"/>
    <n v="0"/>
    <n v="0"/>
    <n v="0"/>
    <n v="0"/>
    <n v="0"/>
    <n v="0"/>
    <n v="0"/>
    <n v="0"/>
    <n v="0"/>
    <x v="0"/>
    <x v="0"/>
    <x v="0"/>
    <x v="1"/>
    <x v="0"/>
  </r>
  <r>
    <n v="2442"/>
    <x v="0"/>
    <x v="0"/>
    <s v="N"/>
    <n v="3000"/>
    <n v="72"/>
    <n v="-75"/>
    <n v="-69"/>
    <x v="0"/>
    <x v="0"/>
    <n v="0"/>
    <n v="0"/>
    <n v="0"/>
    <n v="0"/>
    <n v="0"/>
    <n v="0"/>
    <n v="0"/>
    <n v="0"/>
    <n v="0"/>
    <x v="0"/>
    <x v="0"/>
    <x v="0"/>
    <x v="1"/>
    <x v="0"/>
  </r>
  <r>
    <n v="2443"/>
    <x v="0"/>
    <x v="0"/>
    <s v="N"/>
    <n v="3540"/>
    <n v="53"/>
    <n v="-71"/>
    <n v="-77"/>
    <x v="0"/>
    <x v="0"/>
    <n v="0"/>
    <n v="0"/>
    <n v="0"/>
    <n v="0"/>
    <n v="0"/>
    <n v="0"/>
    <n v="0"/>
    <n v="0"/>
    <n v="0"/>
    <x v="0"/>
    <x v="0"/>
    <x v="0"/>
    <x v="1"/>
    <x v="0"/>
  </r>
  <r>
    <n v="2444"/>
    <x v="0"/>
    <x v="0"/>
    <s v="N"/>
    <n v="2520"/>
    <n v="83"/>
    <n v="-85"/>
    <n v="-75"/>
    <x v="0"/>
    <x v="0"/>
    <n v="0"/>
    <n v="0"/>
    <n v="0"/>
    <n v="0"/>
    <n v="0"/>
    <n v="0"/>
    <n v="0"/>
    <n v="0"/>
    <n v="0"/>
    <x v="0"/>
    <x v="0"/>
    <x v="0"/>
    <x v="1"/>
    <x v="0"/>
  </r>
  <r>
    <n v="2445"/>
    <x v="0"/>
    <x v="0"/>
    <s v="N"/>
    <n v="4870"/>
    <n v="39"/>
    <n v="-15"/>
    <n v="-71"/>
    <x v="0"/>
    <x v="1"/>
    <n v="0"/>
    <n v="1"/>
    <n v="0"/>
    <n v="0"/>
    <n v="0"/>
    <n v="0"/>
    <n v="0"/>
    <n v="6000"/>
    <n v="6000"/>
    <x v="0"/>
    <x v="0"/>
    <x v="0"/>
    <x v="1"/>
    <x v="0"/>
  </r>
  <r>
    <n v="2446"/>
    <x v="0"/>
    <x v="0"/>
    <s v="N"/>
    <n v="3860"/>
    <n v="53"/>
    <n v="-68"/>
    <n v="-77"/>
    <x v="0"/>
    <x v="0"/>
    <n v="0"/>
    <n v="0"/>
    <n v="0"/>
    <n v="0"/>
    <n v="0"/>
    <n v="0"/>
    <n v="0"/>
    <n v="0"/>
    <n v="0"/>
    <x v="0"/>
    <x v="0"/>
    <x v="0"/>
    <x v="1"/>
    <x v="0"/>
  </r>
  <r>
    <n v="2447"/>
    <x v="0"/>
    <x v="0"/>
    <s v="N"/>
    <n v="1330"/>
    <n v="54"/>
    <n v="-88"/>
    <n v="-76"/>
    <x v="0"/>
    <x v="0"/>
    <n v="0"/>
    <n v="0"/>
    <n v="0"/>
    <n v="0"/>
    <n v="0"/>
    <n v="0"/>
    <n v="0"/>
    <n v="0"/>
    <n v="0"/>
    <x v="0"/>
    <x v="0"/>
    <x v="0"/>
    <x v="1"/>
    <x v="0"/>
  </r>
  <r>
    <n v="2448"/>
    <x v="0"/>
    <x v="0"/>
    <s v="N"/>
    <n v="1620"/>
    <n v="55"/>
    <n v="-85"/>
    <n v="-72"/>
    <x v="0"/>
    <x v="0"/>
    <n v="0"/>
    <n v="0"/>
    <n v="0"/>
    <n v="0"/>
    <n v="0"/>
    <n v="0"/>
    <n v="0"/>
    <n v="0"/>
    <n v="0"/>
    <x v="1"/>
    <x v="1"/>
    <x v="0"/>
    <x v="1"/>
    <x v="0"/>
  </r>
  <r>
    <n v="2449"/>
    <x v="0"/>
    <x v="0"/>
    <s v="W"/>
    <n v="9890"/>
    <n v="89"/>
    <n v="-63"/>
    <n v="-79"/>
    <x v="0"/>
    <x v="1"/>
    <n v="0"/>
    <n v="0"/>
    <n v="1"/>
    <n v="0"/>
    <n v="0"/>
    <n v="0"/>
    <n v="0"/>
    <n v="20000"/>
    <n v="20000"/>
    <x v="0"/>
    <x v="0"/>
    <x v="1"/>
    <x v="1"/>
    <x v="0"/>
  </r>
  <r>
    <n v="2450"/>
    <x v="0"/>
    <x v="0"/>
    <s v="W"/>
    <n v="4150"/>
    <n v="262"/>
    <n v="-64"/>
    <n v="-49"/>
    <x v="0"/>
    <x v="0"/>
    <n v="0"/>
    <n v="0"/>
    <n v="0"/>
    <n v="0"/>
    <n v="0"/>
    <n v="0"/>
    <n v="0"/>
    <n v="0"/>
    <n v="0"/>
    <x v="0"/>
    <x v="0"/>
    <x v="1"/>
    <x v="1"/>
    <x v="0"/>
  </r>
  <r>
    <n v="2451"/>
    <x v="0"/>
    <x v="0"/>
    <s v="W"/>
    <n v="7870"/>
    <n v="141"/>
    <n v="-71"/>
    <n v="-67"/>
    <x v="0"/>
    <x v="1"/>
    <n v="1"/>
    <n v="0"/>
    <n v="0"/>
    <n v="0"/>
    <n v="0"/>
    <n v="0"/>
    <n v="0"/>
    <n v="700"/>
    <n v="700"/>
    <x v="0"/>
    <x v="0"/>
    <x v="1"/>
    <x v="1"/>
    <x v="0"/>
  </r>
  <r>
    <n v="2452"/>
    <x v="0"/>
    <x v="0"/>
    <s v="W"/>
    <n v="20380"/>
    <n v="338"/>
    <n v="-24"/>
    <n v="-22"/>
    <x v="0"/>
    <x v="1"/>
    <n v="1"/>
    <n v="0"/>
    <n v="0"/>
    <n v="0"/>
    <n v="0"/>
    <n v="0"/>
    <n v="0"/>
    <n v="200"/>
    <n v="200"/>
    <x v="0"/>
    <x v="0"/>
    <x v="1"/>
    <x v="0"/>
    <x v="0"/>
  </r>
  <r>
    <n v="2453"/>
    <x v="0"/>
    <x v="0"/>
    <s v="W"/>
    <n v="26660"/>
    <n v="486"/>
    <n v="-1"/>
    <n v="12"/>
    <x v="0"/>
    <x v="0"/>
    <n v="0"/>
    <n v="0"/>
    <n v="0"/>
    <n v="0"/>
    <n v="0"/>
    <n v="0"/>
    <n v="0"/>
    <n v="0"/>
    <n v="0"/>
    <x v="0"/>
    <x v="0"/>
    <x v="1"/>
    <x v="0"/>
    <x v="0"/>
  </r>
  <r>
    <n v="2454"/>
    <x v="0"/>
    <x v="0"/>
    <s v="W"/>
    <n v="25050"/>
    <n v="353"/>
    <n v="-7"/>
    <n v="-19"/>
    <x v="0"/>
    <x v="0"/>
    <n v="0"/>
    <n v="0"/>
    <n v="0"/>
    <n v="0"/>
    <n v="0"/>
    <n v="0"/>
    <n v="0"/>
    <n v="0"/>
    <n v="0"/>
    <x v="0"/>
    <x v="0"/>
    <x v="1"/>
    <x v="0"/>
    <x v="0"/>
  </r>
  <r>
    <n v="2455"/>
    <x v="1"/>
    <x v="0"/>
    <s v="W"/>
    <n v="12950"/>
    <n v="343"/>
    <n v="-12"/>
    <n v="-9"/>
    <x v="0"/>
    <x v="0"/>
    <n v="0"/>
    <n v="0"/>
    <n v="0"/>
    <n v="0"/>
    <n v="0"/>
    <n v="0"/>
    <n v="0"/>
    <n v="0"/>
    <n v="0"/>
    <x v="0"/>
    <x v="0"/>
    <x v="1"/>
    <x v="0"/>
    <x v="0"/>
  </r>
  <r>
    <n v="2456"/>
    <x v="1"/>
    <x v="0"/>
    <s v="W"/>
    <n v="29720"/>
    <n v="368"/>
    <n v="12"/>
    <n v="-14"/>
    <x v="0"/>
    <x v="1"/>
    <n v="0"/>
    <n v="1"/>
    <n v="0"/>
    <n v="0"/>
    <n v="0"/>
    <n v="0"/>
    <n v="0"/>
    <n v="4000"/>
    <n v="4000"/>
    <x v="0"/>
    <x v="0"/>
    <x v="1"/>
    <x v="0"/>
    <x v="0"/>
  </r>
  <r>
    <n v="2457"/>
    <x v="1"/>
    <x v="0"/>
    <s v="W"/>
    <n v="11480"/>
    <n v="260"/>
    <n v="-57"/>
    <n v="-39"/>
    <x v="0"/>
    <x v="0"/>
    <n v="0"/>
    <n v="0"/>
    <n v="0"/>
    <n v="0"/>
    <n v="0"/>
    <n v="0"/>
    <n v="0"/>
    <n v="0"/>
    <n v="0"/>
    <x v="0"/>
    <x v="0"/>
    <x v="1"/>
    <x v="0"/>
    <x v="0"/>
  </r>
  <r>
    <n v="2458"/>
    <x v="1"/>
    <x v="0"/>
    <s v="W"/>
    <n v="12220"/>
    <n v="249"/>
    <n v="-54"/>
    <n v="-42"/>
    <x v="0"/>
    <x v="0"/>
    <n v="0"/>
    <n v="0"/>
    <n v="0"/>
    <n v="0"/>
    <n v="0"/>
    <n v="0"/>
    <n v="0"/>
    <n v="0"/>
    <n v="0"/>
    <x v="0"/>
    <x v="0"/>
    <x v="1"/>
    <x v="0"/>
    <x v="0"/>
  </r>
  <r>
    <n v="2459"/>
    <x v="1"/>
    <x v="0"/>
    <s v="W"/>
    <n v="5890"/>
    <n v="166"/>
    <n v="-60"/>
    <n v="-56"/>
    <x v="0"/>
    <x v="0"/>
    <n v="0"/>
    <n v="0"/>
    <n v="0"/>
    <n v="0"/>
    <n v="0"/>
    <n v="0"/>
    <n v="0"/>
    <n v="0"/>
    <n v="0"/>
    <x v="0"/>
    <x v="0"/>
    <x v="1"/>
    <x v="1"/>
    <x v="0"/>
  </r>
  <r>
    <n v="2460"/>
    <x v="1"/>
    <x v="0"/>
    <s v="W"/>
    <n v="7240"/>
    <n v="164"/>
    <n v="-51"/>
    <n v="-57"/>
    <x v="0"/>
    <x v="0"/>
    <n v="0"/>
    <n v="0"/>
    <n v="0"/>
    <n v="0"/>
    <n v="0"/>
    <n v="0"/>
    <n v="0"/>
    <n v="0"/>
    <n v="0"/>
    <x v="0"/>
    <x v="0"/>
    <x v="1"/>
    <x v="1"/>
    <x v="0"/>
  </r>
  <r>
    <n v="2461"/>
    <x v="1"/>
    <x v="0"/>
    <s v="W"/>
    <n v="6580"/>
    <n v="161"/>
    <n v="-75"/>
    <n v="-63"/>
    <x v="0"/>
    <x v="0"/>
    <n v="0"/>
    <n v="0"/>
    <n v="0"/>
    <n v="0"/>
    <n v="0"/>
    <n v="0"/>
    <n v="0"/>
    <n v="0"/>
    <n v="0"/>
    <x v="0"/>
    <x v="0"/>
    <x v="1"/>
    <x v="1"/>
    <x v="0"/>
  </r>
  <r>
    <n v="2462"/>
    <x v="1"/>
    <x v="0"/>
    <s v="W"/>
    <n v="28590"/>
    <n v="387"/>
    <n v="8"/>
    <n v="-10"/>
    <x v="0"/>
    <x v="2"/>
    <n v="2"/>
    <n v="0"/>
    <n v="0"/>
    <n v="0"/>
    <n v="0"/>
    <n v="0"/>
    <n v="0"/>
    <n v="1300"/>
    <n v="900"/>
    <x v="0"/>
    <x v="0"/>
    <x v="1"/>
    <x v="0"/>
    <x v="0"/>
  </r>
  <r>
    <n v="2463"/>
    <x v="1"/>
    <x v="0"/>
    <s v="W"/>
    <n v="16820"/>
    <n v="244"/>
    <n v="-32"/>
    <n v="-39"/>
    <x v="0"/>
    <x v="0"/>
    <n v="0"/>
    <n v="0"/>
    <n v="0"/>
    <n v="0"/>
    <n v="0"/>
    <n v="0"/>
    <n v="0"/>
    <n v="0"/>
    <n v="0"/>
    <x v="0"/>
    <x v="0"/>
    <x v="1"/>
    <x v="0"/>
    <x v="0"/>
  </r>
  <r>
    <n v="2464"/>
    <x v="1"/>
    <x v="0"/>
    <s v="W"/>
    <n v="15650"/>
    <n v="664"/>
    <n v="45"/>
    <n v="42"/>
    <x v="0"/>
    <x v="1"/>
    <n v="1"/>
    <n v="0"/>
    <n v="0"/>
    <n v="0"/>
    <n v="0"/>
    <n v="0"/>
    <n v="0"/>
    <n v="800"/>
    <n v="800"/>
    <x v="0"/>
    <x v="0"/>
    <x v="1"/>
    <x v="0"/>
    <x v="0"/>
  </r>
  <r>
    <n v="2465"/>
    <x v="1"/>
    <x v="0"/>
    <s v="W"/>
    <n v="9820"/>
    <n v="167"/>
    <n v="-60"/>
    <n v="-58"/>
    <x v="0"/>
    <x v="0"/>
    <n v="0"/>
    <n v="0"/>
    <n v="0"/>
    <n v="0"/>
    <n v="0"/>
    <n v="0"/>
    <n v="0"/>
    <n v="0"/>
    <n v="0"/>
    <x v="0"/>
    <x v="0"/>
    <x v="1"/>
    <x v="1"/>
    <x v="0"/>
  </r>
  <r>
    <n v="2466"/>
    <x v="1"/>
    <x v="0"/>
    <s v="W"/>
    <n v="16220"/>
    <n v="753"/>
    <n v="50"/>
    <n v="61"/>
    <x v="0"/>
    <x v="0"/>
    <n v="0"/>
    <n v="0"/>
    <n v="0"/>
    <n v="0"/>
    <n v="0"/>
    <n v="0"/>
    <n v="0"/>
    <n v="0"/>
    <n v="0"/>
    <x v="0"/>
    <x v="0"/>
    <x v="1"/>
    <x v="0"/>
    <x v="0"/>
  </r>
  <r>
    <n v="2467"/>
    <x v="1"/>
    <x v="0"/>
    <s v="W"/>
    <n v="7340"/>
    <n v="166"/>
    <n v="-53"/>
    <n v="-54"/>
    <x v="0"/>
    <x v="0"/>
    <n v="0"/>
    <n v="0"/>
    <n v="0"/>
    <n v="0"/>
    <n v="0"/>
    <n v="0"/>
    <n v="0"/>
    <n v="0"/>
    <n v="0"/>
    <x v="0"/>
    <x v="0"/>
    <x v="1"/>
    <x v="1"/>
    <x v="0"/>
  </r>
  <r>
    <n v="2468"/>
    <x v="1"/>
    <x v="0"/>
    <s v="W"/>
    <n v="13390"/>
    <n v="203"/>
    <n v="-14"/>
    <n v="-43"/>
    <x v="0"/>
    <x v="0"/>
    <n v="0"/>
    <n v="0"/>
    <n v="0"/>
    <n v="0"/>
    <n v="0"/>
    <n v="0"/>
    <n v="0"/>
    <n v="0"/>
    <n v="0"/>
    <x v="0"/>
    <x v="0"/>
    <x v="1"/>
    <x v="0"/>
    <x v="0"/>
  </r>
  <r>
    <n v="2469"/>
    <x v="1"/>
    <x v="0"/>
    <s v="W"/>
    <n v="32310"/>
    <n v="465"/>
    <n v="31"/>
    <n v="16"/>
    <x v="0"/>
    <x v="0"/>
    <n v="0"/>
    <n v="0"/>
    <n v="0"/>
    <n v="0"/>
    <n v="0"/>
    <n v="0"/>
    <n v="0"/>
    <n v="0"/>
    <n v="0"/>
    <x v="0"/>
    <x v="0"/>
    <x v="1"/>
    <x v="0"/>
    <x v="0"/>
  </r>
  <r>
    <n v="2470"/>
    <x v="1"/>
    <x v="0"/>
    <s v="W"/>
    <n v="15190"/>
    <n v="208"/>
    <n v="-38"/>
    <n v="-48"/>
    <x v="0"/>
    <x v="1"/>
    <n v="1"/>
    <n v="0"/>
    <n v="0"/>
    <n v="0"/>
    <n v="0"/>
    <n v="0"/>
    <n v="0"/>
    <n v="700"/>
    <n v="700"/>
    <x v="0"/>
    <x v="0"/>
    <x v="1"/>
    <x v="0"/>
    <x v="0"/>
  </r>
  <r>
    <n v="2471"/>
    <x v="1"/>
    <x v="0"/>
    <s v="N"/>
    <n v="5700"/>
    <n v="135"/>
    <n v="-50"/>
    <n v="-40"/>
    <x v="0"/>
    <x v="0"/>
    <n v="0"/>
    <n v="0"/>
    <n v="0"/>
    <n v="0"/>
    <n v="0"/>
    <n v="0"/>
    <n v="0"/>
    <n v="0"/>
    <n v="0"/>
    <x v="0"/>
    <x v="0"/>
    <x v="0"/>
    <x v="1"/>
    <x v="0"/>
  </r>
  <r>
    <n v="2472"/>
    <x v="1"/>
    <x v="0"/>
    <s v="N"/>
    <n v="9640"/>
    <n v="130"/>
    <n v="-16"/>
    <n v="-42"/>
    <x v="0"/>
    <x v="1"/>
    <n v="0"/>
    <n v="1"/>
    <n v="0"/>
    <n v="0"/>
    <n v="0"/>
    <n v="0"/>
    <n v="0"/>
    <n v="5000"/>
    <n v="5000"/>
    <x v="0"/>
    <x v="0"/>
    <x v="0"/>
    <x v="1"/>
    <x v="0"/>
  </r>
  <r>
    <n v="2473"/>
    <x v="1"/>
    <x v="0"/>
    <s v="N"/>
    <n v="4380"/>
    <n v="134"/>
    <n v="-60"/>
    <n v="-31"/>
    <x v="0"/>
    <x v="0"/>
    <n v="0"/>
    <n v="0"/>
    <n v="0"/>
    <n v="0"/>
    <n v="0"/>
    <n v="0"/>
    <n v="0"/>
    <n v="0"/>
    <n v="0"/>
    <x v="0"/>
    <x v="0"/>
    <x v="0"/>
    <x v="1"/>
    <x v="0"/>
  </r>
  <r>
    <n v="2474"/>
    <x v="1"/>
    <x v="0"/>
    <s v="W"/>
    <n v="9940"/>
    <n v="142"/>
    <n v="-56"/>
    <n v="-62"/>
    <x v="0"/>
    <x v="0"/>
    <n v="0"/>
    <n v="0"/>
    <n v="0"/>
    <n v="0"/>
    <n v="0"/>
    <n v="0"/>
    <n v="0"/>
    <n v="0"/>
    <n v="0"/>
    <x v="0"/>
    <x v="0"/>
    <x v="1"/>
    <x v="1"/>
    <x v="0"/>
  </r>
  <r>
    <n v="2475"/>
    <x v="1"/>
    <x v="0"/>
    <s v="W"/>
    <n v="11550"/>
    <n v="152"/>
    <n v="-49"/>
    <n v="-60"/>
    <x v="0"/>
    <x v="1"/>
    <n v="1"/>
    <n v="0"/>
    <n v="0"/>
    <n v="0"/>
    <n v="0"/>
    <n v="0"/>
    <n v="0"/>
    <n v="100"/>
    <n v="100"/>
    <x v="0"/>
    <x v="0"/>
    <x v="1"/>
    <x v="0"/>
    <x v="0"/>
  </r>
  <r>
    <n v="2476"/>
    <x v="1"/>
    <x v="0"/>
    <s v="W"/>
    <n v="9050"/>
    <n v="436"/>
    <n v="-10"/>
    <n v="1"/>
    <x v="0"/>
    <x v="0"/>
    <n v="0"/>
    <n v="0"/>
    <n v="0"/>
    <n v="0"/>
    <n v="0"/>
    <n v="0"/>
    <n v="0"/>
    <n v="0"/>
    <n v="0"/>
    <x v="0"/>
    <x v="0"/>
    <x v="1"/>
    <x v="1"/>
    <x v="0"/>
  </r>
  <r>
    <n v="2477"/>
    <x v="1"/>
    <x v="0"/>
    <s v="W"/>
    <n v="7060"/>
    <n v="150"/>
    <n v="-69"/>
    <n v="-60"/>
    <x v="0"/>
    <x v="0"/>
    <n v="0"/>
    <n v="0"/>
    <n v="0"/>
    <n v="0"/>
    <n v="0"/>
    <n v="0"/>
    <n v="0"/>
    <n v="0"/>
    <n v="0"/>
    <x v="0"/>
    <x v="0"/>
    <x v="1"/>
    <x v="1"/>
    <x v="0"/>
  </r>
  <r>
    <n v="2478"/>
    <x v="1"/>
    <x v="0"/>
    <s v="W"/>
    <n v="18980"/>
    <n v="247"/>
    <n v="-16"/>
    <n v="-34"/>
    <x v="0"/>
    <x v="0"/>
    <n v="0"/>
    <n v="0"/>
    <n v="0"/>
    <n v="0"/>
    <n v="0"/>
    <n v="0"/>
    <n v="0"/>
    <n v="0"/>
    <n v="0"/>
    <x v="0"/>
    <x v="0"/>
    <x v="1"/>
    <x v="0"/>
    <x v="0"/>
  </r>
  <r>
    <n v="2479"/>
    <x v="0"/>
    <x v="0"/>
    <s v="W"/>
    <n v="16030"/>
    <n v="236"/>
    <n v="-28"/>
    <n v="-36"/>
    <x v="0"/>
    <x v="2"/>
    <n v="1"/>
    <n v="1"/>
    <n v="0"/>
    <n v="0"/>
    <n v="0"/>
    <n v="0"/>
    <n v="0"/>
    <n v="5200"/>
    <n v="5000"/>
    <x v="0"/>
    <x v="0"/>
    <x v="1"/>
    <x v="0"/>
    <x v="0"/>
  </r>
  <r>
    <n v="2480"/>
    <x v="0"/>
    <x v="0"/>
    <s v="W"/>
    <n v="10870"/>
    <n v="220"/>
    <n v="-51"/>
    <n v="-40"/>
    <x v="0"/>
    <x v="0"/>
    <n v="0"/>
    <n v="0"/>
    <n v="0"/>
    <n v="0"/>
    <n v="0"/>
    <n v="0"/>
    <n v="0"/>
    <n v="0"/>
    <n v="0"/>
    <x v="0"/>
    <x v="0"/>
    <x v="1"/>
    <x v="0"/>
    <x v="0"/>
  </r>
  <r>
    <n v="2481"/>
    <x v="0"/>
    <x v="0"/>
    <s v="W"/>
    <n v="9790"/>
    <n v="422"/>
    <n v="-4"/>
    <n v="-6"/>
    <x v="0"/>
    <x v="0"/>
    <n v="0"/>
    <n v="0"/>
    <n v="0"/>
    <n v="0"/>
    <n v="0"/>
    <n v="0"/>
    <n v="0"/>
    <n v="0"/>
    <n v="0"/>
    <x v="0"/>
    <x v="0"/>
    <x v="1"/>
    <x v="1"/>
    <x v="0"/>
  </r>
  <r>
    <n v="2482"/>
    <x v="0"/>
    <x v="0"/>
    <s v="W"/>
    <n v="11660"/>
    <n v="209"/>
    <n v="-47"/>
    <n v="-43"/>
    <x v="0"/>
    <x v="1"/>
    <n v="1"/>
    <n v="0"/>
    <n v="0"/>
    <n v="0"/>
    <n v="0"/>
    <n v="0"/>
    <n v="0"/>
    <n v="400"/>
    <n v="400"/>
    <x v="0"/>
    <x v="0"/>
    <x v="1"/>
    <x v="0"/>
    <x v="0"/>
  </r>
  <r>
    <n v="2483"/>
    <x v="0"/>
    <x v="0"/>
    <s v="W"/>
    <n v="25920"/>
    <n v="369"/>
    <n v="17"/>
    <n v="0"/>
    <x v="0"/>
    <x v="0"/>
    <n v="0"/>
    <n v="0"/>
    <n v="0"/>
    <n v="0"/>
    <n v="0"/>
    <n v="0"/>
    <n v="0"/>
    <n v="0"/>
    <n v="0"/>
    <x v="0"/>
    <x v="0"/>
    <x v="1"/>
    <x v="0"/>
    <x v="0"/>
  </r>
  <r>
    <n v="2484"/>
    <x v="0"/>
    <x v="0"/>
    <s v="W"/>
    <n v="20570"/>
    <n v="346"/>
    <n v="-7"/>
    <n v="-6"/>
    <x v="0"/>
    <x v="0"/>
    <n v="0"/>
    <n v="0"/>
    <n v="0"/>
    <n v="0"/>
    <n v="0"/>
    <n v="0"/>
    <n v="0"/>
    <n v="0"/>
    <n v="0"/>
    <x v="0"/>
    <x v="0"/>
    <x v="1"/>
    <x v="0"/>
    <x v="0"/>
  </r>
  <r>
    <n v="2485"/>
    <x v="0"/>
    <x v="0"/>
    <s v="W"/>
    <n v="11740"/>
    <n v="278"/>
    <n v="-47"/>
    <n v="-25"/>
    <x v="0"/>
    <x v="0"/>
    <n v="0"/>
    <n v="0"/>
    <n v="0"/>
    <n v="0"/>
    <n v="0"/>
    <n v="0"/>
    <n v="0"/>
    <n v="0"/>
    <n v="0"/>
    <x v="0"/>
    <x v="0"/>
    <x v="1"/>
    <x v="0"/>
    <x v="0"/>
  </r>
  <r>
    <n v="2486"/>
    <x v="0"/>
    <x v="0"/>
    <s v="W"/>
    <n v="8160"/>
    <n v="148"/>
    <n v="-51"/>
    <n v="-57"/>
    <x v="0"/>
    <x v="1"/>
    <n v="1"/>
    <n v="0"/>
    <n v="0"/>
    <n v="0"/>
    <n v="0"/>
    <n v="0"/>
    <n v="0"/>
    <n v="300"/>
    <n v="300"/>
    <x v="0"/>
    <x v="0"/>
    <x v="1"/>
    <x v="1"/>
    <x v="0"/>
  </r>
  <r>
    <n v="2487"/>
    <x v="0"/>
    <x v="0"/>
    <s v="W"/>
    <n v="11890"/>
    <n v="475"/>
    <n v="23"/>
    <n v="10"/>
    <x v="0"/>
    <x v="0"/>
    <n v="0"/>
    <n v="0"/>
    <n v="0"/>
    <n v="0"/>
    <n v="0"/>
    <n v="0"/>
    <n v="0"/>
    <n v="0"/>
    <n v="0"/>
    <x v="0"/>
    <x v="0"/>
    <x v="1"/>
    <x v="0"/>
    <x v="0"/>
  </r>
  <r>
    <n v="2488"/>
    <x v="0"/>
    <x v="0"/>
    <s v="W"/>
    <n v="10080"/>
    <n v="349"/>
    <n v="11"/>
    <n v="40"/>
    <x v="0"/>
    <x v="1"/>
    <n v="0"/>
    <n v="1"/>
    <n v="0"/>
    <n v="0"/>
    <n v="0"/>
    <n v="0"/>
    <n v="0"/>
    <n v="3000"/>
    <n v="3000"/>
    <x v="0"/>
    <x v="0"/>
    <x v="1"/>
    <x v="0"/>
    <x v="0"/>
  </r>
  <r>
    <n v="2489"/>
    <x v="0"/>
    <x v="0"/>
    <s v="W"/>
    <n v="8620"/>
    <n v="239"/>
    <n v="-58"/>
    <n v="-31"/>
    <x v="0"/>
    <x v="0"/>
    <n v="0"/>
    <n v="0"/>
    <n v="0"/>
    <n v="0"/>
    <n v="0"/>
    <n v="0"/>
    <n v="0"/>
    <n v="0"/>
    <n v="0"/>
    <x v="0"/>
    <x v="0"/>
    <x v="1"/>
    <x v="1"/>
    <x v="0"/>
  </r>
  <r>
    <n v="2490"/>
    <x v="0"/>
    <x v="0"/>
    <s v="W"/>
    <n v="19740"/>
    <n v="888"/>
    <n v="103"/>
    <n v="105"/>
    <x v="0"/>
    <x v="0"/>
    <n v="0"/>
    <n v="0"/>
    <n v="0"/>
    <n v="0"/>
    <n v="0"/>
    <n v="0"/>
    <n v="0"/>
    <n v="0"/>
    <n v="0"/>
    <x v="0"/>
    <x v="0"/>
    <x v="1"/>
    <x v="0"/>
    <x v="0"/>
  </r>
  <r>
    <n v="2491"/>
    <x v="0"/>
    <x v="0"/>
    <s v="W"/>
    <n v="5600"/>
    <n v="119"/>
    <n v="-63"/>
    <n v="-63"/>
    <x v="0"/>
    <x v="0"/>
    <n v="0"/>
    <n v="0"/>
    <n v="0"/>
    <n v="0"/>
    <n v="0"/>
    <n v="0"/>
    <n v="0"/>
    <n v="0"/>
    <n v="0"/>
    <x v="0"/>
    <x v="0"/>
    <x v="1"/>
    <x v="1"/>
    <x v="0"/>
  </r>
  <r>
    <n v="2492"/>
    <x v="0"/>
    <x v="0"/>
    <s v="N"/>
    <n v="10590"/>
    <n v="442"/>
    <n v="223"/>
    <n v="218"/>
    <x v="0"/>
    <x v="0"/>
    <n v="0"/>
    <n v="0"/>
    <n v="0"/>
    <n v="0"/>
    <n v="0"/>
    <n v="0"/>
    <n v="0"/>
    <n v="0"/>
    <n v="0"/>
    <x v="0"/>
    <x v="0"/>
    <x v="0"/>
    <x v="0"/>
    <x v="0"/>
  </r>
  <r>
    <n v="2493"/>
    <x v="0"/>
    <x v="0"/>
    <s v="N"/>
    <n v="11380"/>
    <n v="290"/>
    <n v="0"/>
    <n v="30"/>
    <x v="0"/>
    <x v="0"/>
    <n v="0"/>
    <n v="0"/>
    <n v="0"/>
    <n v="0"/>
    <n v="0"/>
    <n v="0"/>
    <n v="0"/>
    <n v="0"/>
    <n v="0"/>
    <x v="0"/>
    <x v="0"/>
    <x v="0"/>
    <x v="0"/>
    <x v="0"/>
  </r>
  <r>
    <n v="2494"/>
    <x v="0"/>
    <x v="0"/>
    <s v="N"/>
    <n v="5640"/>
    <n v="193"/>
    <n v="-48"/>
    <n v="0"/>
    <x v="0"/>
    <x v="0"/>
    <n v="0"/>
    <n v="0"/>
    <n v="0"/>
    <n v="0"/>
    <n v="0"/>
    <n v="0"/>
    <n v="0"/>
    <n v="0"/>
    <n v="0"/>
    <x v="0"/>
    <x v="0"/>
    <x v="0"/>
    <x v="1"/>
    <x v="0"/>
  </r>
  <r>
    <n v="2495"/>
    <x v="0"/>
    <x v="0"/>
    <s v="N"/>
    <n v="8710"/>
    <n v="126"/>
    <n v="-24"/>
    <n v="-44"/>
    <x v="0"/>
    <x v="0"/>
    <n v="0"/>
    <n v="0"/>
    <n v="0"/>
    <n v="0"/>
    <n v="0"/>
    <n v="0"/>
    <n v="0"/>
    <n v="0"/>
    <n v="0"/>
    <x v="0"/>
    <x v="0"/>
    <x v="0"/>
    <x v="1"/>
    <x v="0"/>
  </r>
  <r>
    <n v="2496"/>
    <x v="0"/>
    <x v="0"/>
    <s v="N"/>
    <n v="6760"/>
    <n v="136"/>
    <n v="-41"/>
    <n v="-39"/>
    <x v="0"/>
    <x v="1"/>
    <n v="0"/>
    <n v="1"/>
    <n v="0"/>
    <n v="0"/>
    <n v="0"/>
    <n v="0"/>
    <n v="0"/>
    <n v="1000"/>
    <n v="1000"/>
    <x v="0"/>
    <x v="0"/>
    <x v="0"/>
    <x v="1"/>
    <x v="0"/>
  </r>
  <r>
    <n v="2497"/>
    <x v="0"/>
    <x v="0"/>
    <s v="N"/>
    <n v="5130"/>
    <n v="115"/>
    <n v="-55"/>
    <n v="-49"/>
    <x v="0"/>
    <x v="0"/>
    <n v="0"/>
    <n v="0"/>
    <n v="0"/>
    <n v="0"/>
    <n v="0"/>
    <n v="0"/>
    <n v="0"/>
    <n v="0"/>
    <n v="0"/>
    <x v="0"/>
    <x v="0"/>
    <x v="0"/>
    <x v="1"/>
    <x v="0"/>
  </r>
  <r>
    <n v="2498"/>
    <x v="0"/>
    <x v="0"/>
    <s v="W"/>
    <n v="9940"/>
    <n v="226"/>
    <n v="-49"/>
    <n v="-32"/>
    <x v="0"/>
    <x v="1"/>
    <n v="1"/>
    <n v="0"/>
    <n v="0"/>
    <n v="0"/>
    <n v="0"/>
    <n v="0"/>
    <n v="0"/>
    <n v="500"/>
    <n v="500"/>
    <x v="0"/>
    <x v="0"/>
    <x v="1"/>
    <x v="1"/>
    <x v="0"/>
  </r>
  <r>
    <n v="2499"/>
    <x v="0"/>
    <x v="0"/>
    <s v="W"/>
    <n v="19170"/>
    <n v="430"/>
    <n v="-1"/>
    <n v="29"/>
    <x v="0"/>
    <x v="0"/>
    <n v="0"/>
    <n v="0"/>
    <n v="0"/>
    <n v="0"/>
    <n v="0"/>
    <n v="0"/>
    <n v="0"/>
    <n v="0"/>
    <n v="0"/>
    <x v="0"/>
    <x v="0"/>
    <x v="1"/>
    <x v="0"/>
    <x v="0"/>
  </r>
  <r>
    <n v="2500"/>
    <x v="0"/>
    <x v="0"/>
    <s v="W"/>
    <n v="13070"/>
    <n v="282"/>
    <n v="-11"/>
    <n v="-12"/>
    <x v="0"/>
    <x v="0"/>
    <n v="0"/>
    <n v="0"/>
    <n v="0"/>
    <n v="0"/>
    <n v="0"/>
    <n v="0"/>
    <n v="0"/>
    <n v="0"/>
    <n v="0"/>
    <x v="0"/>
    <x v="0"/>
    <x v="1"/>
    <x v="0"/>
    <x v="0"/>
  </r>
  <r>
    <n v="2501"/>
    <x v="0"/>
    <x v="0"/>
    <s v="W"/>
    <n v="8210"/>
    <n v="247"/>
    <n v="-44"/>
    <n v="-23"/>
    <x v="0"/>
    <x v="0"/>
    <n v="0"/>
    <n v="0"/>
    <n v="0"/>
    <n v="0"/>
    <n v="0"/>
    <n v="0"/>
    <n v="0"/>
    <n v="0"/>
    <n v="0"/>
    <x v="0"/>
    <x v="0"/>
    <x v="1"/>
    <x v="1"/>
    <x v="0"/>
  </r>
  <r>
    <n v="2502"/>
    <x v="0"/>
    <x v="0"/>
    <s v="W"/>
    <n v="17250"/>
    <n v="228"/>
    <n v="-11"/>
    <n v="-32"/>
    <x v="0"/>
    <x v="1"/>
    <n v="0"/>
    <n v="1"/>
    <n v="0"/>
    <n v="0"/>
    <n v="0"/>
    <n v="0"/>
    <n v="0"/>
    <n v="2000"/>
    <n v="2000"/>
    <x v="0"/>
    <x v="0"/>
    <x v="1"/>
    <x v="0"/>
    <x v="0"/>
  </r>
  <r>
    <n v="2503"/>
    <x v="0"/>
    <x v="0"/>
    <s v="W"/>
    <n v="8620"/>
    <n v="201"/>
    <n v="-51"/>
    <n v="-37"/>
    <x v="0"/>
    <x v="0"/>
    <n v="0"/>
    <n v="0"/>
    <n v="0"/>
    <n v="0"/>
    <n v="0"/>
    <n v="0"/>
    <n v="0"/>
    <n v="0"/>
    <n v="0"/>
    <x v="0"/>
    <x v="0"/>
    <x v="1"/>
    <x v="1"/>
    <x v="0"/>
  </r>
  <r>
    <n v="2504"/>
    <x v="0"/>
    <x v="0"/>
    <s v="W"/>
    <n v="15290"/>
    <n v="315"/>
    <n v="-13"/>
    <n v="-1"/>
    <x v="0"/>
    <x v="1"/>
    <n v="1"/>
    <n v="0"/>
    <n v="0"/>
    <n v="0"/>
    <n v="0"/>
    <n v="0"/>
    <n v="0"/>
    <n v="400"/>
    <n v="400"/>
    <x v="0"/>
    <x v="0"/>
    <x v="1"/>
    <x v="0"/>
    <x v="0"/>
  </r>
  <r>
    <n v="2505"/>
    <x v="0"/>
    <x v="0"/>
    <s v="W"/>
    <n v="27320"/>
    <n v="414"/>
    <n v="220"/>
    <n v="79"/>
    <x v="0"/>
    <x v="1"/>
    <n v="1"/>
    <n v="0"/>
    <n v="0"/>
    <n v="0"/>
    <n v="0"/>
    <n v="0"/>
    <n v="0"/>
    <n v="200"/>
    <n v="200"/>
    <x v="0"/>
    <x v="0"/>
    <x v="1"/>
    <x v="0"/>
    <x v="0"/>
  </r>
  <r>
    <n v="2506"/>
    <x v="0"/>
    <x v="0"/>
    <s v="W"/>
    <n v="23650"/>
    <n v="212"/>
    <n v="34"/>
    <n v="-33"/>
    <x v="0"/>
    <x v="2"/>
    <n v="2"/>
    <n v="0"/>
    <n v="0"/>
    <n v="0"/>
    <n v="0"/>
    <n v="0"/>
    <n v="0"/>
    <n v="1100"/>
    <n v="700"/>
    <x v="0"/>
    <x v="0"/>
    <x v="1"/>
    <x v="0"/>
    <x v="0"/>
  </r>
  <r>
    <n v="2507"/>
    <x v="0"/>
    <x v="0"/>
    <s v="W"/>
    <n v="17570"/>
    <n v="471"/>
    <n v="0"/>
    <n v="48"/>
    <x v="0"/>
    <x v="1"/>
    <n v="1"/>
    <n v="0"/>
    <n v="0"/>
    <n v="0"/>
    <n v="0"/>
    <n v="0"/>
    <n v="0"/>
    <n v="700"/>
    <n v="700"/>
    <x v="0"/>
    <x v="0"/>
    <x v="1"/>
    <x v="0"/>
    <x v="0"/>
  </r>
  <r>
    <n v="2508"/>
    <x v="0"/>
    <x v="0"/>
    <s v="W"/>
    <n v="23580"/>
    <n v="462"/>
    <n v="34"/>
    <n v="46"/>
    <x v="0"/>
    <x v="1"/>
    <n v="0"/>
    <n v="1"/>
    <n v="0"/>
    <n v="0"/>
    <n v="0"/>
    <n v="0"/>
    <n v="0"/>
    <n v="6000"/>
    <n v="6000"/>
    <x v="0"/>
    <x v="0"/>
    <x v="1"/>
    <x v="0"/>
    <x v="0"/>
  </r>
  <r>
    <n v="2509"/>
    <x v="0"/>
    <x v="0"/>
    <s v="W"/>
    <n v="8670"/>
    <n v="216"/>
    <n v="-51"/>
    <n v="-32"/>
    <x v="0"/>
    <x v="0"/>
    <n v="0"/>
    <n v="0"/>
    <n v="0"/>
    <n v="0"/>
    <n v="0"/>
    <n v="0"/>
    <n v="0"/>
    <n v="0"/>
    <n v="0"/>
    <x v="0"/>
    <x v="0"/>
    <x v="1"/>
    <x v="1"/>
    <x v="0"/>
  </r>
  <r>
    <n v="2510"/>
    <x v="0"/>
    <x v="0"/>
    <s v="W"/>
    <n v="10730"/>
    <n v="542"/>
    <n v="16"/>
    <n v="30"/>
    <x v="0"/>
    <x v="0"/>
    <n v="0"/>
    <n v="0"/>
    <n v="0"/>
    <n v="0"/>
    <n v="0"/>
    <n v="0"/>
    <n v="0"/>
    <n v="0"/>
    <n v="0"/>
    <x v="0"/>
    <x v="0"/>
    <x v="1"/>
    <x v="0"/>
    <x v="0"/>
  </r>
  <r>
    <n v="2511"/>
    <x v="0"/>
    <x v="0"/>
    <s v="W"/>
    <n v="24320"/>
    <n v="427"/>
    <n v="56"/>
    <n v="51"/>
    <x v="0"/>
    <x v="0"/>
    <n v="0"/>
    <n v="0"/>
    <n v="0"/>
    <n v="0"/>
    <n v="0"/>
    <n v="0"/>
    <n v="0"/>
    <n v="0"/>
    <n v="0"/>
    <x v="0"/>
    <x v="0"/>
    <x v="1"/>
    <x v="0"/>
    <x v="0"/>
  </r>
  <r>
    <n v="2512"/>
    <x v="0"/>
    <x v="0"/>
    <s v="W"/>
    <n v="23960"/>
    <n v="539"/>
    <n v="54"/>
    <n v="91"/>
    <x v="0"/>
    <x v="0"/>
    <n v="0"/>
    <n v="0"/>
    <n v="0"/>
    <n v="0"/>
    <n v="0"/>
    <n v="0"/>
    <n v="0"/>
    <n v="0"/>
    <n v="0"/>
    <x v="0"/>
    <x v="0"/>
    <x v="1"/>
    <x v="0"/>
    <x v="0"/>
  </r>
  <r>
    <n v="2513"/>
    <x v="0"/>
    <x v="0"/>
    <s v="W"/>
    <n v="10910"/>
    <n v="269"/>
    <n v="-30"/>
    <n v="-5"/>
    <x v="0"/>
    <x v="1"/>
    <n v="0"/>
    <n v="1"/>
    <n v="0"/>
    <n v="0"/>
    <n v="0"/>
    <n v="0"/>
    <n v="0"/>
    <n v="1000"/>
    <n v="1000"/>
    <x v="1"/>
    <x v="1"/>
    <x v="1"/>
    <x v="0"/>
    <x v="0"/>
  </r>
  <r>
    <n v="2514"/>
    <x v="0"/>
    <x v="0"/>
    <s v="W"/>
    <n v="21050"/>
    <n v="458"/>
    <n v="72"/>
    <n v="70"/>
    <x v="0"/>
    <x v="1"/>
    <n v="0"/>
    <n v="0"/>
    <n v="1"/>
    <n v="0"/>
    <n v="0"/>
    <n v="0"/>
    <n v="0"/>
    <n v="60000"/>
    <n v="60000"/>
    <x v="0"/>
    <x v="0"/>
    <x v="1"/>
    <x v="0"/>
    <x v="0"/>
  </r>
  <r>
    <n v="2515"/>
    <x v="0"/>
    <x v="0"/>
    <s v="W"/>
    <n v="18370"/>
    <n v="486"/>
    <n v="18"/>
    <n v="72"/>
    <x v="0"/>
    <x v="0"/>
    <n v="0"/>
    <n v="0"/>
    <n v="0"/>
    <n v="0"/>
    <n v="0"/>
    <n v="0"/>
    <n v="0"/>
    <n v="0"/>
    <n v="0"/>
    <x v="0"/>
    <x v="0"/>
    <x v="1"/>
    <x v="0"/>
    <x v="0"/>
  </r>
  <r>
    <n v="2516"/>
    <x v="0"/>
    <x v="0"/>
    <s v="W"/>
    <n v="18780"/>
    <n v="498"/>
    <n v="21"/>
    <n v="76"/>
    <x v="0"/>
    <x v="1"/>
    <n v="0"/>
    <n v="1"/>
    <n v="0"/>
    <n v="0"/>
    <n v="0"/>
    <n v="0"/>
    <n v="0"/>
    <n v="3000"/>
    <n v="3000"/>
    <x v="0"/>
    <x v="0"/>
    <x v="1"/>
    <x v="0"/>
    <x v="0"/>
  </r>
  <r>
    <n v="2517"/>
    <x v="0"/>
    <x v="0"/>
    <s v="W"/>
    <n v="8080"/>
    <n v="294"/>
    <n v="-48"/>
    <n v="4"/>
    <x v="0"/>
    <x v="0"/>
    <n v="0"/>
    <n v="0"/>
    <n v="0"/>
    <n v="0"/>
    <n v="0"/>
    <n v="0"/>
    <n v="0"/>
    <n v="0"/>
    <n v="0"/>
    <x v="0"/>
    <x v="0"/>
    <x v="1"/>
    <x v="1"/>
    <x v="0"/>
  </r>
  <r>
    <n v="2518"/>
    <x v="0"/>
    <x v="0"/>
    <s v="W"/>
    <n v="12080"/>
    <n v="310"/>
    <n v="-22"/>
    <n v="10"/>
    <x v="0"/>
    <x v="1"/>
    <n v="0"/>
    <n v="1"/>
    <n v="0"/>
    <n v="0"/>
    <n v="0"/>
    <n v="0"/>
    <n v="0"/>
    <n v="4000"/>
    <n v="4000"/>
    <x v="0"/>
    <x v="0"/>
    <x v="1"/>
    <x v="0"/>
    <x v="0"/>
  </r>
  <r>
    <n v="2519"/>
    <x v="1"/>
    <x v="0"/>
    <s v="N"/>
    <n v="5990"/>
    <n v="141"/>
    <n v="-45"/>
    <n v="-27"/>
    <x v="0"/>
    <x v="0"/>
    <n v="0"/>
    <n v="0"/>
    <n v="0"/>
    <n v="0"/>
    <n v="0"/>
    <n v="0"/>
    <n v="0"/>
    <n v="0"/>
    <n v="0"/>
    <x v="0"/>
    <x v="0"/>
    <x v="0"/>
    <x v="1"/>
    <x v="0"/>
  </r>
  <r>
    <n v="2520"/>
    <x v="1"/>
    <x v="0"/>
    <s v="N"/>
    <n v="6940"/>
    <n v="186"/>
    <n v="-39"/>
    <n v="-17"/>
    <x v="0"/>
    <x v="1"/>
    <n v="0"/>
    <n v="1"/>
    <n v="0"/>
    <n v="0"/>
    <n v="0"/>
    <n v="0"/>
    <n v="0"/>
    <n v="2000"/>
    <n v="2000"/>
    <x v="0"/>
    <x v="0"/>
    <x v="0"/>
    <x v="1"/>
    <x v="0"/>
  </r>
  <r>
    <n v="2521"/>
    <x v="1"/>
    <x v="0"/>
    <s v="N"/>
    <n v="5120"/>
    <n v="121"/>
    <n v="-55"/>
    <n v="-46"/>
    <x v="0"/>
    <x v="0"/>
    <n v="0"/>
    <n v="0"/>
    <n v="0"/>
    <n v="0"/>
    <n v="0"/>
    <n v="0"/>
    <n v="0"/>
    <n v="0"/>
    <n v="0"/>
    <x v="0"/>
    <x v="0"/>
    <x v="0"/>
    <x v="1"/>
    <x v="0"/>
  </r>
  <r>
    <n v="2522"/>
    <x v="1"/>
    <x v="0"/>
    <s v="W"/>
    <n v="15530"/>
    <n v="237"/>
    <n v="33"/>
    <n v="-6"/>
    <x v="0"/>
    <x v="0"/>
    <n v="0"/>
    <n v="0"/>
    <n v="0"/>
    <n v="0"/>
    <n v="0"/>
    <n v="0"/>
    <n v="0"/>
    <n v="0"/>
    <n v="0"/>
    <x v="0"/>
    <x v="0"/>
    <x v="1"/>
    <x v="0"/>
    <x v="0"/>
  </r>
  <r>
    <n v="2523"/>
    <x v="1"/>
    <x v="0"/>
    <s v="W"/>
    <n v="36410"/>
    <n v="646"/>
    <n v="152"/>
    <n v="142"/>
    <x v="0"/>
    <x v="0"/>
    <n v="0"/>
    <n v="0"/>
    <n v="0"/>
    <n v="0"/>
    <n v="0"/>
    <n v="0"/>
    <n v="0"/>
    <n v="0"/>
    <n v="0"/>
    <x v="1"/>
    <x v="1"/>
    <x v="1"/>
    <x v="0"/>
    <x v="0"/>
  </r>
  <r>
    <n v="2524"/>
    <x v="1"/>
    <x v="0"/>
    <s v="W"/>
    <n v="14050"/>
    <n v="271"/>
    <n v="-3"/>
    <n v="2"/>
    <x v="0"/>
    <x v="1"/>
    <n v="0"/>
    <n v="0"/>
    <n v="0"/>
    <n v="1"/>
    <n v="0"/>
    <n v="0"/>
    <n v="0"/>
    <n v="300000"/>
    <n v="300000"/>
    <x v="0"/>
    <x v="0"/>
    <x v="1"/>
    <x v="0"/>
    <x v="0"/>
  </r>
  <r>
    <n v="2525"/>
    <x v="1"/>
    <x v="0"/>
    <s v="W"/>
    <n v="10280"/>
    <n v="228"/>
    <n v="-12"/>
    <n v="-10"/>
    <x v="0"/>
    <x v="0"/>
    <n v="0"/>
    <n v="0"/>
    <n v="0"/>
    <n v="0"/>
    <n v="0"/>
    <n v="0"/>
    <n v="0"/>
    <n v="0"/>
    <n v="0"/>
    <x v="0"/>
    <x v="0"/>
    <x v="1"/>
    <x v="0"/>
    <x v="0"/>
  </r>
  <r>
    <n v="2526"/>
    <x v="1"/>
    <x v="0"/>
    <s v="W"/>
    <n v="17500"/>
    <n v="324"/>
    <n v="21"/>
    <n v="22"/>
    <x v="0"/>
    <x v="0"/>
    <n v="0"/>
    <n v="0"/>
    <n v="0"/>
    <n v="0"/>
    <n v="0"/>
    <n v="0"/>
    <n v="0"/>
    <n v="0"/>
    <n v="0"/>
    <x v="0"/>
    <x v="0"/>
    <x v="1"/>
    <x v="0"/>
    <x v="0"/>
  </r>
  <r>
    <n v="2527"/>
    <x v="1"/>
    <x v="0"/>
    <s v="N"/>
    <n v="7590"/>
    <n v="227"/>
    <n v="-34"/>
    <n v="1"/>
    <x v="0"/>
    <x v="0"/>
    <n v="0"/>
    <n v="0"/>
    <n v="0"/>
    <n v="0"/>
    <n v="0"/>
    <n v="0"/>
    <n v="0"/>
    <n v="0"/>
    <n v="0"/>
    <x v="0"/>
    <x v="0"/>
    <x v="0"/>
    <x v="1"/>
    <x v="0"/>
  </r>
  <r>
    <n v="2528"/>
    <x v="1"/>
    <x v="0"/>
    <s v="N"/>
    <n v="8910"/>
    <n v="209"/>
    <n v="-22"/>
    <n v="-7"/>
    <x v="0"/>
    <x v="0"/>
    <n v="0"/>
    <n v="0"/>
    <n v="0"/>
    <n v="0"/>
    <n v="0"/>
    <n v="0"/>
    <n v="0"/>
    <n v="0"/>
    <n v="0"/>
    <x v="0"/>
    <x v="0"/>
    <x v="0"/>
    <x v="1"/>
    <x v="0"/>
  </r>
  <r>
    <n v="2529"/>
    <x v="1"/>
    <x v="0"/>
    <s v="N"/>
    <n v="7460"/>
    <n v="189"/>
    <n v="-31"/>
    <n v="-2"/>
    <x v="0"/>
    <x v="0"/>
    <n v="0"/>
    <n v="0"/>
    <n v="0"/>
    <n v="0"/>
    <n v="0"/>
    <n v="0"/>
    <n v="0"/>
    <n v="0"/>
    <n v="0"/>
    <x v="0"/>
    <x v="0"/>
    <x v="0"/>
    <x v="1"/>
    <x v="0"/>
  </r>
  <r>
    <n v="2530"/>
    <x v="1"/>
    <x v="0"/>
    <s v="W"/>
    <n v="9890"/>
    <n v="183"/>
    <n v="-29"/>
    <n v="-31"/>
    <x v="0"/>
    <x v="0"/>
    <n v="0"/>
    <n v="0"/>
    <n v="0"/>
    <n v="0"/>
    <n v="0"/>
    <n v="0"/>
    <n v="0"/>
    <n v="0"/>
    <n v="0"/>
    <x v="0"/>
    <x v="0"/>
    <x v="1"/>
    <x v="1"/>
    <x v="0"/>
  </r>
  <r>
    <n v="2531"/>
    <x v="1"/>
    <x v="0"/>
    <s v="N"/>
    <n v="8520"/>
    <n v="216"/>
    <n v="-21"/>
    <n v="12"/>
    <x v="0"/>
    <x v="0"/>
    <n v="0"/>
    <n v="0"/>
    <n v="0"/>
    <n v="0"/>
    <n v="0"/>
    <n v="0"/>
    <n v="0"/>
    <n v="0"/>
    <n v="0"/>
    <x v="0"/>
    <x v="0"/>
    <x v="0"/>
    <x v="1"/>
    <x v="0"/>
  </r>
  <r>
    <n v="2532"/>
    <x v="1"/>
    <x v="0"/>
    <s v="N"/>
    <n v="9340"/>
    <n v="148"/>
    <n v="-18"/>
    <n v="-34"/>
    <x v="0"/>
    <x v="0"/>
    <n v="0"/>
    <n v="0"/>
    <n v="0"/>
    <n v="0"/>
    <n v="0"/>
    <n v="0"/>
    <n v="0"/>
    <n v="0"/>
    <n v="0"/>
    <x v="0"/>
    <x v="0"/>
    <x v="0"/>
    <x v="1"/>
    <x v="0"/>
  </r>
  <r>
    <n v="2533"/>
    <x v="1"/>
    <x v="0"/>
    <s v="N"/>
    <n v="2580"/>
    <n v="115"/>
    <n v="-77"/>
    <n v="-49"/>
    <x v="0"/>
    <x v="0"/>
    <n v="0"/>
    <n v="0"/>
    <n v="0"/>
    <n v="0"/>
    <n v="0"/>
    <n v="0"/>
    <n v="0"/>
    <n v="0"/>
    <n v="0"/>
    <x v="0"/>
    <x v="0"/>
    <x v="0"/>
    <x v="1"/>
    <x v="0"/>
  </r>
  <r>
    <n v="2534"/>
    <x v="1"/>
    <x v="0"/>
    <s v="N"/>
    <n v="2600"/>
    <n v="116"/>
    <n v="-76"/>
    <n v="-40"/>
    <x v="0"/>
    <x v="0"/>
    <n v="0"/>
    <n v="0"/>
    <n v="0"/>
    <n v="0"/>
    <n v="0"/>
    <n v="0"/>
    <n v="0"/>
    <n v="0"/>
    <n v="0"/>
    <x v="0"/>
    <x v="0"/>
    <x v="0"/>
    <x v="1"/>
    <x v="0"/>
  </r>
  <r>
    <n v="2535"/>
    <x v="1"/>
    <x v="0"/>
    <s v="N"/>
    <n v="4140"/>
    <n v="111"/>
    <n v="-59"/>
    <n v="-41"/>
    <x v="0"/>
    <x v="0"/>
    <n v="0"/>
    <n v="0"/>
    <n v="0"/>
    <n v="0"/>
    <n v="0"/>
    <n v="0"/>
    <n v="0"/>
    <n v="0"/>
    <n v="0"/>
    <x v="0"/>
    <x v="0"/>
    <x v="0"/>
    <x v="1"/>
    <x v="0"/>
  </r>
  <r>
    <n v="2536"/>
    <x v="1"/>
    <x v="0"/>
    <s v="N"/>
    <n v="8170"/>
    <n v="119"/>
    <n v="-20"/>
    <n v="-37"/>
    <x v="0"/>
    <x v="1"/>
    <n v="0"/>
    <n v="1"/>
    <n v="0"/>
    <n v="0"/>
    <n v="0"/>
    <n v="0"/>
    <n v="0"/>
    <n v="2000"/>
    <n v="2000"/>
    <x v="0"/>
    <x v="0"/>
    <x v="0"/>
    <x v="1"/>
    <x v="0"/>
  </r>
  <r>
    <n v="2537"/>
    <x v="1"/>
    <x v="0"/>
    <s v="N"/>
    <n v="6780"/>
    <n v="112"/>
    <n v="-33"/>
    <n v="-40"/>
    <x v="0"/>
    <x v="0"/>
    <n v="0"/>
    <n v="0"/>
    <n v="0"/>
    <n v="0"/>
    <n v="0"/>
    <n v="0"/>
    <n v="0"/>
    <n v="0"/>
    <n v="0"/>
    <x v="0"/>
    <x v="0"/>
    <x v="0"/>
    <x v="1"/>
    <x v="0"/>
  </r>
  <r>
    <n v="2538"/>
    <x v="1"/>
    <x v="0"/>
    <s v="N"/>
    <n v="4400"/>
    <n v="120"/>
    <n v="-57"/>
    <n v="-36"/>
    <x v="0"/>
    <x v="0"/>
    <n v="0"/>
    <n v="0"/>
    <n v="0"/>
    <n v="0"/>
    <n v="0"/>
    <n v="0"/>
    <n v="0"/>
    <n v="0"/>
    <n v="0"/>
    <x v="0"/>
    <x v="0"/>
    <x v="0"/>
    <x v="1"/>
    <x v="0"/>
  </r>
  <r>
    <n v="2539"/>
    <x v="1"/>
    <x v="0"/>
    <s v="W"/>
    <n v="13070"/>
    <n v="189"/>
    <n v="13"/>
    <n v="-23"/>
    <x v="0"/>
    <x v="0"/>
    <n v="0"/>
    <n v="0"/>
    <n v="0"/>
    <n v="0"/>
    <n v="0"/>
    <n v="0"/>
    <n v="0"/>
    <n v="0"/>
    <n v="0"/>
    <x v="0"/>
    <x v="0"/>
    <x v="1"/>
    <x v="0"/>
    <x v="0"/>
  </r>
  <r>
    <n v="2540"/>
    <x v="1"/>
    <x v="0"/>
    <s v="W"/>
    <n v="36870"/>
    <n v="579"/>
    <n v="163"/>
    <n v="119"/>
    <x v="0"/>
    <x v="1"/>
    <n v="0"/>
    <n v="1"/>
    <n v="0"/>
    <n v="0"/>
    <n v="0"/>
    <n v="0"/>
    <n v="0"/>
    <n v="5000"/>
    <n v="5000"/>
    <x v="0"/>
    <x v="0"/>
    <x v="1"/>
    <x v="0"/>
    <x v="0"/>
  </r>
  <r>
    <n v="2541"/>
    <x v="1"/>
    <x v="0"/>
    <s v="W"/>
    <n v="16940"/>
    <n v="288"/>
    <n v="47"/>
    <n v="18"/>
    <x v="0"/>
    <x v="0"/>
    <n v="0"/>
    <n v="0"/>
    <n v="0"/>
    <n v="0"/>
    <n v="0"/>
    <n v="0"/>
    <n v="0"/>
    <n v="0"/>
    <n v="0"/>
    <x v="0"/>
    <x v="0"/>
    <x v="1"/>
    <x v="0"/>
    <x v="0"/>
  </r>
  <r>
    <n v="2542"/>
    <x v="1"/>
    <x v="0"/>
    <s v="N"/>
    <n v="11190"/>
    <n v="245"/>
    <n v="10"/>
    <n v="31"/>
    <x v="0"/>
    <x v="0"/>
    <n v="0"/>
    <n v="0"/>
    <n v="0"/>
    <n v="0"/>
    <n v="0"/>
    <n v="0"/>
    <n v="0"/>
    <n v="0"/>
    <n v="0"/>
    <x v="0"/>
    <x v="0"/>
    <x v="0"/>
    <x v="0"/>
    <x v="0"/>
  </r>
  <r>
    <n v="2543"/>
    <x v="0"/>
    <x v="0"/>
    <s v="N"/>
    <n v="9070"/>
    <n v="195"/>
    <n v="-11"/>
    <n v="4"/>
    <x v="0"/>
    <x v="0"/>
    <n v="0"/>
    <n v="0"/>
    <n v="0"/>
    <n v="0"/>
    <n v="0"/>
    <n v="0"/>
    <n v="0"/>
    <n v="0"/>
    <n v="0"/>
    <x v="1"/>
    <x v="1"/>
    <x v="0"/>
    <x v="1"/>
    <x v="0"/>
  </r>
  <r>
    <n v="2544"/>
    <x v="0"/>
    <x v="0"/>
    <s v="N"/>
    <n v="9840"/>
    <n v="217"/>
    <n v="-6"/>
    <n v="6"/>
    <x v="0"/>
    <x v="1"/>
    <n v="0"/>
    <n v="0"/>
    <n v="1"/>
    <n v="0"/>
    <n v="0"/>
    <n v="0"/>
    <n v="0"/>
    <n v="10000"/>
    <n v="10000"/>
    <x v="0"/>
    <x v="0"/>
    <x v="0"/>
    <x v="1"/>
    <x v="0"/>
  </r>
  <r>
    <n v="2545"/>
    <x v="0"/>
    <x v="0"/>
    <s v="N"/>
    <n v="12960"/>
    <n v="194"/>
    <n v="27"/>
    <n v="3"/>
    <x v="0"/>
    <x v="0"/>
    <n v="0"/>
    <n v="0"/>
    <n v="0"/>
    <n v="0"/>
    <n v="0"/>
    <n v="0"/>
    <n v="0"/>
    <n v="0"/>
    <n v="0"/>
    <x v="0"/>
    <x v="0"/>
    <x v="0"/>
    <x v="0"/>
    <x v="0"/>
  </r>
  <r>
    <n v="2546"/>
    <x v="0"/>
    <x v="0"/>
    <s v="W"/>
    <n v="41970"/>
    <n v="592"/>
    <n v="220"/>
    <n v="130"/>
    <x v="0"/>
    <x v="0"/>
    <n v="0"/>
    <n v="0"/>
    <n v="0"/>
    <n v="0"/>
    <n v="0"/>
    <n v="0"/>
    <n v="0"/>
    <n v="0"/>
    <n v="0"/>
    <x v="0"/>
    <x v="0"/>
    <x v="1"/>
    <x v="0"/>
    <x v="0"/>
  </r>
  <r>
    <n v="2547"/>
    <x v="0"/>
    <x v="0"/>
    <s v="W"/>
    <n v="25650"/>
    <n v="553"/>
    <n v="96"/>
    <n v="115"/>
    <x v="0"/>
    <x v="0"/>
    <n v="0"/>
    <n v="0"/>
    <n v="0"/>
    <n v="0"/>
    <n v="0"/>
    <n v="0"/>
    <n v="0"/>
    <n v="0"/>
    <n v="0"/>
    <x v="0"/>
    <x v="0"/>
    <x v="1"/>
    <x v="0"/>
    <x v="0"/>
  </r>
  <r>
    <n v="2548"/>
    <x v="0"/>
    <x v="0"/>
    <s v="W"/>
    <n v="20750"/>
    <n v="329"/>
    <n v="88"/>
    <n v="42"/>
    <x v="0"/>
    <x v="1"/>
    <n v="1"/>
    <n v="0"/>
    <n v="0"/>
    <n v="0"/>
    <n v="0"/>
    <n v="0"/>
    <n v="0"/>
    <n v="700"/>
    <n v="700"/>
    <x v="0"/>
    <x v="0"/>
    <x v="1"/>
    <x v="0"/>
    <x v="0"/>
  </r>
  <r>
    <n v="2549"/>
    <x v="0"/>
    <x v="0"/>
    <s v="W"/>
    <n v="17280"/>
    <n v="394"/>
    <n v="32"/>
    <n v="53"/>
    <x v="0"/>
    <x v="1"/>
    <n v="1"/>
    <n v="0"/>
    <n v="0"/>
    <n v="0"/>
    <n v="0"/>
    <n v="0"/>
    <n v="0"/>
    <n v="100"/>
    <n v="100"/>
    <x v="0"/>
    <x v="0"/>
    <x v="1"/>
    <x v="0"/>
    <x v="0"/>
  </r>
  <r>
    <n v="2550"/>
    <x v="0"/>
    <x v="0"/>
    <s v="W"/>
    <n v="76490"/>
    <n v="1203"/>
    <n v="484"/>
    <n v="367"/>
    <x v="1"/>
    <x v="0"/>
    <n v="0"/>
    <n v="0"/>
    <n v="0"/>
    <n v="0"/>
    <n v="0"/>
    <n v="0"/>
    <n v="0"/>
    <n v="0"/>
    <n v="0"/>
    <x v="0"/>
    <x v="0"/>
    <x v="1"/>
    <x v="0"/>
    <x v="0"/>
  </r>
  <r>
    <n v="2551"/>
    <x v="0"/>
    <x v="0"/>
    <s v="W"/>
    <n v="28600"/>
    <n v="601"/>
    <n v="120"/>
    <n v="130"/>
    <x v="0"/>
    <x v="0"/>
    <n v="0"/>
    <n v="0"/>
    <n v="0"/>
    <n v="0"/>
    <n v="0"/>
    <n v="0"/>
    <n v="0"/>
    <n v="0"/>
    <n v="0"/>
    <x v="0"/>
    <x v="0"/>
    <x v="1"/>
    <x v="0"/>
    <x v="0"/>
  </r>
  <r>
    <n v="2552"/>
    <x v="0"/>
    <x v="0"/>
    <s v="W"/>
    <n v="22890"/>
    <n v="283"/>
    <n v="104"/>
    <n v="23"/>
    <x v="0"/>
    <x v="0"/>
    <n v="0"/>
    <n v="0"/>
    <n v="0"/>
    <n v="0"/>
    <n v="0"/>
    <n v="0"/>
    <n v="0"/>
    <n v="0"/>
    <n v="0"/>
    <x v="0"/>
    <x v="0"/>
    <x v="1"/>
    <x v="0"/>
    <x v="0"/>
  </r>
  <r>
    <n v="2553"/>
    <x v="0"/>
    <x v="0"/>
    <s v="W"/>
    <n v="32580"/>
    <n v="494"/>
    <n v="150"/>
    <n v="89"/>
    <x v="0"/>
    <x v="3"/>
    <n v="3"/>
    <n v="0"/>
    <n v="0"/>
    <n v="0"/>
    <n v="0"/>
    <n v="0"/>
    <n v="0"/>
    <n v="1600"/>
    <n v="700"/>
    <x v="0"/>
    <x v="0"/>
    <x v="1"/>
    <x v="0"/>
    <x v="0"/>
  </r>
  <r>
    <n v="2554"/>
    <x v="0"/>
    <x v="0"/>
    <s v="W"/>
    <n v="28000"/>
    <n v="572"/>
    <n v="115"/>
    <n v="119"/>
    <x v="0"/>
    <x v="0"/>
    <n v="0"/>
    <n v="0"/>
    <n v="0"/>
    <n v="0"/>
    <n v="0"/>
    <n v="0"/>
    <n v="0"/>
    <n v="0"/>
    <n v="0"/>
    <x v="1"/>
    <x v="1"/>
    <x v="1"/>
    <x v="0"/>
    <x v="0"/>
  </r>
  <r>
    <n v="2555"/>
    <x v="0"/>
    <x v="0"/>
    <s v="W"/>
    <n v="29320"/>
    <n v="526"/>
    <n v="125"/>
    <n v="101"/>
    <x v="0"/>
    <x v="1"/>
    <n v="0"/>
    <n v="0"/>
    <n v="1"/>
    <n v="0"/>
    <n v="0"/>
    <n v="0"/>
    <n v="0"/>
    <n v="90000"/>
    <n v="90000"/>
    <x v="0"/>
    <x v="0"/>
    <x v="1"/>
    <x v="0"/>
    <x v="0"/>
  </r>
  <r>
    <n v="2556"/>
    <x v="0"/>
    <x v="0"/>
    <s v="W"/>
    <n v="32210"/>
    <n v="510"/>
    <n v="147"/>
    <n v="95"/>
    <x v="0"/>
    <x v="1"/>
    <n v="1"/>
    <n v="0"/>
    <n v="0"/>
    <n v="0"/>
    <n v="0"/>
    <n v="0"/>
    <n v="0"/>
    <n v="600"/>
    <n v="600"/>
    <x v="0"/>
    <x v="0"/>
    <x v="1"/>
    <x v="0"/>
    <x v="0"/>
  </r>
  <r>
    <n v="2557"/>
    <x v="0"/>
    <x v="0"/>
    <s v="W"/>
    <n v="12140"/>
    <n v="317"/>
    <n v="8"/>
    <n v="38"/>
    <x v="0"/>
    <x v="0"/>
    <n v="0"/>
    <n v="0"/>
    <n v="0"/>
    <n v="0"/>
    <n v="0"/>
    <n v="0"/>
    <n v="0"/>
    <n v="0"/>
    <n v="0"/>
    <x v="0"/>
    <x v="0"/>
    <x v="1"/>
    <x v="0"/>
    <x v="0"/>
  </r>
  <r>
    <n v="2558"/>
    <x v="0"/>
    <x v="0"/>
    <s v="W"/>
    <n v="10590"/>
    <n v="256"/>
    <n v="-19"/>
    <n v="-2"/>
    <x v="0"/>
    <x v="0"/>
    <n v="0"/>
    <n v="0"/>
    <n v="0"/>
    <n v="0"/>
    <n v="0"/>
    <n v="0"/>
    <n v="0"/>
    <n v="0"/>
    <n v="0"/>
    <x v="0"/>
    <x v="0"/>
    <x v="1"/>
    <x v="0"/>
    <x v="0"/>
  </r>
  <r>
    <n v="2559"/>
    <x v="1"/>
    <x v="0"/>
    <s v="N"/>
    <n v="8560"/>
    <n v="210"/>
    <n v="-18"/>
    <n v="2"/>
    <x v="0"/>
    <x v="0"/>
    <n v="0"/>
    <n v="0"/>
    <n v="0"/>
    <n v="0"/>
    <n v="0"/>
    <n v="0"/>
    <n v="0"/>
    <n v="0"/>
    <n v="0"/>
    <x v="0"/>
    <x v="0"/>
    <x v="0"/>
    <x v="1"/>
    <x v="0"/>
  </r>
  <r>
    <n v="2560"/>
    <x v="1"/>
    <x v="0"/>
    <s v="N"/>
    <n v="8470"/>
    <n v="203"/>
    <n v="-17"/>
    <n v="8"/>
    <x v="0"/>
    <x v="0"/>
    <n v="0"/>
    <n v="0"/>
    <n v="0"/>
    <n v="0"/>
    <n v="0"/>
    <n v="0"/>
    <n v="0"/>
    <n v="0"/>
    <n v="0"/>
    <x v="0"/>
    <x v="0"/>
    <x v="0"/>
    <x v="1"/>
    <x v="0"/>
  </r>
  <r>
    <n v="2561"/>
    <x v="1"/>
    <x v="0"/>
    <s v="N"/>
    <n v="7220"/>
    <n v="218"/>
    <n v="-29"/>
    <n v="16"/>
    <x v="0"/>
    <x v="0"/>
    <n v="0"/>
    <n v="0"/>
    <n v="0"/>
    <n v="0"/>
    <n v="0"/>
    <n v="0"/>
    <n v="0"/>
    <n v="0"/>
    <n v="0"/>
    <x v="0"/>
    <x v="0"/>
    <x v="0"/>
    <x v="1"/>
    <x v="0"/>
  </r>
  <r>
    <n v="2562"/>
    <x v="1"/>
    <x v="0"/>
    <s v="N"/>
    <n v="11700"/>
    <n v="181"/>
    <n v="15"/>
    <n v="-4"/>
    <x v="0"/>
    <x v="0"/>
    <n v="0"/>
    <n v="0"/>
    <n v="0"/>
    <n v="0"/>
    <n v="0"/>
    <n v="0"/>
    <n v="0"/>
    <n v="0"/>
    <n v="0"/>
    <x v="0"/>
    <x v="0"/>
    <x v="0"/>
    <x v="0"/>
    <x v="0"/>
  </r>
  <r>
    <n v="2563"/>
    <x v="1"/>
    <x v="0"/>
    <s v="N"/>
    <n v="6970"/>
    <n v="154"/>
    <n v="-33"/>
    <n v="-25"/>
    <x v="0"/>
    <x v="0"/>
    <n v="0"/>
    <n v="0"/>
    <n v="0"/>
    <n v="0"/>
    <n v="0"/>
    <n v="0"/>
    <n v="0"/>
    <n v="0"/>
    <n v="0"/>
    <x v="0"/>
    <x v="0"/>
    <x v="0"/>
    <x v="1"/>
    <x v="0"/>
  </r>
  <r>
    <n v="2564"/>
    <x v="1"/>
    <x v="0"/>
    <s v="W"/>
    <n v="6920"/>
    <n v="158"/>
    <n v="-41"/>
    <n v="-32"/>
    <x v="0"/>
    <x v="0"/>
    <n v="0"/>
    <n v="0"/>
    <n v="0"/>
    <n v="0"/>
    <n v="0"/>
    <n v="0"/>
    <n v="0"/>
    <n v="0"/>
    <n v="0"/>
    <x v="0"/>
    <x v="0"/>
    <x v="1"/>
    <x v="1"/>
    <x v="0"/>
  </r>
  <r>
    <n v="2565"/>
    <x v="1"/>
    <x v="0"/>
    <s v="W"/>
    <n v="17200"/>
    <n v="262"/>
    <n v="47"/>
    <n v="14"/>
    <x v="0"/>
    <x v="0"/>
    <n v="0"/>
    <n v="0"/>
    <n v="0"/>
    <n v="0"/>
    <n v="0"/>
    <n v="0"/>
    <n v="0"/>
    <n v="0"/>
    <n v="0"/>
    <x v="0"/>
    <x v="0"/>
    <x v="1"/>
    <x v="0"/>
    <x v="0"/>
  </r>
  <r>
    <n v="2566"/>
    <x v="1"/>
    <x v="0"/>
    <s v="W"/>
    <n v="42640"/>
    <n v="576"/>
    <n v="264"/>
    <n v="150"/>
    <x v="0"/>
    <x v="0"/>
    <n v="0"/>
    <n v="0"/>
    <n v="0"/>
    <n v="0"/>
    <n v="0"/>
    <n v="0"/>
    <n v="0"/>
    <n v="0"/>
    <n v="0"/>
    <x v="0"/>
    <x v="0"/>
    <x v="1"/>
    <x v="0"/>
    <x v="0"/>
  </r>
  <r>
    <n v="2567"/>
    <x v="1"/>
    <x v="0"/>
    <s v="W"/>
    <n v="15130"/>
    <n v="372"/>
    <n v="18"/>
    <n v="51"/>
    <x v="0"/>
    <x v="0"/>
    <n v="0"/>
    <n v="0"/>
    <n v="0"/>
    <n v="0"/>
    <n v="0"/>
    <n v="0"/>
    <n v="0"/>
    <n v="0"/>
    <n v="0"/>
    <x v="0"/>
    <x v="0"/>
    <x v="1"/>
    <x v="0"/>
    <x v="0"/>
  </r>
  <r>
    <n v="2568"/>
    <x v="1"/>
    <x v="0"/>
    <s v="W"/>
    <n v="15740"/>
    <n v="222"/>
    <n v="4"/>
    <n v="-27"/>
    <x v="0"/>
    <x v="1"/>
    <n v="0"/>
    <n v="1"/>
    <n v="0"/>
    <n v="0"/>
    <n v="0"/>
    <n v="0"/>
    <n v="0"/>
    <n v="6000"/>
    <n v="6000"/>
    <x v="0"/>
    <x v="0"/>
    <x v="1"/>
    <x v="0"/>
    <x v="0"/>
  </r>
  <r>
    <n v="2569"/>
    <x v="1"/>
    <x v="0"/>
    <s v="W"/>
    <n v="12470"/>
    <n v="227"/>
    <n v="-2"/>
    <n v="-8"/>
    <x v="0"/>
    <x v="0"/>
    <n v="0"/>
    <n v="0"/>
    <n v="0"/>
    <n v="0"/>
    <n v="0"/>
    <n v="0"/>
    <n v="0"/>
    <n v="0"/>
    <n v="0"/>
    <x v="0"/>
    <x v="0"/>
    <x v="1"/>
    <x v="0"/>
    <x v="0"/>
  </r>
  <r>
    <n v="2570"/>
    <x v="1"/>
    <x v="0"/>
    <s v="W"/>
    <n v="19290"/>
    <n v="268"/>
    <n v="28"/>
    <n v="-12"/>
    <x v="0"/>
    <x v="1"/>
    <n v="0"/>
    <n v="1"/>
    <n v="0"/>
    <n v="0"/>
    <n v="0"/>
    <n v="0"/>
    <n v="0"/>
    <n v="1000"/>
    <n v="1000"/>
    <x v="0"/>
    <x v="0"/>
    <x v="1"/>
    <x v="0"/>
    <x v="0"/>
  </r>
  <r>
    <n v="2571"/>
    <x v="1"/>
    <x v="0"/>
    <s v="W"/>
    <n v="24620"/>
    <n v="362"/>
    <n v="63"/>
    <n v="18"/>
    <x v="0"/>
    <x v="0"/>
    <n v="0"/>
    <n v="0"/>
    <n v="0"/>
    <n v="0"/>
    <n v="0"/>
    <n v="0"/>
    <n v="0"/>
    <n v="0"/>
    <n v="0"/>
    <x v="0"/>
    <x v="0"/>
    <x v="1"/>
    <x v="0"/>
    <x v="0"/>
  </r>
  <r>
    <n v="2572"/>
    <x v="1"/>
    <x v="0"/>
    <s v="W"/>
    <n v="13460"/>
    <n v="229"/>
    <n v="-11"/>
    <n v="-25"/>
    <x v="0"/>
    <x v="0"/>
    <n v="0"/>
    <n v="0"/>
    <n v="0"/>
    <n v="0"/>
    <n v="0"/>
    <n v="0"/>
    <n v="0"/>
    <n v="0"/>
    <n v="0"/>
    <x v="0"/>
    <x v="0"/>
    <x v="1"/>
    <x v="0"/>
    <x v="0"/>
  </r>
  <r>
    <n v="2573"/>
    <x v="1"/>
    <x v="0"/>
    <s v="W"/>
    <n v="14660"/>
    <n v="229"/>
    <n v="-3"/>
    <n v="-25"/>
    <x v="0"/>
    <x v="0"/>
    <n v="0"/>
    <n v="0"/>
    <n v="0"/>
    <n v="0"/>
    <n v="0"/>
    <n v="0"/>
    <n v="0"/>
    <n v="0"/>
    <n v="0"/>
    <x v="0"/>
    <x v="0"/>
    <x v="1"/>
    <x v="0"/>
    <x v="0"/>
  </r>
  <r>
    <n v="2574"/>
    <x v="1"/>
    <x v="0"/>
    <s v="W"/>
    <n v="37560"/>
    <n v="493"/>
    <n v="149"/>
    <n v="61"/>
    <x v="0"/>
    <x v="1"/>
    <n v="1"/>
    <n v="0"/>
    <n v="0"/>
    <n v="0"/>
    <n v="0"/>
    <n v="0"/>
    <n v="0"/>
    <n v="200"/>
    <n v="200"/>
    <x v="0"/>
    <x v="0"/>
    <x v="1"/>
    <x v="0"/>
    <x v="0"/>
  </r>
  <r>
    <n v="2575"/>
    <x v="1"/>
    <x v="0"/>
    <s v="W"/>
    <n v="27740"/>
    <n v="443"/>
    <n v="81"/>
    <n v="41"/>
    <x v="0"/>
    <x v="0"/>
    <n v="0"/>
    <n v="0"/>
    <n v="0"/>
    <n v="0"/>
    <n v="0"/>
    <n v="0"/>
    <n v="0"/>
    <n v="0"/>
    <n v="0"/>
    <x v="0"/>
    <x v="0"/>
    <x v="1"/>
    <x v="0"/>
    <x v="0"/>
  </r>
  <r>
    <n v="2576"/>
    <x v="1"/>
    <x v="0"/>
    <s v="W"/>
    <n v="15460"/>
    <n v="249"/>
    <n v="15"/>
    <n v="-2"/>
    <x v="0"/>
    <x v="0"/>
    <n v="0"/>
    <n v="0"/>
    <n v="0"/>
    <n v="0"/>
    <n v="0"/>
    <n v="0"/>
    <n v="0"/>
    <n v="0"/>
    <n v="0"/>
    <x v="0"/>
    <x v="0"/>
    <x v="1"/>
    <x v="0"/>
    <x v="0"/>
  </r>
  <r>
    <n v="2577"/>
    <x v="1"/>
    <x v="0"/>
    <s v="W"/>
    <n v="22060"/>
    <n v="275"/>
    <n v="64"/>
    <n v="8"/>
    <x v="0"/>
    <x v="0"/>
    <n v="0"/>
    <n v="0"/>
    <n v="0"/>
    <n v="0"/>
    <n v="0"/>
    <n v="0"/>
    <n v="0"/>
    <n v="0"/>
    <n v="0"/>
    <x v="0"/>
    <x v="0"/>
    <x v="1"/>
    <x v="0"/>
    <x v="0"/>
  </r>
  <r>
    <n v="2578"/>
    <x v="1"/>
    <x v="0"/>
    <s v="W"/>
    <n v="16330"/>
    <n v="270"/>
    <n v="7"/>
    <n v="-14"/>
    <x v="0"/>
    <x v="0"/>
    <n v="0"/>
    <n v="0"/>
    <n v="0"/>
    <n v="0"/>
    <n v="0"/>
    <n v="0"/>
    <n v="0"/>
    <n v="0"/>
    <n v="0"/>
    <x v="0"/>
    <x v="0"/>
    <x v="1"/>
    <x v="0"/>
    <x v="0"/>
  </r>
  <r>
    <n v="2579"/>
    <x v="1"/>
    <x v="0"/>
    <s v="W"/>
    <n v="28910"/>
    <n v="307"/>
    <n v="115"/>
    <n v="20"/>
    <x v="0"/>
    <x v="0"/>
    <n v="0"/>
    <n v="0"/>
    <n v="0"/>
    <n v="0"/>
    <n v="0"/>
    <n v="0"/>
    <n v="0"/>
    <n v="0"/>
    <n v="0"/>
    <x v="0"/>
    <x v="0"/>
    <x v="1"/>
    <x v="0"/>
    <x v="0"/>
  </r>
  <r>
    <n v="2580"/>
    <x v="1"/>
    <x v="0"/>
    <s v="W"/>
    <n v="81410"/>
    <n v="785"/>
    <n v="432"/>
    <n v="151"/>
    <x v="1"/>
    <x v="0"/>
    <n v="0"/>
    <n v="0"/>
    <n v="0"/>
    <n v="0"/>
    <n v="0"/>
    <n v="0"/>
    <n v="0"/>
    <n v="0"/>
    <n v="0"/>
    <x v="0"/>
    <x v="0"/>
    <x v="1"/>
    <x v="0"/>
    <x v="0"/>
  </r>
  <r>
    <n v="2581"/>
    <x v="1"/>
    <x v="0"/>
    <s v="W"/>
    <n v="42110"/>
    <n v="555"/>
    <n v="213"/>
    <n v="118"/>
    <x v="0"/>
    <x v="0"/>
    <n v="0"/>
    <n v="0"/>
    <n v="0"/>
    <n v="0"/>
    <n v="0"/>
    <n v="0"/>
    <n v="0"/>
    <n v="0"/>
    <n v="0"/>
    <x v="0"/>
    <x v="0"/>
    <x v="1"/>
    <x v="0"/>
    <x v="0"/>
  </r>
  <r>
    <n v="2582"/>
    <x v="1"/>
    <x v="0"/>
    <s v="W"/>
    <n v="26960"/>
    <n v="540"/>
    <n v="101"/>
    <n v="112"/>
    <x v="0"/>
    <x v="0"/>
    <n v="0"/>
    <n v="0"/>
    <n v="0"/>
    <n v="0"/>
    <n v="0"/>
    <n v="0"/>
    <n v="0"/>
    <n v="0"/>
    <n v="0"/>
    <x v="0"/>
    <x v="0"/>
    <x v="1"/>
    <x v="0"/>
    <x v="0"/>
  </r>
  <r>
    <n v="2583"/>
    <x v="0"/>
    <x v="0"/>
    <s v="W"/>
    <n v="16130"/>
    <n v="322"/>
    <n v="2"/>
    <n v="2"/>
    <x v="0"/>
    <x v="0"/>
    <n v="0"/>
    <n v="0"/>
    <n v="0"/>
    <n v="0"/>
    <n v="0"/>
    <n v="0"/>
    <n v="0"/>
    <n v="0"/>
    <n v="0"/>
    <x v="0"/>
    <x v="0"/>
    <x v="1"/>
    <x v="0"/>
    <x v="0"/>
  </r>
  <r>
    <n v="2584"/>
    <x v="0"/>
    <x v="0"/>
    <s v="W"/>
    <n v="12750"/>
    <n v="235"/>
    <n v="-10"/>
    <n v="-10"/>
    <x v="0"/>
    <x v="0"/>
    <n v="0"/>
    <n v="0"/>
    <n v="0"/>
    <n v="0"/>
    <n v="0"/>
    <n v="0"/>
    <n v="0"/>
    <n v="0"/>
    <n v="0"/>
    <x v="0"/>
    <x v="0"/>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261822-6BA4-894F-BC57-87640B95318C}"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2:D25" firstHeaderRow="1" firstDataRow="1" firstDataCol="1"/>
  <pivotFields count="24">
    <pivotField showAll="0"/>
    <pivotField axis="axisRow" showAll="0">
      <items count="3">
        <item x="0"/>
        <item x="1"/>
        <item t="default"/>
      </items>
    </pivotField>
    <pivotField showAll="0">
      <items count="4">
        <item x="0"/>
        <item x="1"/>
        <item x="2"/>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3">
        <item x="0"/>
        <item x="1"/>
        <item t="default"/>
      </items>
    </pivotField>
    <pivotField showAll="0">
      <items count="6">
        <item x="4"/>
        <item x="1"/>
        <item x="0"/>
        <item x="2"/>
        <item x="3"/>
        <item t="default"/>
      </items>
    </pivotField>
    <pivotField showAll="0">
      <items count="3">
        <item x="0"/>
        <item x="1"/>
        <item t="default"/>
      </items>
    </pivotField>
  </pivotFields>
  <rowFields count="1">
    <field x="1"/>
  </rowFields>
  <rowItems count="3">
    <i>
      <x/>
    </i>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B11668-2799-6243-A118-8950AA3112AF}"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7:E18" firstHeaderRow="1" firstDataRow="1" firstDataCol="1"/>
  <pivotFields count="24">
    <pivotField showAll="0"/>
    <pivotField showAll="0">
      <items count="3">
        <item x="0"/>
        <item x="1"/>
        <item t="default"/>
      </items>
    </pivotField>
    <pivotField showAll="0">
      <items count="4">
        <item x="0"/>
        <item x="1"/>
        <item x="2"/>
        <item t="default"/>
      </items>
    </pivotField>
    <pivotField showAll="0"/>
    <pivotField showAll="0"/>
    <pivotField showAll="0"/>
    <pivotField showAll="0"/>
    <pivotField showAll="0"/>
    <pivotField showAll="0">
      <items count="4">
        <item x="0"/>
        <item x="1"/>
        <item x="2"/>
        <item t="default"/>
      </items>
    </pivotField>
    <pivotField axis="axisRow" showAll="0">
      <items count="11">
        <item x="0"/>
        <item x="1"/>
        <item x="2"/>
        <item x="3"/>
        <item x="5"/>
        <item x="6"/>
        <item x="7"/>
        <item x="4"/>
        <item x="9"/>
        <item x="8"/>
        <item t="default"/>
      </items>
    </pivotField>
    <pivotField showAll="0"/>
    <pivotField showAll="0"/>
    <pivotField showAll="0"/>
    <pivotField showAll="0"/>
    <pivotField showAll="0"/>
    <pivotField showAll="0"/>
    <pivotField showAll="0"/>
    <pivotField dataField="1" showAll="0"/>
    <pivotField showAll="0"/>
    <pivotField showAll="0"/>
    <pivotField showAll="0">
      <items count="3">
        <item x="1"/>
        <item x="0"/>
        <item t="default"/>
      </items>
    </pivotField>
    <pivotField showAll="0">
      <items count="3">
        <item x="0"/>
        <item x="1"/>
        <item t="default"/>
      </items>
    </pivotField>
    <pivotField showAll="0">
      <items count="6">
        <item x="4"/>
        <item x="1"/>
        <item x="0"/>
        <item x="2"/>
        <item x="3"/>
        <item t="default"/>
      </items>
    </pivotField>
    <pivotField showAll="0">
      <items count="3">
        <item x="0"/>
        <item x="1"/>
        <item t="default"/>
      </items>
    </pivotField>
  </pivotFields>
  <rowFields count="1">
    <field x="9"/>
  </rowFields>
  <rowItems count="11">
    <i>
      <x/>
    </i>
    <i>
      <x v="1"/>
    </i>
    <i>
      <x v="2"/>
    </i>
    <i>
      <x v="3"/>
    </i>
    <i>
      <x v="4"/>
    </i>
    <i>
      <x v="5"/>
    </i>
    <i>
      <x v="6"/>
    </i>
    <i>
      <x v="7"/>
    </i>
    <i>
      <x v="8"/>
    </i>
    <i>
      <x v="9"/>
    </i>
    <i t="grand">
      <x/>
    </i>
  </rowItems>
  <colItems count="1">
    <i/>
  </colItems>
  <dataFields count="1">
    <dataField name="shift_count" fld="17" subtotal="count" baseField="0" baseItem="0" numFmtId="3"/>
  </dataFields>
  <chartFormats count="2">
    <chartFormat chart="4"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B8AC35-EE45-3A4C-99DE-D96634510023}"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9:B33" firstHeaderRow="1" firstDataRow="1" firstDataCol="1"/>
  <pivotFields count="24">
    <pivotField showAll="0"/>
    <pivotField showAll="0">
      <items count="3">
        <item x="0"/>
        <item x="1"/>
        <item t="default"/>
      </items>
    </pivotField>
    <pivotField axis="axisRow" showAll="0">
      <items count="4">
        <item x="0"/>
        <item x="1"/>
        <item x="2"/>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3">
        <item x="1"/>
        <item x="0"/>
        <item t="default"/>
      </items>
    </pivotField>
    <pivotField showAll="0">
      <items count="3">
        <item x="0"/>
        <item x="1"/>
        <item t="default"/>
      </items>
    </pivotField>
    <pivotField showAll="0">
      <items count="6">
        <item x="4"/>
        <item x="1"/>
        <item x="0"/>
        <item x="2"/>
        <item x="3"/>
        <item t="default"/>
      </items>
    </pivotField>
    <pivotField showAll="0">
      <items count="3">
        <item x="0"/>
        <item x="1"/>
        <item t="default"/>
      </items>
    </pivotField>
  </pivotFields>
  <rowFields count="1">
    <field x="2"/>
  </rowFields>
  <rowItems count="4">
    <i>
      <x/>
    </i>
    <i>
      <x v="1"/>
    </i>
    <i>
      <x v="2"/>
    </i>
    <i t="grand">
      <x/>
    </i>
  </rowItems>
  <colItems count="1">
    <i/>
  </colItems>
  <dataFields count="1">
    <dataField name="danger_rate" fld="19" subtotal="average" baseField="0" baseItem="0" numFmtId="10"/>
  </dataFields>
  <chartFormats count="9">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 count="1" selected="0">
            <x v="0"/>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 chart="4" format="8">
      <pivotArea type="data" outline="0" fieldPosition="0">
        <references count="2">
          <reference field="4294967294" count="1" selected="0">
            <x v="0"/>
          </reference>
          <reference field="2" count="1" selected="0">
            <x v="2"/>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2" count="1" selected="0">
            <x v="0"/>
          </reference>
        </references>
      </pivotArea>
    </chartFormat>
    <chartFormat chart="7" format="15">
      <pivotArea type="data" outline="0" fieldPosition="0">
        <references count="2">
          <reference field="4294967294" count="1" selected="0">
            <x v="0"/>
          </reference>
          <reference field="2" count="1" selected="0">
            <x v="1"/>
          </reference>
        </references>
      </pivotArea>
    </chartFormat>
    <chartFormat chart="7" format="1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89E91B-2C57-AB47-8F8A-3D6C7F85670E}"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B25" firstHeaderRow="1" firstDataRow="1" firstDataCol="1"/>
  <pivotFields count="24">
    <pivotField showAll="0"/>
    <pivotField axis="axisRow" showAll="0">
      <items count="3">
        <item x="0"/>
        <item x="1"/>
        <item t="default"/>
      </items>
    </pivotField>
    <pivotField showAll="0">
      <items count="4">
        <item x="0"/>
        <item x="1"/>
        <item x="2"/>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3">
        <item x="1"/>
        <item x="0"/>
        <item t="default"/>
      </items>
    </pivotField>
    <pivotField showAll="0">
      <items count="3">
        <item x="0"/>
        <item x="1"/>
        <item t="default"/>
      </items>
    </pivotField>
    <pivotField showAll="0">
      <items count="6">
        <item x="4"/>
        <item x="1"/>
        <item x="0"/>
        <item x="2"/>
        <item x="3"/>
        <item t="default"/>
      </items>
    </pivotField>
    <pivotField showAll="0">
      <items count="3">
        <item x="0"/>
        <item x="1"/>
        <item t="default"/>
      </items>
    </pivotField>
  </pivotFields>
  <rowFields count="1">
    <field x="1"/>
  </rowFields>
  <rowItems count="3">
    <i>
      <x/>
    </i>
    <i>
      <x v="1"/>
    </i>
    <i t="grand">
      <x/>
    </i>
  </rowItems>
  <colItems count="1">
    <i/>
  </colItems>
  <dataFields count="1">
    <dataField name="Average of class" fld="19" subtotal="average" baseField="0" baseItem="0" numFmtId="1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E50C6C-4442-4542-9225-B3CAD5F95C08}"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3:B19" firstHeaderRow="1" firstDataRow="1" firstDataCol="1"/>
  <pivotFields count="24">
    <pivotField showAll="0"/>
    <pivotField showAll="0">
      <items count="3">
        <item x="0"/>
        <item x="1"/>
        <item t="default"/>
      </items>
    </pivotField>
    <pivotField showAll="0">
      <items count="4">
        <item x="0"/>
        <item x="1"/>
        <item x="2"/>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3">
        <item x="1"/>
        <item x="0"/>
        <item t="default"/>
      </items>
    </pivotField>
    <pivotField showAll="0">
      <items count="3">
        <item x="0"/>
        <item x="1"/>
        <item t="default"/>
      </items>
    </pivotField>
    <pivotField axis="axisRow" showAll="0" sortType="descending">
      <items count="6">
        <item x="3"/>
        <item x="2"/>
        <item x="0"/>
        <item x="1"/>
        <item x="4"/>
        <item t="default"/>
      </items>
    </pivotField>
    <pivotField showAll="0">
      <items count="3">
        <item x="0"/>
        <item x="1"/>
        <item t="default"/>
      </items>
    </pivotField>
  </pivotFields>
  <rowFields count="1">
    <field x="22"/>
  </rowFields>
  <rowItems count="6">
    <i>
      <x/>
    </i>
    <i>
      <x v="1"/>
    </i>
    <i>
      <x v="2"/>
    </i>
    <i>
      <x v="3"/>
    </i>
    <i>
      <x v="4"/>
    </i>
    <i t="grand">
      <x/>
    </i>
  </rowItems>
  <colItems count="1">
    <i/>
  </colItems>
  <dataFields count="1">
    <dataField name="shift count" fld="19" subtotal="count" baseField="0" baseItem="0" numFmtId="3"/>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29FBD8-B1F5-FA4B-B509-E54D5DAB0398}"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7:B11" firstHeaderRow="1" firstDataRow="1" firstDataCol="1"/>
  <pivotFields count="24">
    <pivotField showAll="0"/>
    <pivotField showAll="0">
      <items count="3">
        <item x="0"/>
        <item x="1"/>
        <item t="default"/>
      </items>
    </pivotField>
    <pivotField showAll="0">
      <items count="4">
        <item x="0"/>
        <item x="1"/>
        <item x="2"/>
        <item t="default"/>
      </items>
    </pivotField>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items count="3">
        <item x="1"/>
        <item x="0"/>
        <item t="default"/>
      </items>
    </pivotField>
    <pivotField showAll="0">
      <items count="3">
        <item x="0"/>
        <item x="1"/>
        <item t="default"/>
      </items>
    </pivotField>
    <pivotField showAll="0">
      <items count="6">
        <item x="4"/>
        <item x="1"/>
        <item x="0"/>
        <item x="2"/>
        <item x="3"/>
        <item t="default"/>
      </items>
    </pivotField>
    <pivotField showAll="0">
      <items count="3">
        <item x="0"/>
        <item x="1"/>
        <item t="default"/>
      </items>
    </pivotField>
  </pivotFields>
  <rowFields count="1">
    <field x="8"/>
  </rowFields>
  <rowItems count="4">
    <i>
      <x/>
    </i>
    <i>
      <x v="1"/>
    </i>
    <i>
      <x v="2"/>
    </i>
    <i t="grand">
      <x/>
    </i>
  </rowItems>
  <colItems count="1">
    <i/>
  </colItems>
  <dataFields count="1">
    <dataField name="danger_rate" fld="19" subtotal="average" baseField="0" baseItem="0" numFmtId="10"/>
  </dataFields>
  <chartFormats count="2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8" count="1" selected="0">
            <x v="0"/>
          </reference>
        </references>
      </pivotArea>
    </chartFormat>
    <chartFormat chart="4" format="7">
      <pivotArea type="data" outline="0" fieldPosition="0">
        <references count="2">
          <reference field="4294967294" count="1" selected="0">
            <x v="0"/>
          </reference>
          <reference field="8" count="1" selected="0">
            <x v="1"/>
          </reference>
        </references>
      </pivotArea>
    </chartFormat>
    <chartFormat chart="4" format="8">
      <pivotArea type="data" outline="0" fieldPosition="0">
        <references count="2">
          <reference field="4294967294" count="1" selected="0">
            <x v="0"/>
          </reference>
          <reference field="8" count="1" selected="0">
            <x v="2"/>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8" count="1" selected="0">
            <x v="0"/>
          </reference>
        </references>
      </pivotArea>
    </chartFormat>
    <chartFormat chart="7" format="15">
      <pivotArea type="data" outline="0" fieldPosition="0">
        <references count="2">
          <reference field="4294967294" count="1" selected="0">
            <x v="0"/>
          </reference>
          <reference field="8" count="1" selected="0">
            <x v="1"/>
          </reference>
        </references>
      </pivotArea>
    </chartFormat>
    <chartFormat chart="7" format="16">
      <pivotArea type="data" outline="0" fieldPosition="0">
        <references count="2">
          <reference field="4294967294" count="1" selected="0">
            <x v="0"/>
          </reference>
          <reference field="8" count="1" selected="0">
            <x v="2"/>
          </reference>
        </references>
      </pivotArea>
    </chartFormat>
    <chartFormat chart="11" format="21" series="1">
      <pivotArea type="data" outline="0" fieldPosition="0">
        <references count="1">
          <reference field="4294967294" count="1" selected="0">
            <x v="0"/>
          </reference>
        </references>
      </pivotArea>
    </chartFormat>
    <chartFormat chart="11" format="22">
      <pivotArea type="data" outline="0" fieldPosition="0">
        <references count="2">
          <reference field="4294967294" count="1" selected="0">
            <x v="0"/>
          </reference>
          <reference field="8" count="1" selected="0">
            <x v="0"/>
          </reference>
        </references>
      </pivotArea>
    </chartFormat>
    <chartFormat chart="11" format="23">
      <pivotArea type="data" outline="0" fieldPosition="0">
        <references count="2">
          <reference field="4294967294" count="1" selected="0">
            <x v="0"/>
          </reference>
          <reference field="8" count="1" selected="0">
            <x v="1"/>
          </reference>
        </references>
      </pivotArea>
    </chartFormat>
    <chartFormat chart="11" format="24">
      <pivotArea type="data" outline="0" fieldPosition="0">
        <references count="2">
          <reference field="4294967294" count="1" selected="0">
            <x v="0"/>
          </reference>
          <reference field="8" count="1" selected="0">
            <x v="2"/>
          </reference>
        </references>
      </pivotArea>
    </chartFormat>
    <chartFormat chart="14" format="21" series="1">
      <pivotArea type="data" outline="0" fieldPosition="0">
        <references count="1">
          <reference field="4294967294" count="1" selected="0">
            <x v="0"/>
          </reference>
        </references>
      </pivotArea>
    </chartFormat>
    <chartFormat chart="14" format="22">
      <pivotArea type="data" outline="0" fieldPosition="0">
        <references count="2">
          <reference field="4294967294" count="1" selected="0">
            <x v="0"/>
          </reference>
          <reference field="8" count="1" selected="0">
            <x v="0"/>
          </reference>
        </references>
      </pivotArea>
    </chartFormat>
    <chartFormat chart="14" format="23">
      <pivotArea type="data" outline="0" fieldPosition="0">
        <references count="2">
          <reference field="4294967294" count="1" selected="0">
            <x v="0"/>
          </reference>
          <reference field="8" count="1" selected="0">
            <x v="1"/>
          </reference>
        </references>
      </pivotArea>
    </chartFormat>
    <chartFormat chart="14" format="24">
      <pivotArea type="data" outline="0" fieldPosition="0">
        <references count="2">
          <reference field="4294967294" count="1" selected="0">
            <x v="0"/>
          </reference>
          <reference field="8" count="1" selected="0">
            <x v="2"/>
          </reference>
        </references>
      </pivotArea>
    </chartFormat>
    <chartFormat chart="15" format="25" series="1">
      <pivotArea type="data" outline="0" fieldPosition="0">
        <references count="1">
          <reference field="4294967294" count="1" selected="0">
            <x v="0"/>
          </reference>
        </references>
      </pivotArea>
    </chartFormat>
    <chartFormat chart="15" format="26">
      <pivotArea type="data" outline="0" fieldPosition="0">
        <references count="2">
          <reference field="4294967294" count="1" selected="0">
            <x v="0"/>
          </reference>
          <reference field="8" count="1" selected="0">
            <x v="0"/>
          </reference>
        </references>
      </pivotArea>
    </chartFormat>
    <chartFormat chart="15" format="27">
      <pivotArea type="data" outline="0" fieldPosition="0">
        <references count="2">
          <reference field="4294967294" count="1" selected="0">
            <x v="0"/>
          </reference>
          <reference field="8" count="1" selected="0">
            <x v="1"/>
          </reference>
        </references>
      </pivotArea>
    </chartFormat>
    <chartFormat chart="15" format="28">
      <pivotArea type="data" outline="0" fieldPosition="0">
        <references count="2">
          <reference field="4294967294" count="1" selected="0">
            <x v="0"/>
          </reference>
          <reference field="8" count="1" selected="0">
            <x v="2"/>
          </reference>
        </references>
      </pivotArea>
    </chartFormat>
    <chartFormat chart="16" format="29" series="1">
      <pivotArea type="data" outline="0" fieldPosition="0">
        <references count="1">
          <reference field="4294967294" count="1" selected="0">
            <x v="0"/>
          </reference>
        </references>
      </pivotArea>
    </chartFormat>
    <chartFormat chart="16" format="30">
      <pivotArea type="data" outline="0" fieldPosition="0">
        <references count="2">
          <reference field="4294967294" count="1" selected="0">
            <x v="0"/>
          </reference>
          <reference field="8" count="1" selected="0">
            <x v="0"/>
          </reference>
        </references>
      </pivotArea>
    </chartFormat>
    <chartFormat chart="16" format="31">
      <pivotArea type="data" outline="0" fieldPosition="0">
        <references count="2">
          <reference field="4294967294" count="1" selected="0">
            <x v="0"/>
          </reference>
          <reference field="8" count="1" selected="0">
            <x v="1"/>
          </reference>
        </references>
      </pivotArea>
    </chartFormat>
    <chartFormat chart="16" format="32">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61BFE7-082A-574F-B03E-DBF69F4A45B1}"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J4" firstHeaderRow="0" firstDataRow="1" firstDataCol="0"/>
  <pivotFields count="24">
    <pivotField dataField="1" showAll="0"/>
    <pivotField showAll="0">
      <items count="3">
        <item x="0"/>
        <item x="1"/>
        <item t="default"/>
      </items>
    </pivotField>
    <pivotField showAll="0">
      <items count="4">
        <item x="0"/>
        <item x="1"/>
        <item x="2"/>
        <item t="default"/>
      </items>
    </pivotField>
    <pivotField showAll="0"/>
    <pivotField dataField="1" showAll="0"/>
    <pivotField dataField="1" showAll="0"/>
    <pivotField dataField="1" showAll="0"/>
    <pivotField dataField="1" showAll="0"/>
    <pivotField showAll="0"/>
    <pivotField dataField="1" showAll="0"/>
    <pivotField showAll="0"/>
    <pivotField showAll="0"/>
    <pivotField showAll="0"/>
    <pivotField showAll="0"/>
    <pivotField showAll="0"/>
    <pivotField showAll="0"/>
    <pivotField showAll="0"/>
    <pivotField dataField="1" showAll="0"/>
    <pivotField showAll="0"/>
    <pivotField dataField="1" showAll="0"/>
    <pivotField showAll="0">
      <items count="3">
        <item x="1"/>
        <item x="0"/>
        <item t="default"/>
      </items>
    </pivotField>
    <pivotField showAll="0">
      <items count="3">
        <item x="0"/>
        <item x="1"/>
        <item t="default"/>
      </items>
    </pivotField>
    <pivotField showAll="0">
      <items count="6">
        <item x="4"/>
        <item x="1"/>
        <item x="0"/>
        <item x="2"/>
        <item x="3"/>
        <item t="default"/>
      </items>
    </pivotField>
    <pivotField showAll="0">
      <items count="3">
        <item x="0"/>
        <item x="1"/>
        <item t="default"/>
      </items>
    </pivotField>
  </pivotFields>
  <rowItems count="1">
    <i/>
  </rowItems>
  <colFields count="1">
    <field x="-2"/>
  </colFields>
  <colItems count="10">
    <i>
      <x/>
    </i>
    <i i="1">
      <x v="1"/>
    </i>
    <i i="2">
      <x v="2"/>
    </i>
    <i i="3">
      <x v="3"/>
    </i>
    <i i="4">
      <x v="4"/>
    </i>
    <i i="5">
      <x v="5"/>
    </i>
    <i i="6">
      <x v="6"/>
    </i>
    <i i="7">
      <x v="7"/>
    </i>
    <i i="8">
      <x v="8"/>
    </i>
    <i i="9">
      <x v="9"/>
    </i>
  </colItems>
  <dataFields count="10">
    <dataField name="shift_count" fld="0" subtotal="count" baseField="0" baseItem="0"/>
    <dataField name="danger count" fld="19" baseField="0" baseItem="0"/>
    <dataField name="danger_rate" fld="19" subtotal="average" baseField="0" baseItem="0" numFmtId="10"/>
    <dataField name="Average of genergy" fld="4" subtotal="average" baseField="0" baseItem="0" numFmtId="38"/>
    <dataField name="Average of gpuls" fld="5" subtotal="average" baseField="0" baseItem="0" numFmtId="3"/>
    <dataField name="Average of nbumps" fld="9" subtotal="average" baseField="0" baseItem="0" numFmtId="171"/>
    <dataField name="Average of energy" fld="17" subtotal="average" baseField="0" baseItem="0" numFmtId="3"/>
    <dataField name="Max of genergy" fld="4" subtotal="max" baseField="0" baseItem="0" numFmtId="3"/>
    <dataField name="Average of gdpuls" fld="7" subtotal="average" baseField="0" baseItem="0" numFmtId="3"/>
    <dataField name="Average of gdenergy" fld="6"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ergy_magnitude" xr10:uid="{B1FD4C1A-CE43-3B47-8156-9C126CCFC9E4}" sourceName="genergy_magnitude">
  <pivotTables>
    <pivotTable tabId="2" name="PivotTable2"/>
    <pivotTable tabId="2" name="PivotTable1"/>
    <pivotTable tabId="2" name="PivotTable3"/>
    <pivotTable tabId="2" name="PivotTable4"/>
    <pivotTable tabId="2" name="PivotTable5"/>
    <pivotTable tabId="2" name="PivotTable7"/>
    <pivotTable tabId="2" name="PivotTable8"/>
  </pivotTables>
  <data>
    <tabular pivotCacheId="47917394">
      <items count="5">
        <i x="4" s="1"/>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_lable" xr10:uid="{556F1FDA-CAB5-E046-BEA5-972DB4635280}" sourceName="shift_lable">
  <pivotTables>
    <pivotTable tabId="2" name="PivotTable2"/>
    <pivotTable tabId="2" name="PivotTable1"/>
    <pivotTable tabId="2" name="PivotTable3"/>
    <pivotTable tabId="2" name="PivotTable4"/>
    <pivotTable tabId="2" name="PivotTable5"/>
    <pivotTable tabId="2" name="PivotTable7"/>
    <pivotTable tabId="2" name="PivotTable8"/>
  </pivotTables>
  <data>
    <tabular pivotCacheId="4791739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ergy_outlier" xr10:uid="{BA6464DF-543C-5D44-A65F-570483B3CCC5}" sourceName="genergy_outlier">
  <pivotTables>
    <pivotTable tabId="2" name="PivotTable2"/>
    <pivotTable tabId="2" name="PivotTable1"/>
    <pivotTable tabId="2" name="PivotTable3"/>
    <pivotTable tabId="2" name="PivotTable4"/>
    <pivotTable tabId="2" name="PivotTable5"/>
    <pivotTable tabId="2" name="PivotTable7"/>
    <pivotTable tabId="2" name="PivotTable8"/>
  </pivotTables>
  <data>
    <tabular pivotCacheId="4791739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ismic" xr10:uid="{FDAFD325-C48D-0840-9CF5-E3B2D36CA3D8}" sourceName="seismic">
  <pivotTables>
    <pivotTable tabId="2" name="PivotTable5"/>
    <pivotTable tabId="2" name="PivotTable1"/>
    <pivotTable tabId="2" name="PivotTable2"/>
    <pivotTable tabId="2" name="PivotTable3"/>
    <pivotTable tabId="2" name="PivotTable4"/>
    <pivotTable tabId="2" name="PivotTable7"/>
    <pivotTable tabId="2" name="PivotTable8"/>
  </pivotTables>
  <data>
    <tabular pivotCacheId="47917394">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ismoacoustic" xr10:uid="{1FD6B8B5-31F9-7648-8793-AF83C88813F2}" sourceName="seismoacoustic">
  <pivotTables>
    <pivotTable tabId="2" name="PivotTable5"/>
    <pivotTable tabId="2" name="PivotTable1"/>
    <pivotTable tabId="2" name="PivotTable2"/>
    <pivotTable tabId="2" name="PivotTable3"/>
    <pivotTable tabId="2" name="PivotTable4"/>
    <pivotTable tabId="2" name="PivotTable7"/>
    <pivotTable tabId="2" name="PivotTable8"/>
  </pivotTables>
  <data>
    <tabular pivotCacheId="4791739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ergy_magnitude" xr10:uid="{12F09044-3979-8B47-95B5-0F69125ED61F}" cache="Slicer_genergy_magnitude" caption="genergy_magnitude" style="SlicerStyleLight3" rowHeight="274320"/>
  <slicer name="shift_lable" xr10:uid="{BD889477-29E6-B947-B1BB-1732A742232A}" cache="Slicer_shift_lable" caption="shift" style="SlicerStyleLight3" rowHeight="274320"/>
  <slicer name="genergy_outlier" xr10:uid="{1BF04574-74F4-1F4F-8224-46DC3E78804A}" cache="Slicer_genergy_outlier" caption="genergy" style="SlicerStyleLight3" rowHeight="274320"/>
  <slicer name="seismic" xr10:uid="{A1AFA58E-0D29-EF46-A4E1-2FBFF125FC5A}" cache="Slicer_seismic" caption="seismic" columnCount="2" style="SlicerStyleLight3" rowHeight="274320"/>
  <slicer name="seismoacoustic" xr10:uid="{631C9E6C-9CB7-9849-A5FC-7EAB2B2DBEC2}" cache="Slicer_seismoacoustic" caption="seismoacoustic" style="SlicerStyleLight3"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CAFF46-CEDF-9047-ABB1-46B54740B827}" name="SeismicData" displayName="SeismicData" ref="A1:X2585" totalsRowShown="0">
  <autoFilter ref="A1:X2585" xr:uid="{BDCAFF46-CEDF-9047-ABB1-46B54740B827}"/>
  <tableColumns count="24">
    <tableColumn id="1" xr3:uid="{7C09AB01-A667-714D-A8AB-B0A5B049183E}" name="id"/>
    <tableColumn id="2" xr3:uid="{6819BAD6-8FA8-E849-9BFF-739227B3617F}" name="seismic"/>
    <tableColumn id="3" xr3:uid="{3B541787-D0D7-3744-A3AD-BDAA0B808B85}" name="seismoacoustic"/>
    <tableColumn id="4" xr3:uid="{2B635095-795A-684E-B8EC-CD3C991166EF}" name="shift"/>
    <tableColumn id="5" xr3:uid="{7A4B9BFC-A246-0841-A5FD-15395876F5BF}" name="genergy"/>
    <tableColumn id="6" xr3:uid="{E33ABED3-4939-D146-899C-16DA7A7C0DC2}" name="gpuls"/>
    <tableColumn id="7" xr3:uid="{DD1A7996-AAE2-964A-96D8-66CFDDDBF18E}" name="gdenergy"/>
    <tableColumn id="8" xr3:uid="{53CF50B2-319C-2448-A912-75A03D4D6BAC}" name="gdpuls"/>
    <tableColumn id="9" xr3:uid="{4552EC15-992B-DA46-BAE2-53A9F2DED7C1}" name="ghazard"/>
    <tableColumn id="10" xr3:uid="{633F9F81-5DFD-6143-8C27-A4309270AC75}" name="nbumps"/>
    <tableColumn id="11" xr3:uid="{F1033D1A-85A6-284B-ACFA-4D2DCA26F3E9}" name="nbumps2"/>
    <tableColumn id="12" xr3:uid="{EBB076FD-4777-ED48-BCAD-EA7A51F9B917}" name="nbumps3"/>
    <tableColumn id="13" xr3:uid="{380C64D2-F05B-8E4C-820C-00C092A99B68}" name="nbumps4"/>
    <tableColumn id="14" xr3:uid="{A5B17B01-F0A9-7748-B3B5-DB501AE7145F}" name="nbumps5"/>
    <tableColumn id="15" xr3:uid="{CDD6F5D0-F9DE-BB4F-916E-858CC53C9C6D}" name="nbumps6"/>
    <tableColumn id="16" xr3:uid="{661B3289-CB5E-FE44-8691-E221E78A2F31}" name="nbumps7"/>
    <tableColumn id="17" xr3:uid="{0A77CA0C-D420-C842-AFE3-B70A0D48F317}" name="nbumps89"/>
    <tableColumn id="18" xr3:uid="{2B2C1053-5DDC-3A48-8CFA-72B6850C6739}" name="energy"/>
    <tableColumn id="19" xr3:uid="{8BB43908-8EC6-BA4A-9188-835E978602BC}" name="maxenergy"/>
    <tableColumn id="20" xr3:uid="{F259736B-D63D-6647-B861-1A81BB677919}" name="class"/>
    <tableColumn id="21" xr3:uid="{97156E1D-CF44-D344-9AC0-8358F1D6D61F}" name="class_label">
      <calculatedColumnFormula>IF(SeismicData[[#This Row],[class]]=1,"Dangerous","Safe")</calculatedColumnFormula>
    </tableColumn>
    <tableColumn id="22" xr3:uid="{EEA00B19-BE7F-AE41-BA41-D2FB2DA25E6E}" name="shift_lable">
      <calculatedColumnFormula>IF(SeismicData[[#This Row],[shift]]="W","Production","Non-Production")</calculatedColumnFormula>
    </tableColumn>
    <tableColumn id="23" xr3:uid="{E3F3AF39-93CA-534F-A3E1-CC1FA8328DF5}" name="genergy_magnitude">
      <calculatedColumnFormula>IF(SeismicData[[#This Row],[genergy]]=0,"0","10^"&amp;INT(LOG10(SeismicData[[#This Row],[genergy]])))</calculatedColumnFormula>
    </tableColumn>
    <tableColumn id="24" xr3:uid="{9943A560-9568-3D43-8B20-B6A49112AFFB}" name="genergy_outlier">
      <calculatedColumnFormula>IF(OR(SeismicData[[#This Row],[genergy]]&lt;$AA$6,SeismicData[[#This Row],[genergy]]&gt;$AA$5),"Outlier","Normal")</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585"/>
  <sheetViews>
    <sheetView zoomScale="130" zoomScaleNormal="130" workbookViewId="0">
      <selection activeCell="C5" sqref="C5"/>
    </sheetView>
  </sheetViews>
  <sheetFormatPr baseColWidth="10" defaultColWidth="11.5" defaultRowHeight="13" x14ac:dyDescent="0.15"/>
  <cols>
    <col min="1" max="1" width="5.5" customWidth="1"/>
    <col min="2" max="2" width="10" customWidth="1"/>
    <col min="3" max="3" width="16.5" customWidth="1"/>
    <col min="4" max="4" width="7" customWidth="1"/>
    <col min="5" max="5" width="10.1640625" customWidth="1"/>
    <col min="6" max="6" width="8" customWidth="1"/>
    <col min="7" max="7" width="11.1640625" customWidth="1"/>
    <col min="8" max="8" width="9" customWidth="1"/>
    <col min="9" max="10" width="10" customWidth="1"/>
    <col min="11" max="16" width="11" customWidth="1"/>
    <col min="17" max="17" width="12" customWidth="1"/>
    <col min="18" max="18" width="9.1640625" customWidth="1"/>
    <col min="19" max="19" width="12.6640625" customWidth="1"/>
    <col min="20" max="20" width="8" customWidth="1"/>
  </cols>
  <sheetData>
    <row r="1" spans="1:27"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25</v>
      </c>
      <c r="V1" t="s">
        <v>26</v>
      </c>
      <c r="W1" t="s">
        <v>27</v>
      </c>
      <c r="X1" t="s">
        <v>33</v>
      </c>
      <c r="Z1" t="s">
        <v>33</v>
      </c>
    </row>
    <row r="2" spans="1:27" x14ac:dyDescent="0.15">
      <c r="A2">
        <v>1</v>
      </c>
      <c r="B2" t="s">
        <v>20</v>
      </c>
      <c r="C2" t="s">
        <v>20</v>
      </c>
      <c r="D2" t="s">
        <v>21</v>
      </c>
      <c r="E2">
        <v>15180</v>
      </c>
      <c r="F2">
        <v>48</v>
      </c>
      <c r="G2">
        <v>-72</v>
      </c>
      <c r="H2">
        <v>-72</v>
      </c>
      <c r="I2" t="s">
        <v>20</v>
      </c>
      <c r="J2">
        <v>0</v>
      </c>
      <c r="K2">
        <v>0</v>
      </c>
      <c r="L2">
        <v>0</v>
      </c>
      <c r="M2">
        <v>0</v>
      </c>
      <c r="N2">
        <v>0</v>
      </c>
      <c r="O2">
        <v>0</v>
      </c>
      <c r="P2">
        <v>0</v>
      </c>
      <c r="Q2">
        <v>0</v>
      </c>
      <c r="R2">
        <v>0</v>
      </c>
      <c r="S2">
        <v>0</v>
      </c>
      <c r="T2">
        <v>0</v>
      </c>
      <c r="U2" t="str">
        <f>IF(SeismicData[[#This Row],[class]]=1,"Dangerous","Safe")</f>
        <v>Safe</v>
      </c>
      <c r="V2" t="str">
        <f>IF(SeismicData[[#This Row],[shift]]="W","Production","Non-Production")</f>
        <v>Non-Production</v>
      </c>
      <c r="W2" t="str">
        <f>IF(SeismicData[[#This Row],[genergy]]=0,"0","10^"&amp;INT(LOG10(SeismicData[[#This Row],[genergy]])))</f>
        <v>10^4</v>
      </c>
      <c r="X2" t="str">
        <f>IF(OR(SeismicData[[#This Row],[genergy]]&lt;$AA$6,SeismicData[[#This Row],[genergy]]&gt;$AA$5),"Outlier","Normal")</f>
        <v>Normal</v>
      </c>
      <c r="Z2" t="s">
        <v>28</v>
      </c>
      <c r="AA2" s="1">
        <f>QUARTILE(SeismicData[genergy],1)</f>
        <v>11660</v>
      </c>
    </row>
    <row r="3" spans="1:27" x14ac:dyDescent="0.15">
      <c r="A3">
        <v>2</v>
      </c>
      <c r="B3" t="s">
        <v>20</v>
      </c>
      <c r="C3" t="s">
        <v>20</v>
      </c>
      <c r="D3" t="s">
        <v>21</v>
      </c>
      <c r="E3">
        <v>14720</v>
      </c>
      <c r="F3">
        <v>33</v>
      </c>
      <c r="G3">
        <v>-70</v>
      </c>
      <c r="H3">
        <v>-79</v>
      </c>
      <c r="I3" t="s">
        <v>20</v>
      </c>
      <c r="J3">
        <v>1</v>
      </c>
      <c r="K3">
        <v>0</v>
      </c>
      <c r="L3">
        <v>1</v>
      </c>
      <c r="M3">
        <v>0</v>
      </c>
      <c r="N3">
        <v>0</v>
      </c>
      <c r="O3">
        <v>0</v>
      </c>
      <c r="P3">
        <v>0</v>
      </c>
      <c r="Q3">
        <v>0</v>
      </c>
      <c r="R3">
        <v>2000</v>
      </c>
      <c r="S3">
        <v>2000</v>
      </c>
      <c r="T3">
        <v>0</v>
      </c>
      <c r="U3" t="str">
        <f>IF(SeismicData[[#This Row],[class]]=1,"Dangerous","Safe")</f>
        <v>Safe</v>
      </c>
      <c r="V3" t="str">
        <f>IF(SeismicData[[#This Row],[shift]]="W","Production","Non-Production")</f>
        <v>Non-Production</v>
      </c>
      <c r="W3" t="str">
        <f>IF(SeismicData[[#This Row],[genergy]]=0,"0","10^"&amp;INT(LOG10(SeismicData[[#This Row],[genergy]])))</f>
        <v>10^4</v>
      </c>
      <c r="X3" t="str">
        <f>IF(OR(SeismicData[[#This Row],[genergy]]&lt;$AA$6,SeismicData[[#This Row],[genergy]]&gt;$AA$5),"Outlier","Normal")</f>
        <v>Normal</v>
      </c>
      <c r="Z3" t="s">
        <v>29</v>
      </c>
      <c r="AA3" s="1">
        <f>QUARTILE(SeismicData[genergy],3)</f>
        <v>52832.5</v>
      </c>
    </row>
    <row r="4" spans="1:27" x14ac:dyDescent="0.15">
      <c r="A4">
        <v>3</v>
      </c>
      <c r="B4" t="s">
        <v>20</v>
      </c>
      <c r="C4" t="s">
        <v>20</v>
      </c>
      <c r="D4" t="s">
        <v>21</v>
      </c>
      <c r="E4">
        <v>8050</v>
      </c>
      <c r="F4">
        <v>30</v>
      </c>
      <c r="G4">
        <v>-81</v>
      </c>
      <c r="H4">
        <v>-78</v>
      </c>
      <c r="I4" t="s">
        <v>20</v>
      </c>
      <c r="J4">
        <v>0</v>
      </c>
      <c r="K4">
        <v>0</v>
      </c>
      <c r="L4">
        <v>0</v>
      </c>
      <c r="M4">
        <v>0</v>
      </c>
      <c r="N4">
        <v>0</v>
      </c>
      <c r="O4">
        <v>0</v>
      </c>
      <c r="P4">
        <v>0</v>
      </c>
      <c r="Q4">
        <v>0</v>
      </c>
      <c r="R4">
        <v>0</v>
      </c>
      <c r="S4">
        <v>0</v>
      </c>
      <c r="T4">
        <v>0</v>
      </c>
      <c r="U4" t="str">
        <f>IF(SeismicData[[#This Row],[class]]=1,"Dangerous","Safe")</f>
        <v>Safe</v>
      </c>
      <c r="V4" t="str">
        <f>IF(SeismicData[[#This Row],[shift]]="W","Production","Non-Production")</f>
        <v>Non-Production</v>
      </c>
      <c r="W4" t="str">
        <f>IF(SeismicData[[#This Row],[genergy]]=0,"0","10^"&amp;INT(LOG10(SeismicData[[#This Row],[genergy]])))</f>
        <v>10^3</v>
      </c>
      <c r="X4" t="str">
        <f>IF(OR(SeismicData[[#This Row],[genergy]]&lt;$AA$6,SeismicData[[#This Row],[genergy]]&gt;$AA$5),"Outlier","Normal")</f>
        <v>Normal</v>
      </c>
      <c r="Z4" t="s">
        <v>30</v>
      </c>
      <c r="AA4" s="1">
        <f>AA3-AA2</f>
        <v>41172.5</v>
      </c>
    </row>
    <row r="5" spans="1:27" x14ac:dyDescent="0.15">
      <c r="A5">
        <v>4</v>
      </c>
      <c r="B5" t="s">
        <v>20</v>
      </c>
      <c r="C5" t="s">
        <v>20</v>
      </c>
      <c r="D5" t="s">
        <v>21</v>
      </c>
      <c r="E5">
        <v>28820</v>
      </c>
      <c r="F5">
        <v>171</v>
      </c>
      <c r="G5">
        <v>-23</v>
      </c>
      <c r="H5">
        <v>40</v>
      </c>
      <c r="I5" t="s">
        <v>20</v>
      </c>
      <c r="J5">
        <v>1</v>
      </c>
      <c r="K5">
        <v>0</v>
      </c>
      <c r="L5">
        <v>1</v>
      </c>
      <c r="M5">
        <v>0</v>
      </c>
      <c r="N5">
        <v>0</v>
      </c>
      <c r="O5">
        <v>0</v>
      </c>
      <c r="P5">
        <v>0</v>
      </c>
      <c r="Q5">
        <v>0</v>
      </c>
      <c r="R5">
        <v>3000</v>
      </c>
      <c r="S5">
        <v>3000</v>
      </c>
      <c r="T5">
        <v>0</v>
      </c>
      <c r="U5" t="str">
        <f>IF(SeismicData[[#This Row],[class]]=1,"Dangerous","Safe")</f>
        <v>Safe</v>
      </c>
      <c r="V5" t="str">
        <f>IF(SeismicData[[#This Row],[shift]]="W","Production","Non-Production")</f>
        <v>Non-Production</v>
      </c>
      <c r="W5" t="str">
        <f>IF(SeismicData[[#This Row],[genergy]]=0,"0","10^"&amp;INT(LOG10(SeismicData[[#This Row],[genergy]])))</f>
        <v>10^4</v>
      </c>
      <c r="X5" t="str">
        <f>IF(OR(SeismicData[[#This Row],[genergy]]&lt;$AA$6,SeismicData[[#This Row],[genergy]]&gt;$AA$5),"Outlier","Normal")</f>
        <v>Normal</v>
      </c>
      <c r="Z5" t="s">
        <v>31</v>
      </c>
      <c r="AA5" s="1">
        <f>AA3+1.5*AA4</f>
        <v>114591.25</v>
      </c>
    </row>
    <row r="6" spans="1:27" x14ac:dyDescent="0.15">
      <c r="A6">
        <v>5</v>
      </c>
      <c r="B6" t="s">
        <v>20</v>
      </c>
      <c r="C6" t="s">
        <v>20</v>
      </c>
      <c r="D6" t="s">
        <v>21</v>
      </c>
      <c r="E6">
        <v>12640</v>
      </c>
      <c r="F6">
        <v>57</v>
      </c>
      <c r="G6">
        <v>-63</v>
      </c>
      <c r="H6">
        <v>-52</v>
      </c>
      <c r="I6" t="s">
        <v>20</v>
      </c>
      <c r="J6">
        <v>0</v>
      </c>
      <c r="K6">
        <v>0</v>
      </c>
      <c r="L6">
        <v>0</v>
      </c>
      <c r="M6">
        <v>0</v>
      </c>
      <c r="N6">
        <v>0</v>
      </c>
      <c r="O6">
        <v>0</v>
      </c>
      <c r="P6">
        <v>0</v>
      </c>
      <c r="Q6">
        <v>0</v>
      </c>
      <c r="R6">
        <v>0</v>
      </c>
      <c r="S6">
        <v>0</v>
      </c>
      <c r="T6">
        <v>0</v>
      </c>
      <c r="U6" t="str">
        <f>IF(SeismicData[[#This Row],[class]]=1,"Dangerous","Safe")</f>
        <v>Safe</v>
      </c>
      <c r="V6" t="str">
        <f>IF(SeismicData[[#This Row],[shift]]="W","Production","Non-Production")</f>
        <v>Non-Production</v>
      </c>
      <c r="W6" t="str">
        <f>IF(SeismicData[[#This Row],[genergy]]=0,"0","10^"&amp;INT(LOG10(SeismicData[[#This Row],[genergy]])))</f>
        <v>10^4</v>
      </c>
      <c r="X6" t="str">
        <f>IF(OR(SeismicData[[#This Row],[genergy]]&lt;$AA$6,SeismicData[[#This Row],[genergy]]&gt;$AA$5),"Outlier","Normal")</f>
        <v>Normal</v>
      </c>
      <c r="Z6" t="s">
        <v>32</v>
      </c>
      <c r="AA6" s="1">
        <f>AA2-1.5*AA4</f>
        <v>-50098.75</v>
      </c>
    </row>
    <row r="7" spans="1:27" x14ac:dyDescent="0.15">
      <c r="A7">
        <v>6</v>
      </c>
      <c r="B7" t="s">
        <v>20</v>
      </c>
      <c r="C7" t="s">
        <v>20</v>
      </c>
      <c r="D7" t="s">
        <v>22</v>
      </c>
      <c r="E7">
        <v>63760</v>
      </c>
      <c r="F7">
        <v>195</v>
      </c>
      <c r="G7">
        <v>-73</v>
      </c>
      <c r="H7">
        <v>-65</v>
      </c>
      <c r="I7" t="s">
        <v>20</v>
      </c>
      <c r="J7">
        <v>0</v>
      </c>
      <c r="K7">
        <v>0</v>
      </c>
      <c r="L7">
        <v>0</v>
      </c>
      <c r="M7">
        <v>0</v>
      </c>
      <c r="N7">
        <v>0</v>
      </c>
      <c r="O7">
        <v>0</v>
      </c>
      <c r="P7">
        <v>0</v>
      </c>
      <c r="Q7">
        <v>0</v>
      </c>
      <c r="R7">
        <v>0</v>
      </c>
      <c r="S7">
        <v>0</v>
      </c>
      <c r="T7">
        <v>0</v>
      </c>
      <c r="U7" t="str">
        <f>IF(SeismicData[[#This Row],[class]]=1,"Dangerous","Safe")</f>
        <v>Safe</v>
      </c>
      <c r="V7" t="str">
        <f>IF(SeismicData[[#This Row],[shift]]="W","Production","Non-Production")</f>
        <v>Production</v>
      </c>
      <c r="W7" t="str">
        <f>IF(SeismicData[[#This Row],[genergy]]=0,"0","10^"&amp;INT(LOG10(SeismicData[[#This Row],[genergy]])))</f>
        <v>10^4</v>
      </c>
      <c r="X7" t="str">
        <f>IF(OR(SeismicData[[#This Row],[genergy]]&lt;$AA$6,SeismicData[[#This Row],[genergy]]&gt;$AA$5),"Outlier","Normal")</f>
        <v>Normal</v>
      </c>
    </row>
    <row r="8" spans="1:27" x14ac:dyDescent="0.15">
      <c r="A8">
        <v>7</v>
      </c>
      <c r="B8" t="s">
        <v>20</v>
      </c>
      <c r="C8" t="s">
        <v>20</v>
      </c>
      <c r="D8" t="s">
        <v>22</v>
      </c>
      <c r="E8">
        <v>207930</v>
      </c>
      <c r="F8">
        <v>614</v>
      </c>
      <c r="G8">
        <v>-6</v>
      </c>
      <c r="H8">
        <v>18</v>
      </c>
      <c r="I8" t="s">
        <v>20</v>
      </c>
      <c r="J8">
        <v>2</v>
      </c>
      <c r="K8">
        <v>2</v>
      </c>
      <c r="L8">
        <v>0</v>
      </c>
      <c r="M8">
        <v>0</v>
      </c>
      <c r="N8">
        <v>0</v>
      </c>
      <c r="O8">
        <v>0</v>
      </c>
      <c r="P8">
        <v>0</v>
      </c>
      <c r="Q8">
        <v>0</v>
      </c>
      <c r="R8">
        <v>1000</v>
      </c>
      <c r="S8">
        <v>700</v>
      </c>
      <c r="T8">
        <v>0</v>
      </c>
      <c r="U8" t="str">
        <f>IF(SeismicData[[#This Row],[class]]=1,"Dangerous","Safe")</f>
        <v>Safe</v>
      </c>
      <c r="V8" t="str">
        <f>IF(SeismicData[[#This Row],[shift]]="W","Production","Non-Production")</f>
        <v>Production</v>
      </c>
      <c r="W8" t="str">
        <f>IF(SeismicData[[#This Row],[genergy]]=0,"0","10^"&amp;INT(LOG10(SeismicData[[#This Row],[genergy]])))</f>
        <v>10^5</v>
      </c>
      <c r="X8" t="str">
        <f>IF(OR(SeismicData[[#This Row],[genergy]]&lt;$AA$6,SeismicData[[#This Row],[genergy]]&gt;$AA$5),"Outlier","Normal")</f>
        <v>Outlier</v>
      </c>
    </row>
    <row r="9" spans="1:27" x14ac:dyDescent="0.15">
      <c r="A9">
        <v>8</v>
      </c>
      <c r="B9" t="s">
        <v>20</v>
      </c>
      <c r="C9" t="s">
        <v>20</v>
      </c>
      <c r="D9" t="s">
        <v>21</v>
      </c>
      <c r="E9">
        <v>48990</v>
      </c>
      <c r="F9">
        <v>194</v>
      </c>
      <c r="G9">
        <v>-27</v>
      </c>
      <c r="H9">
        <v>-3</v>
      </c>
      <c r="I9" t="s">
        <v>20</v>
      </c>
      <c r="J9">
        <v>1</v>
      </c>
      <c r="K9">
        <v>0</v>
      </c>
      <c r="L9">
        <v>1</v>
      </c>
      <c r="M9">
        <v>0</v>
      </c>
      <c r="N9">
        <v>0</v>
      </c>
      <c r="O9">
        <v>0</v>
      </c>
      <c r="P9">
        <v>0</v>
      </c>
      <c r="Q9">
        <v>0</v>
      </c>
      <c r="R9">
        <v>4000</v>
      </c>
      <c r="S9">
        <v>4000</v>
      </c>
      <c r="T9">
        <v>0</v>
      </c>
      <c r="U9" t="str">
        <f>IF(SeismicData[[#This Row],[class]]=1,"Dangerous","Safe")</f>
        <v>Safe</v>
      </c>
      <c r="V9" t="str">
        <f>IF(SeismicData[[#This Row],[shift]]="W","Production","Non-Production")</f>
        <v>Non-Production</v>
      </c>
      <c r="W9" t="str">
        <f>IF(SeismicData[[#This Row],[genergy]]=0,"0","10^"&amp;INT(LOG10(SeismicData[[#This Row],[genergy]])))</f>
        <v>10^4</v>
      </c>
      <c r="X9" t="str">
        <f>IF(OR(SeismicData[[#This Row],[genergy]]&lt;$AA$6,SeismicData[[#This Row],[genergy]]&gt;$AA$5),"Outlier","Normal")</f>
        <v>Normal</v>
      </c>
    </row>
    <row r="10" spans="1:27" x14ac:dyDescent="0.15">
      <c r="A10">
        <v>9</v>
      </c>
      <c r="B10" t="s">
        <v>20</v>
      </c>
      <c r="C10" t="s">
        <v>20</v>
      </c>
      <c r="D10" t="s">
        <v>21</v>
      </c>
      <c r="E10">
        <v>100190</v>
      </c>
      <c r="F10">
        <v>303</v>
      </c>
      <c r="G10">
        <v>54</v>
      </c>
      <c r="H10">
        <v>52</v>
      </c>
      <c r="I10" t="s">
        <v>20</v>
      </c>
      <c r="J10">
        <v>0</v>
      </c>
      <c r="K10">
        <v>0</v>
      </c>
      <c r="L10">
        <v>0</v>
      </c>
      <c r="M10">
        <v>0</v>
      </c>
      <c r="N10">
        <v>0</v>
      </c>
      <c r="O10">
        <v>0</v>
      </c>
      <c r="P10">
        <v>0</v>
      </c>
      <c r="Q10">
        <v>0</v>
      </c>
      <c r="R10">
        <v>0</v>
      </c>
      <c r="S10">
        <v>0</v>
      </c>
      <c r="T10">
        <v>0</v>
      </c>
      <c r="U10" t="str">
        <f>IF(SeismicData[[#This Row],[class]]=1,"Dangerous","Safe")</f>
        <v>Safe</v>
      </c>
      <c r="V10" t="str">
        <f>IF(SeismicData[[#This Row],[shift]]="W","Production","Non-Production")</f>
        <v>Non-Production</v>
      </c>
      <c r="W10" t="str">
        <f>IF(SeismicData[[#This Row],[genergy]]=0,"0","10^"&amp;INT(LOG10(SeismicData[[#This Row],[genergy]])))</f>
        <v>10^5</v>
      </c>
      <c r="X10" t="str">
        <f>IF(OR(SeismicData[[#This Row],[genergy]]&lt;$AA$6,SeismicData[[#This Row],[genergy]]&gt;$AA$5),"Outlier","Normal")</f>
        <v>Normal</v>
      </c>
    </row>
    <row r="11" spans="1:27" x14ac:dyDescent="0.15">
      <c r="A11">
        <v>10</v>
      </c>
      <c r="B11" t="s">
        <v>20</v>
      </c>
      <c r="C11" t="s">
        <v>20</v>
      </c>
      <c r="D11" t="s">
        <v>22</v>
      </c>
      <c r="E11">
        <v>247620</v>
      </c>
      <c r="F11">
        <v>675</v>
      </c>
      <c r="G11">
        <v>4</v>
      </c>
      <c r="H11">
        <v>25</v>
      </c>
      <c r="I11" t="s">
        <v>20</v>
      </c>
      <c r="J11">
        <v>1</v>
      </c>
      <c r="K11">
        <v>1</v>
      </c>
      <c r="L11">
        <v>0</v>
      </c>
      <c r="M11">
        <v>0</v>
      </c>
      <c r="N11">
        <v>0</v>
      </c>
      <c r="O11">
        <v>0</v>
      </c>
      <c r="P11">
        <v>0</v>
      </c>
      <c r="Q11">
        <v>0</v>
      </c>
      <c r="R11">
        <v>500</v>
      </c>
      <c r="S11">
        <v>500</v>
      </c>
      <c r="T11">
        <v>0</v>
      </c>
      <c r="U11" t="str">
        <f>IF(SeismicData[[#This Row],[class]]=1,"Dangerous","Safe")</f>
        <v>Safe</v>
      </c>
      <c r="V11" t="str">
        <f>IF(SeismicData[[#This Row],[shift]]="W","Production","Non-Production")</f>
        <v>Production</v>
      </c>
      <c r="W11" t="str">
        <f>IF(SeismicData[[#This Row],[genergy]]=0,"0","10^"&amp;INT(LOG10(SeismicData[[#This Row],[genergy]])))</f>
        <v>10^5</v>
      </c>
      <c r="X11" t="str">
        <f>IF(OR(SeismicData[[#This Row],[genergy]]&lt;$AA$6,SeismicData[[#This Row],[genergy]]&gt;$AA$5),"Outlier","Normal")</f>
        <v>Outlier</v>
      </c>
    </row>
    <row r="12" spans="1:27" x14ac:dyDescent="0.15">
      <c r="A12">
        <v>11</v>
      </c>
      <c r="B12" t="s">
        <v>20</v>
      </c>
      <c r="C12" t="s">
        <v>20</v>
      </c>
      <c r="D12" t="s">
        <v>21</v>
      </c>
      <c r="E12">
        <v>41950</v>
      </c>
      <c r="F12">
        <v>135</v>
      </c>
      <c r="G12">
        <v>-39</v>
      </c>
      <c r="H12">
        <v>-36</v>
      </c>
      <c r="I12" t="s">
        <v>20</v>
      </c>
      <c r="J12">
        <v>1</v>
      </c>
      <c r="K12">
        <v>0</v>
      </c>
      <c r="L12">
        <v>1</v>
      </c>
      <c r="M12">
        <v>0</v>
      </c>
      <c r="N12">
        <v>0</v>
      </c>
      <c r="O12">
        <v>0</v>
      </c>
      <c r="P12">
        <v>0</v>
      </c>
      <c r="Q12">
        <v>0</v>
      </c>
      <c r="R12">
        <v>5000</v>
      </c>
      <c r="S12">
        <v>5000</v>
      </c>
      <c r="T12">
        <v>0</v>
      </c>
      <c r="U12" t="str">
        <f>IF(SeismicData[[#This Row],[class]]=1,"Dangerous","Safe")</f>
        <v>Safe</v>
      </c>
      <c r="V12" t="str">
        <f>IF(SeismicData[[#This Row],[shift]]="W","Production","Non-Production")</f>
        <v>Non-Production</v>
      </c>
      <c r="W12" t="str">
        <f>IF(SeismicData[[#This Row],[genergy]]=0,"0","10^"&amp;INT(LOG10(SeismicData[[#This Row],[genergy]])))</f>
        <v>10^4</v>
      </c>
      <c r="X12" t="str">
        <f>IF(OR(SeismicData[[#This Row],[genergy]]&lt;$AA$6,SeismicData[[#This Row],[genergy]]&gt;$AA$5),"Outlier","Normal")</f>
        <v>Normal</v>
      </c>
    </row>
    <row r="13" spans="1:27" x14ac:dyDescent="0.15">
      <c r="A13">
        <v>12</v>
      </c>
      <c r="B13" t="s">
        <v>20</v>
      </c>
      <c r="C13" t="s">
        <v>20</v>
      </c>
      <c r="D13" t="s">
        <v>21</v>
      </c>
      <c r="E13">
        <v>53250</v>
      </c>
      <c r="F13">
        <v>140</v>
      </c>
      <c r="G13">
        <v>-19</v>
      </c>
      <c r="H13">
        <v>-31</v>
      </c>
      <c r="I13" t="s">
        <v>20</v>
      </c>
      <c r="J13">
        <v>0</v>
      </c>
      <c r="K13">
        <v>0</v>
      </c>
      <c r="L13">
        <v>0</v>
      </c>
      <c r="M13">
        <v>0</v>
      </c>
      <c r="N13">
        <v>0</v>
      </c>
      <c r="O13">
        <v>0</v>
      </c>
      <c r="P13">
        <v>0</v>
      </c>
      <c r="Q13">
        <v>0</v>
      </c>
      <c r="R13">
        <v>0</v>
      </c>
      <c r="S13">
        <v>0</v>
      </c>
      <c r="T13">
        <v>0</v>
      </c>
      <c r="U13" t="str">
        <f>IF(SeismicData[[#This Row],[class]]=1,"Dangerous","Safe")</f>
        <v>Safe</v>
      </c>
      <c r="V13" t="str">
        <f>IF(SeismicData[[#This Row],[shift]]="W","Production","Non-Production")</f>
        <v>Non-Production</v>
      </c>
      <c r="W13" t="str">
        <f>IF(SeismicData[[#This Row],[genergy]]=0,"0","10^"&amp;INT(LOG10(SeismicData[[#This Row],[genergy]])))</f>
        <v>10^4</v>
      </c>
      <c r="X13" t="str">
        <f>IF(OR(SeismicData[[#This Row],[genergy]]&lt;$AA$6,SeismicData[[#This Row],[genergy]]&gt;$AA$5),"Outlier","Normal")</f>
        <v>Normal</v>
      </c>
    </row>
    <row r="14" spans="1:27" x14ac:dyDescent="0.15">
      <c r="A14">
        <v>13</v>
      </c>
      <c r="B14" t="s">
        <v>20</v>
      </c>
      <c r="C14" t="s">
        <v>20</v>
      </c>
      <c r="D14" t="s">
        <v>22</v>
      </c>
      <c r="E14">
        <v>166180</v>
      </c>
      <c r="F14">
        <v>448</v>
      </c>
      <c r="G14">
        <v>-30</v>
      </c>
      <c r="H14">
        <v>-19</v>
      </c>
      <c r="I14" t="s">
        <v>20</v>
      </c>
      <c r="J14">
        <v>1</v>
      </c>
      <c r="K14">
        <v>1</v>
      </c>
      <c r="L14">
        <v>0</v>
      </c>
      <c r="M14">
        <v>0</v>
      </c>
      <c r="N14">
        <v>0</v>
      </c>
      <c r="O14">
        <v>0</v>
      </c>
      <c r="P14">
        <v>0</v>
      </c>
      <c r="Q14">
        <v>0</v>
      </c>
      <c r="R14">
        <v>400</v>
      </c>
      <c r="S14">
        <v>400</v>
      </c>
      <c r="T14">
        <v>0</v>
      </c>
      <c r="U14" t="str">
        <f>IF(SeismicData[[#This Row],[class]]=1,"Dangerous","Safe")</f>
        <v>Safe</v>
      </c>
      <c r="V14" t="str">
        <f>IF(SeismicData[[#This Row],[shift]]="W","Production","Non-Production")</f>
        <v>Production</v>
      </c>
      <c r="W14" t="str">
        <f>IF(SeismicData[[#This Row],[genergy]]=0,"0","10^"&amp;INT(LOG10(SeismicData[[#This Row],[genergy]])))</f>
        <v>10^5</v>
      </c>
      <c r="X14" t="str">
        <f>IF(OR(SeismicData[[#This Row],[genergy]]&lt;$AA$6,SeismicData[[#This Row],[genergy]]&gt;$AA$5),"Outlier","Normal")</f>
        <v>Outlier</v>
      </c>
    </row>
    <row r="15" spans="1:27" x14ac:dyDescent="0.15">
      <c r="A15">
        <v>14</v>
      </c>
      <c r="B15" t="s">
        <v>20</v>
      </c>
      <c r="C15" t="s">
        <v>20</v>
      </c>
      <c r="D15" t="s">
        <v>21</v>
      </c>
      <c r="E15">
        <v>64540</v>
      </c>
      <c r="F15">
        <v>215</v>
      </c>
      <c r="G15">
        <v>0</v>
      </c>
      <c r="H15">
        <v>9</v>
      </c>
      <c r="I15" t="s">
        <v>20</v>
      </c>
      <c r="J15">
        <v>1</v>
      </c>
      <c r="K15">
        <v>0</v>
      </c>
      <c r="L15">
        <v>1</v>
      </c>
      <c r="M15">
        <v>0</v>
      </c>
      <c r="N15">
        <v>0</v>
      </c>
      <c r="O15">
        <v>0</v>
      </c>
      <c r="P15">
        <v>0</v>
      </c>
      <c r="Q15">
        <v>0</v>
      </c>
      <c r="R15">
        <v>6000</v>
      </c>
      <c r="S15">
        <v>6000</v>
      </c>
      <c r="T15">
        <v>0</v>
      </c>
      <c r="U15" t="str">
        <f>IF(SeismicData[[#This Row],[class]]=1,"Dangerous","Safe")</f>
        <v>Safe</v>
      </c>
      <c r="V15" t="str">
        <f>IF(SeismicData[[#This Row],[shift]]="W","Production","Non-Production")</f>
        <v>Non-Production</v>
      </c>
      <c r="W15" t="str">
        <f>IF(SeismicData[[#This Row],[genergy]]=0,"0","10^"&amp;INT(LOG10(SeismicData[[#This Row],[genergy]])))</f>
        <v>10^4</v>
      </c>
      <c r="X15" t="str">
        <f>IF(OR(SeismicData[[#This Row],[genergy]]&lt;$AA$6,SeismicData[[#This Row],[genergy]]&gt;$AA$5),"Outlier","Normal")</f>
        <v>Normal</v>
      </c>
    </row>
    <row r="16" spans="1:27" x14ac:dyDescent="0.15">
      <c r="A16">
        <v>15</v>
      </c>
      <c r="B16" t="s">
        <v>20</v>
      </c>
      <c r="C16" t="s">
        <v>20</v>
      </c>
      <c r="D16" t="s">
        <v>21</v>
      </c>
      <c r="E16">
        <v>75670</v>
      </c>
      <c r="F16">
        <v>207</v>
      </c>
      <c r="G16">
        <v>18</v>
      </c>
      <c r="H16">
        <v>4</v>
      </c>
      <c r="I16" t="s">
        <v>20</v>
      </c>
      <c r="J16">
        <v>1</v>
      </c>
      <c r="K16">
        <v>1</v>
      </c>
      <c r="L16">
        <v>0</v>
      </c>
      <c r="M16">
        <v>0</v>
      </c>
      <c r="N16">
        <v>0</v>
      </c>
      <c r="O16">
        <v>0</v>
      </c>
      <c r="P16">
        <v>0</v>
      </c>
      <c r="Q16">
        <v>0</v>
      </c>
      <c r="R16">
        <v>600</v>
      </c>
      <c r="S16">
        <v>600</v>
      </c>
      <c r="T16">
        <v>0</v>
      </c>
      <c r="U16" t="str">
        <f>IF(SeismicData[[#This Row],[class]]=1,"Dangerous","Safe")</f>
        <v>Safe</v>
      </c>
      <c r="V16" t="str">
        <f>IF(SeismicData[[#This Row],[shift]]="W","Production","Non-Production")</f>
        <v>Non-Production</v>
      </c>
      <c r="W16" t="str">
        <f>IF(SeismicData[[#This Row],[genergy]]=0,"0","10^"&amp;INT(LOG10(SeismicData[[#This Row],[genergy]])))</f>
        <v>10^4</v>
      </c>
      <c r="X16" t="str">
        <f>IF(OR(SeismicData[[#This Row],[genergy]]&lt;$AA$6,SeismicData[[#This Row],[genergy]]&gt;$AA$5),"Outlier","Normal")</f>
        <v>Normal</v>
      </c>
    </row>
    <row r="17" spans="1:24" x14ac:dyDescent="0.15">
      <c r="A17">
        <v>16</v>
      </c>
      <c r="B17" t="s">
        <v>20</v>
      </c>
      <c r="C17" t="s">
        <v>23</v>
      </c>
      <c r="D17" t="s">
        <v>22</v>
      </c>
      <c r="E17">
        <v>225040</v>
      </c>
      <c r="F17">
        <v>575</v>
      </c>
      <c r="G17">
        <v>-3</v>
      </c>
      <c r="H17">
        <v>5</v>
      </c>
      <c r="I17" t="s">
        <v>20</v>
      </c>
      <c r="J17">
        <v>2</v>
      </c>
      <c r="K17">
        <v>0</v>
      </c>
      <c r="L17">
        <v>2</v>
      </c>
      <c r="M17">
        <v>0</v>
      </c>
      <c r="N17">
        <v>0</v>
      </c>
      <c r="O17">
        <v>0</v>
      </c>
      <c r="P17">
        <v>0</v>
      </c>
      <c r="Q17">
        <v>0</v>
      </c>
      <c r="R17">
        <v>7000</v>
      </c>
      <c r="S17">
        <v>6000</v>
      </c>
      <c r="T17">
        <v>0</v>
      </c>
      <c r="U17" t="str">
        <f>IF(SeismicData[[#This Row],[class]]=1,"Dangerous","Safe")</f>
        <v>Safe</v>
      </c>
      <c r="V17" t="str">
        <f>IF(SeismicData[[#This Row],[shift]]="W","Production","Non-Production")</f>
        <v>Production</v>
      </c>
      <c r="W17" t="str">
        <f>IF(SeismicData[[#This Row],[genergy]]=0,"0","10^"&amp;INT(LOG10(SeismicData[[#This Row],[genergy]])))</f>
        <v>10^5</v>
      </c>
      <c r="X17" t="str">
        <f>IF(OR(SeismicData[[#This Row],[genergy]]&lt;$AA$6,SeismicData[[#This Row],[genergy]]&gt;$AA$5),"Outlier","Normal")</f>
        <v>Outlier</v>
      </c>
    </row>
    <row r="18" spans="1:24" x14ac:dyDescent="0.15">
      <c r="A18">
        <v>17</v>
      </c>
      <c r="B18" t="s">
        <v>20</v>
      </c>
      <c r="C18" t="s">
        <v>23</v>
      </c>
      <c r="D18" t="s">
        <v>21</v>
      </c>
      <c r="E18">
        <v>31290</v>
      </c>
      <c r="F18">
        <v>117</v>
      </c>
      <c r="G18">
        <v>-52</v>
      </c>
      <c r="H18">
        <v>-41</v>
      </c>
      <c r="I18" t="s">
        <v>20</v>
      </c>
      <c r="J18">
        <v>0</v>
      </c>
      <c r="K18">
        <v>0</v>
      </c>
      <c r="L18">
        <v>0</v>
      </c>
      <c r="M18">
        <v>0</v>
      </c>
      <c r="N18">
        <v>0</v>
      </c>
      <c r="O18">
        <v>0</v>
      </c>
      <c r="P18">
        <v>0</v>
      </c>
      <c r="Q18">
        <v>0</v>
      </c>
      <c r="R18">
        <v>0</v>
      </c>
      <c r="S18">
        <v>0</v>
      </c>
      <c r="T18">
        <v>0</v>
      </c>
      <c r="U18" t="str">
        <f>IF(SeismicData[[#This Row],[class]]=1,"Dangerous","Safe")</f>
        <v>Safe</v>
      </c>
      <c r="V18" t="str">
        <f>IF(SeismicData[[#This Row],[shift]]="W","Production","Non-Production")</f>
        <v>Non-Production</v>
      </c>
      <c r="W18" t="str">
        <f>IF(SeismicData[[#This Row],[genergy]]=0,"0","10^"&amp;INT(LOG10(SeismicData[[#This Row],[genergy]])))</f>
        <v>10^4</v>
      </c>
      <c r="X18" t="str">
        <f>IF(OR(SeismicData[[#This Row],[genergy]]&lt;$AA$6,SeismicData[[#This Row],[genergy]]&gt;$AA$5),"Outlier","Normal")</f>
        <v>Normal</v>
      </c>
    </row>
    <row r="19" spans="1:24" x14ac:dyDescent="0.15">
      <c r="A19">
        <v>18</v>
      </c>
      <c r="B19" t="s">
        <v>20</v>
      </c>
      <c r="C19" t="s">
        <v>23</v>
      </c>
      <c r="D19" t="s">
        <v>21</v>
      </c>
      <c r="E19">
        <v>22890</v>
      </c>
      <c r="F19">
        <v>81</v>
      </c>
      <c r="G19">
        <v>-63</v>
      </c>
      <c r="H19">
        <v>-58</v>
      </c>
      <c r="I19" t="s">
        <v>20</v>
      </c>
      <c r="J19">
        <v>0</v>
      </c>
      <c r="K19">
        <v>0</v>
      </c>
      <c r="L19">
        <v>0</v>
      </c>
      <c r="M19">
        <v>0</v>
      </c>
      <c r="N19">
        <v>0</v>
      </c>
      <c r="O19">
        <v>0</v>
      </c>
      <c r="P19">
        <v>0</v>
      </c>
      <c r="Q19">
        <v>0</v>
      </c>
      <c r="R19">
        <v>0</v>
      </c>
      <c r="S19">
        <v>0</v>
      </c>
      <c r="T19">
        <v>0</v>
      </c>
      <c r="U19" t="str">
        <f>IF(SeismicData[[#This Row],[class]]=1,"Dangerous","Safe")</f>
        <v>Safe</v>
      </c>
      <c r="V19" t="str">
        <f>IF(SeismicData[[#This Row],[shift]]="W","Production","Non-Production")</f>
        <v>Non-Production</v>
      </c>
      <c r="W19" t="str">
        <f>IF(SeismicData[[#This Row],[genergy]]=0,"0","10^"&amp;INT(LOG10(SeismicData[[#This Row],[genergy]])))</f>
        <v>10^4</v>
      </c>
      <c r="X19" t="str">
        <f>IF(OR(SeismicData[[#This Row],[genergy]]&lt;$AA$6,SeismicData[[#This Row],[genergy]]&gt;$AA$5),"Outlier","Normal")</f>
        <v>Normal</v>
      </c>
    </row>
    <row r="20" spans="1:24" x14ac:dyDescent="0.15">
      <c r="A20">
        <v>19</v>
      </c>
      <c r="B20" t="s">
        <v>20</v>
      </c>
      <c r="C20" t="s">
        <v>23</v>
      </c>
      <c r="D20" t="s">
        <v>21</v>
      </c>
      <c r="E20">
        <v>13170</v>
      </c>
      <c r="F20">
        <v>59</v>
      </c>
      <c r="G20">
        <v>-77</v>
      </c>
      <c r="H20">
        <v>-67</v>
      </c>
      <c r="I20" t="s">
        <v>20</v>
      </c>
      <c r="J20">
        <v>0</v>
      </c>
      <c r="K20">
        <v>0</v>
      </c>
      <c r="L20">
        <v>0</v>
      </c>
      <c r="M20">
        <v>0</v>
      </c>
      <c r="N20">
        <v>0</v>
      </c>
      <c r="O20">
        <v>0</v>
      </c>
      <c r="P20">
        <v>0</v>
      </c>
      <c r="Q20">
        <v>0</v>
      </c>
      <c r="R20">
        <v>0</v>
      </c>
      <c r="S20">
        <v>0</v>
      </c>
      <c r="T20">
        <v>0</v>
      </c>
      <c r="U20" t="str">
        <f>IF(SeismicData[[#This Row],[class]]=1,"Dangerous","Safe")</f>
        <v>Safe</v>
      </c>
      <c r="V20" t="str">
        <f>IF(SeismicData[[#This Row],[shift]]="W","Production","Non-Production")</f>
        <v>Non-Production</v>
      </c>
      <c r="W20" t="str">
        <f>IF(SeismicData[[#This Row],[genergy]]=0,"0","10^"&amp;INT(LOG10(SeismicData[[#This Row],[genergy]])))</f>
        <v>10^4</v>
      </c>
      <c r="X20" t="str">
        <f>IF(OR(SeismicData[[#This Row],[genergy]]&lt;$AA$6,SeismicData[[#This Row],[genergy]]&gt;$AA$5),"Outlier","Normal")</f>
        <v>Normal</v>
      </c>
    </row>
    <row r="21" spans="1:24" x14ac:dyDescent="0.15">
      <c r="A21">
        <v>20</v>
      </c>
      <c r="B21" t="s">
        <v>20</v>
      </c>
      <c r="C21" t="s">
        <v>23</v>
      </c>
      <c r="D21" t="s">
        <v>21</v>
      </c>
      <c r="E21">
        <v>8900</v>
      </c>
      <c r="F21">
        <v>38</v>
      </c>
      <c r="G21">
        <v>-83</v>
      </c>
      <c r="H21">
        <v>-77</v>
      </c>
      <c r="I21" t="s">
        <v>20</v>
      </c>
      <c r="J21">
        <v>0</v>
      </c>
      <c r="K21">
        <v>0</v>
      </c>
      <c r="L21">
        <v>0</v>
      </c>
      <c r="M21">
        <v>0</v>
      </c>
      <c r="N21">
        <v>0</v>
      </c>
      <c r="O21">
        <v>0</v>
      </c>
      <c r="P21">
        <v>0</v>
      </c>
      <c r="Q21">
        <v>0</v>
      </c>
      <c r="R21">
        <v>0</v>
      </c>
      <c r="S21">
        <v>0</v>
      </c>
      <c r="T21">
        <v>0</v>
      </c>
      <c r="U21" t="str">
        <f>IF(SeismicData[[#This Row],[class]]=1,"Dangerous","Safe")</f>
        <v>Safe</v>
      </c>
      <c r="V21" t="str">
        <f>IF(SeismicData[[#This Row],[shift]]="W","Production","Non-Production")</f>
        <v>Non-Production</v>
      </c>
      <c r="W21" t="str">
        <f>IF(SeismicData[[#This Row],[genergy]]=0,"0","10^"&amp;INT(LOG10(SeismicData[[#This Row],[genergy]])))</f>
        <v>10^3</v>
      </c>
      <c r="X21" t="str">
        <f>IF(OR(SeismicData[[#This Row],[genergy]]&lt;$AA$6,SeismicData[[#This Row],[genergy]]&gt;$AA$5),"Outlier","Normal")</f>
        <v>Normal</v>
      </c>
    </row>
    <row r="22" spans="1:24" x14ac:dyDescent="0.15">
      <c r="A22">
        <v>21</v>
      </c>
      <c r="B22" t="s">
        <v>20</v>
      </c>
      <c r="C22" t="s">
        <v>20</v>
      </c>
      <c r="D22" t="s">
        <v>21</v>
      </c>
      <c r="E22">
        <v>13250</v>
      </c>
      <c r="F22">
        <v>32</v>
      </c>
      <c r="G22">
        <v>-71</v>
      </c>
      <c r="H22">
        <v>-79</v>
      </c>
      <c r="I22" t="s">
        <v>20</v>
      </c>
      <c r="J22">
        <v>0</v>
      </c>
      <c r="K22">
        <v>0</v>
      </c>
      <c r="L22">
        <v>0</v>
      </c>
      <c r="M22">
        <v>0</v>
      </c>
      <c r="N22">
        <v>0</v>
      </c>
      <c r="O22">
        <v>0</v>
      </c>
      <c r="P22">
        <v>0</v>
      </c>
      <c r="Q22">
        <v>0</v>
      </c>
      <c r="R22">
        <v>0</v>
      </c>
      <c r="S22">
        <v>0</v>
      </c>
      <c r="T22">
        <v>0</v>
      </c>
      <c r="U22" t="str">
        <f>IF(SeismicData[[#This Row],[class]]=1,"Dangerous","Safe")</f>
        <v>Safe</v>
      </c>
      <c r="V22" t="str">
        <f>IF(SeismicData[[#This Row],[shift]]="W","Production","Non-Production")</f>
        <v>Non-Production</v>
      </c>
      <c r="W22" t="str">
        <f>IF(SeismicData[[#This Row],[genergy]]=0,"0","10^"&amp;INT(LOG10(SeismicData[[#This Row],[genergy]])))</f>
        <v>10^4</v>
      </c>
      <c r="X22" t="str">
        <f>IF(OR(SeismicData[[#This Row],[genergy]]&lt;$AA$6,SeismicData[[#This Row],[genergy]]&gt;$AA$5),"Outlier","Normal")</f>
        <v>Normal</v>
      </c>
    </row>
    <row r="23" spans="1:24" x14ac:dyDescent="0.15">
      <c r="A23">
        <v>22</v>
      </c>
      <c r="B23" t="s">
        <v>20</v>
      </c>
      <c r="C23" t="s">
        <v>20</v>
      </c>
      <c r="D23" t="s">
        <v>21</v>
      </c>
      <c r="E23">
        <v>11710</v>
      </c>
      <c r="F23">
        <v>70</v>
      </c>
      <c r="G23">
        <v>-72</v>
      </c>
      <c r="H23">
        <v>-47</v>
      </c>
      <c r="I23" t="s">
        <v>20</v>
      </c>
      <c r="J23">
        <v>1</v>
      </c>
      <c r="K23">
        <v>0</v>
      </c>
      <c r="L23">
        <v>1</v>
      </c>
      <c r="M23">
        <v>0</v>
      </c>
      <c r="N23">
        <v>0</v>
      </c>
      <c r="O23">
        <v>0</v>
      </c>
      <c r="P23">
        <v>0</v>
      </c>
      <c r="Q23">
        <v>0</v>
      </c>
      <c r="R23">
        <v>4000</v>
      </c>
      <c r="S23">
        <v>4000</v>
      </c>
      <c r="T23">
        <v>0</v>
      </c>
      <c r="U23" t="str">
        <f>IF(SeismicData[[#This Row],[class]]=1,"Dangerous","Safe")</f>
        <v>Safe</v>
      </c>
      <c r="V23" t="str">
        <f>IF(SeismicData[[#This Row],[shift]]="W","Production","Non-Production")</f>
        <v>Non-Production</v>
      </c>
      <c r="W23" t="str">
        <f>IF(SeismicData[[#This Row],[genergy]]=0,"0","10^"&amp;INT(LOG10(SeismicData[[#This Row],[genergy]])))</f>
        <v>10^4</v>
      </c>
      <c r="X23" t="str">
        <f>IF(OR(SeismicData[[#This Row],[genergy]]&lt;$AA$6,SeismicData[[#This Row],[genergy]]&gt;$AA$5),"Outlier","Normal")</f>
        <v>Normal</v>
      </c>
    </row>
    <row r="24" spans="1:24" x14ac:dyDescent="0.15">
      <c r="A24">
        <v>23</v>
      </c>
      <c r="B24" t="s">
        <v>20</v>
      </c>
      <c r="C24" t="s">
        <v>20</v>
      </c>
      <c r="D24" t="s">
        <v>21</v>
      </c>
      <c r="E24">
        <v>10640</v>
      </c>
      <c r="F24">
        <v>62</v>
      </c>
      <c r="G24">
        <v>-68</v>
      </c>
      <c r="H24">
        <v>-43</v>
      </c>
      <c r="I24" t="s">
        <v>20</v>
      </c>
      <c r="J24">
        <v>0</v>
      </c>
      <c r="K24">
        <v>0</v>
      </c>
      <c r="L24">
        <v>0</v>
      </c>
      <c r="M24">
        <v>0</v>
      </c>
      <c r="N24">
        <v>0</v>
      </c>
      <c r="O24">
        <v>0</v>
      </c>
      <c r="P24">
        <v>0</v>
      </c>
      <c r="Q24">
        <v>0</v>
      </c>
      <c r="R24">
        <v>0</v>
      </c>
      <c r="S24">
        <v>0</v>
      </c>
      <c r="T24">
        <v>0</v>
      </c>
      <c r="U24" t="str">
        <f>IF(SeismicData[[#This Row],[class]]=1,"Dangerous","Safe")</f>
        <v>Safe</v>
      </c>
      <c r="V24" t="str">
        <f>IF(SeismicData[[#This Row],[shift]]="W","Production","Non-Production")</f>
        <v>Non-Production</v>
      </c>
      <c r="W24" t="str">
        <f>IF(SeismicData[[#This Row],[genergy]]=0,"0","10^"&amp;INT(LOG10(SeismicData[[#This Row],[genergy]])))</f>
        <v>10^4</v>
      </c>
      <c r="X24" t="str">
        <f>IF(OR(SeismicData[[#This Row],[genergy]]&lt;$AA$6,SeismicData[[#This Row],[genergy]]&gt;$AA$5),"Outlier","Normal")</f>
        <v>Normal</v>
      </c>
    </row>
    <row r="25" spans="1:24" x14ac:dyDescent="0.15">
      <c r="A25">
        <v>24</v>
      </c>
      <c r="B25" t="s">
        <v>20</v>
      </c>
      <c r="C25" t="s">
        <v>20</v>
      </c>
      <c r="D25" t="s">
        <v>21</v>
      </c>
      <c r="E25">
        <v>45630</v>
      </c>
      <c r="F25">
        <v>155</v>
      </c>
      <c r="G25">
        <v>49</v>
      </c>
      <c r="H25">
        <v>52</v>
      </c>
      <c r="I25" t="s">
        <v>20</v>
      </c>
      <c r="J25">
        <v>0</v>
      </c>
      <c r="K25">
        <v>0</v>
      </c>
      <c r="L25">
        <v>0</v>
      </c>
      <c r="M25">
        <v>0</v>
      </c>
      <c r="N25">
        <v>0</v>
      </c>
      <c r="O25">
        <v>0</v>
      </c>
      <c r="P25">
        <v>0</v>
      </c>
      <c r="Q25">
        <v>0</v>
      </c>
      <c r="R25">
        <v>0</v>
      </c>
      <c r="S25">
        <v>0</v>
      </c>
      <c r="T25">
        <v>0</v>
      </c>
      <c r="U25" t="str">
        <f>IF(SeismicData[[#This Row],[class]]=1,"Dangerous","Safe")</f>
        <v>Safe</v>
      </c>
      <c r="V25" t="str">
        <f>IF(SeismicData[[#This Row],[shift]]="W","Production","Non-Production")</f>
        <v>Non-Production</v>
      </c>
      <c r="W25" t="str">
        <f>IF(SeismicData[[#This Row],[genergy]]=0,"0","10^"&amp;INT(LOG10(SeismicData[[#This Row],[genergy]])))</f>
        <v>10^4</v>
      </c>
      <c r="X25" t="str">
        <f>IF(OR(SeismicData[[#This Row],[genergy]]&lt;$AA$6,SeismicData[[#This Row],[genergy]]&gt;$AA$5),"Outlier","Normal")</f>
        <v>Normal</v>
      </c>
    </row>
    <row r="26" spans="1:24" x14ac:dyDescent="0.15">
      <c r="A26">
        <v>25</v>
      </c>
      <c r="B26" t="s">
        <v>20</v>
      </c>
      <c r="C26" t="s">
        <v>20</v>
      </c>
      <c r="D26" t="s">
        <v>22</v>
      </c>
      <c r="E26">
        <v>424650</v>
      </c>
      <c r="F26">
        <v>1069</v>
      </c>
      <c r="G26">
        <v>1</v>
      </c>
      <c r="H26">
        <v>7</v>
      </c>
      <c r="I26" t="s">
        <v>20</v>
      </c>
      <c r="J26">
        <v>2</v>
      </c>
      <c r="K26">
        <v>0</v>
      </c>
      <c r="L26">
        <v>2</v>
      </c>
      <c r="M26">
        <v>0</v>
      </c>
      <c r="N26">
        <v>0</v>
      </c>
      <c r="O26">
        <v>0</v>
      </c>
      <c r="P26">
        <v>0</v>
      </c>
      <c r="Q26">
        <v>0</v>
      </c>
      <c r="R26">
        <v>6000</v>
      </c>
      <c r="S26">
        <v>4000</v>
      </c>
      <c r="T26">
        <v>0</v>
      </c>
      <c r="U26" t="str">
        <f>IF(SeismicData[[#This Row],[class]]=1,"Dangerous","Safe")</f>
        <v>Safe</v>
      </c>
      <c r="V26" t="str">
        <f>IF(SeismicData[[#This Row],[shift]]="W","Production","Non-Production")</f>
        <v>Production</v>
      </c>
      <c r="W26" t="str">
        <f>IF(SeismicData[[#This Row],[genergy]]=0,"0","10^"&amp;INT(LOG10(SeismicData[[#This Row],[genergy]])))</f>
        <v>10^5</v>
      </c>
      <c r="X26" t="str">
        <f>IF(OR(SeismicData[[#This Row],[genergy]]&lt;$AA$6,SeismicData[[#This Row],[genergy]]&gt;$AA$5),"Outlier","Normal")</f>
        <v>Outlier</v>
      </c>
    </row>
    <row r="27" spans="1:24" x14ac:dyDescent="0.15">
      <c r="A27">
        <v>26</v>
      </c>
      <c r="B27" t="s">
        <v>20</v>
      </c>
      <c r="C27" t="s">
        <v>20</v>
      </c>
      <c r="D27" t="s">
        <v>21</v>
      </c>
      <c r="E27">
        <v>38820</v>
      </c>
      <c r="F27">
        <v>213</v>
      </c>
      <c r="G27">
        <v>-82</v>
      </c>
      <c r="H27">
        <v>-57</v>
      </c>
      <c r="I27" t="s">
        <v>20</v>
      </c>
      <c r="J27">
        <v>1</v>
      </c>
      <c r="K27">
        <v>0</v>
      </c>
      <c r="L27">
        <v>1</v>
      </c>
      <c r="M27">
        <v>0</v>
      </c>
      <c r="N27">
        <v>0</v>
      </c>
      <c r="O27">
        <v>0</v>
      </c>
      <c r="P27">
        <v>0</v>
      </c>
      <c r="Q27">
        <v>0</v>
      </c>
      <c r="R27">
        <v>4000</v>
      </c>
      <c r="S27">
        <v>4000</v>
      </c>
      <c r="T27">
        <v>0</v>
      </c>
      <c r="U27" t="str">
        <f>IF(SeismicData[[#This Row],[class]]=1,"Dangerous","Safe")</f>
        <v>Safe</v>
      </c>
      <c r="V27" t="str">
        <f>IF(SeismicData[[#This Row],[shift]]="W","Production","Non-Production")</f>
        <v>Non-Production</v>
      </c>
      <c r="W27" t="str">
        <f>IF(SeismicData[[#This Row],[genergy]]=0,"0","10^"&amp;INT(LOG10(SeismicData[[#This Row],[genergy]])))</f>
        <v>10^4</v>
      </c>
      <c r="X27" t="str">
        <f>IF(OR(SeismicData[[#This Row],[genergy]]&lt;$AA$6,SeismicData[[#This Row],[genergy]]&gt;$AA$5),"Outlier","Normal")</f>
        <v>Normal</v>
      </c>
    </row>
    <row r="28" spans="1:24" x14ac:dyDescent="0.15">
      <c r="A28">
        <v>27</v>
      </c>
      <c r="B28" t="s">
        <v>20</v>
      </c>
      <c r="C28" t="s">
        <v>20</v>
      </c>
      <c r="D28" t="s">
        <v>21</v>
      </c>
      <c r="E28">
        <v>56960</v>
      </c>
      <c r="F28">
        <v>200</v>
      </c>
      <c r="G28">
        <v>-70</v>
      </c>
      <c r="H28">
        <v>-58</v>
      </c>
      <c r="I28" t="s">
        <v>20</v>
      </c>
      <c r="J28">
        <v>0</v>
      </c>
      <c r="K28">
        <v>0</v>
      </c>
      <c r="L28">
        <v>0</v>
      </c>
      <c r="M28">
        <v>0</v>
      </c>
      <c r="N28">
        <v>0</v>
      </c>
      <c r="O28">
        <v>0</v>
      </c>
      <c r="P28">
        <v>0</v>
      </c>
      <c r="Q28">
        <v>0</v>
      </c>
      <c r="R28">
        <v>0</v>
      </c>
      <c r="S28">
        <v>0</v>
      </c>
      <c r="T28">
        <v>0</v>
      </c>
      <c r="U28" t="str">
        <f>IF(SeismicData[[#This Row],[class]]=1,"Dangerous","Safe")</f>
        <v>Safe</v>
      </c>
      <c r="V28" t="str">
        <f>IF(SeismicData[[#This Row],[shift]]="W","Production","Non-Production")</f>
        <v>Non-Production</v>
      </c>
      <c r="W28" t="str">
        <f>IF(SeismicData[[#This Row],[genergy]]=0,"0","10^"&amp;INT(LOG10(SeismicData[[#This Row],[genergy]])))</f>
        <v>10^4</v>
      </c>
      <c r="X28" t="str">
        <f>IF(OR(SeismicData[[#This Row],[genergy]]&lt;$AA$6,SeismicData[[#This Row],[genergy]]&gt;$AA$5),"Outlier","Normal")</f>
        <v>Normal</v>
      </c>
    </row>
    <row r="29" spans="1:24" x14ac:dyDescent="0.15">
      <c r="A29">
        <v>28</v>
      </c>
      <c r="B29" t="s">
        <v>20</v>
      </c>
      <c r="C29" t="s">
        <v>20</v>
      </c>
      <c r="D29" t="s">
        <v>22</v>
      </c>
      <c r="E29">
        <v>212260</v>
      </c>
      <c r="F29">
        <v>729</v>
      </c>
      <c r="G29">
        <v>-50</v>
      </c>
      <c r="H29">
        <v>-28</v>
      </c>
      <c r="I29" t="s">
        <v>20</v>
      </c>
      <c r="J29">
        <v>2</v>
      </c>
      <c r="K29">
        <v>1</v>
      </c>
      <c r="L29">
        <v>1</v>
      </c>
      <c r="M29">
        <v>0</v>
      </c>
      <c r="N29">
        <v>0</v>
      </c>
      <c r="O29">
        <v>0</v>
      </c>
      <c r="P29">
        <v>0</v>
      </c>
      <c r="Q29">
        <v>0</v>
      </c>
      <c r="R29">
        <v>1400</v>
      </c>
      <c r="S29">
        <v>1000</v>
      </c>
      <c r="T29">
        <v>0</v>
      </c>
      <c r="U29" t="str">
        <f>IF(SeismicData[[#This Row],[class]]=1,"Dangerous","Safe")</f>
        <v>Safe</v>
      </c>
      <c r="V29" t="str">
        <f>IF(SeismicData[[#This Row],[shift]]="W","Production","Non-Production")</f>
        <v>Production</v>
      </c>
      <c r="W29" t="str">
        <f>IF(SeismicData[[#This Row],[genergy]]=0,"0","10^"&amp;INT(LOG10(SeismicData[[#This Row],[genergy]])))</f>
        <v>10^5</v>
      </c>
      <c r="X29" t="str">
        <f>IF(OR(SeismicData[[#This Row],[genergy]]&lt;$AA$6,SeismicData[[#This Row],[genergy]]&gt;$AA$5),"Outlier","Normal")</f>
        <v>Outlier</v>
      </c>
    </row>
    <row r="30" spans="1:24" x14ac:dyDescent="0.15">
      <c r="A30">
        <v>29</v>
      </c>
      <c r="B30" t="s">
        <v>20</v>
      </c>
      <c r="C30" t="s">
        <v>20</v>
      </c>
      <c r="D30" t="s">
        <v>21</v>
      </c>
      <c r="E30">
        <v>42950</v>
      </c>
      <c r="F30">
        <v>172</v>
      </c>
      <c r="G30">
        <v>-76</v>
      </c>
      <c r="H30">
        <v>-61</v>
      </c>
      <c r="I30" t="s">
        <v>20</v>
      </c>
      <c r="J30">
        <v>1</v>
      </c>
      <c r="K30">
        <v>0</v>
      </c>
      <c r="L30">
        <v>1</v>
      </c>
      <c r="M30">
        <v>0</v>
      </c>
      <c r="N30">
        <v>0</v>
      </c>
      <c r="O30">
        <v>0</v>
      </c>
      <c r="P30">
        <v>0</v>
      </c>
      <c r="Q30">
        <v>0</v>
      </c>
      <c r="R30">
        <v>6000</v>
      </c>
      <c r="S30">
        <v>6000</v>
      </c>
      <c r="T30">
        <v>0</v>
      </c>
      <c r="U30" t="str">
        <f>IF(SeismicData[[#This Row],[class]]=1,"Dangerous","Safe")</f>
        <v>Safe</v>
      </c>
      <c r="V30" t="str">
        <f>IF(SeismicData[[#This Row],[shift]]="W","Production","Non-Production")</f>
        <v>Non-Production</v>
      </c>
      <c r="W30" t="str">
        <f>IF(SeismicData[[#This Row],[genergy]]=0,"0","10^"&amp;INT(LOG10(SeismicData[[#This Row],[genergy]])))</f>
        <v>10^4</v>
      </c>
      <c r="X30" t="str">
        <f>IF(OR(SeismicData[[#This Row],[genergy]]&lt;$AA$6,SeismicData[[#This Row],[genergy]]&gt;$AA$5),"Outlier","Normal")</f>
        <v>Normal</v>
      </c>
    </row>
    <row r="31" spans="1:24" x14ac:dyDescent="0.15">
      <c r="A31">
        <v>30</v>
      </c>
      <c r="B31" t="s">
        <v>20</v>
      </c>
      <c r="C31" t="s">
        <v>20</v>
      </c>
      <c r="D31" t="s">
        <v>22</v>
      </c>
      <c r="E31">
        <v>172290</v>
      </c>
      <c r="F31">
        <v>437</v>
      </c>
      <c r="G31">
        <v>-57</v>
      </c>
      <c r="H31">
        <v>-55</v>
      </c>
      <c r="I31" t="s">
        <v>20</v>
      </c>
      <c r="J31">
        <v>1</v>
      </c>
      <c r="K31">
        <v>1</v>
      </c>
      <c r="L31">
        <v>0</v>
      </c>
      <c r="M31">
        <v>0</v>
      </c>
      <c r="N31">
        <v>0</v>
      </c>
      <c r="O31">
        <v>0</v>
      </c>
      <c r="P31">
        <v>0</v>
      </c>
      <c r="Q31">
        <v>0</v>
      </c>
      <c r="R31">
        <v>600</v>
      </c>
      <c r="S31">
        <v>600</v>
      </c>
      <c r="T31">
        <v>0</v>
      </c>
      <c r="U31" t="str">
        <f>IF(SeismicData[[#This Row],[class]]=1,"Dangerous","Safe")</f>
        <v>Safe</v>
      </c>
      <c r="V31" t="str">
        <f>IF(SeismicData[[#This Row],[shift]]="W","Production","Non-Production")</f>
        <v>Production</v>
      </c>
      <c r="W31" t="str">
        <f>IF(SeismicData[[#This Row],[genergy]]=0,"0","10^"&amp;INT(LOG10(SeismicData[[#This Row],[genergy]])))</f>
        <v>10^5</v>
      </c>
      <c r="X31" t="str">
        <f>IF(OR(SeismicData[[#This Row],[genergy]]&lt;$AA$6,SeismicData[[#This Row],[genergy]]&gt;$AA$5),"Outlier","Normal")</f>
        <v>Outlier</v>
      </c>
    </row>
    <row r="32" spans="1:24" x14ac:dyDescent="0.15">
      <c r="A32">
        <v>31</v>
      </c>
      <c r="B32" t="s">
        <v>20</v>
      </c>
      <c r="C32" t="s">
        <v>20</v>
      </c>
      <c r="D32" t="s">
        <v>22</v>
      </c>
      <c r="E32">
        <v>395110</v>
      </c>
      <c r="F32">
        <v>1043</v>
      </c>
      <c r="G32">
        <v>46</v>
      </c>
      <c r="H32">
        <v>40</v>
      </c>
      <c r="I32" t="s">
        <v>20</v>
      </c>
      <c r="J32">
        <v>3</v>
      </c>
      <c r="K32">
        <v>0</v>
      </c>
      <c r="L32">
        <v>3</v>
      </c>
      <c r="M32">
        <v>0</v>
      </c>
      <c r="N32">
        <v>0</v>
      </c>
      <c r="O32">
        <v>0</v>
      </c>
      <c r="P32">
        <v>0</v>
      </c>
      <c r="Q32">
        <v>0</v>
      </c>
      <c r="R32">
        <v>6000</v>
      </c>
      <c r="S32">
        <v>2000</v>
      </c>
      <c r="T32">
        <v>0</v>
      </c>
      <c r="U32" t="str">
        <f>IF(SeismicData[[#This Row],[class]]=1,"Dangerous","Safe")</f>
        <v>Safe</v>
      </c>
      <c r="V32" t="str">
        <f>IF(SeismicData[[#This Row],[shift]]="W","Production","Non-Production")</f>
        <v>Production</v>
      </c>
      <c r="W32" t="str">
        <f>IF(SeismicData[[#This Row],[genergy]]=0,"0","10^"&amp;INT(LOG10(SeismicData[[#This Row],[genergy]])))</f>
        <v>10^5</v>
      </c>
      <c r="X32" t="str">
        <f>IF(OR(SeismicData[[#This Row],[genergy]]&lt;$AA$6,SeismicData[[#This Row],[genergy]]&gt;$AA$5),"Outlier","Normal")</f>
        <v>Outlier</v>
      </c>
    </row>
    <row r="33" spans="1:24" x14ac:dyDescent="0.15">
      <c r="A33">
        <v>32</v>
      </c>
      <c r="B33" t="s">
        <v>20</v>
      </c>
      <c r="C33" t="s">
        <v>20</v>
      </c>
      <c r="D33" t="s">
        <v>21</v>
      </c>
      <c r="E33">
        <v>51320</v>
      </c>
      <c r="F33">
        <v>239</v>
      </c>
      <c r="G33">
        <v>11</v>
      </c>
      <c r="H33">
        <v>23</v>
      </c>
      <c r="I33" t="s">
        <v>20</v>
      </c>
      <c r="J33">
        <v>1</v>
      </c>
      <c r="K33">
        <v>0</v>
      </c>
      <c r="L33">
        <v>1</v>
      </c>
      <c r="M33">
        <v>0</v>
      </c>
      <c r="N33">
        <v>0</v>
      </c>
      <c r="O33">
        <v>0</v>
      </c>
      <c r="P33">
        <v>0</v>
      </c>
      <c r="Q33">
        <v>0</v>
      </c>
      <c r="R33">
        <v>6000</v>
      </c>
      <c r="S33">
        <v>6000</v>
      </c>
      <c r="T33">
        <v>0</v>
      </c>
      <c r="U33" t="str">
        <f>IF(SeismicData[[#This Row],[class]]=1,"Dangerous","Safe")</f>
        <v>Safe</v>
      </c>
      <c r="V33" t="str">
        <f>IF(SeismicData[[#This Row],[shift]]="W","Production","Non-Production")</f>
        <v>Non-Production</v>
      </c>
      <c r="W33" t="str">
        <f>IF(SeismicData[[#This Row],[genergy]]=0,"0","10^"&amp;INT(LOG10(SeismicData[[#This Row],[genergy]])))</f>
        <v>10^4</v>
      </c>
      <c r="X33" t="str">
        <f>IF(OR(SeismicData[[#This Row],[genergy]]&lt;$AA$6,SeismicData[[#This Row],[genergy]]&gt;$AA$5),"Outlier","Normal")</f>
        <v>Normal</v>
      </c>
    </row>
    <row r="34" spans="1:24" x14ac:dyDescent="0.15">
      <c r="A34">
        <v>33</v>
      </c>
      <c r="B34" t="s">
        <v>20</v>
      </c>
      <c r="C34" t="s">
        <v>20</v>
      </c>
      <c r="D34" t="s">
        <v>22</v>
      </c>
      <c r="E34">
        <v>144880</v>
      </c>
      <c r="F34">
        <v>361</v>
      </c>
      <c r="G34">
        <v>-46</v>
      </c>
      <c r="H34">
        <v>-52</v>
      </c>
      <c r="I34" t="s">
        <v>20</v>
      </c>
      <c r="J34">
        <v>1</v>
      </c>
      <c r="K34">
        <v>0</v>
      </c>
      <c r="L34">
        <v>1</v>
      </c>
      <c r="M34">
        <v>0</v>
      </c>
      <c r="N34">
        <v>0</v>
      </c>
      <c r="O34">
        <v>0</v>
      </c>
      <c r="P34">
        <v>0</v>
      </c>
      <c r="Q34">
        <v>0</v>
      </c>
      <c r="R34">
        <v>2000</v>
      </c>
      <c r="S34">
        <v>2000</v>
      </c>
      <c r="T34">
        <v>0</v>
      </c>
      <c r="U34" t="str">
        <f>IF(SeismicData[[#This Row],[class]]=1,"Dangerous","Safe")</f>
        <v>Safe</v>
      </c>
      <c r="V34" t="str">
        <f>IF(SeismicData[[#This Row],[shift]]="W","Production","Non-Production")</f>
        <v>Production</v>
      </c>
      <c r="W34" t="str">
        <f>IF(SeismicData[[#This Row],[genergy]]=0,"0","10^"&amp;INT(LOG10(SeismicData[[#This Row],[genergy]])))</f>
        <v>10^5</v>
      </c>
      <c r="X34" t="str">
        <f>IF(OR(SeismicData[[#This Row],[genergy]]&lt;$AA$6,SeismicData[[#This Row],[genergy]]&gt;$AA$5),"Outlier","Normal")</f>
        <v>Outlier</v>
      </c>
    </row>
    <row r="35" spans="1:24" x14ac:dyDescent="0.15">
      <c r="A35">
        <v>34</v>
      </c>
      <c r="B35" t="s">
        <v>20</v>
      </c>
      <c r="C35" t="s">
        <v>20</v>
      </c>
      <c r="D35" t="s">
        <v>22</v>
      </c>
      <c r="E35">
        <v>477750</v>
      </c>
      <c r="F35">
        <v>1132</v>
      </c>
      <c r="G35">
        <v>86</v>
      </c>
      <c r="H35">
        <v>60</v>
      </c>
      <c r="I35" t="s">
        <v>20</v>
      </c>
      <c r="J35">
        <v>3</v>
      </c>
      <c r="K35">
        <v>3</v>
      </c>
      <c r="L35">
        <v>0</v>
      </c>
      <c r="M35">
        <v>0</v>
      </c>
      <c r="N35">
        <v>0</v>
      </c>
      <c r="O35">
        <v>0</v>
      </c>
      <c r="P35">
        <v>0</v>
      </c>
      <c r="Q35">
        <v>0</v>
      </c>
      <c r="R35">
        <v>1500</v>
      </c>
      <c r="S35">
        <v>600</v>
      </c>
      <c r="T35">
        <v>0</v>
      </c>
      <c r="U35" t="str">
        <f>IF(SeismicData[[#This Row],[class]]=1,"Dangerous","Safe")</f>
        <v>Safe</v>
      </c>
      <c r="V35" t="str">
        <f>IF(SeismicData[[#This Row],[shift]]="W","Production","Non-Production")</f>
        <v>Production</v>
      </c>
      <c r="W35" t="str">
        <f>IF(SeismicData[[#This Row],[genergy]]=0,"0","10^"&amp;INT(LOG10(SeismicData[[#This Row],[genergy]])))</f>
        <v>10^5</v>
      </c>
      <c r="X35" t="str">
        <f>IF(OR(SeismicData[[#This Row],[genergy]]&lt;$AA$6,SeismicData[[#This Row],[genergy]]&gt;$AA$5),"Outlier","Normal")</f>
        <v>Outlier</v>
      </c>
    </row>
    <row r="36" spans="1:24" x14ac:dyDescent="0.15">
      <c r="A36">
        <v>35</v>
      </c>
      <c r="B36" t="s">
        <v>20</v>
      </c>
      <c r="C36" t="s">
        <v>20</v>
      </c>
      <c r="D36" t="s">
        <v>21</v>
      </c>
      <c r="E36">
        <v>71840</v>
      </c>
      <c r="F36">
        <v>255</v>
      </c>
      <c r="G36">
        <v>54</v>
      </c>
      <c r="H36">
        <v>28</v>
      </c>
      <c r="I36" t="s">
        <v>20</v>
      </c>
      <c r="J36">
        <v>1</v>
      </c>
      <c r="K36">
        <v>0</v>
      </c>
      <c r="L36">
        <v>1</v>
      </c>
      <c r="M36">
        <v>0</v>
      </c>
      <c r="N36">
        <v>0</v>
      </c>
      <c r="O36">
        <v>0</v>
      </c>
      <c r="P36">
        <v>0</v>
      </c>
      <c r="Q36">
        <v>0</v>
      </c>
      <c r="R36">
        <v>6000</v>
      </c>
      <c r="S36">
        <v>6000</v>
      </c>
      <c r="T36">
        <v>0</v>
      </c>
      <c r="U36" t="str">
        <f>IF(SeismicData[[#This Row],[class]]=1,"Dangerous","Safe")</f>
        <v>Safe</v>
      </c>
      <c r="V36" t="str">
        <f>IF(SeismicData[[#This Row],[shift]]="W","Production","Non-Production")</f>
        <v>Non-Production</v>
      </c>
      <c r="W36" t="str">
        <f>IF(SeismicData[[#This Row],[genergy]]=0,"0","10^"&amp;INT(LOG10(SeismicData[[#This Row],[genergy]])))</f>
        <v>10^4</v>
      </c>
      <c r="X36" t="str">
        <f>IF(OR(SeismicData[[#This Row],[genergy]]&lt;$AA$6,SeismicData[[#This Row],[genergy]]&gt;$AA$5),"Outlier","Normal")</f>
        <v>Normal</v>
      </c>
    </row>
    <row r="37" spans="1:24" x14ac:dyDescent="0.15">
      <c r="A37">
        <v>36</v>
      </c>
      <c r="B37" t="s">
        <v>20</v>
      </c>
      <c r="C37" t="s">
        <v>20</v>
      </c>
      <c r="D37" t="s">
        <v>22</v>
      </c>
      <c r="E37">
        <v>127360</v>
      </c>
      <c r="F37">
        <v>351</v>
      </c>
      <c r="G37">
        <v>-54</v>
      </c>
      <c r="H37">
        <v>-53</v>
      </c>
      <c r="I37" t="s">
        <v>20</v>
      </c>
      <c r="J37">
        <v>1</v>
      </c>
      <c r="K37">
        <v>1</v>
      </c>
      <c r="L37">
        <v>0</v>
      </c>
      <c r="M37">
        <v>0</v>
      </c>
      <c r="N37">
        <v>0</v>
      </c>
      <c r="O37">
        <v>0</v>
      </c>
      <c r="P37">
        <v>0</v>
      </c>
      <c r="Q37">
        <v>0</v>
      </c>
      <c r="R37">
        <v>700</v>
      </c>
      <c r="S37">
        <v>700</v>
      </c>
      <c r="T37">
        <v>1</v>
      </c>
      <c r="U37" t="str">
        <f>IF(SeismicData[[#This Row],[class]]=1,"Dangerous","Safe")</f>
        <v>Dangerous</v>
      </c>
      <c r="V37" t="str">
        <f>IF(SeismicData[[#This Row],[shift]]="W","Production","Non-Production")</f>
        <v>Production</v>
      </c>
      <c r="W37" t="str">
        <f>IF(SeismicData[[#This Row],[genergy]]=0,"0","10^"&amp;INT(LOG10(SeismicData[[#This Row],[genergy]])))</f>
        <v>10^5</v>
      </c>
      <c r="X37" t="str">
        <f>IF(OR(SeismicData[[#This Row],[genergy]]&lt;$AA$6,SeismicData[[#This Row],[genergy]]&gt;$AA$5),"Outlier","Normal")</f>
        <v>Outlier</v>
      </c>
    </row>
    <row r="38" spans="1:24" x14ac:dyDescent="0.15">
      <c r="A38">
        <v>37</v>
      </c>
      <c r="B38" t="s">
        <v>20</v>
      </c>
      <c r="C38" t="s">
        <v>20</v>
      </c>
      <c r="D38" t="s">
        <v>22</v>
      </c>
      <c r="E38">
        <v>514800</v>
      </c>
      <c r="F38">
        <v>1369</v>
      </c>
      <c r="G38">
        <v>95</v>
      </c>
      <c r="H38">
        <v>94</v>
      </c>
      <c r="I38" t="s">
        <v>20</v>
      </c>
      <c r="J38">
        <v>7</v>
      </c>
      <c r="K38">
        <v>4</v>
      </c>
      <c r="L38">
        <v>2</v>
      </c>
      <c r="M38">
        <v>1</v>
      </c>
      <c r="N38">
        <v>0</v>
      </c>
      <c r="O38">
        <v>0</v>
      </c>
      <c r="P38">
        <v>0</v>
      </c>
      <c r="Q38">
        <v>0</v>
      </c>
      <c r="R38">
        <v>15700</v>
      </c>
      <c r="S38">
        <v>10000</v>
      </c>
      <c r="T38">
        <v>0</v>
      </c>
      <c r="U38" t="str">
        <f>IF(SeismicData[[#This Row],[class]]=1,"Dangerous","Safe")</f>
        <v>Safe</v>
      </c>
      <c r="V38" t="str">
        <f>IF(SeismicData[[#This Row],[shift]]="W","Production","Non-Production")</f>
        <v>Production</v>
      </c>
      <c r="W38" t="str">
        <f>IF(SeismicData[[#This Row],[genergy]]=0,"0","10^"&amp;INT(LOG10(SeismicData[[#This Row],[genergy]])))</f>
        <v>10^5</v>
      </c>
      <c r="X38" t="str">
        <f>IF(OR(SeismicData[[#This Row],[genergy]]&lt;$AA$6,SeismicData[[#This Row],[genergy]]&gt;$AA$5),"Outlier","Normal")</f>
        <v>Outlier</v>
      </c>
    </row>
    <row r="39" spans="1:24" x14ac:dyDescent="0.15">
      <c r="A39">
        <v>38</v>
      </c>
      <c r="B39" t="s">
        <v>20</v>
      </c>
      <c r="C39" t="s">
        <v>20</v>
      </c>
      <c r="D39" t="s">
        <v>21</v>
      </c>
      <c r="E39">
        <v>69440</v>
      </c>
      <c r="F39">
        <v>266</v>
      </c>
      <c r="G39">
        <v>41</v>
      </c>
      <c r="H39">
        <v>30</v>
      </c>
      <c r="I39" t="s">
        <v>20</v>
      </c>
      <c r="J39">
        <v>0</v>
      </c>
      <c r="K39">
        <v>0</v>
      </c>
      <c r="L39">
        <v>0</v>
      </c>
      <c r="M39">
        <v>0</v>
      </c>
      <c r="N39">
        <v>0</v>
      </c>
      <c r="O39">
        <v>0</v>
      </c>
      <c r="P39">
        <v>0</v>
      </c>
      <c r="Q39">
        <v>0</v>
      </c>
      <c r="R39">
        <v>0</v>
      </c>
      <c r="S39">
        <v>0</v>
      </c>
      <c r="T39">
        <v>0</v>
      </c>
      <c r="U39" t="str">
        <f>IF(SeismicData[[#This Row],[class]]=1,"Dangerous","Safe")</f>
        <v>Safe</v>
      </c>
      <c r="V39" t="str">
        <f>IF(SeismicData[[#This Row],[shift]]="W","Production","Non-Production")</f>
        <v>Non-Production</v>
      </c>
      <c r="W39" t="str">
        <f>IF(SeismicData[[#This Row],[genergy]]=0,"0","10^"&amp;INT(LOG10(SeismicData[[#This Row],[genergy]])))</f>
        <v>10^4</v>
      </c>
      <c r="X39" t="str">
        <f>IF(OR(SeismicData[[#This Row],[genergy]]&lt;$AA$6,SeismicData[[#This Row],[genergy]]&gt;$AA$5),"Outlier","Normal")</f>
        <v>Normal</v>
      </c>
    </row>
    <row r="40" spans="1:24" x14ac:dyDescent="0.15">
      <c r="A40">
        <v>39</v>
      </c>
      <c r="B40" t="s">
        <v>20</v>
      </c>
      <c r="C40" t="s">
        <v>20</v>
      </c>
      <c r="D40" t="s">
        <v>21</v>
      </c>
      <c r="E40">
        <v>28460</v>
      </c>
      <c r="F40">
        <v>117</v>
      </c>
      <c r="G40">
        <v>-45</v>
      </c>
      <c r="H40">
        <v>-45</v>
      </c>
      <c r="I40" t="s">
        <v>20</v>
      </c>
      <c r="J40">
        <v>0</v>
      </c>
      <c r="K40">
        <v>0</v>
      </c>
      <c r="L40">
        <v>0</v>
      </c>
      <c r="M40">
        <v>0</v>
      </c>
      <c r="N40">
        <v>0</v>
      </c>
      <c r="O40">
        <v>0</v>
      </c>
      <c r="P40">
        <v>0</v>
      </c>
      <c r="Q40">
        <v>0</v>
      </c>
      <c r="R40">
        <v>0</v>
      </c>
      <c r="S40">
        <v>0</v>
      </c>
      <c r="T40">
        <v>0</v>
      </c>
      <c r="U40" t="str">
        <f>IF(SeismicData[[#This Row],[class]]=1,"Dangerous","Safe")</f>
        <v>Safe</v>
      </c>
      <c r="V40" t="str">
        <f>IF(SeismicData[[#This Row],[shift]]="W","Production","Non-Production")</f>
        <v>Non-Production</v>
      </c>
      <c r="W40" t="str">
        <f>IF(SeismicData[[#This Row],[genergy]]=0,"0","10^"&amp;INT(LOG10(SeismicData[[#This Row],[genergy]])))</f>
        <v>10^4</v>
      </c>
      <c r="X40" t="str">
        <f>IF(OR(SeismicData[[#This Row],[genergy]]&lt;$AA$6,SeismicData[[#This Row],[genergy]]&gt;$AA$5),"Outlier","Normal")</f>
        <v>Normal</v>
      </c>
    </row>
    <row r="41" spans="1:24" x14ac:dyDescent="0.15">
      <c r="A41">
        <v>40</v>
      </c>
      <c r="B41" t="s">
        <v>20</v>
      </c>
      <c r="C41" t="s">
        <v>20</v>
      </c>
      <c r="D41" t="s">
        <v>21</v>
      </c>
      <c r="E41">
        <v>23220</v>
      </c>
      <c r="F41">
        <v>112</v>
      </c>
      <c r="G41">
        <v>-53</v>
      </c>
      <c r="H41">
        <v>-45</v>
      </c>
      <c r="I41" t="s">
        <v>20</v>
      </c>
      <c r="J41">
        <v>0</v>
      </c>
      <c r="K41">
        <v>0</v>
      </c>
      <c r="L41">
        <v>0</v>
      </c>
      <c r="M41">
        <v>0</v>
      </c>
      <c r="N41">
        <v>0</v>
      </c>
      <c r="O41">
        <v>0</v>
      </c>
      <c r="P41">
        <v>0</v>
      </c>
      <c r="Q41">
        <v>0</v>
      </c>
      <c r="R41">
        <v>0</v>
      </c>
      <c r="S41">
        <v>0</v>
      </c>
      <c r="T41">
        <v>0</v>
      </c>
      <c r="U41" t="str">
        <f>IF(SeismicData[[#This Row],[class]]=1,"Dangerous","Safe")</f>
        <v>Safe</v>
      </c>
      <c r="V41" t="str">
        <f>IF(SeismicData[[#This Row],[shift]]="W","Production","Non-Production")</f>
        <v>Non-Production</v>
      </c>
      <c r="W41" t="str">
        <f>IF(SeismicData[[#This Row],[genergy]]=0,"0","10^"&amp;INT(LOG10(SeismicData[[#This Row],[genergy]])))</f>
        <v>10^4</v>
      </c>
      <c r="X41" t="str">
        <f>IF(OR(SeismicData[[#This Row],[genergy]]&lt;$AA$6,SeismicData[[#This Row],[genergy]]&gt;$AA$5),"Outlier","Normal")</f>
        <v>Normal</v>
      </c>
    </row>
    <row r="42" spans="1:24" x14ac:dyDescent="0.15">
      <c r="A42">
        <v>41</v>
      </c>
      <c r="B42" t="s">
        <v>20</v>
      </c>
      <c r="C42" t="s">
        <v>20</v>
      </c>
      <c r="D42" t="s">
        <v>21</v>
      </c>
      <c r="E42">
        <v>16630</v>
      </c>
      <c r="F42">
        <v>81</v>
      </c>
      <c r="G42">
        <v>-65</v>
      </c>
      <c r="H42">
        <v>-59</v>
      </c>
      <c r="I42" t="s">
        <v>20</v>
      </c>
      <c r="J42">
        <v>0</v>
      </c>
      <c r="K42">
        <v>0</v>
      </c>
      <c r="L42">
        <v>0</v>
      </c>
      <c r="M42">
        <v>0</v>
      </c>
      <c r="N42">
        <v>0</v>
      </c>
      <c r="O42">
        <v>0</v>
      </c>
      <c r="P42">
        <v>0</v>
      </c>
      <c r="Q42">
        <v>0</v>
      </c>
      <c r="R42">
        <v>0</v>
      </c>
      <c r="S42">
        <v>0</v>
      </c>
      <c r="T42">
        <v>0</v>
      </c>
      <c r="U42" t="str">
        <f>IF(SeismicData[[#This Row],[class]]=1,"Dangerous","Safe")</f>
        <v>Safe</v>
      </c>
      <c r="V42" t="str">
        <f>IF(SeismicData[[#This Row],[shift]]="W","Production","Non-Production")</f>
        <v>Non-Production</v>
      </c>
      <c r="W42" t="str">
        <f>IF(SeismicData[[#This Row],[genergy]]=0,"0","10^"&amp;INT(LOG10(SeismicData[[#This Row],[genergy]])))</f>
        <v>10^4</v>
      </c>
      <c r="X42" t="str">
        <f>IF(OR(SeismicData[[#This Row],[genergy]]&lt;$AA$6,SeismicData[[#This Row],[genergy]]&gt;$AA$5),"Outlier","Normal")</f>
        <v>Normal</v>
      </c>
    </row>
    <row r="43" spans="1:24" x14ac:dyDescent="0.15">
      <c r="A43">
        <v>42</v>
      </c>
      <c r="B43" t="s">
        <v>20</v>
      </c>
      <c r="C43" t="s">
        <v>20</v>
      </c>
      <c r="D43" t="s">
        <v>21</v>
      </c>
      <c r="E43">
        <v>8750</v>
      </c>
      <c r="F43">
        <v>47</v>
      </c>
      <c r="G43">
        <v>-80</v>
      </c>
      <c r="H43">
        <v>-75</v>
      </c>
      <c r="I43" t="s">
        <v>20</v>
      </c>
      <c r="J43">
        <v>0</v>
      </c>
      <c r="K43">
        <v>0</v>
      </c>
      <c r="L43">
        <v>0</v>
      </c>
      <c r="M43">
        <v>0</v>
      </c>
      <c r="N43">
        <v>0</v>
      </c>
      <c r="O43">
        <v>0</v>
      </c>
      <c r="P43">
        <v>0</v>
      </c>
      <c r="Q43">
        <v>0</v>
      </c>
      <c r="R43">
        <v>0</v>
      </c>
      <c r="S43">
        <v>0</v>
      </c>
      <c r="T43">
        <v>0</v>
      </c>
      <c r="U43" t="str">
        <f>IF(SeismicData[[#This Row],[class]]=1,"Dangerous","Safe")</f>
        <v>Safe</v>
      </c>
      <c r="V43" t="str">
        <f>IF(SeismicData[[#This Row],[shift]]="W","Production","Non-Production")</f>
        <v>Non-Production</v>
      </c>
      <c r="W43" t="str">
        <f>IF(SeismicData[[#This Row],[genergy]]=0,"0","10^"&amp;INT(LOG10(SeismicData[[#This Row],[genergy]])))</f>
        <v>10^3</v>
      </c>
      <c r="X43" t="str">
        <f>IF(OR(SeismicData[[#This Row],[genergy]]&lt;$AA$6,SeismicData[[#This Row],[genergy]]&gt;$AA$5),"Outlier","Normal")</f>
        <v>Normal</v>
      </c>
    </row>
    <row r="44" spans="1:24" x14ac:dyDescent="0.15">
      <c r="A44">
        <v>43</v>
      </c>
      <c r="B44" t="s">
        <v>20</v>
      </c>
      <c r="C44" t="s">
        <v>20</v>
      </c>
      <c r="D44" t="s">
        <v>21</v>
      </c>
      <c r="E44">
        <v>20150</v>
      </c>
      <c r="F44">
        <v>64</v>
      </c>
      <c r="G44">
        <v>-51</v>
      </c>
      <c r="H44">
        <v>-62</v>
      </c>
      <c r="I44" t="s">
        <v>20</v>
      </c>
      <c r="J44">
        <v>1</v>
      </c>
      <c r="K44">
        <v>0</v>
      </c>
      <c r="L44">
        <v>1</v>
      </c>
      <c r="M44">
        <v>0</v>
      </c>
      <c r="N44">
        <v>0</v>
      </c>
      <c r="O44">
        <v>0</v>
      </c>
      <c r="P44">
        <v>0</v>
      </c>
      <c r="Q44">
        <v>0</v>
      </c>
      <c r="R44">
        <v>5000</v>
      </c>
      <c r="S44">
        <v>5000</v>
      </c>
      <c r="T44">
        <v>0</v>
      </c>
      <c r="U44" t="str">
        <f>IF(SeismicData[[#This Row],[class]]=1,"Dangerous","Safe")</f>
        <v>Safe</v>
      </c>
      <c r="V44" t="str">
        <f>IF(SeismicData[[#This Row],[shift]]="W","Production","Non-Production")</f>
        <v>Non-Production</v>
      </c>
      <c r="W44" t="str">
        <f>IF(SeismicData[[#This Row],[genergy]]=0,"0","10^"&amp;INT(LOG10(SeismicData[[#This Row],[genergy]])))</f>
        <v>10^4</v>
      </c>
      <c r="X44" t="str">
        <f>IF(OR(SeismicData[[#This Row],[genergy]]&lt;$AA$6,SeismicData[[#This Row],[genergy]]&gt;$AA$5),"Outlier","Normal")</f>
        <v>Normal</v>
      </c>
    </row>
    <row r="45" spans="1:24" x14ac:dyDescent="0.15">
      <c r="A45">
        <v>44</v>
      </c>
      <c r="B45" t="s">
        <v>20</v>
      </c>
      <c r="C45" t="s">
        <v>20</v>
      </c>
      <c r="D45" t="s">
        <v>21</v>
      </c>
      <c r="E45">
        <v>15590</v>
      </c>
      <c r="F45">
        <v>82</v>
      </c>
      <c r="G45">
        <v>-59</v>
      </c>
      <c r="H45">
        <v>-48</v>
      </c>
      <c r="I45" t="s">
        <v>20</v>
      </c>
      <c r="J45">
        <v>0</v>
      </c>
      <c r="K45">
        <v>0</v>
      </c>
      <c r="L45">
        <v>0</v>
      </c>
      <c r="M45">
        <v>0</v>
      </c>
      <c r="N45">
        <v>0</v>
      </c>
      <c r="O45">
        <v>0</v>
      </c>
      <c r="P45">
        <v>0</v>
      </c>
      <c r="Q45">
        <v>0</v>
      </c>
      <c r="R45">
        <v>0</v>
      </c>
      <c r="S45">
        <v>0</v>
      </c>
      <c r="T45">
        <v>0</v>
      </c>
      <c r="U45" t="str">
        <f>IF(SeismicData[[#This Row],[class]]=1,"Dangerous","Safe")</f>
        <v>Safe</v>
      </c>
      <c r="V45" t="str">
        <f>IF(SeismicData[[#This Row],[shift]]="W","Production","Non-Production")</f>
        <v>Non-Production</v>
      </c>
      <c r="W45" t="str">
        <f>IF(SeismicData[[#This Row],[genergy]]=0,"0","10^"&amp;INT(LOG10(SeismicData[[#This Row],[genergy]])))</f>
        <v>10^4</v>
      </c>
      <c r="X45" t="str">
        <f>IF(OR(SeismicData[[#This Row],[genergy]]&lt;$AA$6,SeismicData[[#This Row],[genergy]]&gt;$AA$5),"Outlier","Normal")</f>
        <v>Normal</v>
      </c>
    </row>
    <row r="46" spans="1:24" x14ac:dyDescent="0.15">
      <c r="A46">
        <v>45</v>
      </c>
      <c r="B46" t="s">
        <v>20</v>
      </c>
      <c r="C46" t="s">
        <v>20</v>
      </c>
      <c r="D46" t="s">
        <v>22</v>
      </c>
      <c r="E46">
        <v>102720</v>
      </c>
      <c r="F46">
        <v>265</v>
      </c>
      <c r="G46">
        <v>-64</v>
      </c>
      <c r="H46">
        <v>-66</v>
      </c>
      <c r="I46" t="s">
        <v>20</v>
      </c>
      <c r="J46">
        <v>2</v>
      </c>
      <c r="K46">
        <v>1</v>
      </c>
      <c r="L46">
        <v>1</v>
      </c>
      <c r="M46">
        <v>0</v>
      </c>
      <c r="N46">
        <v>0</v>
      </c>
      <c r="O46">
        <v>0</v>
      </c>
      <c r="P46">
        <v>0</v>
      </c>
      <c r="Q46">
        <v>0</v>
      </c>
      <c r="R46">
        <v>2700</v>
      </c>
      <c r="S46">
        <v>2000</v>
      </c>
      <c r="T46">
        <v>0</v>
      </c>
      <c r="U46" t="str">
        <f>IF(SeismicData[[#This Row],[class]]=1,"Dangerous","Safe")</f>
        <v>Safe</v>
      </c>
      <c r="V46" t="str">
        <f>IF(SeismicData[[#This Row],[shift]]="W","Production","Non-Production")</f>
        <v>Production</v>
      </c>
      <c r="W46" t="str">
        <f>IF(SeismicData[[#This Row],[genergy]]=0,"0","10^"&amp;INT(LOG10(SeismicData[[#This Row],[genergy]])))</f>
        <v>10^5</v>
      </c>
      <c r="X46" t="str">
        <f>IF(OR(SeismicData[[#This Row],[genergy]]&lt;$AA$6,SeismicData[[#This Row],[genergy]]&gt;$AA$5),"Outlier","Normal")</f>
        <v>Normal</v>
      </c>
    </row>
    <row r="47" spans="1:24" x14ac:dyDescent="0.15">
      <c r="A47">
        <v>46</v>
      </c>
      <c r="B47" t="s">
        <v>20</v>
      </c>
      <c r="C47" t="s">
        <v>20</v>
      </c>
      <c r="D47" t="s">
        <v>22</v>
      </c>
      <c r="E47">
        <v>250030</v>
      </c>
      <c r="F47">
        <v>687</v>
      </c>
      <c r="G47">
        <v>-8</v>
      </c>
      <c r="H47">
        <v>-5</v>
      </c>
      <c r="I47" t="s">
        <v>20</v>
      </c>
      <c r="J47">
        <v>0</v>
      </c>
      <c r="K47">
        <v>0</v>
      </c>
      <c r="L47">
        <v>0</v>
      </c>
      <c r="M47">
        <v>0</v>
      </c>
      <c r="N47">
        <v>0</v>
      </c>
      <c r="O47">
        <v>0</v>
      </c>
      <c r="P47">
        <v>0</v>
      </c>
      <c r="Q47">
        <v>0</v>
      </c>
      <c r="R47">
        <v>0</v>
      </c>
      <c r="S47">
        <v>0</v>
      </c>
      <c r="T47">
        <v>0</v>
      </c>
      <c r="U47" t="str">
        <f>IF(SeismicData[[#This Row],[class]]=1,"Dangerous","Safe")</f>
        <v>Safe</v>
      </c>
      <c r="V47" t="str">
        <f>IF(SeismicData[[#This Row],[shift]]="W","Production","Non-Production")</f>
        <v>Production</v>
      </c>
      <c r="W47" t="str">
        <f>IF(SeismicData[[#This Row],[genergy]]=0,"0","10^"&amp;INT(LOG10(SeismicData[[#This Row],[genergy]])))</f>
        <v>10^5</v>
      </c>
      <c r="X47" t="str">
        <f>IF(OR(SeismicData[[#This Row],[genergy]]&lt;$AA$6,SeismicData[[#This Row],[genergy]]&gt;$AA$5),"Outlier","Normal")</f>
        <v>Outlier</v>
      </c>
    </row>
    <row r="48" spans="1:24" x14ac:dyDescent="0.15">
      <c r="A48">
        <v>47</v>
      </c>
      <c r="B48" t="s">
        <v>20</v>
      </c>
      <c r="C48" t="s">
        <v>20</v>
      </c>
      <c r="D48" t="s">
        <v>21</v>
      </c>
      <c r="E48">
        <v>39510</v>
      </c>
      <c r="F48">
        <v>204</v>
      </c>
      <c r="G48">
        <v>12</v>
      </c>
      <c r="H48">
        <v>40</v>
      </c>
      <c r="I48" t="s">
        <v>20</v>
      </c>
      <c r="J48">
        <v>1</v>
      </c>
      <c r="K48">
        <v>0</v>
      </c>
      <c r="L48">
        <v>1</v>
      </c>
      <c r="M48">
        <v>0</v>
      </c>
      <c r="N48">
        <v>0</v>
      </c>
      <c r="O48">
        <v>0</v>
      </c>
      <c r="P48">
        <v>0</v>
      </c>
      <c r="Q48">
        <v>0</v>
      </c>
      <c r="R48">
        <v>5000</v>
      </c>
      <c r="S48">
        <v>5000</v>
      </c>
      <c r="T48">
        <v>0</v>
      </c>
      <c r="U48" t="str">
        <f>IF(SeismicData[[#This Row],[class]]=1,"Dangerous","Safe")</f>
        <v>Safe</v>
      </c>
      <c r="V48" t="str">
        <f>IF(SeismicData[[#This Row],[shift]]="W","Production","Non-Production")</f>
        <v>Non-Production</v>
      </c>
      <c r="W48" t="str">
        <f>IF(SeismicData[[#This Row],[genergy]]=0,"0","10^"&amp;INT(LOG10(SeismicData[[#This Row],[genergy]])))</f>
        <v>10^4</v>
      </c>
      <c r="X48" t="str">
        <f>IF(OR(SeismicData[[#This Row],[genergy]]&lt;$AA$6,SeismicData[[#This Row],[genergy]]&gt;$AA$5),"Outlier","Normal")</f>
        <v>Normal</v>
      </c>
    </row>
    <row r="49" spans="1:24" x14ac:dyDescent="0.15">
      <c r="A49">
        <v>48</v>
      </c>
      <c r="B49" t="s">
        <v>20</v>
      </c>
      <c r="C49" t="s">
        <v>23</v>
      </c>
      <c r="D49" t="s">
        <v>21</v>
      </c>
      <c r="E49">
        <v>64200</v>
      </c>
      <c r="F49">
        <v>198</v>
      </c>
      <c r="G49">
        <v>86</v>
      </c>
      <c r="H49">
        <v>35</v>
      </c>
      <c r="I49" t="s">
        <v>20</v>
      </c>
      <c r="J49">
        <v>1</v>
      </c>
      <c r="K49">
        <v>1</v>
      </c>
      <c r="L49">
        <v>0</v>
      </c>
      <c r="M49">
        <v>0</v>
      </c>
      <c r="N49">
        <v>0</v>
      </c>
      <c r="O49">
        <v>0</v>
      </c>
      <c r="P49">
        <v>0</v>
      </c>
      <c r="Q49">
        <v>0</v>
      </c>
      <c r="R49">
        <v>500</v>
      </c>
      <c r="S49">
        <v>500</v>
      </c>
      <c r="T49">
        <v>0</v>
      </c>
      <c r="U49" t="str">
        <f>IF(SeismicData[[#This Row],[class]]=1,"Dangerous","Safe")</f>
        <v>Safe</v>
      </c>
      <c r="V49" t="str">
        <f>IF(SeismicData[[#This Row],[shift]]="W","Production","Non-Production")</f>
        <v>Non-Production</v>
      </c>
      <c r="W49" t="str">
        <f>IF(SeismicData[[#This Row],[genergy]]=0,"0","10^"&amp;INT(LOG10(SeismicData[[#This Row],[genergy]])))</f>
        <v>10^4</v>
      </c>
      <c r="X49" t="str">
        <f>IF(OR(SeismicData[[#This Row],[genergy]]&lt;$AA$6,SeismicData[[#This Row],[genergy]]&gt;$AA$5),"Outlier","Normal")</f>
        <v>Normal</v>
      </c>
    </row>
    <row r="50" spans="1:24" x14ac:dyDescent="0.15">
      <c r="A50">
        <v>49</v>
      </c>
      <c r="B50" t="s">
        <v>20</v>
      </c>
      <c r="C50" t="s">
        <v>23</v>
      </c>
      <c r="D50" t="s">
        <v>22</v>
      </c>
      <c r="E50">
        <v>309010</v>
      </c>
      <c r="F50">
        <v>983</v>
      </c>
      <c r="G50">
        <v>15</v>
      </c>
      <c r="H50">
        <v>38</v>
      </c>
      <c r="I50" t="s">
        <v>23</v>
      </c>
      <c r="J50">
        <v>2</v>
      </c>
      <c r="K50">
        <v>1</v>
      </c>
      <c r="L50">
        <v>1</v>
      </c>
      <c r="M50">
        <v>0</v>
      </c>
      <c r="N50">
        <v>0</v>
      </c>
      <c r="O50">
        <v>0</v>
      </c>
      <c r="P50">
        <v>0</v>
      </c>
      <c r="Q50">
        <v>0</v>
      </c>
      <c r="R50">
        <v>1800</v>
      </c>
      <c r="S50">
        <v>1000</v>
      </c>
      <c r="T50">
        <v>0</v>
      </c>
      <c r="U50" t="str">
        <f>IF(SeismicData[[#This Row],[class]]=1,"Dangerous","Safe")</f>
        <v>Safe</v>
      </c>
      <c r="V50" t="str">
        <f>IF(SeismicData[[#This Row],[shift]]="W","Production","Non-Production")</f>
        <v>Production</v>
      </c>
      <c r="W50" t="str">
        <f>IF(SeismicData[[#This Row],[genergy]]=0,"0","10^"&amp;INT(LOG10(SeismicData[[#This Row],[genergy]])))</f>
        <v>10^5</v>
      </c>
      <c r="X50" t="str">
        <f>IF(OR(SeismicData[[#This Row],[genergy]]&lt;$AA$6,SeismicData[[#This Row],[genergy]]&gt;$AA$5),"Outlier","Normal")</f>
        <v>Outlier</v>
      </c>
    </row>
    <row r="51" spans="1:24" x14ac:dyDescent="0.15">
      <c r="A51">
        <v>50</v>
      </c>
      <c r="B51" t="s">
        <v>20</v>
      </c>
      <c r="C51" t="s">
        <v>23</v>
      </c>
      <c r="D51" t="s">
        <v>21</v>
      </c>
      <c r="E51">
        <v>59060</v>
      </c>
      <c r="F51">
        <v>264</v>
      </c>
      <c r="G51">
        <v>65</v>
      </c>
      <c r="H51">
        <v>85</v>
      </c>
      <c r="I51" t="s">
        <v>23</v>
      </c>
      <c r="J51">
        <v>1</v>
      </c>
      <c r="K51">
        <v>0</v>
      </c>
      <c r="L51">
        <v>1</v>
      </c>
      <c r="M51">
        <v>0</v>
      </c>
      <c r="N51">
        <v>0</v>
      </c>
      <c r="O51">
        <v>0</v>
      </c>
      <c r="P51">
        <v>0</v>
      </c>
      <c r="Q51">
        <v>0</v>
      </c>
      <c r="R51">
        <v>6000</v>
      </c>
      <c r="S51">
        <v>6000</v>
      </c>
      <c r="T51">
        <v>0</v>
      </c>
      <c r="U51" t="str">
        <f>IF(SeismicData[[#This Row],[class]]=1,"Dangerous","Safe")</f>
        <v>Safe</v>
      </c>
      <c r="V51" t="str">
        <f>IF(SeismicData[[#This Row],[shift]]="W","Production","Non-Production")</f>
        <v>Non-Production</v>
      </c>
      <c r="W51" t="str">
        <f>IF(SeismicData[[#This Row],[genergy]]=0,"0","10^"&amp;INT(LOG10(SeismicData[[#This Row],[genergy]])))</f>
        <v>10^4</v>
      </c>
      <c r="X51" t="str">
        <f>IF(OR(SeismicData[[#This Row],[genergy]]&lt;$AA$6,SeismicData[[#This Row],[genergy]]&gt;$AA$5),"Outlier","Normal")</f>
        <v>Normal</v>
      </c>
    </row>
    <row r="52" spans="1:24" x14ac:dyDescent="0.15">
      <c r="A52">
        <v>51</v>
      </c>
      <c r="B52" t="s">
        <v>20</v>
      </c>
      <c r="C52" t="s">
        <v>23</v>
      </c>
      <c r="D52" t="s">
        <v>21</v>
      </c>
      <c r="E52">
        <v>66510</v>
      </c>
      <c r="F52">
        <v>215</v>
      </c>
      <c r="G52">
        <v>93</v>
      </c>
      <c r="H52">
        <v>50</v>
      </c>
      <c r="I52" t="s">
        <v>23</v>
      </c>
      <c r="J52">
        <v>1</v>
      </c>
      <c r="K52">
        <v>1</v>
      </c>
      <c r="L52">
        <v>0</v>
      </c>
      <c r="M52">
        <v>0</v>
      </c>
      <c r="N52">
        <v>0</v>
      </c>
      <c r="O52">
        <v>0</v>
      </c>
      <c r="P52">
        <v>0</v>
      </c>
      <c r="Q52">
        <v>0</v>
      </c>
      <c r="R52">
        <v>300</v>
      </c>
      <c r="S52">
        <v>300</v>
      </c>
      <c r="T52">
        <v>0</v>
      </c>
      <c r="U52" t="str">
        <f>IF(SeismicData[[#This Row],[class]]=1,"Dangerous","Safe")</f>
        <v>Safe</v>
      </c>
      <c r="V52" t="str">
        <f>IF(SeismicData[[#This Row],[shift]]="W","Production","Non-Production")</f>
        <v>Non-Production</v>
      </c>
      <c r="W52" t="str">
        <f>IF(SeismicData[[#This Row],[genergy]]=0,"0","10^"&amp;INT(LOG10(SeismicData[[#This Row],[genergy]])))</f>
        <v>10^4</v>
      </c>
      <c r="X52" t="str">
        <f>IF(OR(SeismicData[[#This Row],[genergy]]&lt;$AA$6,SeismicData[[#This Row],[genergy]]&gt;$AA$5),"Outlier","Normal")</f>
        <v>Normal</v>
      </c>
    </row>
    <row r="53" spans="1:24" x14ac:dyDescent="0.15">
      <c r="A53">
        <v>52</v>
      </c>
      <c r="B53" t="s">
        <v>20</v>
      </c>
      <c r="C53" t="s">
        <v>23</v>
      </c>
      <c r="D53" t="s">
        <v>22</v>
      </c>
      <c r="E53">
        <v>248900</v>
      </c>
      <c r="F53">
        <v>739</v>
      </c>
      <c r="G53">
        <v>-9</v>
      </c>
      <c r="H53">
        <v>0</v>
      </c>
      <c r="I53" t="s">
        <v>23</v>
      </c>
      <c r="J53">
        <v>1</v>
      </c>
      <c r="K53">
        <v>1</v>
      </c>
      <c r="L53">
        <v>0</v>
      </c>
      <c r="M53">
        <v>0</v>
      </c>
      <c r="N53">
        <v>0</v>
      </c>
      <c r="O53">
        <v>0</v>
      </c>
      <c r="P53">
        <v>0</v>
      </c>
      <c r="Q53">
        <v>0</v>
      </c>
      <c r="R53">
        <v>400</v>
      </c>
      <c r="S53">
        <v>400</v>
      </c>
      <c r="T53">
        <v>0</v>
      </c>
      <c r="U53" t="str">
        <f>IF(SeismicData[[#This Row],[class]]=1,"Dangerous","Safe")</f>
        <v>Safe</v>
      </c>
      <c r="V53" t="str">
        <f>IF(SeismicData[[#This Row],[shift]]="W","Production","Non-Production")</f>
        <v>Production</v>
      </c>
      <c r="W53" t="str">
        <f>IF(SeismicData[[#This Row],[genergy]]=0,"0","10^"&amp;INT(LOG10(SeismicData[[#This Row],[genergy]])))</f>
        <v>10^5</v>
      </c>
      <c r="X53" t="str">
        <f>IF(OR(SeismicData[[#This Row],[genergy]]&lt;$AA$6,SeismicData[[#This Row],[genergy]]&gt;$AA$5),"Outlier","Normal")</f>
        <v>Outlier</v>
      </c>
    </row>
    <row r="54" spans="1:24" x14ac:dyDescent="0.15">
      <c r="A54">
        <v>53</v>
      </c>
      <c r="B54" t="s">
        <v>20</v>
      </c>
      <c r="C54" t="s">
        <v>23</v>
      </c>
      <c r="D54" t="s">
        <v>21</v>
      </c>
      <c r="E54">
        <v>51620</v>
      </c>
      <c r="F54">
        <v>186</v>
      </c>
      <c r="G54">
        <v>51</v>
      </c>
      <c r="H54">
        <v>34</v>
      </c>
      <c r="I54" t="s">
        <v>20</v>
      </c>
      <c r="J54">
        <v>1</v>
      </c>
      <c r="K54">
        <v>0</v>
      </c>
      <c r="L54">
        <v>1</v>
      </c>
      <c r="M54">
        <v>0</v>
      </c>
      <c r="N54">
        <v>0</v>
      </c>
      <c r="O54">
        <v>0</v>
      </c>
      <c r="P54">
        <v>0</v>
      </c>
      <c r="Q54">
        <v>0</v>
      </c>
      <c r="R54">
        <v>7000</v>
      </c>
      <c r="S54">
        <v>7000</v>
      </c>
      <c r="T54">
        <v>0</v>
      </c>
      <c r="U54" t="str">
        <f>IF(SeismicData[[#This Row],[class]]=1,"Dangerous","Safe")</f>
        <v>Safe</v>
      </c>
      <c r="V54" t="str">
        <f>IF(SeismicData[[#This Row],[shift]]="W","Production","Non-Production")</f>
        <v>Non-Production</v>
      </c>
      <c r="W54" t="str">
        <f>IF(SeismicData[[#This Row],[genergy]]=0,"0","10^"&amp;INT(LOG10(SeismicData[[#This Row],[genergy]])))</f>
        <v>10^4</v>
      </c>
      <c r="X54" t="str">
        <f>IF(OR(SeismicData[[#This Row],[genergy]]&lt;$AA$6,SeismicData[[#This Row],[genergy]]&gt;$AA$5),"Outlier","Normal")</f>
        <v>Normal</v>
      </c>
    </row>
    <row r="55" spans="1:24" x14ac:dyDescent="0.15">
      <c r="A55">
        <v>54</v>
      </c>
      <c r="B55" t="s">
        <v>20</v>
      </c>
      <c r="C55" t="s">
        <v>23</v>
      </c>
      <c r="D55" t="s">
        <v>21</v>
      </c>
      <c r="E55">
        <v>45150</v>
      </c>
      <c r="F55">
        <v>140</v>
      </c>
      <c r="G55">
        <v>24</v>
      </c>
      <c r="H55">
        <v>-4</v>
      </c>
      <c r="I55" t="s">
        <v>20</v>
      </c>
      <c r="J55">
        <v>0</v>
      </c>
      <c r="K55">
        <v>0</v>
      </c>
      <c r="L55">
        <v>0</v>
      </c>
      <c r="M55">
        <v>0</v>
      </c>
      <c r="N55">
        <v>0</v>
      </c>
      <c r="O55">
        <v>0</v>
      </c>
      <c r="P55">
        <v>0</v>
      </c>
      <c r="Q55">
        <v>0</v>
      </c>
      <c r="R55">
        <v>0</v>
      </c>
      <c r="S55">
        <v>0</v>
      </c>
      <c r="T55">
        <v>0</v>
      </c>
      <c r="U55" t="str">
        <f>IF(SeismicData[[#This Row],[class]]=1,"Dangerous","Safe")</f>
        <v>Safe</v>
      </c>
      <c r="V55" t="str">
        <f>IF(SeismicData[[#This Row],[shift]]="W","Production","Non-Production")</f>
        <v>Non-Production</v>
      </c>
      <c r="W55" t="str">
        <f>IF(SeismicData[[#This Row],[genergy]]=0,"0","10^"&amp;INT(LOG10(SeismicData[[#This Row],[genergy]])))</f>
        <v>10^4</v>
      </c>
      <c r="X55" t="str">
        <f>IF(OR(SeismicData[[#This Row],[genergy]]&lt;$AA$6,SeismicData[[#This Row],[genergy]]&gt;$AA$5),"Outlier","Normal")</f>
        <v>Normal</v>
      </c>
    </row>
    <row r="56" spans="1:24" x14ac:dyDescent="0.15">
      <c r="A56">
        <v>55</v>
      </c>
      <c r="B56" t="s">
        <v>20</v>
      </c>
      <c r="C56" t="s">
        <v>23</v>
      </c>
      <c r="D56" t="s">
        <v>21</v>
      </c>
      <c r="E56">
        <v>60460</v>
      </c>
      <c r="F56">
        <v>191</v>
      </c>
      <c r="G56">
        <v>56</v>
      </c>
      <c r="H56">
        <v>29</v>
      </c>
      <c r="I56" t="s">
        <v>20</v>
      </c>
      <c r="J56">
        <v>0</v>
      </c>
      <c r="K56">
        <v>0</v>
      </c>
      <c r="L56">
        <v>0</v>
      </c>
      <c r="M56">
        <v>0</v>
      </c>
      <c r="N56">
        <v>0</v>
      </c>
      <c r="O56">
        <v>0</v>
      </c>
      <c r="P56">
        <v>0</v>
      </c>
      <c r="Q56">
        <v>0</v>
      </c>
      <c r="R56">
        <v>0</v>
      </c>
      <c r="S56">
        <v>0</v>
      </c>
      <c r="T56">
        <v>0</v>
      </c>
      <c r="U56" t="str">
        <f>IF(SeismicData[[#This Row],[class]]=1,"Dangerous","Safe")</f>
        <v>Safe</v>
      </c>
      <c r="V56" t="str">
        <f>IF(SeismicData[[#This Row],[shift]]="W","Production","Non-Production")</f>
        <v>Non-Production</v>
      </c>
      <c r="W56" t="str">
        <f>IF(SeismicData[[#This Row],[genergy]]=0,"0","10^"&amp;INT(LOG10(SeismicData[[#This Row],[genergy]])))</f>
        <v>10^4</v>
      </c>
      <c r="X56" t="str">
        <f>IF(OR(SeismicData[[#This Row],[genergy]]&lt;$AA$6,SeismicData[[#This Row],[genergy]]&gt;$AA$5),"Outlier","Normal")</f>
        <v>Normal</v>
      </c>
    </row>
    <row r="57" spans="1:24" x14ac:dyDescent="0.15">
      <c r="A57">
        <v>56</v>
      </c>
      <c r="B57" t="s">
        <v>20</v>
      </c>
      <c r="C57" t="s">
        <v>20</v>
      </c>
      <c r="D57" t="s">
        <v>21</v>
      </c>
      <c r="E57">
        <v>18330</v>
      </c>
      <c r="F57">
        <v>91</v>
      </c>
      <c r="G57">
        <v>-57</v>
      </c>
      <c r="H57">
        <v>-43</v>
      </c>
      <c r="I57" t="s">
        <v>20</v>
      </c>
      <c r="J57">
        <v>1</v>
      </c>
      <c r="K57">
        <v>0</v>
      </c>
      <c r="L57">
        <v>1</v>
      </c>
      <c r="M57">
        <v>0</v>
      </c>
      <c r="N57">
        <v>0</v>
      </c>
      <c r="O57">
        <v>0</v>
      </c>
      <c r="P57">
        <v>0</v>
      </c>
      <c r="Q57">
        <v>0</v>
      </c>
      <c r="R57">
        <v>4000</v>
      </c>
      <c r="S57">
        <v>4000</v>
      </c>
      <c r="T57">
        <v>0</v>
      </c>
      <c r="U57" t="str">
        <f>IF(SeismicData[[#This Row],[class]]=1,"Dangerous","Safe")</f>
        <v>Safe</v>
      </c>
      <c r="V57" t="str">
        <f>IF(SeismicData[[#This Row],[shift]]="W","Production","Non-Production")</f>
        <v>Non-Production</v>
      </c>
      <c r="W57" t="str">
        <f>IF(SeismicData[[#This Row],[genergy]]=0,"0","10^"&amp;INT(LOG10(SeismicData[[#This Row],[genergy]])))</f>
        <v>10^4</v>
      </c>
      <c r="X57" t="str">
        <f>IF(OR(SeismicData[[#This Row],[genergy]]&lt;$AA$6,SeismicData[[#This Row],[genergy]]&gt;$AA$5),"Outlier","Normal")</f>
        <v>Normal</v>
      </c>
    </row>
    <row r="58" spans="1:24" x14ac:dyDescent="0.15">
      <c r="A58">
        <v>57</v>
      </c>
      <c r="B58" t="s">
        <v>20</v>
      </c>
      <c r="C58" t="s">
        <v>20</v>
      </c>
      <c r="D58" t="s">
        <v>21</v>
      </c>
      <c r="E58">
        <v>50580</v>
      </c>
      <c r="F58">
        <v>134</v>
      </c>
      <c r="G58">
        <v>15</v>
      </c>
      <c r="H58">
        <v>-18</v>
      </c>
      <c r="I58" t="s">
        <v>20</v>
      </c>
      <c r="J58">
        <v>0</v>
      </c>
      <c r="K58">
        <v>0</v>
      </c>
      <c r="L58">
        <v>0</v>
      </c>
      <c r="M58">
        <v>0</v>
      </c>
      <c r="N58">
        <v>0</v>
      </c>
      <c r="O58">
        <v>0</v>
      </c>
      <c r="P58">
        <v>0</v>
      </c>
      <c r="Q58">
        <v>0</v>
      </c>
      <c r="R58">
        <v>0</v>
      </c>
      <c r="S58">
        <v>0</v>
      </c>
      <c r="T58">
        <v>0</v>
      </c>
      <c r="U58" t="str">
        <f>IF(SeismicData[[#This Row],[class]]=1,"Dangerous","Safe")</f>
        <v>Safe</v>
      </c>
      <c r="V58" t="str">
        <f>IF(SeismicData[[#This Row],[shift]]="W","Production","Non-Production")</f>
        <v>Non-Production</v>
      </c>
      <c r="W58" t="str">
        <f>IF(SeismicData[[#This Row],[genergy]]=0,"0","10^"&amp;INT(LOG10(SeismicData[[#This Row],[genergy]])))</f>
        <v>10^4</v>
      </c>
      <c r="X58" t="str">
        <f>IF(OR(SeismicData[[#This Row],[genergy]]&lt;$AA$6,SeismicData[[#This Row],[genergy]]&gt;$AA$5),"Outlier","Normal")</f>
        <v>Normal</v>
      </c>
    </row>
    <row r="59" spans="1:24" x14ac:dyDescent="0.15">
      <c r="A59">
        <v>58</v>
      </c>
      <c r="B59" t="s">
        <v>20</v>
      </c>
      <c r="C59" t="s">
        <v>20</v>
      </c>
      <c r="D59" t="s">
        <v>22</v>
      </c>
      <c r="E59">
        <v>269070</v>
      </c>
      <c r="F59">
        <v>767</v>
      </c>
      <c r="G59">
        <v>-1</v>
      </c>
      <c r="H59">
        <v>4</v>
      </c>
      <c r="I59" t="s">
        <v>20</v>
      </c>
      <c r="J59">
        <v>2</v>
      </c>
      <c r="K59">
        <v>2</v>
      </c>
      <c r="L59">
        <v>0</v>
      </c>
      <c r="M59">
        <v>0</v>
      </c>
      <c r="N59">
        <v>0</v>
      </c>
      <c r="O59">
        <v>0</v>
      </c>
      <c r="P59">
        <v>0</v>
      </c>
      <c r="Q59">
        <v>0</v>
      </c>
      <c r="R59">
        <v>800</v>
      </c>
      <c r="S59">
        <v>400</v>
      </c>
      <c r="T59">
        <v>0</v>
      </c>
      <c r="U59" t="str">
        <f>IF(SeismicData[[#This Row],[class]]=1,"Dangerous","Safe")</f>
        <v>Safe</v>
      </c>
      <c r="V59" t="str">
        <f>IF(SeismicData[[#This Row],[shift]]="W","Production","Non-Production")</f>
        <v>Production</v>
      </c>
      <c r="W59" t="str">
        <f>IF(SeismicData[[#This Row],[genergy]]=0,"0","10^"&amp;INT(LOG10(SeismicData[[#This Row],[genergy]])))</f>
        <v>10^5</v>
      </c>
      <c r="X59" t="str">
        <f>IF(OR(SeismicData[[#This Row],[genergy]]&lt;$AA$6,SeismicData[[#This Row],[genergy]]&gt;$AA$5),"Outlier","Normal")</f>
        <v>Outlier</v>
      </c>
    </row>
    <row r="60" spans="1:24" x14ac:dyDescent="0.15">
      <c r="A60">
        <v>59</v>
      </c>
      <c r="B60" t="s">
        <v>20</v>
      </c>
      <c r="C60" t="s">
        <v>20</v>
      </c>
      <c r="D60" t="s">
        <v>21</v>
      </c>
      <c r="E60">
        <v>37360</v>
      </c>
      <c r="F60">
        <v>171</v>
      </c>
      <c r="G60">
        <v>-21</v>
      </c>
      <c r="H60">
        <v>0</v>
      </c>
      <c r="I60" t="s">
        <v>20</v>
      </c>
      <c r="J60">
        <v>1</v>
      </c>
      <c r="K60">
        <v>0</v>
      </c>
      <c r="L60">
        <v>1</v>
      </c>
      <c r="M60">
        <v>0</v>
      </c>
      <c r="N60">
        <v>0</v>
      </c>
      <c r="O60">
        <v>0</v>
      </c>
      <c r="P60">
        <v>0</v>
      </c>
      <c r="Q60">
        <v>0</v>
      </c>
      <c r="R60">
        <v>4000</v>
      </c>
      <c r="S60">
        <v>4000</v>
      </c>
      <c r="T60">
        <v>0</v>
      </c>
      <c r="U60" t="str">
        <f>IF(SeismicData[[#This Row],[class]]=1,"Dangerous","Safe")</f>
        <v>Safe</v>
      </c>
      <c r="V60" t="str">
        <f>IF(SeismicData[[#This Row],[shift]]="W","Production","Non-Production")</f>
        <v>Non-Production</v>
      </c>
      <c r="W60" t="str">
        <f>IF(SeismicData[[#This Row],[genergy]]=0,"0","10^"&amp;INT(LOG10(SeismicData[[#This Row],[genergy]])))</f>
        <v>10^4</v>
      </c>
      <c r="X60" t="str">
        <f>IF(OR(SeismicData[[#This Row],[genergy]]&lt;$AA$6,SeismicData[[#This Row],[genergy]]&gt;$AA$5),"Outlier","Normal")</f>
        <v>Normal</v>
      </c>
    </row>
    <row r="61" spans="1:24" x14ac:dyDescent="0.15">
      <c r="A61">
        <v>60</v>
      </c>
      <c r="B61" t="s">
        <v>20</v>
      </c>
      <c r="C61" t="s">
        <v>20</v>
      </c>
      <c r="D61" t="s">
        <v>22</v>
      </c>
      <c r="E61">
        <v>372770</v>
      </c>
      <c r="F61">
        <v>975</v>
      </c>
      <c r="G61">
        <v>37</v>
      </c>
      <c r="H61">
        <v>32</v>
      </c>
      <c r="I61" t="s">
        <v>20</v>
      </c>
      <c r="J61">
        <v>3</v>
      </c>
      <c r="K61">
        <v>3</v>
      </c>
      <c r="L61">
        <v>0</v>
      </c>
      <c r="M61">
        <v>0</v>
      </c>
      <c r="N61">
        <v>0</v>
      </c>
      <c r="O61">
        <v>0</v>
      </c>
      <c r="P61">
        <v>0</v>
      </c>
      <c r="Q61">
        <v>0</v>
      </c>
      <c r="R61">
        <v>1400</v>
      </c>
      <c r="S61">
        <v>700</v>
      </c>
      <c r="T61">
        <v>0</v>
      </c>
      <c r="U61" t="str">
        <f>IF(SeismicData[[#This Row],[class]]=1,"Dangerous","Safe")</f>
        <v>Safe</v>
      </c>
      <c r="V61" t="str">
        <f>IF(SeismicData[[#This Row],[shift]]="W","Production","Non-Production")</f>
        <v>Production</v>
      </c>
      <c r="W61" t="str">
        <f>IF(SeismicData[[#This Row],[genergy]]=0,"0","10^"&amp;INT(LOG10(SeismicData[[#This Row],[genergy]])))</f>
        <v>10^5</v>
      </c>
      <c r="X61" t="str">
        <f>IF(OR(SeismicData[[#This Row],[genergy]]&lt;$AA$6,SeismicData[[#This Row],[genergy]]&gt;$AA$5),"Outlier","Normal")</f>
        <v>Outlier</v>
      </c>
    </row>
    <row r="62" spans="1:24" x14ac:dyDescent="0.15">
      <c r="A62">
        <v>61</v>
      </c>
      <c r="B62" t="s">
        <v>20</v>
      </c>
      <c r="C62" t="s">
        <v>20</v>
      </c>
      <c r="D62" t="s">
        <v>21</v>
      </c>
      <c r="E62">
        <v>44180</v>
      </c>
      <c r="F62">
        <v>203</v>
      </c>
      <c r="G62">
        <v>-10</v>
      </c>
      <c r="H62">
        <v>13</v>
      </c>
      <c r="I62" t="s">
        <v>20</v>
      </c>
      <c r="J62">
        <v>0</v>
      </c>
      <c r="K62">
        <v>0</v>
      </c>
      <c r="L62">
        <v>0</v>
      </c>
      <c r="M62">
        <v>0</v>
      </c>
      <c r="N62">
        <v>0</v>
      </c>
      <c r="O62">
        <v>0</v>
      </c>
      <c r="P62">
        <v>0</v>
      </c>
      <c r="Q62">
        <v>0</v>
      </c>
      <c r="R62">
        <v>0</v>
      </c>
      <c r="S62">
        <v>0</v>
      </c>
      <c r="T62">
        <v>0</v>
      </c>
      <c r="U62" t="str">
        <f>IF(SeismicData[[#This Row],[class]]=1,"Dangerous","Safe")</f>
        <v>Safe</v>
      </c>
      <c r="V62" t="str">
        <f>IF(SeismicData[[#This Row],[shift]]="W","Production","Non-Production")</f>
        <v>Non-Production</v>
      </c>
      <c r="W62" t="str">
        <f>IF(SeismicData[[#This Row],[genergy]]=0,"0","10^"&amp;INT(LOG10(SeismicData[[#This Row],[genergy]])))</f>
        <v>10^4</v>
      </c>
      <c r="X62" t="str">
        <f>IF(OR(SeismicData[[#This Row],[genergy]]&lt;$AA$6,SeismicData[[#This Row],[genergy]]&gt;$AA$5),"Outlier","Normal")</f>
        <v>Normal</v>
      </c>
    </row>
    <row r="63" spans="1:24" x14ac:dyDescent="0.15">
      <c r="A63">
        <v>62</v>
      </c>
      <c r="B63" t="s">
        <v>20</v>
      </c>
      <c r="C63" t="s">
        <v>20</v>
      </c>
      <c r="D63" t="s">
        <v>21</v>
      </c>
      <c r="E63">
        <v>32070</v>
      </c>
      <c r="F63">
        <v>138</v>
      </c>
      <c r="G63">
        <v>-36</v>
      </c>
      <c r="H63">
        <v>-23</v>
      </c>
      <c r="I63" t="s">
        <v>20</v>
      </c>
      <c r="J63">
        <v>0</v>
      </c>
      <c r="K63">
        <v>0</v>
      </c>
      <c r="L63">
        <v>0</v>
      </c>
      <c r="M63">
        <v>0</v>
      </c>
      <c r="N63">
        <v>0</v>
      </c>
      <c r="O63">
        <v>0</v>
      </c>
      <c r="P63">
        <v>0</v>
      </c>
      <c r="Q63">
        <v>0</v>
      </c>
      <c r="R63">
        <v>0</v>
      </c>
      <c r="S63">
        <v>0</v>
      </c>
      <c r="T63">
        <v>0</v>
      </c>
      <c r="U63" t="str">
        <f>IF(SeismicData[[#This Row],[class]]=1,"Dangerous","Safe")</f>
        <v>Safe</v>
      </c>
      <c r="V63" t="str">
        <f>IF(SeismicData[[#This Row],[shift]]="W","Production","Non-Production")</f>
        <v>Non-Production</v>
      </c>
      <c r="W63" t="str">
        <f>IF(SeismicData[[#This Row],[genergy]]=0,"0","10^"&amp;INT(LOG10(SeismicData[[#This Row],[genergy]])))</f>
        <v>10^4</v>
      </c>
      <c r="X63" t="str">
        <f>IF(OR(SeismicData[[#This Row],[genergy]]&lt;$AA$6,SeismicData[[#This Row],[genergy]]&gt;$AA$5),"Outlier","Normal")</f>
        <v>Normal</v>
      </c>
    </row>
    <row r="64" spans="1:24" x14ac:dyDescent="0.15">
      <c r="A64">
        <v>63</v>
      </c>
      <c r="B64" t="s">
        <v>20</v>
      </c>
      <c r="C64" t="s">
        <v>20</v>
      </c>
      <c r="D64" t="s">
        <v>21</v>
      </c>
      <c r="E64">
        <v>31540</v>
      </c>
      <c r="F64">
        <v>121</v>
      </c>
      <c r="G64">
        <v>-32</v>
      </c>
      <c r="H64">
        <v>-30</v>
      </c>
      <c r="I64" t="s">
        <v>20</v>
      </c>
      <c r="J64">
        <v>0</v>
      </c>
      <c r="K64">
        <v>0</v>
      </c>
      <c r="L64">
        <v>0</v>
      </c>
      <c r="M64">
        <v>0</v>
      </c>
      <c r="N64">
        <v>0</v>
      </c>
      <c r="O64">
        <v>0</v>
      </c>
      <c r="P64">
        <v>0</v>
      </c>
      <c r="Q64">
        <v>0</v>
      </c>
      <c r="R64">
        <v>0</v>
      </c>
      <c r="S64">
        <v>0</v>
      </c>
      <c r="T64">
        <v>0</v>
      </c>
      <c r="U64" t="str">
        <f>IF(SeismicData[[#This Row],[class]]=1,"Dangerous","Safe")</f>
        <v>Safe</v>
      </c>
      <c r="V64" t="str">
        <f>IF(SeismicData[[#This Row],[shift]]="W","Production","Non-Production")</f>
        <v>Non-Production</v>
      </c>
      <c r="W64" t="str">
        <f>IF(SeismicData[[#This Row],[genergy]]=0,"0","10^"&amp;INT(LOG10(SeismicData[[#This Row],[genergy]])))</f>
        <v>10^4</v>
      </c>
      <c r="X64" t="str">
        <f>IF(OR(SeismicData[[#This Row],[genergy]]&lt;$AA$6,SeismicData[[#This Row],[genergy]]&gt;$AA$5),"Outlier","Normal")</f>
        <v>Normal</v>
      </c>
    </row>
    <row r="65" spans="1:24" x14ac:dyDescent="0.15">
      <c r="A65">
        <v>64</v>
      </c>
      <c r="B65" t="s">
        <v>20</v>
      </c>
      <c r="C65" t="s">
        <v>20</v>
      </c>
      <c r="D65" t="s">
        <v>21</v>
      </c>
      <c r="E65">
        <v>46380</v>
      </c>
      <c r="F65">
        <v>133</v>
      </c>
      <c r="G65">
        <v>6</v>
      </c>
      <c r="H65">
        <v>-16</v>
      </c>
      <c r="I65" t="s">
        <v>20</v>
      </c>
      <c r="J65">
        <v>1</v>
      </c>
      <c r="K65">
        <v>0</v>
      </c>
      <c r="L65">
        <v>1</v>
      </c>
      <c r="M65">
        <v>0</v>
      </c>
      <c r="N65">
        <v>0</v>
      </c>
      <c r="O65">
        <v>0</v>
      </c>
      <c r="P65">
        <v>0</v>
      </c>
      <c r="Q65">
        <v>0</v>
      </c>
      <c r="R65">
        <v>5000</v>
      </c>
      <c r="S65">
        <v>5000</v>
      </c>
      <c r="T65">
        <v>0</v>
      </c>
      <c r="U65" t="str">
        <f>IF(SeismicData[[#This Row],[class]]=1,"Dangerous","Safe")</f>
        <v>Safe</v>
      </c>
      <c r="V65" t="str">
        <f>IF(SeismicData[[#This Row],[shift]]="W","Production","Non-Production")</f>
        <v>Non-Production</v>
      </c>
      <c r="W65" t="str">
        <f>IF(SeismicData[[#This Row],[genergy]]=0,"0","10^"&amp;INT(LOG10(SeismicData[[#This Row],[genergy]])))</f>
        <v>10^4</v>
      </c>
      <c r="X65" t="str">
        <f>IF(OR(SeismicData[[#This Row],[genergy]]&lt;$AA$6,SeismicData[[#This Row],[genergy]]&gt;$AA$5),"Outlier","Normal")</f>
        <v>Normal</v>
      </c>
    </row>
    <row r="66" spans="1:24" x14ac:dyDescent="0.15">
      <c r="A66">
        <v>65</v>
      </c>
      <c r="B66" t="s">
        <v>20</v>
      </c>
      <c r="C66" t="s">
        <v>20</v>
      </c>
      <c r="D66" t="s">
        <v>21</v>
      </c>
      <c r="E66">
        <v>18160</v>
      </c>
      <c r="F66">
        <v>78</v>
      </c>
      <c r="G66">
        <v>-57</v>
      </c>
      <c r="H66">
        <v>-48</v>
      </c>
      <c r="I66" t="s">
        <v>20</v>
      </c>
      <c r="J66">
        <v>0</v>
      </c>
      <c r="K66">
        <v>0</v>
      </c>
      <c r="L66">
        <v>0</v>
      </c>
      <c r="M66">
        <v>0</v>
      </c>
      <c r="N66">
        <v>0</v>
      </c>
      <c r="O66">
        <v>0</v>
      </c>
      <c r="P66">
        <v>0</v>
      </c>
      <c r="Q66">
        <v>0</v>
      </c>
      <c r="R66">
        <v>0</v>
      </c>
      <c r="S66">
        <v>0</v>
      </c>
      <c r="T66">
        <v>0</v>
      </c>
      <c r="U66" t="str">
        <f>IF(SeismicData[[#This Row],[class]]=1,"Dangerous","Safe")</f>
        <v>Safe</v>
      </c>
      <c r="V66" t="str">
        <f>IF(SeismicData[[#This Row],[shift]]="W","Production","Non-Production")</f>
        <v>Non-Production</v>
      </c>
      <c r="W66" t="str">
        <f>IF(SeismicData[[#This Row],[genergy]]=0,"0","10^"&amp;INT(LOG10(SeismicData[[#This Row],[genergy]])))</f>
        <v>10^4</v>
      </c>
      <c r="X66" t="str">
        <f>IF(OR(SeismicData[[#This Row],[genergy]]&lt;$AA$6,SeismicData[[#This Row],[genergy]]&gt;$AA$5),"Outlier","Normal")</f>
        <v>Normal</v>
      </c>
    </row>
    <row r="67" spans="1:24" x14ac:dyDescent="0.15">
      <c r="A67">
        <v>66</v>
      </c>
      <c r="B67" t="s">
        <v>20</v>
      </c>
      <c r="C67" t="s">
        <v>20</v>
      </c>
      <c r="D67" t="s">
        <v>21</v>
      </c>
      <c r="E67">
        <v>147520</v>
      </c>
      <c r="F67">
        <v>472</v>
      </c>
      <c r="G67">
        <v>-2</v>
      </c>
      <c r="H67">
        <v>-6</v>
      </c>
      <c r="I67" t="s">
        <v>20</v>
      </c>
      <c r="J67">
        <v>0</v>
      </c>
      <c r="K67">
        <v>0</v>
      </c>
      <c r="L67">
        <v>0</v>
      </c>
      <c r="M67">
        <v>0</v>
      </c>
      <c r="N67">
        <v>0</v>
      </c>
      <c r="O67">
        <v>0</v>
      </c>
      <c r="P67">
        <v>0</v>
      </c>
      <c r="Q67">
        <v>0</v>
      </c>
      <c r="R67">
        <v>0</v>
      </c>
      <c r="S67">
        <v>0</v>
      </c>
      <c r="T67">
        <v>0</v>
      </c>
      <c r="U67" t="str">
        <f>IF(SeismicData[[#This Row],[class]]=1,"Dangerous","Safe")</f>
        <v>Safe</v>
      </c>
      <c r="V67" t="str">
        <f>IF(SeismicData[[#This Row],[shift]]="W","Production","Non-Production")</f>
        <v>Non-Production</v>
      </c>
      <c r="W67" t="str">
        <f>IF(SeismicData[[#This Row],[genergy]]=0,"0","10^"&amp;INT(LOG10(SeismicData[[#This Row],[genergy]])))</f>
        <v>10^5</v>
      </c>
      <c r="X67" t="str">
        <f>IF(OR(SeismicData[[#This Row],[genergy]]&lt;$AA$6,SeismicData[[#This Row],[genergy]]&gt;$AA$5),"Outlier","Normal")</f>
        <v>Outlier</v>
      </c>
    </row>
    <row r="68" spans="1:24" x14ac:dyDescent="0.15">
      <c r="A68">
        <v>67</v>
      </c>
      <c r="B68" t="s">
        <v>20</v>
      </c>
      <c r="C68" t="s">
        <v>20</v>
      </c>
      <c r="D68" t="s">
        <v>22</v>
      </c>
      <c r="E68">
        <v>202640</v>
      </c>
      <c r="F68">
        <v>588</v>
      </c>
      <c r="G68">
        <v>-33</v>
      </c>
      <c r="H68">
        <v>-41</v>
      </c>
      <c r="I68" t="s">
        <v>20</v>
      </c>
      <c r="J68">
        <v>2</v>
      </c>
      <c r="K68">
        <v>1</v>
      </c>
      <c r="L68">
        <v>1</v>
      </c>
      <c r="M68">
        <v>0</v>
      </c>
      <c r="N68">
        <v>0</v>
      </c>
      <c r="O68">
        <v>0</v>
      </c>
      <c r="P68">
        <v>0</v>
      </c>
      <c r="Q68">
        <v>0</v>
      </c>
      <c r="R68">
        <v>4300</v>
      </c>
      <c r="S68">
        <v>4000</v>
      </c>
      <c r="T68">
        <v>0</v>
      </c>
      <c r="U68" t="str">
        <f>IF(SeismicData[[#This Row],[class]]=1,"Dangerous","Safe")</f>
        <v>Safe</v>
      </c>
      <c r="V68" t="str">
        <f>IF(SeismicData[[#This Row],[shift]]="W","Production","Non-Production")</f>
        <v>Production</v>
      </c>
      <c r="W68" t="str">
        <f>IF(SeismicData[[#This Row],[genergy]]=0,"0","10^"&amp;INT(LOG10(SeismicData[[#This Row],[genergy]])))</f>
        <v>10^5</v>
      </c>
      <c r="X68" t="str">
        <f>IF(OR(SeismicData[[#This Row],[genergy]]&lt;$AA$6,SeismicData[[#This Row],[genergy]]&gt;$AA$5),"Outlier","Normal")</f>
        <v>Outlier</v>
      </c>
    </row>
    <row r="69" spans="1:24" x14ac:dyDescent="0.15">
      <c r="A69">
        <v>68</v>
      </c>
      <c r="B69" t="s">
        <v>20</v>
      </c>
      <c r="C69" t="s">
        <v>20</v>
      </c>
      <c r="D69" t="s">
        <v>22</v>
      </c>
      <c r="E69">
        <v>259110</v>
      </c>
      <c r="F69">
        <v>1409</v>
      </c>
      <c r="G69">
        <v>-11</v>
      </c>
      <c r="H69">
        <v>46</v>
      </c>
      <c r="I69" t="s">
        <v>20</v>
      </c>
      <c r="J69">
        <v>1</v>
      </c>
      <c r="K69">
        <v>1</v>
      </c>
      <c r="L69">
        <v>0</v>
      </c>
      <c r="M69">
        <v>0</v>
      </c>
      <c r="N69">
        <v>0</v>
      </c>
      <c r="O69">
        <v>0</v>
      </c>
      <c r="P69">
        <v>0</v>
      </c>
      <c r="Q69">
        <v>0</v>
      </c>
      <c r="R69">
        <v>900</v>
      </c>
      <c r="S69">
        <v>900</v>
      </c>
      <c r="T69">
        <v>0</v>
      </c>
      <c r="U69" t="str">
        <f>IF(SeismicData[[#This Row],[class]]=1,"Dangerous","Safe")</f>
        <v>Safe</v>
      </c>
      <c r="V69" t="str">
        <f>IF(SeismicData[[#This Row],[shift]]="W","Production","Non-Production")</f>
        <v>Production</v>
      </c>
      <c r="W69" t="str">
        <f>IF(SeismicData[[#This Row],[genergy]]=0,"0","10^"&amp;INT(LOG10(SeismicData[[#This Row],[genergy]])))</f>
        <v>10^5</v>
      </c>
      <c r="X69" t="str">
        <f>IF(OR(SeismicData[[#This Row],[genergy]]&lt;$AA$6,SeismicData[[#This Row],[genergy]]&gt;$AA$5),"Outlier","Normal")</f>
        <v>Outlier</v>
      </c>
    </row>
    <row r="70" spans="1:24" x14ac:dyDescent="0.15">
      <c r="A70">
        <v>69</v>
      </c>
      <c r="B70" t="s">
        <v>20</v>
      </c>
      <c r="C70" t="s">
        <v>20</v>
      </c>
      <c r="D70" t="s">
        <v>21</v>
      </c>
      <c r="E70">
        <v>40210</v>
      </c>
      <c r="F70">
        <v>193</v>
      </c>
      <c r="G70">
        <v>-71</v>
      </c>
      <c r="H70">
        <v>-59</v>
      </c>
      <c r="I70" t="s">
        <v>20</v>
      </c>
      <c r="J70">
        <v>1</v>
      </c>
      <c r="K70">
        <v>0</v>
      </c>
      <c r="L70">
        <v>1</v>
      </c>
      <c r="M70">
        <v>0</v>
      </c>
      <c r="N70">
        <v>0</v>
      </c>
      <c r="O70">
        <v>0</v>
      </c>
      <c r="P70">
        <v>0</v>
      </c>
      <c r="Q70">
        <v>0</v>
      </c>
      <c r="R70">
        <v>5000</v>
      </c>
      <c r="S70">
        <v>5000</v>
      </c>
      <c r="T70">
        <v>0</v>
      </c>
      <c r="U70" t="str">
        <f>IF(SeismicData[[#This Row],[class]]=1,"Dangerous","Safe")</f>
        <v>Safe</v>
      </c>
      <c r="V70" t="str">
        <f>IF(SeismicData[[#This Row],[shift]]="W","Production","Non-Production")</f>
        <v>Non-Production</v>
      </c>
      <c r="W70" t="str">
        <f>IF(SeismicData[[#This Row],[genergy]]=0,"0","10^"&amp;INT(LOG10(SeismicData[[#This Row],[genergy]])))</f>
        <v>10^4</v>
      </c>
      <c r="X70" t="str">
        <f>IF(OR(SeismicData[[#This Row],[genergy]]&lt;$AA$6,SeismicData[[#This Row],[genergy]]&gt;$AA$5),"Outlier","Normal")</f>
        <v>Normal</v>
      </c>
    </row>
    <row r="71" spans="1:24" x14ac:dyDescent="0.15">
      <c r="A71">
        <v>70</v>
      </c>
      <c r="B71" t="s">
        <v>20</v>
      </c>
      <c r="C71" t="s">
        <v>20</v>
      </c>
      <c r="D71" t="s">
        <v>21</v>
      </c>
      <c r="E71">
        <v>59210</v>
      </c>
      <c r="F71">
        <v>175</v>
      </c>
      <c r="G71">
        <v>-54</v>
      </c>
      <c r="H71">
        <v>-61</v>
      </c>
      <c r="I71" t="s">
        <v>20</v>
      </c>
      <c r="J71">
        <v>0</v>
      </c>
      <c r="K71">
        <v>0</v>
      </c>
      <c r="L71">
        <v>0</v>
      </c>
      <c r="M71">
        <v>0</v>
      </c>
      <c r="N71">
        <v>0</v>
      </c>
      <c r="O71">
        <v>0</v>
      </c>
      <c r="P71">
        <v>0</v>
      </c>
      <c r="Q71">
        <v>0</v>
      </c>
      <c r="R71">
        <v>0</v>
      </c>
      <c r="S71">
        <v>0</v>
      </c>
      <c r="T71">
        <v>0</v>
      </c>
      <c r="U71" t="str">
        <f>IF(SeismicData[[#This Row],[class]]=1,"Dangerous","Safe")</f>
        <v>Safe</v>
      </c>
      <c r="V71" t="str">
        <f>IF(SeismicData[[#This Row],[shift]]="W","Production","Non-Production")</f>
        <v>Non-Production</v>
      </c>
      <c r="W71" t="str">
        <f>IF(SeismicData[[#This Row],[genergy]]=0,"0","10^"&amp;INT(LOG10(SeismicData[[#This Row],[genergy]])))</f>
        <v>10^4</v>
      </c>
      <c r="X71" t="str">
        <f>IF(OR(SeismicData[[#This Row],[genergy]]&lt;$AA$6,SeismicData[[#This Row],[genergy]]&gt;$AA$5),"Outlier","Normal")</f>
        <v>Normal</v>
      </c>
    </row>
    <row r="72" spans="1:24" x14ac:dyDescent="0.15">
      <c r="A72">
        <v>71</v>
      </c>
      <c r="B72" t="s">
        <v>20</v>
      </c>
      <c r="C72" t="s">
        <v>20</v>
      </c>
      <c r="D72" t="s">
        <v>22</v>
      </c>
      <c r="E72">
        <v>590510</v>
      </c>
      <c r="F72">
        <v>1780</v>
      </c>
      <c r="G72">
        <v>23</v>
      </c>
      <c r="H72">
        <v>-6</v>
      </c>
      <c r="I72" t="s">
        <v>20</v>
      </c>
      <c r="J72">
        <v>1</v>
      </c>
      <c r="K72">
        <v>1</v>
      </c>
      <c r="L72">
        <v>0</v>
      </c>
      <c r="M72">
        <v>0</v>
      </c>
      <c r="N72">
        <v>0</v>
      </c>
      <c r="O72">
        <v>0</v>
      </c>
      <c r="P72">
        <v>0</v>
      </c>
      <c r="Q72">
        <v>0</v>
      </c>
      <c r="R72">
        <v>800</v>
      </c>
      <c r="S72">
        <v>800</v>
      </c>
      <c r="T72">
        <v>0</v>
      </c>
      <c r="U72" t="str">
        <f>IF(SeismicData[[#This Row],[class]]=1,"Dangerous","Safe")</f>
        <v>Safe</v>
      </c>
      <c r="V72" t="str">
        <f>IF(SeismicData[[#This Row],[shift]]="W","Production","Non-Production")</f>
        <v>Production</v>
      </c>
      <c r="W72" t="str">
        <f>IF(SeismicData[[#This Row],[genergy]]=0,"0","10^"&amp;INT(LOG10(SeismicData[[#This Row],[genergy]])))</f>
        <v>10^5</v>
      </c>
      <c r="X72" t="str">
        <f>IF(OR(SeismicData[[#This Row],[genergy]]&lt;$AA$6,SeismicData[[#This Row],[genergy]]&gt;$AA$5),"Outlier","Normal")</f>
        <v>Outlier</v>
      </c>
    </row>
    <row r="73" spans="1:24" x14ac:dyDescent="0.15">
      <c r="A73">
        <v>72</v>
      </c>
      <c r="B73" t="s">
        <v>20</v>
      </c>
      <c r="C73" t="s">
        <v>20</v>
      </c>
      <c r="D73" t="s">
        <v>21</v>
      </c>
      <c r="E73">
        <v>75930</v>
      </c>
      <c r="F73">
        <v>305</v>
      </c>
      <c r="G73">
        <v>-38</v>
      </c>
      <c r="H73">
        <v>-27</v>
      </c>
      <c r="I73" t="s">
        <v>20</v>
      </c>
      <c r="J73">
        <v>1</v>
      </c>
      <c r="K73">
        <v>0</v>
      </c>
      <c r="L73">
        <v>1</v>
      </c>
      <c r="M73">
        <v>0</v>
      </c>
      <c r="N73">
        <v>0</v>
      </c>
      <c r="O73">
        <v>0</v>
      </c>
      <c r="P73">
        <v>0</v>
      </c>
      <c r="Q73">
        <v>0</v>
      </c>
      <c r="R73">
        <v>6000</v>
      </c>
      <c r="S73">
        <v>6000</v>
      </c>
      <c r="T73">
        <v>0</v>
      </c>
      <c r="U73" t="str">
        <f>IF(SeismicData[[#This Row],[class]]=1,"Dangerous","Safe")</f>
        <v>Safe</v>
      </c>
      <c r="V73" t="str">
        <f>IF(SeismicData[[#This Row],[shift]]="W","Production","Non-Production")</f>
        <v>Non-Production</v>
      </c>
      <c r="W73" t="str">
        <f>IF(SeismicData[[#This Row],[genergy]]=0,"0","10^"&amp;INT(LOG10(SeismicData[[#This Row],[genergy]])))</f>
        <v>10^4</v>
      </c>
      <c r="X73" t="str">
        <f>IF(OR(SeismicData[[#This Row],[genergy]]&lt;$AA$6,SeismicData[[#This Row],[genergy]]&gt;$AA$5),"Outlier","Normal")</f>
        <v>Normal</v>
      </c>
    </row>
    <row r="74" spans="1:24" x14ac:dyDescent="0.15">
      <c r="A74">
        <v>73</v>
      </c>
      <c r="B74" t="s">
        <v>20</v>
      </c>
      <c r="C74" t="s">
        <v>20</v>
      </c>
      <c r="D74" t="s">
        <v>21</v>
      </c>
      <c r="E74">
        <v>73030</v>
      </c>
      <c r="F74">
        <v>240</v>
      </c>
      <c r="G74">
        <v>25</v>
      </c>
      <c r="H74">
        <v>7</v>
      </c>
      <c r="I74" t="s">
        <v>20</v>
      </c>
      <c r="J74">
        <v>0</v>
      </c>
      <c r="K74">
        <v>0</v>
      </c>
      <c r="L74">
        <v>0</v>
      </c>
      <c r="M74">
        <v>0</v>
      </c>
      <c r="N74">
        <v>0</v>
      </c>
      <c r="O74">
        <v>0</v>
      </c>
      <c r="P74">
        <v>0</v>
      </c>
      <c r="Q74">
        <v>0</v>
      </c>
      <c r="R74">
        <v>0</v>
      </c>
      <c r="S74">
        <v>0</v>
      </c>
      <c r="T74">
        <v>0</v>
      </c>
      <c r="U74" t="str">
        <f>IF(SeismicData[[#This Row],[class]]=1,"Dangerous","Safe")</f>
        <v>Safe</v>
      </c>
      <c r="V74" t="str">
        <f>IF(SeismicData[[#This Row],[shift]]="W","Production","Non-Production")</f>
        <v>Non-Production</v>
      </c>
      <c r="W74" t="str">
        <f>IF(SeismicData[[#This Row],[genergy]]=0,"0","10^"&amp;INT(LOG10(SeismicData[[#This Row],[genergy]])))</f>
        <v>10^4</v>
      </c>
      <c r="X74" t="str">
        <f>IF(OR(SeismicData[[#This Row],[genergy]]&lt;$AA$6,SeismicData[[#This Row],[genergy]]&gt;$AA$5),"Outlier","Normal")</f>
        <v>Normal</v>
      </c>
    </row>
    <row r="75" spans="1:24" x14ac:dyDescent="0.15">
      <c r="A75">
        <v>74</v>
      </c>
      <c r="B75" t="s">
        <v>20</v>
      </c>
      <c r="C75" t="s">
        <v>20</v>
      </c>
      <c r="D75" t="s">
        <v>22</v>
      </c>
      <c r="E75">
        <v>317360</v>
      </c>
      <c r="F75">
        <v>1068</v>
      </c>
      <c r="G75">
        <v>-36</v>
      </c>
      <c r="H75">
        <v>-44</v>
      </c>
      <c r="I75" t="s">
        <v>20</v>
      </c>
      <c r="J75">
        <v>0</v>
      </c>
      <c r="K75">
        <v>0</v>
      </c>
      <c r="L75">
        <v>0</v>
      </c>
      <c r="M75">
        <v>0</v>
      </c>
      <c r="N75">
        <v>0</v>
      </c>
      <c r="O75">
        <v>0</v>
      </c>
      <c r="P75">
        <v>0</v>
      </c>
      <c r="Q75">
        <v>0</v>
      </c>
      <c r="R75">
        <v>0</v>
      </c>
      <c r="S75">
        <v>0</v>
      </c>
      <c r="T75">
        <v>0</v>
      </c>
      <c r="U75" t="str">
        <f>IF(SeismicData[[#This Row],[class]]=1,"Dangerous","Safe")</f>
        <v>Safe</v>
      </c>
      <c r="V75" t="str">
        <f>IF(SeismicData[[#This Row],[shift]]="W","Production","Non-Production")</f>
        <v>Production</v>
      </c>
      <c r="W75" t="str">
        <f>IF(SeismicData[[#This Row],[genergy]]=0,"0","10^"&amp;INT(LOG10(SeismicData[[#This Row],[genergy]])))</f>
        <v>10^5</v>
      </c>
      <c r="X75" t="str">
        <f>IF(OR(SeismicData[[#This Row],[genergy]]&lt;$AA$6,SeismicData[[#This Row],[genergy]]&gt;$AA$5),"Outlier","Normal")</f>
        <v>Outlier</v>
      </c>
    </row>
    <row r="76" spans="1:24" x14ac:dyDescent="0.15">
      <c r="A76">
        <v>75</v>
      </c>
      <c r="B76" t="s">
        <v>20</v>
      </c>
      <c r="C76" t="s">
        <v>20</v>
      </c>
      <c r="D76" t="s">
        <v>22</v>
      </c>
      <c r="E76">
        <v>227990</v>
      </c>
      <c r="F76">
        <v>734</v>
      </c>
      <c r="G76">
        <v>-52</v>
      </c>
      <c r="H76">
        <v>-59</v>
      </c>
      <c r="I76" t="s">
        <v>20</v>
      </c>
      <c r="J76">
        <v>2</v>
      </c>
      <c r="K76">
        <v>1</v>
      </c>
      <c r="L76">
        <v>1</v>
      </c>
      <c r="M76">
        <v>0</v>
      </c>
      <c r="N76">
        <v>0</v>
      </c>
      <c r="O76">
        <v>0</v>
      </c>
      <c r="P76">
        <v>0</v>
      </c>
      <c r="Q76">
        <v>0</v>
      </c>
      <c r="R76">
        <v>4300</v>
      </c>
      <c r="S76">
        <v>4000</v>
      </c>
      <c r="T76">
        <v>0</v>
      </c>
      <c r="U76" t="str">
        <f>IF(SeismicData[[#This Row],[class]]=1,"Dangerous","Safe")</f>
        <v>Safe</v>
      </c>
      <c r="V76" t="str">
        <f>IF(SeismicData[[#This Row],[shift]]="W","Production","Non-Production")</f>
        <v>Production</v>
      </c>
      <c r="W76" t="str">
        <f>IF(SeismicData[[#This Row],[genergy]]=0,"0","10^"&amp;INT(LOG10(SeismicData[[#This Row],[genergy]])))</f>
        <v>10^5</v>
      </c>
      <c r="X76" t="str">
        <f>IF(OR(SeismicData[[#This Row],[genergy]]&lt;$AA$6,SeismicData[[#This Row],[genergy]]&gt;$AA$5),"Outlier","Normal")</f>
        <v>Outlier</v>
      </c>
    </row>
    <row r="77" spans="1:24" x14ac:dyDescent="0.15">
      <c r="A77">
        <v>76</v>
      </c>
      <c r="B77" t="s">
        <v>20</v>
      </c>
      <c r="C77" t="s">
        <v>20</v>
      </c>
      <c r="D77" t="s">
        <v>21</v>
      </c>
      <c r="E77">
        <v>96080</v>
      </c>
      <c r="F77">
        <v>433</v>
      </c>
      <c r="G77">
        <v>60</v>
      </c>
      <c r="H77">
        <v>92</v>
      </c>
      <c r="I77" t="s">
        <v>20</v>
      </c>
      <c r="J77">
        <v>0</v>
      </c>
      <c r="K77">
        <v>0</v>
      </c>
      <c r="L77">
        <v>0</v>
      </c>
      <c r="M77">
        <v>0</v>
      </c>
      <c r="N77">
        <v>0</v>
      </c>
      <c r="O77">
        <v>0</v>
      </c>
      <c r="P77">
        <v>0</v>
      </c>
      <c r="Q77">
        <v>0</v>
      </c>
      <c r="R77">
        <v>0</v>
      </c>
      <c r="S77">
        <v>0</v>
      </c>
      <c r="T77">
        <v>0</v>
      </c>
      <c r="U77" t="str">
        <f>IF(SeismicData[[#This Row],[class]]=1,"Dangerous","Safe")</f>
        <v>Safe</v>
      </c>
      <c r="V77" t="str">
        <f>IF(SeismicData[[#This Row],[shift]]="W","Production","Non-Production")</f>
        <v>Non-Production</v>
      </c>
      <c r="W77" t="str">
        <f>IF(SeismicData[[#This Row],[genergy]]=0,"0","10^"&amp;INT(LOG10(SeismicData[[#This Row],[genergy]])))</f>
        <v>10^4</v>
      </c>
      <c r="X77" t="str">
        <f>IF(OR(SeismicData[[#This Row],[genergy]]&lt;$AA$6,SeismicData[[#This Row],[genergy]]&gt;$AA$5),"Outlier","Normal")</f>
        <v>Normal</v>
      </c>
    </row>
    <row r="78" spans="1:24" x14ac:dyDescent="0.15">
      <c r="A78">
        <v>77</v>
      </c>
      <c r="B78" t="s">
        <v>20</v>
      </c>
      <c r="C78" t="s">
        <v>20</v>
      </c>
      <c r="D78" t="s">
        <v>22</v>
      </c>
      <c r="E78">
        <v>210960</v>
      </c>
      <c r="F78">
        <v>773</v>
      </c>
      <c r="G78">
        <v>-44</v>
      </c>
      <c r="H78">
        <v>-35</v>
      </c>
      <c r="I78" t="s">
        <v>20</v>
      </c>
      <c r="J78">
        <v>1</v>
      </c>
      <c r="K78">
        <v>0</v>
      </c>
      <c r="L78">
        <v>1</v>
      </c>
      <c r="M78">
        <v>0</v>
      </c>
      <c r="N78">
        <v>0</v>
      </c>
      <c r="O78">
        <v>0</v>
      </c>
      <c r="P78">
        <v>0</v>
      </c>
      <c r="Q78">
        <v>0</v>
      </c>
      <c r="R78">
        <v>5000</v>
      </c>
      <c r="S78">
        <v>5000</v>
      </c>
      <c r="T78">
        <v>0</v>
      </c>
      <c r="U78" t="str">
        <f>IF(SeismicData[[#This Row],[class]]=1,"Dangerous","Safe")</f>
        <v>Safe</v>
      </c>
      <c r="V78" t="str">
        <f>IF(SeismicData[[#This Row],[shift]]="W","Production","Non-Production")</f>
        <v>Production</v>
      </c>
      <c r="W78" t="str">
        <f>IF(SeismicData[[#This Row],[genergy]]=0,"0","10^"&amp;INT(LOG10(SeismicData[[#This Row],[genergy]])))</f>
        <v>10^5</v>
      </c>
      <c r="X78" t="str">
        <f>IF(OR(SeismicData[[#This Row],[genergy]]&lt;$AA$6,SeismicData[[#This Row],[genergy]]&gt;$AA$5),"Outlier","Normal")</f>
        <v>Outlier</v>
      </c>
    </row>
    <row r="79" spans="1:24" x14ac:dyDescent="0.15">
      <c r="A79">
        <v>78</v>
      </c>
      <c r="B79" t="s">
        <v>20</v>
      </c>
      <c r="C79" t="s">
        <v>20</v>
      </c>
      <c r="D79" t="s">
        <v>21</v>
      </c>
      <c r="E79">
        <v>24900</v>
      </c>
      <c r="F79">
        <v>159</v>
      </c>
      <c r="G79">
        <v>-57</v>
      </c>
      <c r="H79">
        <v>-29</v>
      </c>
      <c r="I79" t="s">
        <v>20</v>
      </c>
      <c r="J79">
        <v>0</v>
      </c>
      <c r="K79">
        <v>0</v>
      </c>
      <c r="L79">
        <v>0</v>
      </c>
      <c r="M79">
        <v>0</v>
      </c>
      <c r="N79">
        <v>0</v>
      </c>
      <c r="O79">
        <v>0</v>
      </c>
      <c r="P79">
        <v>0</v>
      </c>
      <c r="Q79">
        <v>0</v>
      </c>
      <c r="R79">
        <v>0</v>
      </c>
      <c r="S79">
        <v>0</v>
      </c>
      <c r="T79">
        <v>0</v>
      </c>
      <c r="U79" t="str">
        <f>IF(SeismicData[[#This Row],[class]]=1,"Dangerous","Safe")</f>
        <v>Safe</v>
      </c>
      <c r="V79" t="str">
        <f>IF(SeismicData[[#This Row],[shift]]="W","Production","Non-Production")</f>
        <v>Non-Production</v>
      </c>
      <c r="W79" t="str">
        <f>IF(SeismicData[[#This Row],[genergy]]=0,"0","10^"&amp;INT(LOG10(SeismicData[[#This Row],[genergy]])))</f>
        <v>10^4</v>
      </c>
      <c r="X79" t="str">
        <f>IF(OR(SeismicData[[#This Row],[genergy]]&lt;$AA$6,SeismicData[[#This Row],[genergy]]&gt;$AA$5),"Outlier","Normal")</f>
        <v>Normal</v>
      </c>
    </row>
    <row r="80" spans="1:24" x14ac:dyDescent="0.15">
      <c r="A80">
        <v>79</v>
      </c>
      <c r="B80" t="s">
        <v>20</v>
      </c>
      <c r="C80" t="s">
        <v>20</v>
      </c>
      <c r="D80" t="s">
        <v>22</v>
      </c>
      <c r="E80">
        <v>302440</v>
      </c>
      <c r="F80">
        <v>1250</v>
      </c>
      <c r="G80">
        <v>-16</v>
      </c>
      <c r="H80">
        <v>9</v>
      </c>
      <c r="I80" t="s">
        <v>20</v>
      </c>
      <c r="J80">
        <v>2</v>
      </c>
      <c r="K80">
        <v>2</v>
      </c>
      <c r="L80">
        <v>0</v>
      </c>
      <c r="M80">
        <v>0</v>
      </c>
      <c r="N80">
        <v>0</v>
      </c>
      <c r="O80">
        <v>0</v>
      </c>
      <c r="P80">
        <v>0</v>
      </c>
      <c r="Q80">
        <v>0</v>
      </c>
      <c r="R80">
        <v>600</v>
      </c>
      <c r="S80">
        <v>300</v>
      </c>
      <c r="T80">
        <v>0</v>
      </c>
      <c r="U80" t="str">
        <f>IF(SeismicData[[#This Row],[class]]=1,"Dangerous","Safe")</f>
        <v>Safe</v>
      </c>
      <c r="V80" t="str">
        <f>IF(SeismicData[[#This Row],[shift]]="W","Production","Non-Production")</f>
        <v>Production</v>
      </c>
      <c r="W80" t="str">
        <f>IF(SeismicData[[#This Row],[genergy]]=0,"0","10^"&amp;INT(LOG10(SeismicData[[#This Row],[genergy]])))</f>
        <v>10^5</v>
      </c>
      <c r="X80" t="str">
        <f>IF(OR(SeismicData[[#This Row],[genergy]]&lt;$AA$6,SeismicData[[#This Row],[genergy]]&gt;$AA$5),"Outlier","Normal")</f>
        <v>Outlier</v>
      </c>
    </row>
    <row r="81" spans="1:24" x14ac:dyDescent="0.15">
      <c r="A81">
        <v>80</v>
      </c>
      <c r="B81" t="s">
        <v>20</v>
      </c>
      <c r="C81" t="s">
        <v>20</v>
      </c>
      <c r="D81" t="s">
        <v>21</v>
      </c>
      <c r="E81">
        <v>46160</v>
      </c>
      <c r="F81">
        <v>250</v>
      </c>
      <c r="G81">
        <v>-16</v>
      </c>
      <c r="H81">
        <v>15</v>
      </c>
      <c r="I81" t="s">
        <v>20</v>
      </c>
      <c r="J81">
        <v>1</v>
      </c>
      <c r="K81">
        <v>0</v>
      </c>
      <c r="L81">
        <v>1</v>
      </c>
      <c r="M81">
        <v>0</v>
      </c>
      <c r="N81">
        <v>0</v>
      </c>
      <c r="O81">
        <v>0</v>
      </c>
      <c r="P81">
        <v>0</v>
      </c>
      <c r="Q81">
        <v>0</v>
      </c>
      <c r="R81">
        <v>6000</v>
      </c>
      <c r="S81">
        <v>6000</v>
      </c>
      <c r="T81">
        <v>0</v>
      </c>
      <c r="U81" t="str">
        <f>IF(SeismicData[[#This Row],[class]]=1,"Dangerous","Safe")</f>
        <v>Safe</v>
      </c>
      <c r="V81" t="str">
        <f>IF(SeismicData[[#This Row],[shift]]="W","Production","Non-Production")</f>
        <v>Non-Production</v>
      </c>
      <c r="W81" t="str">
        <f>IF(SeismicData[[#This Row],[genergy]]=0,"0","10^"&amp;INT(LOG10(SeismicData[[#This Row],[genergy]])))</f>
        <v>10^4</v>
      </c>
      <c r="X81" t="str">
        <f>IF(OR(SeismicData[[#This Row],[genergy]]&lt;$AA$6,SeismicData[[#This Row],[genergy]]&gt;$AA$5),"Outlier","Normal")</f>
        <v>Normal</v>
      </c>
    </row>
    <row r="82" spans="1:24" x14ac:dyDescent="0.15">
      <c r="A82">
        <v>81</v>
      </c>
      <c r="B82" t="s">
        <v>20</v>
      </c>
      <c r="C82" t="s">
        <v>23</v>
      </c>
      <c r="D82" t="s">
        <v>22</v>
      </c>
      <c r="E82">
        <v>436650</v>
      </c>
      <c r="F82">
        <v>1232</v>
      </c>
      <c r="G82">
        <v>23</v>
      </c>
      <c r="H82">
        <v>6</v>
      </c>
      <c r="I82" t="s">
        <v>20</v>
      </c>
      <c r="J82">
        <v>0</v>
      </c>
      <c r="K82">
        <v>0</v>
      </c>
      <c r="L82">
        <v>0</v>
      </c>
      <c r="M82">
        <v>0</v>
      </c>
      <c r="N82">
        <v>0</v>
      </c>
      <c r="O82">
        <v>0</v>
      </c>
      <c r="P82">
        <v>0</v>
      </c>
      <c r="Q82">
        <v>0</v>
      </c>
      <c r="R82">
        <v>0</v>
      </c>
      <c r="S82">
        <v>0</v>
      </c>
      <c r="T82">
        <v>0</v>
      </c>
      <c r="U82" t="str">
        <f>IF(SeismicData[[#This Row],[class]]=1,"Dangerous","Safe")</f>
        <v>Safe</v>
      </c>
      <c r="V82" t="str">
        <f>IF(SeismicData[[#This Row],[shift]]="W","Production","Non-Production")</f>
        <v>Production</v>
      </c>
      <c r="W82" t="str">
        <f>IF(SeismicData[[#This Row],[genergy]]=0,"0","10^"&amp;INT(LOG10(SeismicData[[#This Row],[genergy]])))</f>
        <v>10^5</v>
      </c>
      <c r="X82" t="str">
        <f>IF(OR(SeismicData[[#This Row],[genergy]]&lt;$AA$6,SeismicData[[#This Row],[genergy]]&gt;$AA$5),"Outlier","Normal")</f>
        <v>Outlier</v>
      </c>
    </row>
    <row r="83" spans="1:24" x14ac:dyDescent="0.15">
      <c r="A83">
        <v>82</v>
      </c>
      <c r="B83" t="s">
        <v>20</v>
      </c>
      <c r="C83" t="s">
        <v>23</v>
      </c>
      <c r="D83" t="s">
        <v>21</v>
      </c>
      <c r="E83">
        <v>58230</v>
      </c>
      <c r="F83">
        <v>279</v>
      </c>
      <c r="G83">
        <v>8</v>
      </c>
      <c r="H83">
        <v>27</v>
      </c>
      <c r="I83" t="s">
        <v>20</v>
      </c>
      <c r="J83">
        <v>0</v>
      </c>
      <c r="K83">
        <v>0</v>
      </c>
      <c r="L83">
        <v>0</v>
      </c>
      <c r="M83">
        <v>0</v>
      </c>
      <c r="N83">
        <v>0</v>
      </c>
      <c r="O83">
        <v>0</v>
      </c>
      <c r="P83">
        <v>0</v>
      </c>
      <c r="Q83">
        <v>0</v>
      </c>
      <c r="R83">
        <v>0</v>
      </c>
      <c r="S83">
        <v>0</v>
      </c>
      <c r="T83">
        <v>0</v>
      </c>
      <c r="U83" t="str">
        <f>IF(SeismicData[[#This Row],[class]]=1,"Dangerous","Safe")</f>
        <v>Safe</v>
      </c>
      <c r="V83" t="str">
        <f>IF(SeismicData[[#This Row],[shift]]="W","Production","Non-Production")</f>
        <v>Non-Production</v>
      </c>
      <c r="W83" t="str">
        <f>IF(SeismicData[[#This Row],[genergy]]=0,"0","10^"&amp;INT(LOG10(SeismicData[[#This Row],[genergy]])))</f>
        <v>10^4</v>
      </c>
      <c r="X83" t="str">
        <f>IF(OR(SeismicData[[#This Row],[genergy]]&lt;$AA$6,SeismicData[[#This Row],[genergy]]&gt;$AA$5),"Outlier","Normal")</f>
        <v>Normal</v>
      </c>
    </row>
    <row r="84" spans="1:24" x14ac:dyDescent="0.15">
      <c r="A84">
        <v>83</v>
      </c>
      <c r="B84" t="s">
        <v>20</v>
      </c>
      <c r="C84" t="s">
        <v>23</v>
      </c>
      <c r="D84" t="s">
        <v>21</v>
      </c>
      <c r="E84">
        <v>36380</v>
      </c>
      <c r="F84">
        <v>222</v>
      </c>
      <c r="G84">
        <v>-32</v>
      </c>
      <c r="H84">
        <v>-2</v>
      </c>
      <c r="I84" t="s">
        <v>20</v>
      </c>
      <c r="J84">
        <v>1</v>
      </c>
      <c r="K84">
        <v>0</v>
      </c>
      <c r="L84">
        <v>1</v>
      </c>
      <c r="M84">
        <v>0</v>
      </c>
      <c r="N84">
        <v>0</v>
      </c>
      <c r="O84">
        <v>0</v>
      </c>
      <c r="P84">
        <v>0</v>
      </c>
      <c r="Q84">
        <v>0</v>
      </c>
      <c r="R84">
        <v>4000</v>
      </c>
      <c r="S84">
        <v>4000</v>
      </c>
      <c r="T84">
        <v>0</v>
      </c>
      <c r="U84" t="str">
        <f>IF(SeismicData[[#This Row],[class]]=1,"Dangerous","Safe")</f>
        <v>Safe</v>
      </c>
      <c r="V84" t="str">
        <f>IF(SeismicData[[#This Row],[shift]]="W","Production","Non-Production")</f>
        <v>Non-Production</v>
      </c>
      <c r="W84" t="str">
        <f>IF(SeismicData[[#This Row],[genergy]]=0,"0","10^"&amp;INT(LOG10(SeismicData[[#This Row],[genergy]])))</f>
        <v>10^4</v>
      </c>
      <c r="X84" t="str">
        <f>IF(OR(SeismicData[[#This Row],[genergy]]&lt;$AA$6,SeismicData[[#This Row],[genergy]]&gt;$AA$5),"Outlier","Normal")</f>
        <v>Normal</v>
      </c>
    </row>
    <row r="85" spans="1:24" x14ac:dyDescent="0.15">
      <c r="A85">
        <v>84</v>
      </c>
      <c r="B85" t="s">
        <v>20</v>
      </c>
      <c r="C85" t="s">
        <v>23</v>
      </c>
      <c r="D85" t="s">
        <v>22</v>
      </c>
      <c r="E85">
        <v>169370</v>
      </c>
      <c r="F85">
        <v>644</v>
      </c>
      <c r="G85">
        <v>-53</v>
      </c>
      <c r="H85">
        <v>-45</v>
      </c>
      <c r="I85" t="s">
        <v>20</v>
      </c>
      <c r="J85">
        <v>0</v>
      </c>
      <c r="K85">
        <v>0</v>
      </c>
      <c r="L85">
        <v>0</v>
      </c>
      <c r="M85">
        <v>0</v>
      </c>
      <c r="N85">
        <v>0</v>
      </c>
      <c r="O85">
        <v>0</v>
      </c>
      <c r="P85">
        <v>0</v>
      </c>
      <c r="Q85">
        <v>0</v>
      </c>
      <c r="R85">
        <v>0</v>
      </c>
      <c r="S85">
        <v>0</v>
      </c>
      <c r="T85">
        <v>0</v>
      </c>
      <c r="U85" t="str">
        <f>IF(SeismicData[[#This Row],[class]]=1,"Dangerous","Safe")</f>
        <v>Safe</v>
      </c>
      <c r="V85" t="str">
        <f>IF(SeismicData[[#This Row],[shift]]="W","Production","Non-Production")</f>
        <v>Production</v>
      </c>
      <c r="W85" t="str">
        <f>IF(SeismicData[[#This Row],[genergy]]=0,"0","10^"&amp;INT(LOG10(SeismicData[[#This Row],[genergy]])))</f>
        <v>10^5</v>
      </c>
      <c r="X85" t="str">
        <f>IF(OR(SeismicData[[#This Row],[genergy]]&lt;$AA$6,SeismicData[[#This Row],[genergy]]&gt;$AA$5),"Outlier","Normal")</f>
        <v>Outlier</v>
      </c>
    </row>
    <row r="86" spans="1:24" x14ac:dyDescent="0.15">
      <c r="A86">
        <v>85</v>
      </c>
      <c r="B86" t="s">
        <v>20</v>
      </c>
      <c r="C86" t="s">
        <v>23</v>
      </c>
      <c r="D86" t="s">
        <v>21</v>
      </c>
      <c r="E86">
        <v>96600</v>
      </c>
      <c r="F86">
        <v>383</v>
      </c>
      <c r="G86">
        <v>87</v>
      </c>
      <c r="H86">
        <v>70</v>
      </c>
      <c r="I86" t="s">
        <v>20</v>
      </c>
      <c r="J86">
        <v>0</v>
      </c>
      <c r="K86">
        <v>0</v>
      </c>
      <c r="L86">
        <v>0</v>
      </c>
      <c r="M86">
        <v>0</v>
      </c>
      <c r="N86">
        <v>0</v>
      </c>
      <c r="O86">
        <v>0</v>
      </c>
      <c r="P86">
        <v>0</v>
      </c>
      <c r="Q86">
        <v>0</v>
      </c>
      <c r="R86">
        <v>0</v>
      </c>
      <c r="S86">
        <v>0</v>
      </c>
      <c r="T86">
        <v>0</v>
      </c>
      <c r="U86" t="str">
        <f>IF(SeismicData[[#This Row],[class]]=1,"Dangerous","Safe")</f>
        <v>Safe</v>
      </c>
      <c r="V86" t="str">
        <f>IF(SeismicData[[#This Row],[shift]]="W","Production","Non-Production")</f>
        <v>Non-Production</v>
      </c>
      <c r="W86" t="str">
        <f>IF(SeismicData[[#This Row],[genergy]]=0,"0","10^"&amp;INT(LOG10(SeismicData[[#This Row],[genergy]])))</f>
        <v>10^4</v>
      </c>
      <c r="X86" t="str">
        <f>IF(OR(SeismicData[[#This Row],[genergy]]&lt;$AA$6,SeismicData[[#This Row],[genergy]]&gt;$AA$5),"Outlier","Normal")</f>
        <v>Normal</v>
      </c>
    </row>
    <row r="87" spans="1:24" x14ac:dyDescent="0.15">
      <c r="A87">
        <v>86</v>
      </c>
      <c r="B87" t="s">
        <v>20</v>
      </c>
      <c r="C87" t="s">
        <v>20</v>
      </c>
      <c r="D87" t="s">
        <v>22</v>
      </c>
      <c r="E87">
        <v>233810</v>
      </c>
      <c r="F87">
        <v>839</v>
      </c>
      <c r="G87">
        <v>-31</v>
      </c>
      <c r="H87">
        <v>-24</v>
      </c>
      <c r="I87" t="s">
        <v>20</v>
      </c>
      <c r="J87">
        <v>0</v>
      </c>
      <c r="K87">
        <v>0</v>
      </c>
      <c r="L87">
        <v>0</v>
      </c>
      <c r="M87">
        <v>0</v>
      </c>
      <c r="N87">
        <v>0</v>
      </c>
      <c r="O87">
        <v>0</v>
      </c>
      <c r="P87">
        <v>0</v>
      </c>
      <c r="Q87">
        <v>0</v>
      </c>
      <c r="R87">
        <v>0</v>
      </c>
      <c r="S87">
        <v>0</v>
      </c>
      <c r="T87">
        <v>0</v>
      </c>
      <c r="U87" t="str">
        <f>IF(SeismicData[[#This Row],[class]]=1,"Dangerous","Safe")</f>
        <v>Safe</v>
      </c>
      <c r="V87" t="str">
        <f>IF(SeismicData[[#This Row],[shift]]="W","Production","Non-Production")</f>
        <v>Production</v>
      </c>
      <c r="W87" t="str">
        <f>IF(SeismicData[[#This Row],[genergy]]=0,"0","10^"&amp;INT(LOG10(SeismicData[[#This Row],[genergy]])))</f>
        <v>10^5</v>
      </c>
      <c r="X87" t="str">
        <f>IF(OR(SeismicData[[#This Row],[genergy]]&lt;$AA$6,SeismicData[[#This Row],[genergy]]&gt;$AA$5),"Outlier","Normal")</f>
        <v>Outlier</v>
      </c>
    </row>
    <row r="88" spans="1:24" x14ac:dyDescent="0.15">
      <c r="A88">
        <v>87</v>
      </c>
      <c r="B88" t="s">
        <v>20</v>
      </c>
      <c r="C88" t="s">
        <v>20</v>
      </c>
      <c r="D88" t="s">
        <v>22</v>
      </c>
      <c r="E88">
        <v>149050</v>
      </c>
      <c r="F88">
        <v>697</v>
      </c>
      <c r="G88">
        <v>-54</v>
      </c>
      <c r="H88">
        <v>-35</v>
      </c>
      <c r="I88" t="s">
        <v>20</v>
      </c>
      <c r="J88">
        <v>1</v>
      </c>
      <c r="K88">
        <v>0</v>
      </c>
      <c r="L88">
        <v>1</v>
      </c>
      <c r="M88">
        <v>0</v>
      </c>
      <c r="N88">
        <v>0</v>
      </c>
      <c r="O88">
        <v>0</v>
      </c>
      <c r="P88">
        <v>0</v>
      </c>
      <c r="Q88">
        <v>0</v>
      </c>
      <c r="R88">
        <v>6000</v>
      </c>
      <c r="S88">
        <v>6000</v>
      </c>
      <c r="T88">
        <v>0</v>
      </c>
      <c r="U88" t="str">
        <f>IF(SeismicData[[#This Row],[class]]=1,"Dangerous","Safe")</f>
        <v>Safe</v>
      </c>
      <c r="V88" t="str">
        <f>IF(SeismicData[[#This Row],[shift]]="W","Production","Non-Production")</f>
        <v>Production</v>
      </c>
      <c r="W88" t="str">
        <f>IF(SeismicData[[#This Row],[genergy]]=0,"0","10^"&amp;INT(LOG10(SeismicData[[#This Row],[genergy]])))</f>
        <v>10^5</v>
      </c>
      <c r="X88" t="str">
        <f>IF(OR(SeismicData[[#This Row],[genergy]]&lt;$AA$6,SeismicData[[#This Row],[genergy]]&gt;$AA$5),"Outlier","Normal")</f>
        <v>Outlier</v>
      </c>
    </row>
    <row r="89" spans="1:24" x14ac:dyDescent="0.15">
      <c r="A89">
        <v>88</v>
      </c>
      <c r="B89" t="s">
        <v>20</v>
      </c>
      <c r="C89" t="s">
        <v>20</v>
      </c>
      <c r="D89" t="s">
        <v>21</v>
      </c>
      <c r="E89">
        <v>63550</v>
      </c>
      <c r="F89">
        <v>325</v>
      </c>
      <c r="G89">
        <v>15</v>
      </c>
      <c r="H89">
        <v>35</v>
      </c>
      <c r="I89" t="s">
        <v>20</v>
      </c>
      <c r="J89">
        <v>0</v>
      </c>
      <c r="K89">
        <v>0</v>
      </c>
      <c r="L89">
        <v>0</v>
      </c>
      <c r="M89">
        <v>0</v>
      </c>
      <c r="N89">
        <v>0</v>
      </c>
      <c r="O89">
        <v>0</v>
      </c>
      <c r="P89">
        <v>0</v>
      </c>
      <c r="Q89">
        <v>0</v>
      </c>
      <c r="R89">
        <v>0</v>
      </c>
      <c r="S89">
        <v>0</v>
      </c>
      <c r="T89">
        <v>0</v>
      </c>
      <c r="U89" t="str">
        <f>IF(SeismicData[[#This Row],[class]]=1,"Dangerous","Safe")</f>
        <v>Safe</v>
      </c>
      <c r="V89" t="str">
        <f>IF(SeismicData[[#This Row],[shift]]="W","Production","Non-Production")</f>
        <v>Non-Production</v>
      </c>
      <c r="W89" t="str">
        <f>IF(SeismicData[[#This Row],[genergy]]=0,"0","10^"&amp;INT(LOG10(SeismicData[[#This Row],[genergy]])))</f>
        <v>10^4</v>
      </c>
      <c r="X89" t="str">
        <f>IF(OR(SeismicData[[#This Row],[genergy]]&lt;$AA$6,SeismicData[[#This Row],[genergy]]&gt;$AA$5),"Outlier","Normal")</f>
        <v>Normal</v>
      </c>
    </row>
    <row r="90" spans="1:24" x14ac:dyDescent="0.15">
      <c r="A90">
        <v>89</v>
      </c>
      <c r="B90" t="s">
        <v>20</v>
      </c>
      <c r="C90" t="s">
        <v>20</v>
      </c>
      <c r="D90" t="s">
        <v>22</v>
      </c>
      <c r="E90">
        <v>194580</v>
      </c>
      <c r="F90">
        <v>697</v>
      </c>
      <c r="G90">
        <v>-35</v>
      </c>
      <c r="H90">
        <v>-32</v>
      </c>
      <c r="I90" t="s">
        <v>20</v>
      </c>
      <c r="J90">
        <v>0</v>
      </c>
      <c r="K90">
        <v>0</v>
      </c>
      <c r="L90">
        <v>0</v>
      </c>
      <c r="M90">
        <v>0</v>
      </c>
      <c r="N90">
        <v>0</v>
      </c>
      <c r="O90">
        <v>0</v>
      </c>
      <c r="P90">
        <v>0</v>
      </c>
      <c r="Q90">
        <v>0</v>
      </c>
      <c r="R90">
        <v>0</v>
      </c>
      <c r="S90">
        <v>0</v>
      </c>
      <c r="T90">
        <v>0</v>
      </c>
      <c r="U90" t="str">
        <f>IF(SeismicData[[#This Row],[class]]=1,"Dangerous","Safe")</f>
        <v>Safe</v>
      </c>
      <c r="V90" t="str">
        <f>IF(SeismicData[[#This Row],[shift]]="W","Production","Non-Production")</f>
        <v>Production</v>
      </c>
      <c r="W90" t="str">
        <f>IF(SeismicData[[#This Row],[genergy]]=0,"0","10^"&amp;INT(LOG10(SeismicData[[#This Row],[genergy]])))</f>
        <v>10^5</v>
      </c>
      <c r="X90" t="str">
        <f>IF(OR(SeismicData[[#This Row],[genergy]]&lt;$AA$6,SeismicData[[#This Row],[genergy]]&gt;$AA$5),"Outlier","Normal")</f>
        <v>Outlier</v>
      </c>
    </row>
    <row r="91" spans="1:24" x14ac:dyDescent="0.15">
      <c r="A91">
        <v>90</v>
      </c>
      <c r="B91" t="s">
        <v>20</v>
      </c>
      <c r="C91" t="s">
        <v>20</v>
      </c>
      <c r="D91" t="s">
        <v>21</v>
      </c>
      <c r="E91">
        <v>63550</v>
      </c>
      <c r="F91">
        <v>325</v>
      </c>
      <c r="G91">
        <v>15</v>
      </c>
      <c r="H91">
        <v>35</v>
      </c>
      <c r="I91" t="s">
        <v>20</v>
      </c>
      <c r="J91">
        <v>0</v>
      </c>
      <c r="K91">
        <v>0</v>
      </c>
      <c r="L91">
        <v>0</v>
      </c>
      <c r="M91">
        <v>0</v>
      </c>
      <c r="N91">
        <v>0</v>
      </c>
      <c r="O91">
        <v>0</v>
      </c>
      <c r="P91">
        <v>0</v>
      </c>
      <c r="Q91">
        <v>0</v>
      </c>
      <c r="R91">
        <v>0</v>
      </c>
      <c r="S91">
        <v>0</v>
      </c>
      <c r="T91">
        <v>0</v>
      </c>
      <c r="U91" t="str">
        <f>IF(SeismicData[[#This Row],[class]]=1,"Dangerous","Safe")</f>
        <v>Safe</v>
      </c>
      <c r="V91" t="str">
        <f>IF(SeismicData[[#This Row],[shift]]="W","Production","Non-Production")</f>
        <v>Non-Production</v>
      </c>
      <c r="W91" t="str">
        <f>IF(SeismicData[[#This Row],[genergy]]=0,"0","10^"&amp;INT(LOG10(SeismicData[[#This Row],[genergy]])))</f>
        <v>10^4</v>
      </c>
      <c r="X91" t="str">
        <f>IF(OR(SeismicData[[#This Row],[genergy]]&lt;$AA$6,SeismicData[[#This Row],[genergy]]&gt;$AA$5),"Outlier","Normal")</f>
        <v>Normal</v>
      </c>
    </row>
    <row r="92" spans="1:24" x14ac:dyDescent="0.15">
      <c r="A92">
        <v>91</v>
      </c>
      <c r="B92" t="s">
        <v>20</v>
      </c>
      <c r="C92" t="s">
        <v>20</v>
      </c>
      <c r="D92" t="s">
        <v>22</v>
      </c>
      <c r="E92">
        <v>194580</v>
      </c>
      <c r="F92">
        <v>697</v>
      </c>
      <c r="G92">
        <v>-35</v>
      </c>
      <c r="H92">
        <v>-32</v>
      </c>
      <c r="I92" t="s">
        <v>20</v>
      </c>
      <c r="J92">
        <v>0</v>
      </c>
      <c r="K92">
        <v>0</v>
      </c>
      <c r="L92">
        <v>0</v>
      </c>
      <c r="M92">
        <v>0</v>
      </c>
      <c r="N92">
        <v>0</v>
      </c>
      <c r="O92">
        <v>0</v>
      </c>
      <c r="P92">
        <v>0</v>
      </c>
      <c r="Q92">
        <v>0</v>
      </c>
      <c r="R92">
        <v>0</v>
      </c>
      <c r="S92">
        <v>0</v>
      </c>
      <c r="T92">
        <v>0</v>
      </c>
      <c r="U92" t="str">
        <f>IF(SeismicData[[#This Row],[class]]=1,"Dangerous","Safe")</f>
        <v>Safe</v>
      </c>
      <c r="V92" t="str">
        <f>IF(SeismicData[[#This Row],[shift]]="W","Production","Non-Production")</f>
        <v>Production</v>
      </c>
      <c r="W92" t="str">
        <f>IF(SeismicData[[#This Row],[genergy]]=0,"0","10^"&amp;INT(LOG10(SeismicData[[#This Row],[genergy]])))</f>
        <v>10^5</v>
      </c>
      <c r="X92" t="str">
        <f>IF(OR(SeismicData[[#This Row],[genergy]]&lt;$AA$6,SeismicData[[#This Row],[genergy]]&gt;$AA$5),"Outlier","Normal")</f>
        <v>Outlier</v>
      </c>
    </row>
    <row r="93" spans="1:24" x14ac:dyDescent="0.15">
      <c r="A93">
        <v>92</v>
      </c>
      <c r="B93" t="s">
        <v>20</v>
      </c>
      <c r="C93" t="s">
        <v>20</v>
      </c>
      <c r="D93" t="s">
        <v>21</v>
      </c>
      <c r="E93">
        <v>46020</v>
      </c>
      <c r="F93">
        <v>267</v>
      </c>
      <c r="G93">
        <v>-18</v>
      </c>
      <c r="H93">
        <v>6</v>
      </c>
      <c r="I93" t="s">
        <v>20</v>
      </c>
      <c r="J93">
        <v>1</v>
      </c>
      <c r="K93">
        <v>0</v>
      </c>
      <c r="L93">
        <v>1</v>
      </c>
      <c r="M93">
        <v>0</v>
      </c>
      <c r="N93">
        <v>0</v>
      </c>
      <c r="O93">
        <v>0</v>
      </c>
      <c r="P93">
        <v>0</v>
      </c>
      <c r="Q93">
        <v>0</v>
      </c>
      <c r="R93">
        <v>5000</v>
      </c>
      <c r="S93">
        <v>5000</v>
      </c>
      <c r="T93">
        <v>0</v>
      </c>
      <c r="U93" t="str">
        <f>IF(SeismicData[[#This Row],[class]]=1,"Dangerous","Safe")</f>
        <v>Safe</v>
      </c>
      <c r="V93" t="str">
        <f>IF(SeismicData[[#This Row],[shift]]="W","Production","Non-Production")</f>
        <v>Non-Production</v>
      </c>
      <c r="W93" t="str">
        <f>IF(SeismicData[[#This Row],[genergy]]=0,"0","10^"&amp;INT(LOG10(SeismicData[[#This Row],[genergy]])))</f>
        <v>10^4</v>
      </c>
      <c r="X93" t="str">
        <f>IF(OR(SeismicData[[#This Row],[genergy]]&lt;$AA$6,SeismicData[[#This Row],[genergy]]&gt;$AA$5),"Outlier","Normal")</f>
        <v>Normal</v>
      </c>
    </row>
    <row r="94" spans="1:24" x14ac:dyDescent="0.15">
      <c r="A94">
        <v>93</v>
      </c>
      <c r="B94" t="s">
        <v>20</v>
      </c>
      <c r="C94" t="s">
        <v>20</v>
      </c>
      <c r="D94" t="s">
        <v>21</v>
      </c>
      <c r="E94">
        <v>104390</v>
      </c>
      <c r="F94">
        <v>331</v>
      </c>
      <c r="G94">
        <v>91</v>
      </c>
      <c r="H94">
        <v>29</v>
      </c>
      <c r="I94" t="s">
        <v>20</v>
      </c>
      <c r="J94">
        <v>0</v>
      </c>
      <c r="K94">
        <v>0</v>
      </c>
      <c r="L94">
        <v>0</v>
      </c>
      <c r="M94">
        <v>0</v>
      </c>
      <c r="N94">
        <v>0</v>
      </c>
      <c r="O94">
        <v>0</v>
      </c>
      <c r="P94">
        <v>0</v>
      </c>
      <c r="Q94">
        <v>0</v>
      </c>
      <c r="R94">
        <v>0</v>
      </c>
      <c r="S94">
        <v>0</v>
      </c>
      <c r="T94">
        <v>0</v>
      </c>
      <c r="U94" t="str">
        <f>IF(SeismicData[[#This Row],[class]]=1,"Dangerous","Safe")</f>
        <v>Safe</v>
      </c>
      <c r="V94" t="str">
        <f>IF(SeismicData[[#This Row],[shift]]="W","Production","Non-Production")</f>
        <v>Non-Production</v>
      </c>
      <c r="W94" t="str">
        <f>IF(SeismicData[[#This Row],[genergy]]=0,"0","10^"&amp;INT(LOG10(SeismicData[[#This Row],[genergy]])))</f>
        <v>10^5</v>
      </c>
      <c r="X94" t="str">
        <f>IF(OR(SeismicData[[#This Row],[genergy]]&lt;$AA$6,SeismicData[[#This Row],[genergy]]&gt;$AA$5),"Outlier","Normal")</f>
        <v>Normal</v>
      </c>
    </row>
    <row r="95" spans="1:24" x14ac:dyDescent="0.15">
      <c r="A95">
        <v>94</v>
      </c>
      <c r="B95" t="s">
        <v>20</v>
      </c>
      <c r="C95" t="s">
        <v>20</v>
      </c>
      <c r="D95" t="s">
        <v>22</v>
      </c>
      <c r="E95">
        <v>285750</v>
      </c>
      <c r="F95">
        <v>791</v>
      </c>
      <c r="G95">
        <v>1</v>
      </c>
      <c r="H95">
        <v>-19</v>
      </c>
      <c r="I95" t="s">
        <v>20</v>
      </c>
      <c r="J95">
        <v>0</v>
      </c>
      <c r="K95">
        <v>0</v>
      </c>
      <c r="L95">
        <v>0</v>
      </c>
      <c r="M95">
        <v>0</v>
      </c>
      <c r="N95">
        <v>0</v>
      </c>
      <c r="O95">
        <v>0</v>
      </c>
      <c r="P95">
        <v>0</v>
      </c>
      <c r="Q95">
        <v>0</v>
      </c>
      <c r="R95">
        <v>0</v>
      </c>
      <c r="S95">
        <v>0</v>
      </c>
      <c r="T95">
        <v>0</v>
      </c>
      <c r="U95" t="str">
        <f>IF(SeismicData[[#This Row],[class]]=1,"Dangerous","Safe")</f>
        <v>Safe</v>
      </c>
      <c r="V95" t="str">
        <f>IF(SeismicData[[#This Row],[shift]]="W","Production","Non-Production")</f>
        <v>Production</v>
      </c>
      <c r="W95" t="str">
        <f>IF(SeismicData[[#This Row],[genergy]]=0,"0","10^"&amp;INT(LOG10(SeismicData[[#This Row],[genergy]])))</f>
        <v>10^5</v>
      </c>
      <c r="X95" t="str">
        <f>IF(OR(SeismicData[[#This Row],[genergy]]&lt;$AA$6,SeismicData[[#This Row],[genergy]]&gt;$AA$5),"Outlier","Normal")</f>
        <v>Outlier</v>
      </c>
    </row>
    <row r="96" spans="1:24" x14ac:dyDescent="0.15">
      <c r="A96">
        <v>95</v>
      </c>
      <c r="B96" t="s">
        <v>20</v>
      </c>
      <c r="C96" t="s">
        <v>20</v>
      </c>
      <c r="D96" t="s">
        <v>21</v>
      </c>
      <c r="E96">
        <v>26510</v>
      </c>
      <c r="F96">
        <v>106</v>
      </c>
      <c r="G96">
        <v>-55</v>
      </c>
      <c r="H96">
        <v>-60</v>
      </c>
      <c r="I96" t="s">
        <v>20</v>
      </c>
      <c r="J96">
        <v>0</v>
      </c>
      <c r="K96">
        <v>0</v>
      </c>
      <c r="L96">
        <v>0</v>
      </c>
      <c r="M96">
        <v>0</v>
      </c>
      <c r="N96">
        <v>0</v>
      </c>
      <c r="O96">
        <v>0</v>
      </c>
      <c r="P96">
        <v>0</v>
      </c>
      <c r="Q96">
        <v>0</v>
      </c>
      <c r="R96">
        <v>0</v>
      </c>
      <c r="S96">
        <v>0</v>
      </c>
      <c r="T96">
        <v>0</v>
      </c>
      <c r="U96" t="str">
        <f>IF(SeismicData[[#This Row],[class]]=1,"Dangerous","Safe")</f>
        <v>Safe</v>
      </c>
      <c r="V96" t="str">
        <f>IF(SeismicData[[#This Row],[shift]]="W","Production","Non-Production")</f>
        <v>Non-Production</v>
      </c>
      <c r="W96" t="str">
        <f>IF(SeismicData[[#This Row],[genergy]]=0,"0","10^"&amp;INT(LOG10(SeismicData[[#This Row],[genergy]])))</f>
        <v>10^4</v>
      </c>
      <c r="X96" t="str">
        <f>IF(OR(SeismicData[[#This Row],[genergy]]&lt;$AA$6,SeismicData[[#This Row],[genergy]]&gt;$AA$5),"Outlier","Normal")</f>
        <v>Normal</v>
      </c>
    </row>
    <row r="97" spans="1:24" x14ac:dyDescent="0.15">
      <c r="A97">
        <v>96</v>
      </c>
      <c r="B97" t="s">
        <v>20</v>
      </c>
      <c r="C97" t="s">
        <v>20</v>
      </c>
      <c r="D97" t="s">
        <v>21</v>
      </c>
      <c r="E97">
        <v>25580</v>
      </c>
      <c r="F97">
        <v>120</v>
      </c>
      <c r="G97">
        <v>-54</v>
      </c>
      <c r="H97">
        <v>-53</v>
      </c>
      <c r="I97" t="s">
        <v>20</v>
      </c>
      <c r="J97">
        <v>1</v>
      </c>
      <c r="K97">
        <v>0</v>
      </c>
      <c r="L97">
        <v>1</v>
      </c>
      <c r="M97">
        <v>0</v>
      </c>
      <c r="N97">
        <v>0</v>
      </c>
      <c r="O97">
        <v>0</v>
      </c>
      <c r="P97">
        <v>0</v>
      </c>
      <c r="Q97">
        <v>0</v>
      </c>
      <c r="R97">
        <v>6000</v>
      </c>
      <c r="S97">
        <v>6000</v>
      </c>
      <c r="T97">
        <v>0</v>
      </c>
      <c r="U97" t="str">
        <f>IF(SeismicData[[#This Row],[class]]=1,"Dangerous","Safe")</f>
        <v>Safe</v>
      </c>
      <c r="V97" t="str">
        <f>IF(SeismicData[[#This Row],[shift]]="W","Production","Non-Production")</f>
        <v>Non-Production</v>
      </c>
      <c r="W97" t="str">
        <f>IF(SeismicData[[#This Row],[genergy]]=0,"0","10^"&amp;INT(LOG10(SeismicData[[#This Row],[genergy]])))</f>
        <v>10^4</v>
      </c>
      <c r="X97" t="str">
        <f>IF(OR(SeismicData[[#This Row],[genergy]]&lt;$AA$6,SeismicData[[#This Row],[genergy]]&gt;$AA$5),"Outlier","Normal")</f>
        <v>Normal</v>
      </c>
    </row>
    <row r="98" spans="1:24" x14ac:dyDescent="0.15">
      <c r="A98">
        <v>97</v>
      </c>
      <c r="B98" t="s">
        <v>20</v>
      </c>
      <c r="C98" t="s">
        <v>20</v>
      </c>
      <c r="D98" t="s">
        <v>22</v>
      </c>
      <c r="E98">
        <v>298230</v>
      </c>
      <c r="F98">
        <v>916</v>
      </c>
      <c r="G98">
        <v>9</v>
      </c>
      <c r="H98">
        <v>-2</v>
      </c>
      <c r="I98" t="s">
        <v>20</v>
      </c>
      <c r="J98">
        <v>0</v>
      </c>
      <c r="K98">
        <v>0</v>
      </c>
      <c r="L98">
        <v>0</v>
      </c>
      <c r="M98">
        <v>0</v>
      </c>
      <c r="N98">
        <v>0</v>
      </c>
      <c r="O98">
        <v>0</v>
      </c>
      <c r="P98">
        <v>0</v>
      </c>
      <c r="Q98">
        <v>0</v>
      </c>
      <c r="R98">
        <v>0</v>
      </c>
      <c r="S98">
        <v>0</v>
      </c>
      <c r="T98">
        <v>0</v>
      </c>
      <c r="U98" t="str">
        <f>IF(SeismicData[[#This Row],[class]]=1,"Dangerous","Safe")</f>
        <v>Safe</v>
      </c>
      <c r="V98" t="str">
        <f>IF(SeismicData[[#This Row],[shift]]="W","Production","Non-Production")</f>
        <v>Production</v>
      </c>
      <c r="W98" t="str">
        <f>IF(SeismicData[[#This Row],[genergy]]=0,"0","10^"&amp;INT(LOG10(SeismicData[[#This Row],[genergy]])))</f>
        <v>10^5</v>
      </c>
      <c r="X98" t="str">
        <f>IF(OR(SeismicData[[#This Row],[genergy]]&lt;$AA$6,SeismicData[[#This Row],[genergy]]&gt;$AA$5),"Outlier","Normal")</f>
        <v>Outlier</v>
      </c>
    </row>
    <row r="99" spans="1:24" x14ac:dyDescent="0.15">
      <c r="A99">
        <v>98</v>
      </c>
      <c r="B99" t="s">
        <v>20</v>
      </c>
      <c r="C99" t="s">
        <v>20</v>
      </c>
      <c r="D99" t="s">
        <v>21</v>
      </c>
      <c r="E99">
        <v>39040</v>
      </c>
      <c r="F99">
        <v>231</v>
      </c>
      <c r="G99">
        <v>-26</v>
      </c>
      <c r="H99">
        <v>-5</v>
      </c>
      <c r="I99" t="s">
        <v>20</v>
      </c>
      <c r="J99">
        <v>1</v>
      </c>
      <c r="K99">
        <v>0</v>
      </c>
      <c r="L99">
        <v>1</v>
      </c>
      <c r="M99">
        <v>0</v>
      </c>
      <c r="N99">
        <v>0</v>
      </c>
      <c r="O99">
        <v>0</v>
      </c>
      <c r="P99">
        <v>0</v>
      </c>
      <c r="Q99">
        <v>0</v>
      </c>
      <c r="R99">
        <v>5000</v>
      </c>
      <c r="S99">
        <v>5000</v>
      </c>
      <c r="T99">
        <v>0</v>
      </c>
      <c r="U99" t="str">
        <f>IF(SeismicData[[#This Row],[class]]=1,"Dangerous","Safe")</f>
        <v>Safe</v>
      </c>
      <c r="V99" t="str">
        <f>IF(SeismicData[[#This Row],[shift]]="W","Production","Non-Production")</f>
        <v>Non-Production</v>
      </c>
      <c r="W99" t="str">
        <f>IF(SeismicData[[#This Row],[genergy]]=0,"0","10^"&amp;INT(LOG10(SeismicData[[#This Row],[genergy]])))</f>
        <v>10^4</v>
      </c>
      <c r="X99" t="str">
        <f>IF(OR(SeismicData[[#This Row],[genergy]]&lt;$AA$6,SeismicData[[#This Row],[genergy]]&gt;$AA$5),"Outlier","Normal")</f>
        <v>Normal</v>
      </c>
    </row>
    <row r="100" spans="1:24" x14ac:dyDescent="0.15">
      <c r="A100">
        <v>99</v>
      </c>
      <c r="B100" t="s">
        <v>20</v>
      </c>
      <c r="C100" t="s">
        <v>20</v>
      </c>
      <c r="D100" t="s">
        <v>21</v>
      </c>
      <c r="E100">
        <v>54990</v>
      </c>
      <c r="F100">
        <v>182</v>
      </c>
      <c r="G100">
        <v>1</v>
      </c>
      <c r="H100">
        <v>-28</v>
      </c>
      <c r="I100" t="s">
        <v>20</v>
      </c>
      <c r="J100">
        <v>0</v>
      </c>
      <c r="K100">
        <v>0</v>
      </c>
      <c r="L100">
        <v>0</v>
      </c>
      <c r="M100">
        <v>0</v>
      </c>
      <c r="N100">
        <v>0</v>
      </c>
      <c r="O100">
        <v>0</v>
      </c>
      <c r="P100">
        <v>0</v>
      </c>
      <c r="Q100">
        <v>0</v>
      </c>
      <c r="R100">
        <v>0</v>
      </c>
      <c r="S100">
        <v>0</v>
      </c>
      <c r="T100">
        <v>0</v>
      </c>
      <c r="U100" t="str">
        <f>IF(SeismicData[[#This Row],[class]]=1,"Dangerous","Safe")</f>
        <v>Safe</v>
      </c>
      <c r="V100" t="str">
        <f>IF(SeismicData[[#This Row],[shift]]="W","Production","Non-Production")</f>
        <v>Non-Production</v>
      </c>
      <c r="W100" t="str">
        <f>IF(SeismicData[[#This Row],[genergy]]=0,"0","10^"&amp;INT(LOG10(SeismicData[[#This Row],[genergy]])))</f>
        <v>10^4</v>
      </c>
      <c r="X100" t="str">
        <f>IF(OR(SeismicData[[#This Row],[genergy]]&lt;$AA$6,SeismicData[[#This Row],[genergy]]&gt;$AA$5),"Outlier","Normal")</f>
        <v>Normal</v>
      </c>
    </row>
    <row r="101" spans="1:24" x14ac:dyDescent="0.15">
      <c r="A101">
        <v>100</v>
      </c>
      <c r="B101" t="s">
        <v>20</v>
      </c>
      <c r="C101" t="s">
        <v>20</v>
      </c>
      <c r="D101" t="s">
        <v>22</v>
      </c>
      <c r="E101">
        <v>172120</v>
      </c>
      <c r="F101">
        <v>537</v>
      </c>
      <c r="G101">
        <v>-35</v>
      </c>
      <c r="H101">
        <v>-41</v>
      </c>
      <c r="I101" t="s">
        <v>20</v>
      </c>
      <c r="J101">
        <v>0</v>
      </c>
      <c r="K101">
        <v>0</v>
      </c>
      <c r="L101">
        <v>0</v>
      </c>
      <c r="M101">
        <v>0</v>
      </c>
      <c r="N101">
        <v>0</v>
      </c>
      <c r="O101">
        <v>0</v>
      </c>
      <c r="P101">
        <v>0</v>
      </c>
      <c r="Q101">
        <v>0</v>
      </c>
      <c r="R101">
        <v>0</v>
      </c>
      <c r="S101">
        <v>0</v>
      </c>
      <c r="T101">
        <v>0</v>
      </c>
      <c r="U101" t="str">
        <f>IF(SeismicData[[#This Row],[class]]=1,"Dangerous","Safe")</f>
        <v>Safe</v>
      </c>
      <c r="V101" t="str">
        <f>IF(SeismicData[[#This Row],[shift]]="W","Production","Non-Production")</f>
        <v>Production</v>
      </c>
      <c r="W101" t="str">
        <f>IF(SeismicData[[#This Row],[genergy]]=0,"0","10^"&amp;INT(LOG10(SeismicData[[#This Row],[genergy]])))</f>
        <v>10^5</v>
      </c>
      <c r="X101" t="str">
        <f>IF(OR(SeismicData[[#This Row],[genergy]]&lt;$AA$6,SeismicData[[#This Row],[genergy]]&gt;$AA$5),"Outlier","Normal")</f>
        <v>Outlier</v>
      </c>
    </row>
    <row r="102" spans="1:24" x14ac:dyDescent="0.15">
      <c r="A102">
        <v>101</v>
      </c>
      <c r="B102" t="s">
        <v>20</v>
      </c>
      <c r="C102" t="s">
        <v>20</v>
      </c>
      <c r="D102" t="s">
        <v>21</v>
      </c>
      <c r="E102">
        <v>25280</v>
      </c>
      <c r="F102">
        <v>158</v>
      </c>
      <c r="G102">
        <v>-54</v>
      </c>
      <c r="H102">
        <v>-35</v>
      </c>
      <c r="I102" t="s">
        <v>20</v>
      </c>
      <c r="J102">
        <v>1</v>
      </c>
      <c r="K102">
        <v>0</v>
      </c>
      <c r="L102">
        <v>1</v>
      </c>
      <c r="M102">
        <v>0</v>
      </c>
      <c r="N102">
        <v>0</v>
      </c>
      <c r="O102">
        <v>0</v>
      </c>
      <c r="P102">
        <v>0</v>
      </c>
      <c r="Q102">
        <v>0</v>
      </c>
      <c r="R102">
        <v>4000</v>
      </c>
      <c r="S102">
        <v>4000</v>
      </c>
      <c r="T102">
        <v>0</v>
      </c>
      <c r="U102" t="str">
        <f>IF(SeismicData[[#This Row],[class]]=1,"Dangerous","Safe")</f>
        <v>Safe</v>
      </c>
      <c r="V102" t="str">
        <f>IF(SeismicData[[#This Row],[shift]]="W","Production","Non-Production")</f>
        <v>Non-Production</v>
      </c>
      <c r="W102" t="str">
        <f>IF(SeismicData[[#This Row],[genergy]]=0,"0","10^"&amp;INT(LOG10(SeismicData[[#This Row],[genergy]])))</f>
        <v>10^4</v>
      </c>
      <c r="X102" t="str">
        <f>IF(OR(SeismicData[[#This Row],[genergy]]&lt;$AA$6,SeismicData[[#This Row],[genergy]]&gt;$AA$5),"Outlier","Normal")</f>
        <v>Normal</v>
      </c>
    </row>
    <row r="103" spans="1:24" x14ac:dyDescent="0.15">
      <c r="A103">
        <v>102</v>
      </c>
      <c r="B103" t="s">
        <v>20</v>
      </c>
      <c r="C103" t="s">
        <v>20</v>
      </c>
      <c r="D103" t="s">
        <v>22</v>
      </c>
      <c r="E103">
        <v>270040</v>
      </c>
      <c r="F103">
        <v>717</v>
      </c>
      <c r="G103">
        <v>10</v>
      </c>
      <c r="H103">
        <v>-14</v>
      </c>
      <c r="I103" t="s">
        <v>20</v>
      </c>
      <c r="J103">
        <v>2</v>
      </c>
      <c r="K103">
        <v>2</v>
      </c>
      <c r="L103">
        <v>0</v>
      </c>
      <c r="M103">
        <v>0</v>
      </c>
      <c r="N103">
        <v>0</v>
      </c>
      <c r="O103">
        <v>0</v>
      </c>
      <c r="P103">
        <v>0</v>
      </c>
      <c r="Q103">
        <v>0</v>
      </c>
      <c r="R103">
        <v>800</v>
      </c>
      <c r="S103">
        <v>500</v>
      </c>
      <c r="T103">
        <v>0</v>
      </c>
      <c r="U103" t="str">
        <f>IF(SeismicData[[#This Row],[class]]=1,"Dangerous","Safe")</f>
        <v>Safe</v>
      </c>
      <c r="V103" t="str">
        <f>IF(SeismicData[[#This Row],[shift]]="W","Production","Non-Production")</f>
        <v>Production</v>
      </c>
      <c r="W103" t="str">
        <f>IF(SeismicData[[#This Row],[genergy]]=0,"0","10^"&amp;INT(LOG10(SeismicData[[#This Row],[genergy]])))</f>
        <v>10^5</v>
      </c>
      <c r="X103" t="str">
        <f>IF(OR(SeismicData[[#This Row],[genergy]]&lt;$AA$6,SeismicData[[#This Row],[genergy]]&gt;$AA$5),"Outlier","Normal")</f>
        <v>Outlier</v>
      </c>
    </row>
    <row r="104" spans="1:24" x14ac:dyDescent="0.15">
      <c r="A104">
        <v>103</v>
      </c>
      <c r="B104" t="s">
        <v>20</v>
      </c>
      <c r="C104" t="s">
        <v>20</v>
      </c>
      <c r="D104" t="s">
        <v>21</v>
      </c>
      <c r="E104">
        <v>41120</v>
      </c>
      <c r="F104">
        <v>132</v>
      </c>
      <c r="G104">
        <v>-21</v>
      </c>
      <c r="H104">
        <v>-43</v>
      </c>
      <c r="I104" t="s">
        <v>20</v>
      </c>
      <c r="J104">
        <v>0</v>
      </c>
      <c r="K104">
        <v>0</v>
      </c>
      <c r="L104">
        <v>0</v>
      </c>
      <c r="M104">
        <v>0</v>
      </c>
      <c r="N104">
        <v>0</v>
      </c>
      <c r="O104">
        <v>0</v>
      </c>
      <c r="P104">
        <v>0</v>
      </c>
      <c r="Q104">
        <v>0</v>
      </c>
      <c r="R104">
        <v>0</v>
      </c>
      <c r="S104">
        <v>0</v>
      </c>
      <c r="T104">
        <v>0</v>
      </c>
      <c r="U104" t="str">
        <f>IF(SeismicData[[#This Row],[class]]=1,"Dangerous","Safe")</f>
        <v>Safe</v>
      </c>
      <c r="V104" t="str">
        <f>IF(SeismicData[[#This Row],[shift]]="W","Production","Non-Production")</f>
        <v>Non-Production</v>
      </c>
      <c r="W104" t="str">
        <f>IF(SeismicData[[#This Row],[genergy]]=0,"0","10^"&amp;INT(LOG10(SeismicData[[#This Row],[genergy]])))</f>
        <v>10^4</v>
      </c>
      <c r="X104" t="str">
        <f>IF(OR(SeismicData[[#This Row],[genergy]]&lt;$AA$6,SeismicData[[#This Row],[genergy]]&gt;$AA$5),"Outlier","Normal")</f>
        <v>Normal</v>
      </c>
    </row>
    <row r="105" spans="1:24" x14ac:dyDescent="0.15">
      <c r="A105">
        <v>104</v>
      </c>
      <c r="B105" t="s">
        <v>20</v>
      </c>
      <c r="C105" t="s">
        <v>20</v>
      </c>
      <c r="D105" t="s">
        <v>21</v>
      </c>
      <c r="E105">
        <v>22710</v>
      </c>
      <c r="F105">
        <v>68</v>
      </c>
      <c r="G105">
        <v>-57</v>
      </c>
      <c r="H105">
        <v>-70</v>
      </c>
      <c r="I105" t="s">
        <v>20</v>
      </c>
      <c r="J105">
        <v>0</v>
      </c>
      <c r="K105">
        <v>0</v>
      </c>
      <c r="L105">
        <v>0</v>
      </c>
      <c r="M105">
        <v>0</v>
      </c>
      <c r="N105">
        <v>0</v>
      </c>
      <c r="O105">
        <v>0</v>
      </c>
      <c r="P105">
        <v>0</v>
      </c>
      <c r="Q105">
        <v>0</v>
      </c>
      <c r="R105">
        <v>0</v>
      </c>
      <c r="S105">
        <v>0</v>
      </c>
      <c r="T105">
        <v>0</v>
      </c>
      <c r="U105" t="str">
        <f>IF(SeismicData[[#This Row],[class]]=1,"Dangerous","Safe")</f>
        <v>Safe</v>
      </c>
      <c r="V105" t="str">
        <f>IF(SeismicData[[#This Row],[shift]]="W","Production","Non-Production")</f>
        <v>Non-Production</v>
      </c>
      <c r="W105" t="str">
        <f>IF(SeismicData[[#This Row],[genergy]]=0,"0","10^"&amp;INT(LOG10(SeismicData[[#This Row],[genergy]])))</f>
        <v>10^4</v>
      </c>
      <c r="X105" t="str">
        <f>IF(OR(SeismicData[[#This Row],[genergy]]&lt;$AA$6,SeismicData[[#This Row],[genergy]]&gt;$AA$5),"Outlier","Normal")</f>
        <v>Normal</v>
      </c>
    </row>
    <row r="106" spans="1:24" x14ac:dyDescent="0.15">
      <c r="A106">
        <v>105</v>
      </c>
      <c r="B106" t="s">
        <v>20</v>
      </c>
      <c r="C106" t="s">
        <v>20</v>
      </c>
      <c r="D106" t="s">
        <v>21</v>
      </c>
      <c r="E106">
        <v>13160</v>
      </c>
      <c r="F106">
        <v>46</v>
      </c>
      <c r="G106">
        <v>-71</v>
      </c>
      <c r="H106">
        <v>-76</v>
      </c>
      <c r="I106" t="s">
        <v>20</v>
      </c>
      <c r="J106">
        <v>0</v>
      </c>
      <c r="K106">
        <v>0</v>
      </c>
      <c r="L106">
        <v>0</v>
      </c>
      <c r="M106">
        <v>0</v>
      </c>
      <c r="N106">
        <v>0</v>
      </c>
      <c r="O106">
        <v>0</v>
      </c>
      <c r="P106">
        <v>0</v>
      </c>
      <c r="Q106">
        <v>0</v>
      </c>
      <c r="R106">
        <v>0</v>
      </c>
      <c r="S106">
        <v>0</v>
      </c>
      <c r="T106">
        <v>0</v>
      </c>
      <c r="U106" t="str">
        <f>IF(SeismicData[[#This Row],[class]]=1,"Dangerous","Safe")</f>
        <v>Safe</v>
      </c>
      <c r="V106" t="str">
        <f>IF(SeismicData[[#This Row],[shift]]="W","Production","Non-Production")</f>
        <v>Non-Production</v>
      </c>
      <c r="W106" t="str">
        <f>IF(SeismicData[[#This Row],[genergy]]=0,"0","10^"&amp;INT(LOG10(SeismicData[[#This Row],[genergy]])))</f>
        <v>10^4</v>
      </c>
      <c r="X106" t="str">
        <f>IF(OR(SeismicData[[#This Row],[genergy]]&lt;$AA$6,SeismicData[[#This Row],[genergy]]&gt;$AA$5),"Outlier","Normal")</f>
        <v>Normal</v>
      </c>
    </row>
    <row r="107" spans="1:24" x14ac:dyDescent="0.15">
      <c r="A107">
        <v>106</v>
      </c>
      <c r="B107" t="s">
        <v>20</v>
      </c>
      <c r="C107" t="s">
        <v>20</v>
      </c>
      <c r="D107" t="s">
        <v>21</v>
      </c>
      <c r="E107">
        <v>19500</v>
      </c>
      <c r="F107">
        <v>80</v>
      </c>
      <c r="G107">
        <v>-51</v>
      </c>
      <c r="H107">
        <v>-51</v>
      </c>
      <c r="I107" t="s">
        <v>20</v>
      </c>
      <c r="J107">
        <v>1</v>
      </c>
      <c r="K107">
        <v>0</v>
      </c>
      <c r="L107">
        <v>1</v>
      </c>
      <c r="M107">
        <v>0</v>
      </c>
      <c r="N107">
        <v>0</v>
      </c>
      <c r="O107">
        <v>0</v>
      </c>
      <c r="P107">
        <v>0</v>
      </c>
      <c r="Q107">
        <v>0</v>
      </c>
      <c r="R107">
        <v>4000</v>
      </c>
      <c r="S107">
        <v>4000</v>
      </c>
      <c r="T107">
        <v>0</v>
      </c>
      <c r="U107" t="str">
        <f>IF(SeismicData[[#This Row],[class]]=1,"Dangerous","Safe")</f>
        <v>Safe</v>
      </c>
      <c r="V107" t="str">
        <f>IF(SeismicData[[#This Row],[shift]]="W","Production","Non-Production")</f>
        <v>Non-Production</v>
      </c>
      <c r="W107" t="str">
        <f>IF(SeismicData[[#This Row],[genergy]]=0,"0","10^"&amp;INT(LOG10(SeismicData[[#This Row],[genergy]])))</f>
        <v>10^4</v>
      </c>
      <c r="X107" t="str">
        <f>IF(OR(SeismicData[[#This Row],[genergy]]&lt;$AA$6,SeismicData[[#This Row],[genergy]]&gt;$AA$5),"Outlier","Normal")</f>
        <v>Normal</v>
      </c>
    </row>
    <row r="108" spans="1:24" x14ac:dyDescent="0.15">
      <c r="A108">
        <v>107</v>
      </c>
      <c r="B108" t="s">
        <v>20</v>
      </c>
      <c r="C108" t="s">
        <v>20</v>
      </c>
      <c r="D108" t="s">
        <v>21</v>
      </c>
      <c r="E108">
        <v>12970</v>
      </c>
      <c r="F108">
        <v>53</v>
      </c>
      <c r="G108">
        <v>-65</v>
      </c>
      <c r="H108">
        <v>-64</v>
      </c>
      <c r="I108" t="s">
        <v>20</v>
      </c>
      <c r="J108">
        <v>0</v>
      </c>
      <c r="K108">
        <v>0</v>
      </c>
      <c r="L108">
        <v>0</v>
      </c>
      <c r="M108">
        <v>0</v>
      </c>
      <c r="N108">
        <v>0</v>
      </c>
      <c r="O108">
        <v>0</v>
      </c>
      <c r="P108">
        <v>0</v>
      </c>
      <c r="Q108">
        <v>0</v>
      </c>
      <c r="R108">
        <v>0</v>
      </c>
      <c r="S108">
        <v>0</v>
      </c>
      <c r="T108">
        <v>0</v>
      </c>
      <c r="U108" t="str">
        <f>IF(SeismicData[[#This Row],[class]]=1,"Dangerous","Safe")</f>
        <v>Safe</v>
      </c>
      <c r="V108" t="str">
        <f>IF(SeismicData[[#This Row],[shift]]="W","Production","Non-Production")</f>
        <v>Non-Production</v>
      </c>
      <c r="W108" t="str">
        <f>IF(SeismicData[[#This Row],[genergy]]=0,"0","10^"&amp;INT(LOG10(SeismicData[[#This Row],[genergy]])))</f>
        <v>10^4</v>
      </c>
      <c r="X108" t="str">
        <f>IF(OR(SeismicData[[#This Row],[genergy]]&lt;$AA$6,SeismicData[[#This Row],[genergy]]&gt;$AA$5),"Outlier","Normal")</f>
        <v>Normal</v>
      </c>
    </row>
    <row r="109" spans="1:24" x14ac:dyDescent="0.15">
      <c r="A109">
        <v>108</v>
      </c>
      <c r="B109" t="s">
        <v>20</v>
      </c>
      <c r="C109" t="s">
        <v>20</v>
      </c>
      <c r="D109" t="s">
        <v>22</v>
      </c>
      <c r="E109">
        <v>166700</v>
      </c>
      <c r="F109">
        <v>363</v>
      </c>
      <c r="G109">
        <v>-34</v>
      </c>
      <c r="H109">
        <v>-56</v>
      </c>
      <c r="I109" t="s">
        <v>20</v>
      </c>
      <c r="J109">
        <v>0</v>
      </c>
      <c r="K109">
        <v>0</v>
      </c>
      <c r="L109">
        <v>0</v>
      </c>
      <c r="M109">
        <v>0</v>
      </c>
      <c r="N109">
        <v>0</v>
      </c>
      <c r="O109">
        <v>0</v>
      </c>
      <c r="P109">
        <v>0</v>
      </c>
      <c r="Q109">
        <v>0</v>
      </c>
      <c r="R109">
        <v>0</v>
      </c>
      <c r="S109">
        <v>0</v>
      </c>
      <c r="T109">
        <v>0</v>
      </c>
      <c r="U109" t="str">
        <f>IF(SeismicData[[#This Row],[class]]=1,"Dangerous","Safe")</f>
        <v>Safe</v>
      </c>
      <c r="V109" t="str">
        <f>IF(SeismicData[[#This Row],[shift]]="W","Production","Non-Production")</f>
        <v>Production</v>
      </c>
      <c r="W109" t="str">
        <f>IF(SeismicData[[#This Row],[genergy]]=0,"0","10^"&amp;INT(LOG10(SeismicData[[#This Row],[genergy]])))</f>
        <v>10^5</v>
      </c>
      <c r="X109" t="str">
        <f>IF(OR(SeismicData[[#This Row],[genergy]]&lt;$AA$6,SeismicData[[#This Row],[genergy]]&gt;$AA$5),"Outlier","Normal")</f>
        <v>Outlier</v>
      </c>
    </row>
    <row r="110" spans="1:24" x14ac:dyDescent="0.15">
      <c r="A110">
        <v>109</v>
      </c>
      <c r="B110" t="s">
        <v>20</v>
      </c>
      <c r="C110" t="s">
        <v>20</v>
      </c>
      <c r="D110" t="s">
        <v>22</v>
      </c>
      <c r="E110">
        <v>274170</v>
      </c>
      <c r="F110">
        <v>997</v>
      </c>
      <c r="G110">
        <v>15</v>
      </c>
      <c r="H110">
        <v>34</v>
      </c>
      <c r="I110" t="s">
        <v>20</v>
      </c>
      <c r="J110">
        <v>0</v>
      </c>
      <c r="K110">
        <v>0</v>
      </c>
      <c r="L110">
        <v>0</v>
      </c>
      <c r="M110">
        <v>0</v>
      </c>
      <c r="N110">
        <v>0</v>
      </c>
      <c r="O110">
        <v>0</v>
      </c>
      <c r="P110">
        <v>0</v>
      </c>
      <c r="Q110">
        <v>0</v>
      </c>
      <c r="R110">
        <v>0</v>
      </c>
      <c r="S110">
        <v>0</v>
      </c>
      <c r="T110">
        <v>0</v>
      </c>
      <c r="U110" t="str">
        <f>IF(SeismicData[[#This Row],[class]]=1,"Dangerous","Safe")</f>
        <v>Safe</v>
      </c>
      <c r="V110" t="str">
        <f>IF(SeismicData[[#This Row],[shift]]="W","Production","Non-Production")</f>
        <v>Production</v>
      </c>
      <c r="W110" t="str">
        <f>IF(SeismicData[[#This Row],[genergy]]=0,"0","10^"&amp;INT(LOG10(SeismicData[[#This Row],[genergy]])))</f>
        <v>10^5</v>
      </c>
      <c r="X110" t="str">
        <f>IF(OR(SeismicData[[#This Row],[genergy]]&lt;$AA$6,SeismicData[[#This Row],[genergy]]&gt;$AA$5),"Outlier","Normal")</f>
        <v>Outlier</v>
      </c>
    </row>
    <row r="111" spans="1:24" x14ac:dyDescent="0.15">
      <c r="A111">
        <v>110</v>
      </c>
      <c r="B111" t="s">
        <v>20</v>
      </c>
      <c r="C111" t="s">
        <v>23</v>
      </c>
      <c r="D111" t="s">
        <v>21</v>
      </c>
      <c r="E111">
        <v>56120</v>
      </c>
      <c r="F111">
        <v>222</v>
      </c>
      <c r="G111">
        <v>100</v>
      </c>
      <c r="H111">
        <v>89</v>
      </c>
      <c r="I111" t="s">
        <v>20</v>
      </c>
      <c r="J111">
        <v>1</v>
      </c>
      <c r="K111">
        <v>0</v>
      </c>
      <c r="L111">
        <v>1</v>
      </c>
      <c r="M111">
        <v>0</v>
      </c>
      <c r="N111">
        <v>0</v>
      </c>
      <c r="O111">
        <v>0</v>
      </c>
      <c r="P111">
        <v>0</v>
      </c>
      <c r="Q111">
        <v>0</v>
      </c>
      <c r="R111">
        <v>5000</v>
      </c>
      <c r="S111">
        <v>5000</v>
      </c>
      <c r="T111">
        <v>0</v>
      </c>
      <c r="U111" t="str">
        <f>IF(SeismicData[[#This Row],[class]]=1,"Dangerous","Safe")</f>
        <v>Safe</v>
      </c>
      <c r="V111" t="str">
        <f>IF(SeismicData[[#This Row],[shift]]="W","Production","Non-Production")</f>
        <v>Non-Production</v>
      </c>
      <c r="W111" t="str">
        <f>IF(SeismicData[[#This Row],[genergy]]=0,"0","10^"&amp;INT(LOG10(SeismicData[[#This Row],[genergy]])))</f>
        <v>10^4</v>
      </c>
      <c r="X111" t="str">
        <f>IF(OR(SeismicData[[#This Row],[genergy]]&lt;$AA$6,SeismicData[[#This Row],[genergy]]&gt;$AA$5),"Outlier","Normal")</f>
        <v>Normal</v>
      </c>
    </row>
    <row r="112" spans="1:24" x14ac:dyDescent="0.15">
      <c r="A112">
        <v>111</v>
      </c>
      <c r="B112" t="s">
        <v>20</v>
      </c>
      <c r="C112" t="s">
        <v>23</v>
      </c>
      <c r="D112" t="s">
        <v>22</v>
      </c>
      <c r="E112">
        <v>226790</v>
      </c>
      <c r="F112">
        <v>717</v>
      </c>
      <c r="G112">
        <v>2</v>
      </c>
      <c r="H112">
        <v>0</v>
      </c>
      <c r="I112" t="s">
        <v>20</v>
      </c>
      <c r="J112">
        <v>0</v>
      </c>
      <c r="K112">
        <v>0</v>
      </c>
      <c r="L112">
        <v>0</v>
      </c>
      <c r="M112">
        <v>0</v>
      </c>
      <c r="N112">
        <v>0</v>
      </c>
      <c r="O112">
        <v>0</v>
      </c>
      <c r="P112">
        <v>0</v>
      </c>
      <c r="Q112">
        <v>0</v>
      </c>
      <c r="R112">
        <v>0</v>
      </c>
      <c r="S112">
        <v>0</v>
      </c>
      <c r="T112">
        <v>0</v>
      </c>
      <c r="U112" t="str">
        <f>IF(SeismicData[[#This Row],[class]]=1,"Dangerous","Safe")</f>
        <v>Safe</v>
      </c>
      <c r="V112" t="str">
        <f>IF(SeismicData[[#This Row],[shift]]="W","Production","Non-Production")</f>
        <v>Production</v>
      </c>
      <c r="W112" t="str">
        <f>IF(SeismicData[[#This Row],[genergy]]=0,"0","10^"&amp;INT(LOG10(SeismicData[[#This Row],[genergy]])))</f>
        <v>10^5</v>
      </c>
      <c r="X112" t="str">
        <f>IF(OR(SeismicData[[#This Row],[genergy]]&lt;$AA$6,SeismicData[[#This Row],[genergy]]&gt;$AA$5),"Outlier","Normal")</f>
        <v>Outlier</v>
      </c>
    </row>
    <row r="113" spans="1:24" x14ac:dyDescent="0.15">
      <c r="A113">
        <v>112</v>
      </c>
      <c r="B113" t="s">
        <v>20</v>
      </c>
      <c r="C113" t="s">
        <v>23</v>
      </c>
      <c r="D113" t="s">
        <v>22</v>
      </c>
      <c r="E113">
        <v>134640</v>
      </c>
      <c r="F113">
        <v>611</v>
      </c>
      <c r="G113">
        <v>-41</v>
      </c>
      <c r="H113">
        <v>-16</v>
      </c>
      <c r="I113" t="s">
        <v>20</v>
      </c>
      <c r="J113">
        <v>0</v>
      </c>
      <c r="K113">
        <v>0</v>
      </c>
      <c r="L113">
        <v>0</v>
      </c>
      <c r="M113">
        <v>0</v>
      </c>
      <c r="N113">
        <v>0</v>
      </c>
      <c r="O113">
        <v>0</v>
      </c>
      <c r="P113">
        <v>0</v>
      </c>
      <c r="Q113">
        <v>0</v>
      </c>
      <c r="R113">
        <v>0</v>
      </c>
      <c r="S113">
        <v>0</v>
      </c>
      <c r="T113">
        <v>0</v>
      </c>
      <c r="U113" t="str">
        <f>IF(SeismicData[[#This Row],[class]]=1,"Dangerous","Safe")</f>
        <v>Safe</v>
      </c>
      <c r="V113" t="str">
        <f>IF(SeismicData[[#This Row],[shift]]="W","Production","Non-Production")</f>
        <v>Production</v>
      </c>
      <c r="W113" t="str">
        <f>IF(SeismicData[[#This Row],[genergy]]=0,"0","10^"&amp;INT(LOG10(SeismicData[[#This Row],[genergy]])))</f>
        <v>10^5</v>
      </c>
      <c r="X113" t="str">
        <f>IF(OR(SeismicData[[#This Row],[genergy]]&lt;$AA$6,SeismicData[[#This Row],[genergy]]&gt;$AA$5),"Outlier","Normal")</f>
        <v>Outlier</v>
      </c>
    </row>
    <row r="114" spans="1:24" x14ac:dyDescent="0.15">
      <c r="A114">
        <v>113</v>
      </c>
      <c r="B114" t="s">
        <v>20</v>
      </c>
      <c r="C114" t="s">
        <v>23</v>
      </c>
      <c r="D114" t="s">
        <v>21</v>
      </c>
      <c r="E114">
        <v>49910</v>
      </c>
      <c r="F114">
        <v>208</v>
      </c>
      <c r="G114">
        <v>61</v>
      </c>
      <c r="H114">
        <v>61</v>
      </c>
      <c r="I114" t="s">
        <v>20</v>
      </c>
      <c r="J114">
        <v>1</v>
      </c>
      <c r="K114">
        <v>0</v>
      </c>
      <c r="L114">
        <v>1</v>
      </c>
      <c r="M114">
        <v>0</v>
      </c>
      <c r="N114">
        <v>0</v>
      </c>
      <c r="O114">
        <v>0</v>
      </c>
      <c r="P114">
        <v>0</v>
      </c>
      <c r="Q114">
        <v>0</v>
      </c>
      <c r="R114">
        <v>3000</v>
      </c>
      <c r="S114">
        <v>3000</v>
      </c>
      <c r="T114">
        <v>0</v>
      </c>
      <c r="U114" t="str">
        <f>IF(SeismicData[[#This Row],[class]]=1,"Dangerous","Safe")</f>
        <v>Safe</v>
      </c>
      <c r="V114" t="str">
        <f>IF(SeismicData[[#This Row],[shift]]="W","Production","Non-Production")</f>
        <v>Non-Production</v>
      </c>
      <c r="W114" t="str">
        <f>IF(SeismicData[[#This Row],[genergy]]=0,"0","10^"&amp;INT(LOG10(SeismicData[[#This Row],[genergy]])))</f>
        <v>10^4</v>
      </c>
      <c r="X114" t="str">
        <f>IF(OR(SeismicData[[#This Row],[genergy]]&lt;$AA$6,SeismicData[[#This Row],[genergy]]&gt;$AA$5),"Outlier","Normal")</f>
        <v>Normal</v>
      </c>
    </row>
    <row r="115" spans="1:24" x14ac:dyDescent="0.15">
      <c r="A115">
        <v>114</v>
      </c>
      <c r="B115" t="s">
        <v>20</v>
      </c>
      <c r="C115" t="s">
        <v>23</v>
      </c>
      <c r="D115" t="s">
        <v>22</v>
      </c>
      <c r="E115">
        <v>328050</v>
      </c>
      <c r="F115">
        <v>707</v>
      </c>
      <c r="G115">
        <v>51</v>
      </c>
      <c r="H115">
        <v>0</v>
      </c>
      <c r="I115" t="s">
        <v>20</v>
      </c>
      <c r="J115">
        <v>1</v>
      </c>
      <c r="K115">
        <v>1</v>
      </c>
      <c r="L115">
        <v>0</v>
      </c>
      <c r="M115">
        <v>0</v>
      </c>
      <c r="N115">
        <v>0</v>
      </c>
      <c r="O115">
        <v>0</v>
      </c>
      <c r="P115">
        <v>0</v>
      </c>
      <c r="Q115">
        <v>0</v>
      </c>
      <c r="R115">
        <v>200</v>
      </c>
      <c r="S115">
        <v>200</v>
      </c>
      <c r="T115">
        <v>0</v>
      </c>
      <c r="U115" t="str">
        <f>IF(SeismicData[[#This Row],[class]]=1,"Dangerous","Safe")</f>
        <v>Safe</v>
      </c>
      <c r="V115" t="str">
        <f>IF(SeismicData[[#This Row],[shift]]="W","Production","Non-Production")</f>
        <v>Production</v>
      </c>
      <c r="W115" t="str">
        <f>IF(SeismicData[[#This Row],[genergy]]=0,"0","10^"&amp;INT(LOG10(SeismicData[[#This Row],[genergy]])))</f>
        <v>10^5</v>
      </c>
      <c r="X115" t="str">
        <f>IF(OR(SeismicData[[#This Row],[genergy]]&lt;$AA$6,SeismicData[[#This Row],[genergy]]&gt;$AA$5),"Outlier","Normal")</f>
        <v>Outlier</v>
      </c>
    </row>
    <row r="116" spans="1:24" x14ac:dyDescent="0.15">
      <c r="A116">
        <v>115</v>
      </c>
      <c r="B116" t="s">
        <v>20</v>
      </c>
      <c r="C116" t="s">
        <v>23</v>
      </c>
      <c r="D116" t="s">
        <v>22</v>
      </c>
      <c r="E116">
        <v>140090</v>
      </c>
      <c r="F116">
        <v>380</v>
      </c>
      <c r="G116">
        <v>-40</v>
      </c>
      <c r="H116">
        <v>-46</v>
      </c>
      <c r="I116" t="s">
        <v>20</v>
      </c>
      <c r="J116">
        <v>0</v>
      </c>
      <c r="K116">
        <v>0</v>
      </c>
      <c r="L116">
        <v>0</v>
      </c>
      <c r="M116">
        <v>0</v>
      </c>
      <c r="N116">
        <v>0</v>
      </c>
      <c r="O116">
        <v>0</v>
      </c>
      <c r="P116">
        <v>0</v>
      </c>
      <c r="Q116">
        <v>0</v>
      </c>
      <c r="R116">
        <v>0</v>
      </c>
      <c r="S116">
        <v>0</v>
      </c>
      <c r="T116">
        <v>0</v>
      </c>
      <c r="U116" t="str">
        <f>IF(SeismicData[[#This Row],[class]]=1,"Dangerous","Safe")</f>
        <v>Safe</v>
      </c>
      <c r="V116" t="str">
        <f>IF(SeismicData[[#This Row],[shift]]="W","Production","Non-Production")</f>
        <v>Production</v>
      </c>
      <c r="W116" t="str">
        <f>IF(SeismicData[[#This Row],[genergy]]=0,"0","10^"&amp;INT(LOG10(SeismicData[[#This Row],[genergy]])))</f>
        <v>10^5</v>
      </c>
      <c r="X116" t="str">
        <f>IF(OR(SeismicData[[#This Row],[genergy]]&lt;$AA$6,SeismicData[[#This Row],[genergy]]&gt;$AA$5),"Outlier","Normal")</f>
        <v>Outlier</v>
      </c>
    </row>
    <row r="117" spans="1:24" x14ac:dyDescent="0.15">
      <c r="A117">
        <v>116</v>
      </c>
      <c r="B117" t="s">
        <v>20</v>
      </c>
      <c r="C117" t="s">
        <v>20</v>
      </c>
      <c r="D117" t="s">
        <v>21</v>
      </c>
      <c r="E117">
        <v>42820</v>
      </c>
      <c r="F117">
        <v>150</v>
      </c>
      <c r="G117">
        <v>28</v>
      </c>
      <c r="H117">
        <v>9</v>
      </c>
      <c r="I117" t="s">
        <v>20</v>
      </c>
      <c r="J117">
        <v>1</v>
      </c>
      <c r="K117">
        <v>0</v>
      </c>
      <c r="L117">
        <v>1</v>
      </c>
      <c r="M117">
        <v>0</v>
      </c>
      <c r="N117">
        <v>0</v>
      </c>
      <c r="O117">
        <v>0</v>
      </c>
      <c r="P117">
        <v>0</v>
      </c>
      <c r="Q117">
        <v>0</v>
      </c>
      <c r="R117">
        <v>3000</v>
      </c>
      <c r="S117">
        <v>3000</v>
      </c>
      <c r="T117">
        <v>0</v>
      </c>
      <c r="U117" t="str">
        <f>IF(SeismicData[[#This Row],[class]]=1,"Dangerous","Safe")</f>
        <v>Safe</v>
      </c>
      <c r="V117" t="str">
        <f>IF(SeismicData[[#This Row],[shift]]="W","Production","Non-Production")</f>
        <v>Non-Production</v>
      </c>
      <c r="W117" t="str">
        <f>IF(SeismicData[[#This Row],[genergy]]=0,"0","10^"&amp;INT(LOG10(SeismicData[[#This Row],[genergy]])))</f>
        <v>10^4</v>
      </c>
      <c r="X117" t="str">
        <f>IF(OR(SeismicData[[#This Row],[genergy]]&lt;$AA$6,SeismicData[[#This Row],[genergy]]&gt;$AA$5),"Outlier","Normal")</f>
        <v>Normal</v>
      </c>
    </row>
    <row r="118" spans="1:24" x14ac:dyDescent="0.15">
      <c r="A118">
        <v>117</v>
      </c>
      <c r="B118" t="s">
        <v>20</v>
      </c>
      <c r="C118" t="s">
        <v>20</v>
      </c>
      <c r="D118" t="s">
        <v>22</v>
      </c>
      <c r="E118">
        <v>157740</v>
      </c>
      <c r="F118">
        <v>440</v>
      </c>
      <c r="G118">
        <v>-31</v>
      </c>
      <c r="H118">
        <v>-35</v>
      </c>
      <c r="I118" t="s">
        <v>20</v>
      </c>
      <c r="J118">
        <v>0</v>
      </c>
      <c r="K118">
        <v>0</v>
      </c>
      <c r="L118">
        <v>0</v>
      </c>
      <c r="M118">
        <v>0</v>
      </c>
      <c r="N118">
        <v>0</v>
      </c>
      <c r="O118">
        <v>0</v>
      </c>
      <c r="P118">
        <v>0</v>
      </c>
      <c r="Q118">
        <v>0</v>
      </c>
      <c r="R118">
        <v>0</v>
      </c>
      <c r="S118">
        <v>0</v>
      </c>
      <c r="T118">
        <v>0</v>
      </c>
      <c r="U118" t="str">
        <f>IF(SeismicData[[#This Row],[class]]=1,"Dangerous","Safe")</f>
        <v>Safe</v>
      </c>
      <c r="V118" t="str">
        <f>IF(SeismicData[[#This Row],[shift]]="W","Production","Non-Production")</f>
        <v>Production</v>
      </c>
      <c r="W118" t="str">
        <f>IF(SeismicData[[#This Row],[genergy]]=0,"0","10^"&amp;INT(LOG10(SeismicData[[#This Row],[genergy]])))</f>
        <v>10^5</v>
      </c>
      <c r="X118" t="str">
        <f>IF(OR(SeismicData[[#This Row],[genergy]]&lt;$AA$6,SeismicData[[#This Row],[genergy]]&gt;$AA$5),"Outlier","Normal")</f>
        <v>Outlier</v>
      </c>
    </row>
    <row r="119" spans="1:24" x14ac:dyDescent="0.15">
      <c r="A119">
        <v>118</v>
      </c>
      <c r="B119" t="s">
        <v>20</v>
      </c>
      <c r="C119" t="s">
        <v>20</v>
      </c>
      <c r="D119" t="s">
        <v>22</v>
      </c>
      <c r="E119">
        <v>325750</v>
      </c>
      <c r="F119">
        <v>1068</v>
      </c>
      <c r="G119">
        <v>50</v>
      </c>
      <c r="H119">
        <v>67</v>
      </c>
      <c r="I119" t="s">
        <v>20</v>
      </c>
      <c r="J119">
        <v>1</v>
      </c>
      <c r="K119">
        <v>0</v>
      </c>
      <c r="L119">
        <v>1</v>
      </c>
      <c r="M119">
        <v>0</v>
      </c>
      <c r="N119">
        <v>0</v>
      </c>
      <c r="O119">
        <v>0</v>
      </c>
      <c r="P119">
        <v>0</v>
      </c>
      <c r="Q119">
        <v>0</v>
      </c>
      <c r="R119">
        <v>3000</v>
      </c>
      <c r="S119">
        <v>3000</v>
      </c>
      <c r="T119">
        <v>0</v>
      </c>
      <c r="U119" t="str">
        <f>IF(SeismicData[[#This Row],[class]]=1,"Dangerous","Safe")</f>
        <v>Safe</v>
      </c>
      <c r="V119" t="str">
        <f>IF(SeismicData[[#This Row],[shift]]="W","Production","Non-Production")</f>
        <v>Production</v>
      </c>
      <c r="W119" t="str">
        <f>IF(SeismicData[[#This Row],[genergy]]=0,"0","10^"&amp;INT(LOG10(SeismicData[[#This Row],[genergy]])))</f>
        <v>10^5</v>
      </c>
      <c r="X119" t="str">
        <f>IF(OR(SeismicData[[#This Row],[genergy]]&lt;$AA$6,SeismicData[[#This Row],[genergy]]&gt;$AA$5),"Outlier","Normal")</f>
        <v>Outlier</v>
      </c>
    </row>
    <row r="120" spans="1:24" x14ac:dyDescent="0.15">
      <c r="A120">
        <v>119</v>
      </c>
      <c r="B120" t="s">
        <v>20</v>
      </c>
      <c r="C120" t="s">
        <v>20</v>
      </c>
      <c r="D120" t="s">
        <v>22</v>
      </c>
      <c r="E120">
        <v>300520</v>
      </c>
      <c r="F120">
        <v>894</v>
      </c>
      <c r="G120">
        <v>37</v>
      </c>
      <c r="H120">
        <v>37</v>
      </c>
      <c r="I120" t="s">
        <v>20</v>
      </c>
      <c r="J120">
        <v>0</v>
      </c>
      <c r="K120">
        <v>0</v>
      </c>
      <c r="L120">
        <v>0</v>
      </c>
      <c r="M120">
        <v>0</v>
      </c>
      <c r="N120">
        <v>0</v>
      </c>
      <c r="O120">
        <v>0</v>
      </c>
      <c r="P120">
        <v>0</v>
      </c>
      <c r="Q120">
        <v>0</v>
      </c>
      <c r="R120">
        <v>0</v>
      </c>
      <c r="S120">
        <v>0</v>
      </c>
      <c r="T120">
        <v>0</v>
      </c>
      <c r="U120" t="str">
        <f>IF(SeismicData[[#This Row],[class]]=1,"Dangerous","Safe")</f>
        <v>Safe</v>
      </c>
      <c r="V120" t="str">
        <f>IF(SeismicData[[#This Row],[shift]]="W","Production","Non-Production")</f>
        <v>Production</v>
      </c>
      <c r="W120" t="str">
        <f>IF(SeismicData[[#This Row],[genergy]]=0,"0","10^"&amp;INT(LOG10(SeismicData[[#This Row],[genergy]])))</f>
        <v>10^5</v>
      </c>
      <c r="X120" t="str">
        <f>IF(OR(SeismicData[[#This Row],[genergy]]&lt;$AA$6,SeismicData[[#This Row],[genergy]]&gt;$AA$5),"Outlier","Normal")</f>
        <v>Outlier</v>
      </c>
    </row>
    <row r="121" spans="1:24" x14ac:dyDescent="0.15">
      <c r="A121">
        <v>120</v>
      </c>
      <c r="B121" t="s">
        <v>20</v>
      </c>
      <c r="C121" t="s">
        <v>20</v>
      </c>
      <c r="D121" t="s">
        <v>22</v>
      </c>
      <c r="E121">
        <v>465730</v>
      </c>
      <c r="F121">
        <v>1325</v>
      </c>
      <c r="G121">
        <v>-7</v>
      </c>
      <c r="H121">
        <v>-12</v>
      </c>
      <c r="I121" t="s">
        <v>20</v>
      </c>
      <c r="J121">
        <v>1</v>
      </c>
      <c r="K121">
        <v>0</v>
      </c>
      <c r="L121">
        <v>1</v>
      </c>
      <c r="M121">
        <v>0</v>
      </c>
      <c r="N121">
        <v>0</v>
      </c>
      <c r="O121">
        <v>0</v>
      </c>
      <c r="P121">
        <v>0</v>
      </c>
      <c r="Q121">
        <v>0</v>
      </c>
      <c r="R121">
        <v>4000</v>
      </c>
      <c r="S121">
        <v>4000</v>
      </c>
      <c r="T121">
        <v>0</v>
      </c>
      <c r="U121" t="str">
        <f>IF(SeismicData[[#This Row],[class]]=1,"Dangerous","Safe")</f>
        <v>Safe</v>
      </c>
      <c r="V121" t="str">
        <f>IF(SeismicData[[#This Row],[shift]]="W","Production","Non-Production")</f>
        <v>Production</v>
      </c>
      <c r="W121" t="str">
        <f>IF(SeismicData[[#This Row],[genergy]]=0,"0","10^"&amp;INT(LOG10(SeismicData[[#This Row],[genergy]])))</f>
        <v>10^5</v>
      </c>
      <c r="X121" t="str">
        <f>IF(OR(SeismicData[[#This Row],[genergy]]&lt;$AA$6,SeismicData[[#This Row],[genergy]]&gt;$AA$5),"Outlier","Normal")</f>
        <v>Outlier</v>
      </c>
    </row>
    <row r="122" spans="1:24" x14ac:dyDescent="0.15">
      <c r="A122">
        <v>121</v>
      </c>
      <c r="B122" t="s">
        <v>20</v>
      </c>
      <c r="C122" t="s">
        <v>20</v>
      </c>
      <c r="D122" t="s">
        <v>22</v>
      </c>
      <c r="E122">
        <v>336600</v>
      </c>
      <c r="F122">
        <v>984</v>
      </c>
      <c r="G122">
        <v>-32</v>
      </c>
      <c r="H122">
        <v>-34</v>
      </c>
      <c r="I122" t="s">
        <v>20</v>
      </c>
      <c r="J122">
        <v>1</v>
      </c>
      <c r="K122">
        <v>0</v>
      </c>
      <c r="L122">
        <v>1</v>
      </c>
      <c r="M122">
        <v>0</v>
      </c>
      <c r="N122">
        <v>0</v>
      </c>
      <c r="O122">
        <v>0</v>
      </c>
      <c r="P122">
        <v>0</v>
      </c>
      <c r="Q122">
        <v>0</v>
      </c>
      <c r="R122">
        <v>4000</v>
      </c>
      <c r="S122">
        <v>4000</v>
      </c>
      <c r="T122">
        <v>0</v>
      </c>
      <c r="U122" t="str">
        <f>IF(SeismicData[[#This Row],[class]]=1,"Dangerous","Safe")</f>
        <v>Safe</v>
      </c>
      <c r="V122" t="str">
        <f>IF(SeismicData[[#This Row],[shift]]="W","Production","Non-Production")</f>
        <v>Production</v>
      </c>
      <c r="W122" t="str">
        <f>IF(SeismicData[[#This Row],[genergy]]=0,"0","10^"&amp;INT(LOG10(SeismicData[[#This Row],[genergy]])))</f>
        <v>10^5</v>
      </c>
      <c r="X122" t="str">
        <f>IF(OR(SeismicData[[#This Row],[genergy]]&lt;$AA$6,SeismicData[[#This Row],[genergy]]&gt;$AA$5),"Outlier","Normal")</f>
        <v>Outlier</v>
      </c>
    </row>
    <row r="123" spans="1:24" x14ac:dyDescent="0.15">
      <c r="A123">
        <v>122</v>
      </c>
      <c r="B123" t="s">
        <v>20</v>
      </c>
      <c r="C123" t="s">
        <v>20</v>
      </c>
      <c r="D123" t="s">
        <v>21</v>
      </c>
      <c r="E123">
        <v>112300</v>
      </c>
      <c r="F123">
        <v>263</v>
      </c>
      <c r="G123">
        <v>-55</v>
      </c>
      <c r="H123">
        <v>-65</v>
      </c>
      <c r="I123" t="s">
        <v>20</v>
      </c>
      <c r="J123">
        <v>0</v>
      </c>
      <c r="K123">
        <v>0</v>
      </c>
      <c r="L123">
        <v>0</v>
      </c>
      <c r="M123">
        <v>0</v>
      </c>
      <c r="N123">
        <v>0</v>
      </c>
      <c r="O123">
        <v>0</v>
      </c>
      <c r="P123">
        <v>0</v>
      </c>
      <c r="Q123">
        <v>0</v>
      </c>
      <c r="R123">
        <v>0</v>
      </c>
      <c r="S123">
        <v>0</v>
      </c>
      <c r="T123">
        <v>0</v>
      </c>
      <c r="U123" t="str">
        <f>IF(SeismicData[[#This Row],[class]]=1,"Dangerous","Safe")</f>
        <v>Safe</v>
      </c>
      <c r="V123" t="str">
        <f>IF(SeismicData[[#This Row],[shift]]="W","Production","Non-Production")</f>
        <v>Non-Production</v>
      </c>
      <c r="W123" t="str">
        <f>IF(SeismicData[[#This Row],[genergy]]=0,"0","10^"&amp;INT(LOG10(SeismicData[[#This Row],[genergy]])))</f>
        <v>10^5</v>
      </c>
      <c r="X123" t="str">
        <f>IF(OR(SeismicData[[#This Row],[genergy]]&lt;$AA$6,SeismicData[[#This Row],[genergy]]&gt;$AA$5),"Outlier","Normal")</f>
        <v>Normal</v>
      </c>
    </row>
    <row r="124" spans="1:24" x14ac:dyDescent="0.15">
      <c r="A124">
        <v>123</v>
      </c>
      <c r="B124" t="s">
        <v>20</v>
      </c>
      <c r="C124" t="s">
        <v>20</v>
      </c>
      <c r="D124" t="s">
        <v>22</v>
      </c>
      <c r="E124">
        <v>951410</v>
      </c>
      <c r="F124">
        <v>1332</v>
      </c>
      <c r="G124">
        <v>98</v>
      </c>
      <c r="H124">
        <v>-7</v>
      </c>
      <c r="I124" t="s">
        <v>20</v>
      </c>
      <c r="J124">
        <v>0</v>
      </c>
      <c r="K124">
        <v>0</v>
      </c>
      <c r="L124">
        <v>0</v>
      </c>
      <c r="M124">
        <v>0</v>
      </c>
      <c r="N124">
        <v>0</v>
      </c>
      <c r="O124">
        <v>0</v>
      </c>
      <c r="P124">
        <v>0</v>
      </c>
      <c r="Q124">
        <v>0</v>
      </c>
      <c r="R124">
        <v>0</v>
      </c>
      <c r="S124">
        <v>0</v>
      </c>
      <c r="T124">
        <v>0</v>
      </c>
      <c r="U124" t="str">
        <f>IF(SeismicData[[#This Row],[class]]=1,"Dangerous","Safe")</f>
        <v>Safe</v>
      </c>
      <c r="V124" t="str">
        <f>IF(SeismicData[[#This Row],[shift]]="W","Production","Non-Production")</f>
        <v>Production</v>
      </c>
      <c r="W124" t="str">
        <f>IF(SeismicData[[#This Row],[genergy]]=0,"0","10^"&amp;INT(LOG10(SeismicData[[#This Row],[genergy]])))</f>
        <v>10^5</v>
      </c>
      <c r="X124" t="str">
        <f>IF(OR(SeismicData[[#This Row],[genergy]]&lt;$AA$6,SeismicData[[#This Row],[genergy]]&gt;$AA$5),"Outlier","Normal")</f>
        <v>Outlier</v>
      </c>
    </row>
    <row r="125" spans="1:24" x14ac:dyDescent="0.15">
      <c r="A125">
        <v>124</v>
      </c>
      <c r="B125" t="s">
        <v>20</v>
      </c>
      <c r="C125" t="s">
        <v>20</v>
      </c>
      <c r="D125" t="s">
        <v>21</v>
      </c>
      <c r="E125">
        <v>203850</v>
      </c>
      <c r="F125">
        <v>476</v>
      </c>
      <c r="G125">
        <v>-14</v>
      </c>
      <c r="H125">
        <v>-32</v>
      </c>
      <c r="I125" t="s">
        <v>20</v>
      </c>
      <c r="J125">
        <v>1</v>
      </c>
      <c r="K125">
        <v>0</v>
      </c>
      <c r="L125">
        <v>1</v>
      </c>
      <c r="M125">
        <v>0</v>
      </c>
      <c r="N125">
        <v>0</v>
      </c>
      <c r="O125">
        <v>0</v>
      </c>
      <c r="P125">
        <v>0</v>
      </c>
      <c r="Q125">
        <v>0</v>
      </c>
      <c r="R125">
        <v>3000</v>
      </c>
      <c r="S125">
        <v>3000</v>
      </c>
      <c r="T125">
        <v>0</v>
      </c>
      <c r="U125" t="str">
        <f>IF(SeismicData[[#This Row],[class]]=1,"Dangerous","Safe")</f>
        <v>Safe</v>
      </c>
      <c r="V125" t="str">
        <f>IF(SeismicData[[#This Row],[shift]]="W","Production","Non-Production")</f>
        <v>Non-Production</v>
      </c>
      <c r="W125" t="str">
        <f>IF(SeismicData[[#This Row],[genergy]]=0,"0","10^"&amp;INT(LOG10(SeismicData[[#This Row],[genergy]])))</f>
        <v>10^5</v>
      </c>
      <c r="X125" t="str">
        <f>IF(OR(SeismicData[[#This Row],[genergy]]&lt;$AA$6,SeismicData[[#This Row],[genergy]]&gt;$AA$5),"Outlier","Normal")</f>
        <v>Outlier</v>
      </c>
    </row>
    <row r="126" spans="1:24" x14ac:dyDescent="0.15">
      <c r="A126">
        <v>125</v>
      </c>
      <c r="B126" t="s">
        <v>20</v>
      </c>
      <c r="C126" t="s">
        <v>20</v>
      </c>
      <c r="D126" t="s">
        <v>22</v>
      </c>
      <c r="E126">
        <v>715390</v>
      </c>
      <c r="F126">
        <v>1923</v>
      </c>
      <c r="G126">
        <v>36</v>
      </c>
      <c r="H126">
        <v>36</v>
      </c>
      <c r="I126" t="s">
        <v>20</v>
      </c>
      <c r="J126">
        <v>1</v>
      </c>
      <c r="K126">
        <v>1</v>
      </c>
      <c r="L126">
        <v>0</v>
      </c>
      <c r="M126">
        <v>0</v>
      </c>
      <c r="N126">
        <v>0</v>
      </c>
      <c r="O126">
        <v>0</v>
      </c>
      <c r="P126">
        <v>0</v>
      </c>
      <c r="Q126">
        <v>0</v>
      </c>
      <c r="R126">
        <v>300</v>
      </c>
      <c r="S126">
        <v>300</v>
      </c>
      <c r="T126">
        <v>0</v>
      </c>
      <c r="U126" t="str">
        <f>IF(SeismicData[[#This Row],[class]]=1,"Dangerous","Safe")</f>
        <v>Safe</v>
      </c>
      <c r="V126" t="str">
        <f>IF(SeismicData[[#This Row],[shift]]="W","Production","Non-Production")</f>
        <v>Production</v>
      </c>
      <c r="W126" t="str">
        <f>IF(SeismicData[[#This Row],[genergy]]=0,"0","10^"&amp;INT(LOG10(SeismicData[[#This Row],[genergy]])))</f>
        <v>10^5</v>
      </c>
      <c r="X126" t="str">
        <f>IF(OR(SeismicData[[#This Row],[genergy]]&lt;$AA$6,SeismicData[[#This Row],[genergy]]&gt;$AA$5),"Outlier","Normal")</f>
        <v>Outlier</v>
      </c>
    </row>
    <row r="127" spans="1:24" x14ac:dyDescent="0.15">
      <c r="A127">
        <v>126</v>
      </c>
      <c r="B127" t="s">
        <v>20</v>
      </c>
      <c r="C127" t="s">
        <v>20</v>
      </c>
      <c r="D127" t="s">
        <v>21</v>
      </c>
      <c r="E127">
        <v>160350</v>
      </c>
      <c r="F127">
        <v>828</v>
      </c>
      <c r="G127">
        <v>-31</v>
      </c>
      <c r="H127">
        <v>23</v>
      </c>
      <c r="I127" t="s">
        <v>20</v>
      </c>
      <c r="J127">
        <v>0</v>
      </c>
      <c r="K127">
        <v>0</v>
      </c>
      <c r="L127">
        <v>0</v>
      </c>
      <c r="M127">
        <v>0</v>
      </c>
      <c r="N127">
        <v>0</v>
      </c>
      <c r="O127">
        <v>0</v>
      </c>
      <c r="P127">
        <v>0</v>
      </c>
      <c r="Q127">
        <v>0</v>
      </c>
      <c r="R127">
        <v>0</v>
      </c>
      <c r="S127">
        <v>0</v>
      </c>
      <c r="T127">
        <v>0</v>
      </c>
      <c r="U127" t="str">
        <f>IF(SeismicData[[#This Row],[class]]=1,"Dangerous","Safe")</f>
        <v>Safe</v>
      </c>
      <c r="V127" t="str">
        <f>IF(SeismicData[[#This Row],[shift]]="W","Production","Non-Production")</f>
        <v>Non-Production</v>
      </c>
      <c r="W127" t="str">
        <f>IF(SeismicData[[#This Row],[genergy]]=0,"0","10^"&amp;INT(LOG10(SeismicData[[#This Row],[genergy]])))</f>
        <v>10^5</v>
      </c>
      <c r="X127" t="str">
        <f>IF(OR(SeismicData[[#This Row],[genergy]]&lt;$AA$6,SeismicData[[#This Row],[genergy]]&gt;$AA$5),"Outlier","Normal")</f>
        <v>Outlier</v>
      </c>
    </row>
    <row r="128" spans="1:24" x14ac:dyDescent="0.15">
      <c r="A128">
        <v>127</v>
      </c>
      <c r="B128" t="s">
        <v>20</v>
      </c>
      <c r="C128" t="s">
        <v>20</v>
      </c>
      <c r="D128" t="s">
        <v>21</v>
      </c>
      <c r="E128">
        <v>76150</v>
      </c>
      <c r="F128">
        <v>260</v>
      </c>
      <c r="G128">
        <v>-52</v>
      </c>
      <c r="H128">
        <v>-50</v>
      </c>
      <c r="I128" t="s">
        <v>20</v>
      </c>
      <c r="J128">
        <v>1</v>
      </c>
      <c r="K128">
        <v>0</v>
      </c>
      <c r="L128">
        <v>1</v>
      </c>
      <c r="M128">
        <v>0</v>
      </c>
      <c r="N128">
        <v>0</v>
      </c>
      <c r="O128">
        <v>0</v>
      </c>
      <c r="P128">
        <v>0</v>
      </c>
      <c r="Q128">
        <v>0</v>
      </c>
      <c r="R128">
        <v>4000</v>
      </c>
      <c r="S128">
        <v>4000</v>
      </c>
      <c r="T128">
        <v>0</v>
      </c>
      <c r="U128" t="str">
        <f>IF(SeismicData[[#This Row],[class]]=1,"Dangerous","Safe")</f>
        <v>Safe</v>
      </c>
      <c r="V128" t="str">
        <f>IF(SeismicData[[#This Row],[shift]]="W","Production","Non-Production")</f>
        <v>Non-Production</v>
      </c>
      <c r="W128" t="str">
        <f>IF(SeismicData[[#This Row],[genergy]]=0,"0","10^"&amp;INT(LOG10(SeismicData[[#This Row],[genergy]])))</f>
        <v>10^4</v>
      </c>
      <c r="X128" t="str">
        <f>IF(OR(SeismicData[[#This Row],[genergy]]&lt;$AA$6,SeismicData[[#This Row],[genergy]]&gt;$AA$5),"Outlier","Normal")</f>
        <v>Normal</v>
      </c>
    </row>
    <row r="129" spans="1:24" x14ac:dyDescent="0.15">
      <c r="A129">
        <v>128</v>
      </c>
      <c r="B129" t="s">
        <v>20</v>
      </c>
      <c r="C129" t="s">
        <v>20</v>
      </c>
      <c r="D129" t="s">
        <v>22</v>
      </c>
      <c r="E129">
        <v>373180</v>
      </c>
      <c r="F129">
        <v>1246</v>
      </c>
      <c r="G129">
        <v>-32</v>
      </c>
      <c r="H129">
        <v>-14</v>
      </c>
      <c r="I129" t="s">
        <v>20</v>
      </c>
      <c r="J129">
        <v>1</v>
      </c>
      <c r="K129">
        <v>0</v>
      </c>
      <c r="L129">
        <v>1</v>
      </c>
      <c r="M129">
        <v>0</v>
      </c>
      <c r="N129">
        <v>0</v>
      </c>
      <c r="O129">
        <v>0</v>
      </c>
      <c r="P129">
        <v>0</v>
      </c>
      <c r="Q129">
        <v>0</v>
      </c>
      <c r="R129">
        <v>2000</v>
      </c>
      <c r="S129">
        <v>2000</v>
      </c>
      <c r="T129">
        <v>0</v>
      </c>
      <c r="U129" t="str">
        <f>IF(SeismicData[[#This Row],[class]]=1,"Dangerous","Safe")</f>
        <v>Safe</v>
      </c>
      <c r="V129" t="str">
        <f>IF(SeismicData[[#This Row],[shift]]="W","Production","Non-Production")</f>
        <v>Production</v>
      </c>
      <c r="W129" t="str">
        <f>IF(SeismicData[[#This Row],[genergy]]=0,"0","10^"&amp;INT(LOG10(SeismicData[[#This Row],[genergy]])))</f>
        <v>10^5</v>
      </c>
      <c r="X129" t="str">
        <f>IF(OR(SeismicData[[#This Row],[genergy]]&lt;$AA$6,SeismicData[[#This Row],[genergy]]&gt;$AA$5),"Outlier","Normal")</f>
        <v>Outlier</v>
      </c>
    </row>
    <row r="130" spans="1:24" x14ac:dyDescent="0.15">
      <c r="A130">
        <v>129</v>
      </c>
      <c r="B130" t="s">
        <v>20</v>
      </c>
      <c r="C130" t="s">
        <v>20</v>
      </c>
      <c r="D130" t="s">
        <v>22</v>
      </c>
      <c r="E130">
        <v>481630</v>
      </c>
      <c r="F130">
        <v>1678</v>
      </c>
      <c r="G130">
        <v>-10</v>
      </c>
      <c r="H130">
        <v>17</v>
      </c>
      <c r="I130" t="s">
        <v>20</v>
      </c>
      <c r="J130">
        <v>0</v>
      </c>
      <c r="K130">
        <v>0</v>
      </c>
      <c r="L130">
        <v>0</v>
      </c>
      <c r="M130">
        <v>0</v>
      </c>
      <c r="N130">
        <v>0</v>
      </c>
      <c r="O130">
        <v>0</v>
      </c>
      <c r="P130">
        <v>0</v>
      </c>
      <c r="Q130">
        <v>0</v>
      </c>
      <c r="R130">
        <v>0</v>
      </c>
      <c r="S130">
        <v>0</v>
      </c>
      <c r="T130">
        <v>0</v>
      </c>
      <c r="U130" t="str">
        <f>IF(SeismicData[[#This Row],[class]]=1,"Dangerous","Safe")</f>
        <v>Safe</v>
      </c>
      <c r="V130" t="str">
        <f>IF(SeismicData[[#This Row],[shift]]="W","Production","Non-Production")</f>
        <v>Production</v>
      </c>
      <c r="W130" t="str">
        <f>IF(SeismicData[[#This Row],[genergy]]=0,"0","10^"&amp;INT(LOG10(SeismicData[[#This Row],[genergy]])))</f>
        <v>10^5</v>
      </c>
      <c r="X130" t="str">
        <f>IF(OR(SeismicData[[#This Row],[genergy]]&lt;$AA$6,SeismicData[[#This Row],[genergy]]&gt;$AA$5),"Outlier","Normal")</f>
        <v>Outlier</v>
      </c>
    </row>
    <row r="131" spans="1:24" x14ac:dyDescent="0.15">
      <c r="A131">
        <v>130</v>
      </c>
      <c r="B131" t="s">
        <v>20</v>
      </c>
      <c r="C131" t="s">
        <v>20</v>
      </c>
      <c r="D131" t="s">
        <v>22</v>
      </c>
      <c r="E131">
        <v>620720</v>
      </c>
      <c r="F131">
        <v>1789</v>
      </c>
      <c r="G131">
        <v>17</v>
      </c>
      <c r="H131">
        <v>23</v>
      </c>
      <c r="I131" t="s">
        <v>20</v>
      </c>
      <c r="J131">
        <v>0</v>
      </c>
      <c r="K131">
        <v>0</v>
      </c>
      <c r="L131">
        <v>0</v>
      </c>
      <c r="M131">
        <v>0</v>
      </c>
      <c r="N131">
        <v>0</v>
      </c>
      <c r="O131">
        <v>0</v>
      </c>
      <c r="P131">
        <v>0</v>
      </c>
      <c r="Q131">
        <v>0</v>
      </c>
      <c r="R131">
        <v>0</v>
      </c>
      <c r="S131">
        <v>0</v>
      </c>
      <c r="T131">
        <v>0</v>
      </c>
      <c r="U131" t="str">
        <f>IF(SeismicData[[#This Row],[class]]=1,"Dangerous","Safe")</f>
        <v>Safe</v>
      </c>
      <c r="V131" t="str">
        <f>IF(SeismicData[[#This Row],[shift]]="W","Production","Non-Production")</f>
        <v>Production</v>
      </c>
      <c r="W131" t="str">
        <f>IF(SeismicData[[#This Row],[genergy]]=0,"0","10^"&amp;INT(LOG10(SeismicData[[#This Row],[genergy]])))</f>
        <v>10^5</v>
      </c>
      <c r="X131" t="str">
        <f>IF(OR(SeismicData[[#This Row],[genergy]]&lt;$AA$6,SeismicData[[#This Row],[genergy]]&gt;$AA$5),"Outlier","Normal")</f>
        <v>Outlier</v>
      </c>
    </row>
    <row r="132" spans="1:24" x14ac:dyDescent="0.15">
      <c r="A132">
        <v>131</v>
      </c>
      <c r="B132" t="s">
        <v>20</v>
      </c>
      <c r="C132" t="s">
        <v>20</v>
      </c>
      <c r="D132" t="s">
        <v>21</v>
      </c>
      <c r="E132">
        <v>99160</v>
      </c>
      <c r="F132">
        <v>514</v>
      </c>
      <c r="G132">
        <v>-34</v>
      </c>
      <c r="H132">
        <v>4</v>
      </c>
      <c r="I132" t="s">
        <v>20</v>
      </c>
      <c r="J132">
        <v>1</v>
      </c>
      <c r="K132">
        <v>0</v>
      </c>
      <c r="L132">
        <v>1</v>
      </c>
      <c r="M132">
        <v>0</v>
      </c>
      <c r="N132">
        <v>0</v>
      </c>
      <c r="O132">
        <v>0</v>
      </c>
      <c r="P132">
        <v>0</v>
      </c>
      <c r="Q132">
        <v>0</v>
      </c>
      <c r="R132">
        <v>4000</v>
      </c>
      <c r="S132">
        <v>4000</v>
      </c>
      <c r="T132">
        <v>0</v>
      </c>
      <c r="U132" t="str">
        <f>IF(SeismicData[[#This Row],[class]]=1,"Dangerous","Safe")</f>
        <v>Safe</v>
      </c>
      <c r="V132" t="str">
        <f>IF(SeismicData[[#This Row],[shift]]="W","Production","Non-Production")</f>
        <v>Non-Production</v>
      </c>
      <c r="W132" t="str">
        <f>IF(SeismicData[[#This Row],[genergy]]=0,"0","10^"&amp;INT(LOG10(SeismicData[[#This Row],[genergy]])))</f>
        <v>10^4</v>
      </c>
      <c r="X132" t="str">
        <f>IF(OR(SeismicData[[#This Row],[genergy]]&lt;$AA$6,SeismicData[[#This Row],[genergy]]&gt;$AA$5),"Outlier","Normal")</f>
        <v>Normal</v>
      </c>
    </row>
    <row r="133" spans="1:24" x14ac:dyDescent="0.15">
      <c r="A133">
        <v>132</v>
      </c>
      <c r="B133" t="s">
        <v>20</v>
      </c>
      <c r="C133" t="s">
        <v>20</v>
      </c>
      <c r="D133" t="s">
        <v>21</v>
      </c>
      <c r="E133">
        <v>280830</v>
      </c>
      <c r="F133">
        <v>689</v>
      </c>
      <c r="G133">
        <v>94</v>
      </c>
      <c r="H133">
        <v>39</v>
      </c>
      <c r="I133" t="s">
        <v>20</v>
      </c>
      <c r="J133">
        <v>1</v>
      </c>
      <c r="K133">
        <v>0</v>
      </c>
      <c r="L133">
        <v>1</v>
      </c>
      <c r="M133">
        <v>0</v>
      </c>
      <c r="N133">
        <v>0</v>
      </c>
      <c r="O133">
        <v>0</v>
      </c>
      <c r="P133">
        <v>0</v>
      </c>
      <c r="Q133">
        <v>0</v>
      </c>
      <c r="R133">
        <v>3000</v>
      </c>
      <c r="S133">
        <v>3000</v>
      </c>
      <c r="T133">
        <v>0</v>
      </c>
      <c r="U133" t="str">
        <f>IF(SeismicData[[#This Row],[class]]=1,"Dangerous","Safe")</f>
        <v>Safe</v>
      </c>
      <c r="V133" t="str">
        <f>IF(SeismicData[[#This Row],[shift]]="W","Production","Non-Production")</f>
        <v>Non-Production</v>
      </c>
      <c r="W133" t="str">
        <f>IF(SeismicData[[#This Row],[genergy]]=0,"0","10^"&amp;INT(LOG10(SeismicData[[#This Row],[genergy]])))</f>
        <v>10^5</v>
      </c>
      <c r="X133" t="str">
        <f>IF(OR(SeismicData[[#This Row],[genergy]]&lt;$AA$6,SeismicData[[#This Row],[genergy]]&gt;$AA$5),"Outlier","Normal")</f>
        <v>Outlier</v>
      </c>
    </row>
    <row r="134" spans="1:24" x14ac:dyDescent="0.15">
      <c r="A134">
        <v>133</v>
      </c>
      <c r="B134" t="s">
        <v>20</v>
      </c>
      <c r="C134" t="s">
        <v>20</v>
      </c>
      <c r="D134" t="s">
        <v>22</v>
      </c>
      <c r="E134">
        <v>557230</v>
      </c>
      <c r="F134">
        <v>1642</v>
      </c>
      <c r="G134">
        <v>2</v>
      </c>
      <c r="H134">
        <v>11</v>
      </c>
      <c r="I134" t="s">
        <v>20</v>
      </c>
      <c r="J134">
        <v>0</v>
      </c>
      <c r="K134">
        <v>0</v>
      </c>
      <c r="L134">
        <v>0</v>
      </c>
      <c r="M134">
        <v>0</v>
      </c>
      <c r="N134">
        <v>0</v>
      </c>
      <c r="O134">
        <v>0</v>
      </c>
      <c r="P134">
        <v>0</v>
      </c>
      <c r="Q134">
        <v>0</v>
      </c>
      <c r="R134">
        <v>0</v>
      </c>
      <c r="S134">
        <v>0</v>
      </c>
      <c r="T134">
        <v>0</v>
      </c>
      <c r="U134" t="str">
        <f>IF(SeismicData[[#This Row],[class]]=1,"Dangerous","Safe")</f>
        <v>Safe</v>
      </c>
      <c r="V134" t="str">
        <f>IF(SeismicData[[#This Row],[shift]]="W","Production","Non-Production")</f>
        <v>Production</v>
      </c>
      <c r="W134" t="str">
        <f>IF(SeismicData[[#This Row],[genergy]]=0,"0","10^"&amp;INT(LOG10(SeismicData[[#This Row],[genergy]])))</f>
        <v>10^5</v>
      </c>
      <c r="X134" t="str">
        <f>IF(OR(SeismicData[[#This Row],[genergy]]&lt;$AA$6,SeismicData[[#This Row],[genergy]]&gt;$AA$5),"Outlier","Normal")</f>
        <v>Outlier</v>
      </c>
    </row>
    <row r="135" spans="1:24" x14ac:dyDescent="0.15">
      <c r="A135">
        <v>134</v>
      </c>
      <c r="B135" t="s">
        <v>20</v>
      </c>
      <c r="C135" t="s">
        <v>20</v>
      </c>
      <c r="D135" t="s">
        <v>21</v>
      </c>
      <c r="E135">
        <v>65800</v>
      </c>
      <c r="F135">
        <v>259</v>
      </c>
      <c r="G135">
        <v>-58</v>
      </c>
      <c r="H135">
        <v>-49</v>
      </c>
      <c r="I135" t="s">
        <v>20</v>
      </c>
      <c r="J135">
        <v>1</v>
      </c>
      <c r="K135">
        <v>0</v>
      </c>
      <c r="L135">
        <v>1</v>
      </c>
      <c r="M135">
        <v>0</v>
      </c>
      <c r="N135">
        <v>0</v>
      </c>
      <c r="O135">
        <v>0</v>
      </c>
      <c r="P135">
        <v>0</v>
      </c>
      <c r="Q135">
        <v>0</v>
      </c>
      <c r="R135">
        <v>4000</v>
      </c>
      <c r="S135">
        <v>4000</v>
      </c>
      <c r="T135">
        <v>0</v>
      </c>
      <c r="U135" t="str">
        <f>IF(SeismicData[[#This Row],[class]]=1,"Dangerous","Safe")</f>
        <v>Safe</v>
      </c>
      <c r="V135" t="str">
        <f>IF(SeismicData[[#This Row],[shift]]="W","Production","Non-Production")</f>
        <v>Non-Production</v>
      </c>
      <c r="W135" t="str">
        <f>IF(SeismicData[[#This Row],[genergy]]=0,"0","10^"&amp;INT(LOG10(SeismicData[[#This Row],[genergy]])))</f>
        <v>10^4</v>
      </c>
      <c r="X135" t="str">
        <f>IF(OR(SeismicData[[#This Row],[genergy]]&lt;$AA$6,SeismicData[[#This Row],[genergy]]&gt;$AA$5),"Outlier","Normal")</f>
        <v>Normal</v>
      </c>
    </row>
    <row r="136" spans="1:24" x14ac:dyDescent="0.15">
      <c r="A136">
        <v>135</v>
      </c>
      <c r="B136" t="s">
        <v>20</v>
      </c>
      <c r="C136" t="s">
        <v>20</v>
      </c>
      <c r="D136" t="s">
        <v>21</v>
      </c>
      <c r="E136">
        <v>270490</v>
      </c>
      <c r="F136">
        <v>865</v>
      </c>
      <c r="G136">
        <v>83</v>
      </c>
      <c r="H136">
        <v>78</v>
      </c>
      <c r="I136" t="s">
        <v>20</v>
      </c>
      <c r="J136">
        <v>0</v>
      </c>
      <c r="K136">
        <v>0</v>
      </c>
      <c r="L136">
        <v>0</v>
      </c>
      <c r="M136">
        <v>0</v>
      </c>
      <c r="N136">
        <v>0</v>
      </c>
      <c r="O136">
        <v>0</v>
      </c>
      <c r="P136">
        <v>0</v>
      </c>
      <c r="Q136">
        <v>0</v>
      </c>
      <c r="R136">
        <v>0</v>
      </c>
      <c r="S136">
        <v>0</v>
      </c>
      <c r="T136">
        <v>0</v>
      </c>
      <c r="U136" t="str">
        <f>IF(SeismicData[[#This Row],[class]]=1,"Dangerous","Safe")</f>
        <v>Safe</v>
      </c>
      <c r="V136" t="str">
        <f>IF(SeismicData[[#This Row],[shift]]="W","Production","Non-Production")</f>
        <v>Non-Production</v>
      </c>
      <c r="W136" t="str">
        <f>IF(SeismicData[[#This Row],[genergy]]=0,"0","10^"&amp;INT(LOG10(SeismicData[[#This Row],[genergy]])))</f>
        <v>10^5</v>
      </c>
      <c r="X136" t="str">
        <f>IF(OR(SeismicData[[#This Row],[genergy]]&lt;$AA$6,SeismicData[[#This Row],[genergy]]&gt;$AA$5),"Outlier","Normal")</f>
        <v>Outlier</v>
      </c>
    </row>
    <row r="137" spans="1:24" x14ac:dyDescent="0.15">
      <c r="A137">
        <v>136</v>
      </c>
      <c r="B137" t="s">
        <v>20</v>
      </c>
      <c r="C137" t="s">
        <v>20</v>
      </c>
      <c r="D137" t="s">
        <v>22</v>
      </c>
      <c r="E137">
        <v>307540</v>
      </c>
      <c r="F137">
        <v>1020</v>
      </c>
      <c r="G137">
        <v>-44</v>
      </c>
      <c r="H137">
        <v>-32</v>
      </c>
      <c r="I137" t="s">
        <v>20</v>
      </c>
      <c r="J137">
        <v>0</v>
      </c>
      <c r="K137">
        <v>0</v>
      </c>
      <c r="L137">
        <v>0</v>
      </c>
      <c r="M137">
        <v>0</v>
      </c>
      <c r="N137">
        <v>0</v>
      </c>
      <c r="O137">
        <v>0</v>
      </c>
      <c r="P137">
        <v>0</v>
      </c>
      <c r="Q137">
        <v>0</v>
      </c>
      <c r="R137">
        <v>0</v>
      </c>
      <c r="S137">
        <v>0</v>
      </c>
      <c r="T137">
        <v>0</v>
      </c>
      <c r="U137" t="str">
        <f>IF(SeismicData[[#This Row],[class]]=1,"Dangerous","Safe")</f>
        <v>Safe</v>
      </c>
      <c r="V137" t="str">
        <f>IF(SeismicData[[#This Row],[shift]]="W","Production","Non-Production")</f>
        <v>Production</v>
      </c>
      <c r="W137" t="str">
        <f>IF(SeismicData[[#This Row],[genergy]]=0,"0","10^"&amp;INT(LOG10(SeismicData[[#This Row],[genergy]])))</f>
        <v>10^5</v>
      </c>
      <c r="X137" t="str">
        <f>IF(OR(SeismicData[[#This Row],[genergy]]&lt;$AA$6,SeismicData[[#This Row],[genergy]]&gt;$AA$5),"Outlier","Normal")</f>
        <v>Outlier</v>
      </c>
    </row>
    <row r="138" spans="1:24" x14ac:dyDescent="0.15">
      <c r="A138">
        <v>137</v>
      </c>
      <c r="B138" t="s">
        <v>20</v>
      </c>
      <c r="C138" t="s">
        <v>20</v>
      </c>
      <c r="D138" t="s">
        <v>21</v>
      </c>
      <c r="E138">
        <v>51230</v>
      </c>
      <c r="F138">
        <v>222</v>
      </c>
      <c r="G138">
        <v>-68</v>
      </c>
      <c r="H138">
        <v>-57</v>
      </c>
      <c r="I138" t="s">
        <v>20</v>
      </c>
      <c r="J138">
        <v>1</v>
      </c>
      <c r="K138">
        <v>0</v>
      </c>
      <c r="L138">
        <v>1</v>
      </c>
      <c r="M138">
        <v>0</v>
      </c>
      <c r="N138">
        <v>0</v>
      </c>
      <c r="O138">
        <v>0</v>
      </c>
      <c r="P138">
        <v>0</v>
      </c>
      <c r="Q138">
        <v>0</v>
      </c>
      <c r="R138">
        <v>3000</v>
      </c>
      <c r="S138">
        <v>3000</v>
      </c>
      <c r="T138">
        <v>0</v>
      </c>
      <c r="U138" t="str">
        <f>IF(SeismicData[[#This Row],[class]]=1,"Dangerous","Safe")</f>
        <v>Safe</v>
      </c>
      <c r="V138" t="str">
        <f>IF(SeismicData[[#This Row],[shift]]="W","Production","Non-Production")</f>
        <v>Non-Production</v>
      </c>
      <c r="W138" t="str">
        <f>IF(SeismicData[[#This Row],[genergy]]=0,"0","10^"&amp;INT(LOG10(SeismicData[[#This Row],[genergy]])))</f>
        <v>10^4</v>
      </c>
      <c r="X138" t="str">
        <f>IF(OR(SeismicData[[#This Row],[genergy]]&lt;$AA$6,SeismicData[[#This Row],[genergy]]&gt;$AA$5),"Outlier","Normal")</f>
        <v>Normal</v>
      </c>
    </row>
    <row r="139" spans="1:24" x14ac:dyDescent="0.15">
      <c r="A139">
        <v>138</v>
      </c>
      <c r="B139" t="s">
        <v>20</v>
      </c>
      <c r="C139" t="s">
        <v>20</v>
      </c>
      <c r="D139" t="s">
        <v>22</v>
      </c>
      <c r="E139">
        <v>314100</v>
      </c>
      <c r="F139">
        <v>904</v>
      </c>
      <c r="G139">
        <v>-41</v>
      </c>
      <c r="H139">
        <v>-37</v>
      </c>
      <c r="I139" t="s">
        <v>20</v>
      </c>
      <c r="J139">
        <v>0</v>
      </c>
      <c r="K139">
        <v>0</v>
      </c>
      <c r="L139">
        <v>0</v>
      </c>
      <c r="M139">
        <v>0</v>
      </c>
      <c r="N139">
        <v>0</v>
      </c>
      <c r="O139">
        <v>0</v>
      </c>
      <c r="P139">
        <v>0</v>
      </c>
      <c r="Q139">
        <v>0</v>
      </c>
      <c r="R139">
        <v>0</v>
      </c>
      <c r="S139">
        <v>0</v>
      </c>
      <c r="T139">
        <v>0</v>
      </c>
      <c r="U139" t="str">
        <f>IF(SeismicData[[#This Row],[class]]=1,"Dangerous","Safe")</f>
        <v>Safe</v>
      </c>
      <c r="V139" t="str">
        <f>IF(SeismicData[[#This Row],[shift]]="W","Production","Non-Production")</f>
        <v>Production</v>
      </c>
      <c r="W139" t="str">
        <f>IF(SeismicData[[#This Row],[genergy]]=0,"0","10^"&amp;INT(LOG10(SeismicData[[#This Row],[genergy]])))</f>
        <v>10^5</v>
      </c>
      <c r="X139" t="str">
        <f>IF(OR(SeismicData[[#This Row],[genergy]]&lt;$AA$6,SeismicData[[#This Row],[genergy]]&gt;$AA$5),"Outlier","Normal")</f>
        <v>Outlier</v>
      </c>
    </row>
    <row r="140" spans="1:24" x14ac:dyDescent="0.15">
      <c r="A140">
        <v>139</v>
      </c>
      <c r="B140" t="s">
        <v>20</v>
      </c>
      <c r="C140" t="s">
        <v>20</v>
      </c>
      <c r="D140" t="s">
        <v>22</v>
      </c>
      <c r="E140">
        <v>368340</v>
      </c>
      <c r="F140">
        <v>1325</v>
      </c>
      <c r="G140">
        <v>-28</v>
      </c>
      <c r="H140">
        <v>-4</v>
      </c>
      <c r="I140" t="s">
        <v>20</v>
      </c>
      <c r="J140">
        <v>1</v>
      </c>
      <c r="K140">
        <v>0</v>
      </c>
      <c r="L140">
        <v>1</v>
      </c>
      <c r="M140">
        <v>0</v>
      </c>
      <c r="N140">
        <v>0</v>
      </c>
      <c r="O140">
        <v>0</v>
      </c>
      <c r="P140">
        <v>0</v>
      </c>
      <c r="Q140">
        <v>0</v>
      </c>
      <c r="R140">
        <v>2000</v>
      </c>
      <c r="S140">
        <v>2000</v>
      </c>
      <c r="T140">
        <v>0</v>
      </c>
      <c r="U140" t="str">
        <f>IF(SeismicData[[#This Row],[class]]=1,"Dangerous","Safe")</f>
        <v>Safe</v>
      </c>
      <c r="V140" t="str">
        <f>IF(SeismicData[[#This Row],[shift]]="W","Production","Non-Production")</f>
        <v>Production</v>
      </c>
      <c r="W140" t="str">
        <f>IF(SeismicData[[#This Row],[genergy]]=0,"0","10^"&amp;INT(LOG10(SeismicData[[#This Row],[genergy]])))</f>
        <v>10^5</v>
      </c>
      <c r="X140" t="str">
        <f>IF(OR(SeismicData[[#This Row],[genergy]]&lt;$AA$6,SeismicData[[#This Row],[genergy]]&gt;$AA$5),"Outlier","Normal")</f>
        <v>Outlier</v>
      </c>
    </row>
    <row r="141" spans="1:24" x14ac:dyDescent="0.15">
      <c r="A141">
        <v>140</v>
      </c>
      <c r="B141" t="s">
        <v>20</v>
      </c>
      <c r="C141" t="s">
        <v>20</v>
      </c>
      <c r="D141" t="s">
        <v>21</v>
      </c>
      <c r="E141">
        <v>114540</v>
      </c>
      <c r="F141">
        <v>488</v>
      </c>
      <c r="G141">
        <v>-23</v>
      </c>
      <c r="H141">
        <v>0</v>
      </c>
      <c r="I141" t="s">
        <v>20</v>
      </c>
      <c r="J141">
        <v>2</v>
      </c>
      <c r="K141">
        <v>0</v>
      </c>
      <c r="L141">
        <v>2</v>
      </c>
      <c r="M141">
        <v>0</v>
      </c>
      <c r="N141">
        <v>0</v>
      </c>
      <c r="O141">
        <v>0</v>
      </c>
      <c r="P141">
        <v>0</v>
      </c>
      <c r="Q141">
        <v>0</v>
      </c>
      <c r="R141">
        <v>8000</v>
      </c>
      <c r="S141">
        <v>5000</v>
      </c>
      <c r="T141">
        <v>0</v>
      </c>
      <c r="U141" t="str">
        <f>IF(SeismicData[[#This Row],[class]]=1,"Dangerous","Safe")</f>
        <v>Safe</v>
      </c>
      <c r="V141" t="str">
        <f>IF(SeismicData[[#This Row],[shift]]="W","Production","Non-Production")</f>
        <v>Non-Production</v>
      </c>
      <c r="W141" t="str">
        <f>IF(SeismicData[[#This Row],[genergy]]=0,"0","10^"&amp;INT(LOG10(SeismicData[[#This Row],[genergy]])))</f>
        <v>10^5</v>
      </c>
      <c r="X141" t="str">
        <f>IF(OR(SeismicData[[#This Row],[genergy]]&lt;$AA$6,SeismicData[[#This Row],[genergy]]&gt;$AA$5),"Outlier","Normal")</f>
        <v>Normal</v>
      </c>
    </row>
    <row r="142" spans="1:24" x14ac:dyDescent="0.15">
      <c r="A142">
        <v>141</v>
      </c>
      <c r="B142" t="s">
        <v>20</v>
      </c>
      <c r="C142" t="s">
        <v>20</v>
      </c>
      <c r="D142" t="s">
        <v>22</v>
      </c>
      <c r="E142">
        <v>316200</v>
      </c>
      <c r="F142">
        <v>1089</v>
      </c>
      <c r="G142">
        <v>-37</v>
      </c>
      <c r="H142">
        <v>-21</v>
      </c>
      <c r="I142" t="s">
        <v>20</v>
      </c>
      <c r="J142">
        <v>3</v>
      </c>
      <c r="K142">
        <v>1</v>
      </c>
      <c r="L142">
        <v>2</v>
      </c>
      <c r="M142">
        <v>0</v>
      </c>
      <c r="N142">
        <v>0</v>
      </c>
      <c r="O142">
        <v>0</v>
      </c>
      <c r="P142">
        <v>0</v>
      </c>
      <c r="Q142">
        <v>0</v>
      </c>
      <c r="R142">
        <v>2700</v>
      </c>
      <c r="S142">
        <v>1000</v>
      </c>
      <c r="T142">
        <v>0</v>
      </c>
      <c r="U142" t="str">
        <f>IF(SeismicData[[#This Row],[class]]=1,"Dangerous","Safe")</f>
        <v>Safe</v>
      </c>
      <c r="V142" t="str">
        <f>IF(SeismicData[[#This Row],[shift]]="W","Production","Non-Production")</f>
        <v>Production</v>
      </c>
      <c r="W142" t="str">
        <f>IF(SeismicData[[#This Row],[genergy]]=0,"0","10^"&amp;INT(LOG10(SeismicData[[#This Row],[genergy]])))</f>
        <v>10^5</v>
      </c>
      <c r="X142" t="str">
        <f>IF(OR(SeismicData[[#This Row],[genergy]]&lt;$AA$6,SeismicData[[#This Row],[genergy]]&gt;$AA$5),"Outlier","Normal")</f>
        <v>Outlier</v>
      </c>
    </row>
    <row r="143" spans="1:24" x14ac:dyDescent="0.15">
      <c r="A143">
        <v>142</v>
      </c>
      <c r="B143" t="s">
        <v>20</v>
      </c>
      <c r="C143" t="s">
        <v>20</v>
      </c>
      <c r="D143" t="s">
        <v>21</v>
      </c>
      <c r="E143">
        <v>209760</v>
      </c>
      <c r="F143">
        <v>919</v>
      </c>
      <c r="G143">
        <v>46</v>
      </c>
      <c r="H143">
        <v>89</v>
      </c>
      <c r="I143" t="s">
        <v>20</v>
      </c>
      <c r="J143">
        <v>0</v>
      </c>
      <c r="K143">
        <v>0</v>
      </c>
      <c r="L143">
        <v>0</v>
      </c>
      <c r="M143">
        <v>0</v>
      </c>
      <c r="N143">
        <v>0</v>
      </c>
      <c r="O143">
        <v>0</v>
      </c>
      <c r="P143">
        <v>0</v>
      </c>
      <c r="Q143">
        <v>0</v>
      </c>
      <c r="R143">
        <v>0</v>
      </c>
      <c r="S143">
        <v>0</v>
      </c>
      <c r="T143">
        <v>0</v>
      </c>
      <c r="U143" t="str">
        <f>IF(SeismicData[[#This Row],[class]]=1,"Dangerous","Safe")</f>
        <v>Safe</v>
      </c>
      <c r="V143" t="str">
        <f>IF(SeismicData[[#This Row],[shift]]="W","Production","Non-Production")</f>
        <v>Non-Production</v>
      </c>
      <c r="W143" t="str">
        <f>IF(SeismicData[[#This Row],[genergy]]=0,"0","10^"&amp;INT(LOG10(SeismicData[[#This Row],[genergy]])))</f>
        <v>10^5</v>
      </c>
      <c r="X143" t="str">
        <f>IF(OR(SeismicData[[#This Row],[genergy]]&lt;$AA$6,SeismicData[[#This Row],[genergy]]&gt;$AA$5),"Outlier","Normal")</f>
        <v>Outlier</v>
      </c>
    </row>
    <row r="144" spans="1:24" x14ac:dyDescent="0.15">
      <c r="A144">
        <v>143</v>
      </c>
      <c r="B144" t="s">
        <v>20</v>
      </c>
      <c r="C144" t="s">
        <v>20</v>
      </c>
      <c r="D144" t="s">
        <v>21</v>
      </c>
      <c r="E144">
        <v>46300</v>
      </c>
      <c r="F144">
        <v>197</v>
      </c>
      <c r="G144">
        <v>-69</v>
      </c>
      <c r="H144">
        <v>-63</v>
      </c>
      <c r="I144" t="s">
        <v>20</v>
      </c>
      <c r="J144">
        <v>1</v>
      </c>
      <c r="K144">
        <v>0</v>
      </c>
      <c r="L144">
        <v>1</v>
      </c>
      <c r="M144">
        <v>0</v>
      </c>
      <c r="N144">
        <v>0</v>
      </c>
      <c r="O144">
        <v>0</v>
      </c>
      <c r="P144">
        <v>0</v>
      </c>
      <c r="Q144">
        <v>0</v>
      </c>
      <c r="R144">
        <v>5000</v>
      </c>
      <c r="S144">
        <v>5000</v>
      </c>
      <c r="T144">
        <v>0</v>
      </c>
      <c r="U144" t="str">
        <f>IF(SeismicData[[#This Row],[class]]=1,"Dangerous","Safe")</f>
        <v>Safe</v>
      </c>
      <c r="V144" t="str">
        <f>IF(SeismicData[[#This Row],[shift]]="W","Production","Non-Production")</f>
        <v>Non-Production</v>
      </c>
      <c r="W144" t="str">
        <f>IF(SeismicData[[#This Row],[genergy]]=0,"0","10^"&amp;INT(LOG10(SeismicData[[#This Row],[genergy]])))</f>
        <v>10^4</v>
      </c>
      <c r="X144" t="str">
        <f>IF(OR(SeismicData[[#This Row],[genergy]]&lt;$AA$6,SeismicData[[#This Row],[genergy]]&gt;$AA$5),"Outlier","Normal")</f>
        <v>Normal</v>
      </c>
    </row>
    <row r="145" spans="1:24" x14ac:dyDescent="0.15">
      <c r="A145">
        <v>144</v>
      </c>
      <c r="B145" t="s">
        <v>20</v>
      </c>
      <c r="C145" t="s">
        <v>20</v>
      </c>
      <c r="D145" t="s">
        <v>22</v>
      </c>
      <c r="E145">
        <v>372380</v>
      </c>
      <c r="F145">
        <v>1264</v>
      </c>
      <c r="G145">
        <v>-26</v>
      </c>
      <c r="H145">
        <v>-9</v>
      </c>
      <c r="I145" t="s">
        <v>20</v>
      </c>
      <c r="J145">
        <v>0</v>
      </c>
      <c r="K145">
        <v>0</v>
      </c>
      <c r="L145">
        <v>0</v>
      </c>
      <c r="M145">
        <v>0</v>
      </c>
      <c r="N145">
        <v>0</v>
      </c>
      <c r="O145">
        <v>0</v>
      </c>
      <c r="P145">
        <v>0</v>
      </c>
      <c r="Q145">
        <v>0</v>
      </c>
      <c r="R145">
        <v>0</v>
      </c>
      <c r="S145">
        <v>0</v>
      </c>
      <c r="T145">
        <v>0</v>
      </c>
      <c r="U145" t="str">
        <f>IF(SeismicData[[#This Row],[class]]=1,"Dangerous","Safe")</f>
        <v>Safe</v>
      </c>
      <c r="V145" t="str">
        <f>IF(SeismicData[[#This Row],[shift]]="W","Production","Non-Production")</f>
        <v>Production</v>
      </c>
      <c r="W145" t="str">
        <f>IF(SeismicData[[#This Row],[genergy]]=0,"0","10^"&amp;INT(LOG10(SeismicData[[#This Row],[genergy]])))</f>
        <v>10^5</v>
      </c>
      <c r="X145" t="str">
        <f>IF(OR(SeismicData[[#This Row],[genergy]]&lt;$AA$6,SeismicData[[#This Row],[genergy]]&gt;$AA$5),"Outlier","Normal")</f>
        <v>Outlier</v>
      </c>
    </row>
    <row r="146" spans="1:24" x14ac:dyDescent="0.15">
      <c r="A146">
        <v>145</v>
      </c>
      <c r="B146" t="s">
        <v>20</v>
      </c>
      <c r="C146" t="s">
        <v>20</v>
      </c>
      <c r="D146" t="s">
        <v>21</v>
      </c>
      <c r="E146">
        <v>47830</v>
      </c>
      <c r="F146">
        <v>264</v>
      </c>
      <c r="G146">
        <v>-65</v>
      </c>
      <c r="H146">
        <v>-47</v>
      </c>
      <c r="I146" t="s">
        <v>20</v>
      </c>
      <c r="J146">
        <v>1</v>
      </c>
      <c r="K146">
        <v>0</v>
      </c>
      <c r="L146">
        <v>1</v>
      </c>
      <c r="M146">
        <v>0</v>
      </c>
      <c r="N146">
        <v>0</v>
      </c>
      <c r="O146">
        <v>0</v>
      </c>
      <c r="P146">
        <v>0</v>
      </c>
      <c r="Q146">
        <v>0</v>
      </c>
      <c r="R146">
        <v>3000</v>
      </c>
      <c r="S146">
        <v>3000</v>
      </c>
      <c r="T146">
        <v>0</v>
      </c>
      <c r="U146" t="str">
        <f>IF(SeismicData[[#This Row],[class]]=1,"Dangerous","Safe")</f>
        <v>Safe</v>
      </c>
      <c r="V146" t="str">
        <f>IF(SeismicData[[#This Row],[shift]]="W","Production","Non-Production")</f>
        <v>Non-Production</v>
      </c>
      <c r="W146" t="str">
        <f>IF(SeismicData[[#This Row],[genergy]]=0,"0","10^"&amp;INT(LOG10(SeismicData[[#This Row],[genergy]])))</f>
        <v>10^4</v>
      </c>
      <c r="X146" t="str">
        <f>IF(OR(SeismicData[[#This Row],[genergy]]&lt;$AA$6,SeismicData[[#This Row],[genergy]]&gt;$AA$5),"Outlier","Normal")</f>
        <v>Normal</v>
      </c>
    </row>
    <row r="147" spans="1:24" x14ac:dyDescent="0.15">
      <c r="A147">
        <v>146</v>
      </c>
      <c r="B147" t="s">
        <v>20</v>
      </c>
      <c r="C147" t="s">
        <v>20</v>
      </c>
      <c r="D147" t="s">
        <v>22</v>
      </c>
      <c r="E147">
        <v>396530</v>
      </c>
      <c r="F147">
        <v>1209</v>
      </c>
      <c r="G147">
        <v>-10</v>
      </c>
      <c r="H147">
        <v>-13</v>
      </c>
      <c r="I147" t="s">
        <v>20</v>
      </c>
      <c r="J147">
        <v>1</v>
      </c>
      <c r="K147">
        <v>0</v>
      </c>
      <c r="L147">
        <v>1</v>
      </c>
      <c r="M147">
        <v>0</v>
      </c>
      <c r="N147">
        <v>0</v>
      </c>
      <c r="O147">
        <v>0</v>
      </c>
      <c r="P147">
        <v>0</v>
      </c>
      <c r="Q147">
        <v>0</v>
      </c>
      <c r="R147">
        <v>6000</v>
      </c>
      <c r="S147">
        <v>6000</v>
      </c>
      <c r="T147">
        <v>0</v>
      </c>
      <c r="U147" t="str">
        <f>IF(SeismicData[[#This Row],[class]]=1,"Dangerous","Safe")</f>
        <v>Safe</v>
      </c>
      <c r="V147" t="str">
        <f>IF(SeismicData[[#This Row],[shift]]="W","Production","Non-Production")</f>
        <v>Production</v>
      </c>
      <c r="W147" t="str">
        <f>IF(SeismicData[[#This Row],[genergy]]=0,"0","10^"&amp;INT(LOG10(SeismicData[[#This Row],[genergy]])))</f>
        <v>10^5</v>
      </c>
      <c r="X147" t="str">
        <f>IF(OR(SeismicData[[#This Row],[genergy]]&lt;$AA$6,SeismicData[[#This Row],[genergy]]&gt;$AA$5),"Outlier","Normal")</f>
        <v>Outlier</v>
      </c>
    </row>
    <row r="148" spans="1:24" x14ac:dyDescent="0.15">
      <c r="A148">
        <v>147</v>
      </c>
      <c r="B148" t="s">
        <v>20</v>
      </c>
      <c r="C148" t="s">
        <v>20</v>
      </c>
      <c r="D148" t="s">
        <v>21</v>
      </c>
      <c r="E148">
        <v>87740</v>
      </c>
      <c r="F148">
        <v>357</v>
      </c>
      <c r="G148">
        <v>-30</v>
      </c>
      <c r="H148">
        <v>-24</v>
      </c>
      <c r="I148" t="s">
        <v>20</v>
      </c>
      <c r="J148">
        <v>0</v>
      </c>
      <c r="K148">
        <v>0</v>
      </c>
      <c r="L148">
        <v>0</v>
      </c>
      <c r="M148">
        <v>0</v>
      </c>
      <c r="N148">
        <v>0</v>
      </c>
      <c r="O148">
        <v>0</v>
      </c>
      <c r="P148">
        <v>0</v>
      </c>
      <c r="Q148">
        <v>0</v>
      </c>
      <c r="R148">
        <v>0</v>
      </c>
      <c r="S148">
        <v>0</v>
      </c>
      <c r="T148">
        <v>0</v>
      </c>
      <c r="U148" t="str">
        <f>IF(SeismicData[[#This Row],[class]]=1,"Dangerous","Safe")</f>
        <v>Safe</v>
      </c>
      <c r="V148" t="str">
        <f>IF(SeismicData[[#This Row],[shift]]="W","Production","Non-Production")</f>
        <v>Non-Production</v>
      </c>
      <c r="W148" t="str">
        <f>IF(SeismicData[[#This Row],[genergy]]=0,"0","10^"&amp;INT(LOG10(SeismicData[[#This Row],[genergy]])))</f>
        <v>10^4</v>
      </c>
      <c r="X148" t="str">
        <f>IF(OR(SeismicData[[#This Row],[genergy]]&lt;$AA$6,SeismicData[[#This Row],[genergy]]&gt;$AA$5),"Outlier","Normal")</f>
        <v>Normal</v>
      </c>
    </row>
    <row r="149" spans="1:24" x14ac:dyDescent="0.15">
      <c r="A149">
        <v>148</v>
      </c>
      <c r="B149" t="s">
        <v>20</v>
      </c>
      <c r="C149" t="s">
        <v>20</v>
      </c>
      <c r="D149" t="s">
        <v>21</v>
      </c>
      <c r="E149">
        <v>74570</v>
      </c>
      <c r="F149">
        <v>308</v>
      </c>
      <c r="G149">
        <v>-41</v>
      </c>
      <c r="H149">
        <v>-35</v>
      </c>
      <c r="I149" t="s">
        <v>20</v>
      </c>
      <c r="J149">
        <v>2</v>
      </c>
      <c r="K149">
        <v>0</v>
      </c>
      <c r="L149">
        <v>2</v>
      </c>
      <c r="M149">
        <v>0</v>
      </c>
      <c r="N149">
        <v>0</v>
      </c>
      <c r="O149">
        <v>0</v>
      </c>
      <c r="P149">
        <v>0</v>
      </c>
      <c r="Q149">
        <v>0</v>
      </c>
      <c r="R149">
        <v>4000</v>
      </c>
      <c r="S149">
        <v>3000</v>
      </c>
      <c r="T149">
        <v>0</v>
      </c>
      <c r="U149" t="str">
        <f>IF(SeismicData[[#This Row],[class]]=1,"Dangerous","Safe")</f>
        <v>Safe</v>
      </c>
      <c r="V149" t="str">
        <f>IF(SeismicData[[#This Row],[shift]]="W","Production","Non-Production")</f>
        <v>Non-Production</v>
      </c>
      <c r="W149" t="str">
        <f>IF(SeismicData[[#This Row],[genergy]]=0,"0","10^"&amp;INT(LOG10(SeismicData[[#This Row],[genergy]])))</f>
        <v>10^4</v>
      </c>
      <c r="X149" t="str">
        <f>IF(OR(SeismicData[[#This Row],[genergy]]&lt;$AA$6,SeismicData[[#This Row],[genergy]]&gt;$AA$5),"Outlier","Normal")</f>
        <v>Normal</v>
      </c>
    </row>
    <row r="150" spans="1:24" x14ac:dyDescent="0.15">
      <c r="A150">
        <v>149</v>
      </c>
      <c r="B150" t="s">
        <v>20</v>
      </c>
      <c r="C150" t="s">
        <v>20</v>
      </c>
      <c r="D150" t="s">
        <v>21</v>
      </c>
      <c r="E150">
        <v>37490</v>
      </c>
      <c r="F150">
        <v>224</v>
      </c>
      <c r="G150">
        <v>-70</v>
      </c>
      <c r="H150">
        <v>-51</v>
      </c>
      <c r="I150" t="s">
        <v>20</v>
      </c>
      <c r="J150">
        <v>0</v>
      </c>
      <c r="K150">
        <v>0</v>
      </c>
      <c r="L150">
        <v>0</v>
      </c>
      <c r="M150">
        <v>0</v>
      </c>
      <c r="N150">
        <v>0</v>
      </c>
      <c r="O150">
        <v>0</v>
      </c>
      <c r="P150">
        <v>0</v>
      </c>
      <c r="Q150">
        <v>0</v>
      </c>
      <c r="R150">
        <v>0</v>
      </c>
      <c r="S150">
        <v>0</v>
      </c>
      <c r="T150">
        <v>0</v>
      </c>
      <c r="U150" t="str">
        <f>IF(SeismicData[[#This Row],[class]]=1,"Dangerous","Safe")</f>
        <v>Safe</v>
      </c>
      <c r="V150" t="str">
        <f>IF(SeismicData[[#This Row],[shift]]="W","Production","Non-Production")</f>
        <v>Non-Production</v>
      </c>
      <c r="W150" t="str">
        <f>IF(SeismicData[[#This Row],[genergy]]=0,"0","10^"&amp;INT(LOG10(SeismicData[[#This Row],[genergy]])))</f>
        <v>10^4</v>
      </c>
      <c r="X150" t="str">
        <f>IF(OR(SeismicData[[#This Row],[genergy]]&lt;$AA$6,SeismicData[[#This Row],[genergy]]&gt;$AA$5),"Outlier","Normal")</f>
        <v>Normal</v>
      </c>
    </row>
    <row r="151" spans="1:24" x14ac:dyDescent="0.15">
      <c r="A151">
        <v>150</v>
      </c>
      <c r="B151" t="s">
        <v>20</v>
      </c>
      <c r="C151" t="s">
        <v>20</v>
      </c>
      <c r="D151" t="s">
        <v>22</v>
      </c>
      <c r="E151">
        <v>303610</v>
      </c>
      <c r="F151">
        <v>1034</v>
      </c>
      <c r="G151">
        <v>-26</v>
      </c>
      <c r="H151">
        <v>-21</v>
      </c>
      <c r="I151" t="s">
        <v>20</v>
      </c>
      <c r="J151">
        <v>0</v>
      </c>
      <c r="K151">
        <v>0</v>
      </c>
      <c r="L151">
        <v>0</v>
      </c>
      <c r="M151">
        <v>0</v>
      </c>
      <c r="N151">
        <v>0</v>
      </c>
      <c r="O151">
        <v>0</v>
      </c>
      <c r="P151">
        <v>0</v>
      </c>
      <c r="Q151">
        <v>0</v>
      </c>
      <c r="R151">
        <v>0</v>
      </c>
      <c r="S151">
        <v>0</v>
      </c>
      <c r="T151">
        <v>0</v>
      </c>
      <c r="U151" t="str">
        <f>IF(SeismicData[[#This Row],[class]]=1,"Dangerous","Safe")</f>
        <v>Safe</v>
      </c>
      <c r="V151" t="str">
        <f>IF(SeismicData[[#This Row],[shift]]="W","Production","Non-Production")</f>
        <v>Production</v>
      </c>
      <c r="W151" t="str">
        <f>IF(SeismicData[[#This Row],[genergy]]=0,"0","10^"&amp;INT(LOG10(SeismicData[[#This Row],[genergy]])))</f>
        <v>10^5</v>
      </c>
      <c r="X151" t="str">
        <f>IF(OR(SeismicData[[#This Row],[genergy]]&lt;$AA$6,SeismicData[[#This Row],[genergy]]&gt;$AA$5),"Outlier","Normal")</f>
        <v>Outlier</v>
      </c>
    </row>
    <row r="152" spans="1:24" x14ac:dyDescent="0.15">
      <c r="A152">
        <v>151</v>
      </c>
      <c r="B152" t="s">
        <v>20</v>
      </c>
      <c r="C152" t="s">
        <v>20</v>
      </c>
      <c r="D152" t="s">
        <v>22</v>
      </c>
      <c r="E152">
        <v>278230</v>
      </c>
      <c r="F152">
        <v>1060</v>
      </c>
      <c r="G152">
        <v>-31</v>
      </c>
      <c r="H152">
        <v>-18</v>
      </c>
      <c r="I152" t="s">
        <v>20</v>
      </c>
      <c r="J152">
        <v>1</v>
      </c>
      <c r="K152">
        <v>1</v>
      </c>
      <c r="L152">
        <v>0</v>
      </c>
      <c r="M152">
        <v>0</v>
      </c>
      <c r="N152">
        <v>0</v>
      </c>
      <c r="O152">
        <v>0</v>
      </c>
      <c r="P152">
        <v>0</v>
      </c>
      <c r="Q152">
        <v>0</v>
      </c>
      <c r="R152">
        <v>900</v>
      </c>
      <c r="S152">
        <v>900</v>
      </c>
      <c r="T152">
        <v>0</v>
      </c>
      <c r="U152" t="str">
        <f>IF(SeismicData[[#This Row],[class]]=1,"Dangerous","Safe")</f>
        <v>Safe</v>
      </c>
      <c r="V152" t="str">
        <f>IF(SeismicData[[#This Row],[shift]]="W","Production","Non-Production")</f>
        <v>Production</v>
      </c>
      <c r="W152" t="str">
        <f>IF(SeismicData[[#This Row],[genergy]]=0,"0","10^"&amp;INT(LOG10(SeismicData[[#This Row],[genergy]])))</f>
        <v>10^5</v>
      </c>
      <c r="X152" t="str">
        <f>IF(OR(SeismicData[[#This Row],[genergy]]&lt;$AA$6,SeismicData[[#This Row],[genergy]]&gt;$AA$5),"Outlier","Normal")</f>
        <v>Outlier</v>
      </c>
    </row>
    <row r="153" spans="1:24" x14ac:dyDescent="0.15">
      <c r="A153">
        <v>152</v>
      </c>
      <c r="B153" t="s">
        <v>20</v>
      </c>
      <c r="C153" t="s">
        <v>20</v>
      </c>
      <c r="D153" t="s">
        <v>21</v>
      </c>
      <c r="E153">
        <v>64930</v>
      </c>
      <c r="F153">
        <v>273</v>
      </c>
      <c r="G153">
        <v>-35</v>
      </c>
      <c r="H153">
        <v>-33</v>
      </c>
      <c r="I153" t="s">
        <v>20</v>
      </c>
      <c r="J153">
        <v>1</v>
      </c>
      <c r="K153">
        <v>0</v>
      </c>
      <c r="L153">
        <v>1</v>
      </c>
      <c r="M153">
        <v>0</v>
      </c>
      <c r="N153">
        <v>0</v>
      </c>
      <c r="O153">
        <v>0</v>
      </c>
      <c r="P153">
        <v>0</v>
      </c>
      <c r="Q153">
        <v>0</v>
      </c>
      <c r="R153">
        <v>5000</v>
      </c>
      <c r="S153">
        <v>5000</v>
      </c>
      <c r="T153">
        <v>0</v>
      </c>
      <c r="U153" t="str">
        <f>IF(SeismicData[[#This Row],[class]]=1,"Dangerous","Safe")</f>
        <v>Safe</v>
      </c>
      <c r="V153" t="str">
        <f>IF(SeismicData[[#This Row],[shift]]="W","Production","Non-Production")</f>
        <v>Non-Production</v>
      </c>
      <c r="W153" t="str">
        <f>IF(SeismicData[[#This Row],[genergy]]=0,"0","10^"&amp;INT(LOG10(SeismicData[[#This Row],[genergy]])))</f>
        <v>10^4</v>
      </c>
      <c r="X153" t="str">
        <f>IF(OR(SeismicData[[#This Row],[genergy]]&lt;$AA$6,SeismicData[[#This Row],[genergy]]&gt;$AA$5),"Outlier","Normal")</f>
        <v>Normal</v>
      </c>
    </row>
    <row r="154" spans="1:24" x14ac:dyDescent="0.15">
      <c r="A154">
        <v>153</v>
      </c>
      <c r="B154" t="s">
        <v>20</v>
      </c>
      <c r="C154" t="s">
        <v>20</v>
      </c>
      <c r="D154" t="s">
        <v>22</v>
      </c>
      <c r="E154">
        <v>498960</v>
      </c>
      <c r="F154">
        <v>1447</v>
      </c>
      <c r="G154">
        <v>30</v>
      </c>
      <c r="H154">
        <v>17</v>
      </c>
      <c r="I154" t="s">
        <v>20</v>
      </c>
      <c r="J154">
        <v>1</v>
      </c>
      <c r="K154">
        <v>1</v>
      </c>
      <c r="L154">
        <v>0</v>
      </c>
      <c r="M154">
        <v>0</v>
      </c>
      <c r="N154">
        <v>0</v>
      </c>
      <c r="O154">
        <v>0</v>
      </c>
      <c r="P154">
        <v>0</v>
      </c>
      <c r="Q154">
        <v>0</v>
      </c>
      <c r="R154">
        <v>900</v>
      </c>
      <c r="S154">
        <v>900</v>
      </c>
      <c r="T154">
        <v>0</v>
      </c>
      <c r="U154" t="str">
        <f>IF(SeismicData[[#This Row],[class]]=1,"Dangerous","Safe")</f>
        <v>Safe</v>
      </c>
      <c r="V154" t="str">
        <f>IF(SeismicData[[#This Row],[shift]]="W","Production","Non-Production")</f>
        <v>Production</v>
      </c>
      <c r="W154" t="str">
        <f>IF(SeismicData[[#This Row],[genergy]]=0,"0","10^"&amp;INT(LOG10(SeismicData[[#This Row],[genergy]])))</f>
        <v>10^5</v>
      </c>
      <c r="X154" t="str">
        <f>IF(OR(SeismicData[[#This Row],[genergy]]&lt;$AA$6,SeismicData[[#This Row],[genergy]]&gt;$AA$5),"Outlier","Normal")</f>
        <v>Outlier</v>
      </c>
    </row>
    <row r="155" spans="1:24" x14ac:dyDescent="0.15">
      <c r="A155">
        <v>154</v>
      </c>
      <c r="B155" t="s">
        <v>20</v>
      </c>
      <c r="C155" t="s">
        <v>20</v>
      </c>
      <c r="D155" t="s">
        <v>22</v>
      </c>
      <c r="E155">
        <v>443740</v>
      </c>
      <c r="F155">
        <v>1321</v>
      </c>
      <c r="G155">
        <v>20</v>
      </c>
      <c r="H155">
        <v>10</v>
      </c>
      <c r="I155" t="s">
        <v>20</v>
      </c>
      <c r="J155">
        <v>0</v>
      </c>
      <c r="K155">
        <v>0</v>
      </c>
      <c r="L155">
        <v>0</v>
      </c>
      <c r="M155">
        <v>0</v>
      </c>
      <c r="N155">
        <v>0</v>
      </c>
      <c r="O155">
        <v>0</v>
      </c>
      <c r="P155">
        <v>0</v>
      </c>
      <c r="Q155">
        <v>0</v>
      </c>
      <c r="R155">
        <v>0</v>
      </c>
      <c r="S155">
        <v>0</v>
      </c>
      <c r="T155">
        <v>0</v>
      </c>
      <c r="U155" t="str">
        <f>IF(SeismicData[[#This Row],[class]]=1,"Dangerous","Safe")</f>
        <v>Safe</v>
      </c>
      <c r="V155" t="str">
        <f>IF(SeismicData[[#This Row],[shift]]="W","Production","Non-Production")</f>
        <v>Production</v>
      </c>
      <c r="W155" t="str">
        <f>IF(SeismicData[[#This Row],[genergy]]=0,"0","10^"&amp;INT(LOG10(SeismicData[[#This Row],[genergy]])))</f>
        <v>10^5</v>
      </c>
      <c r="X155" t="str">
        <f>IF(OR(SeismicData[[#This Row],[genergy]]&lt;$AA$6,SeismicData[[#This Row],[genergy]]&gt;$AA$5),"Outlier","Normal")</f>
        <v>Outlier</v>
      </c>
    </row>
    <row r="156" spans="1:24" x14ac:dyDescent="0.15">
      <c r="A156">
        <v>155</v>
      </c>
      <c r="B156" t="s">
        <v>20</v>
      </c>
      <c r="C156" t="s">
        <v>20</v>
      </c>
      <c r="D156" t="s">
        <v>21</v>
      </c>
      <c r="E156">
        <v>39620</v>
      </c>
      <c r="F156">
        <v>195</v>
      </c>
      <c r="G156">
        <v>-61</v>
      </c>
      <c r="H156">
        <v>-53</v>
      </c>
      <c r="I156" t="s">
        <v>20</v>
      </c>
      <c r="J156">
        <v>1</v>
      </c>
      <c r="K156">
        <v>0</v>
      </c>
      <c r="L156">
        <v>1</v>
      </c>
      <c r="M156">
        <v>0</v>
      </c>
      <c r="N156">
        <v>0</v>
      </c>
      <c r="O156">
        <v>0</v>
      </c>
      <c r="P156">
        <v>0</v>
      </c>
      <c r="Q156">
        <v>0</v>
      </c>
      <c r="R156">
        <v>4000</v>
      </c>
      <c r="S156">
        <v>4000</v>
      </c>
      <c r="T156">
        <v>0</v>
      </c>
      <c r="U156" t="str">
        <f>IF(SeismicData[[#This Row],[class]]=1,"Dangerous","Safe")</f>
        <v>Safe</v>
      </c>
      <c r="V156" t="str">
        <f>IF(SeismicData[[#This Row],[shift]]="W","Production","Non-Production")</f>
        <v>Non-Production</v>
      </c>
      <c r="W156" t="str">
        <f>IF(SeismicData[[#This Row],[genergy]]=0,"0","10^"&amp;INT(LOG10(SeismicData[[#This Row],[genergy]])))</f>
        <v>10^4</v>
      </c>
      <c r="X156" t="str">
        <f>IF(OR(SeismicData[[#This Row],[genergy]]&lt;$AA$6,SeismicData[[#This Row],[genergy]]&gt;$AA$5),"Outlier","Normal")</f>
        <v>Normal</v>
      </c>
    </row>
    <row r="157" spans="1:24" x14ac:dyDescent="0.15">
      <c r="A157">
        <v>156</v>
      </c>
      <c r="B157" t="s">
        <v>20</v>
      </c>
      <c r="C157" t="s">
        <v>20</v>
      </c>
      <c r="D157" t="s">
        <v>22</v>
      </c>
      <c r="E157">
        <v>788230</v>
      </c>
      <c r="F157">
        <v>1484</v>
      </c>
      <c r="G157">
        <v>-1</v>
      </c>
      <c r="H157">
        <v>-1</v>
      </c>
      <c r="I157" t="s">
        <v>20</v>
      </c>
      <c r="J157">
        <v>0</v>
      </c>
      <c r="K157">
        <v>0</v>
      </c>
      <c r="L157">
        <v>0</v>
      </c>
      <c r="M157">
        <v>0</v>
      </c>
      <c r="N157">
        <v>0</v>
      </c>
      <c r="O157">
        <v>0</v>
      </c>
      <c r="P157">
        <v>0</v>
      </c>
      <c r="Q157">
        <v>0</v>
      </c>
      <c r="R157">
        <v>0</v>
      </c>
      <c r="S157">
        <v>0</v>
      </c>
      <c r="T157">
        <v>0</v>
      </c>
      <c r="U157" t="str">
        <f>IF(SeismicData[[#This Row],[class]]=1,"Dangerous","Safe")</f>
        <v>Safe</v>
      </c>
      <c r="V157" t="str">
        <f>IF(SeismicData[[#This Row],[shift]]="W","Production","Non-Production")</f>
        <v>Production</v>
      </c>
      <c r="W157" t="str">
        <f>IF(SeismicData[[#This Row],[genergy]]=0,"0","10^"&amp;INT(LOG10(SeismicData[[#This Row],[genergy]])))</f>
        <v>10^5</v>
      </c>
      <c r="X157" t="str">
        <f>IF(OR(SeismicData[[#This Row],[genergy]]&lt;$AA$6,SeismicData[[#This Row],[genergy]]&gt;$AA$5),"Outlier","Normal")</f>
        <v>Outlier</v>
      </c>
    </row>
    <row r="158" spans="1:24" x14ac:dyDescent="0.15">
      <c r="A158">
        <v>157</v>
      </c>
      <c r="B158" t="s">
        <v>20</v>
      </c>
      <c r="C158" t="s">
        <v>20</v>
      </c>
      <c r="D158" t="s">
        <v>21</v>
      </c>
      <c r="E158">
        <v>119460</v>
      </c>
      <c r="F158">
        <v>269</v>
      </c>
      <c r="G158">
        <v>-70</v>
      </c>
      <c r="H158">
        <v>-64</v>
      </c>
      <c r="I158" t="s">
        <v>20</v>
      </c>
      <c r="J158">
        <v>0</v>
      </c>
      <c r="K158">
        <v>0</v>
      </c>
      <c r="L158">
        <v>0</v>
      </c>
      <c r="M158">
        <v>0</v>
      </c>
      <c r="N158">
        <v>0</v>
      </c>
      <c r="O158">
        <v>0</v>
      </c>
      <c r="P158">
        <v>0</v>
      </c>
      <c r="Q158">
        <v>0</v>
      </c>
      <c r="R158">
        <v>0</v>
      </c>
      <c r="S158">
        <v>0</v>
      </c>
      <c r="T158">
        <v>0</v>
      </c>
      <c r="U158" t="str">
        <f>IF(SeismicData[[#This Row],[class]]=1,"Dangerous","Safe")</f>
        <v>Safe</v>
      </c>
      <c r="V158" t="str">
        <f>IF(SeismicData[[#This Row],[shift]]="W","Production","Non-Production")</f>
        <v>Non-Production</v>
      </c>
      <c r="W158" t="str">
        <f>IF(SeismicData[[#This Row],[genergy]]=0,"0","10^"&amp;INT(LOG10(SeismicData[[#This Row],[genergy]])))</f>
        <v>10^5</v>
      </c>
      <c r="X158" t="str">
        <f>IF(OR(SeismicData[[#This Row],[genergy]]&lt;$AA$6,SeismicData[[#This Row],[genergy]]&gt;$AA$5),"Outlier","Normal")</f>
        <v>Outlier</v>
      </c>
    </row>
    <row r="159" spans="1:24" x14ac:dyDescent="0.15">
      <c r="A159">
        <v>158</v>
      </c>
      <c r="B159" t="s">
        <v>20</v>
      </c>
      <c r="C159" t="s">
        <v>20</v>
      </c>
      <c r="D159" t="s">
        <v>21</v>
      </c>
      <c r="E159">
        <v>65100</v>
      </c>
      <c r="F159">
        <v>172</v>
      </c>
      <c r="G159">
        <v>-82</v>
      </c>
      <c r="H159">
        <v>-75</v>
      </c>
      <c r="I159" t="s">
        <v>20</v>
      </c>
      <c r="J159">
        <v>1</v>
      </c>
      <c r="K159">
        <v>0</v>
      </c>
      <c r="L159">
        <v>1</v>
      </c>
      <c r="M159">
        <v>0</v>
      </c>
      <c r="N159">
        <v>0</v>
      </c>
      <c r="O159">
        <v>0</v>
      </c>
      <c r="P159">
        <v>0</v>
      </c>
      <c r="Q159">
        <v>0</v>
      </c>
      <c r="R159">
        <v>3000</v>
      </c>
      <c r="S159">
        <v>3000</v>
      </c>
      <c r="T159">
        <v>0</v>
      </c>
      <c r="U159" t="str">
        <f>IF(SeismicData[[#This Row],[class]]=1,"Dangerous","Safe")</f>
        <v>Safe</v>
      </c>
      <c r="V159" t="str">
        <f>IF(SeismicData[[#This Row],[shift]]="W","Production","Non-Production")</f>
        <v>Non-Production</v>
      </c>
      <c r="W159" t="str">
        <f>IF(SeismicData[[#This Row],[genergy]]=0,"0","10^"&amp;INT(LOG10(SeismicData[[#This Row],[genergy]])))</f>
        <v>10^4</v>
      </c>
      <c r="X159" t="str">
        <f>IF(OR(SeismicData[[#This Row],[genergy]]&lt;$AA$6,SeismicData[[#This Row],[genergy]]&gt;$AA$5),"Outlier","Normal")</f>
        <v>Normal</v>
      </c>
    </row>
    <row r="160" spans="1:24" x14ac:dyDescent="0.15">
      <c r="A160">
        <v>159</v>
      </c>
      <c r="B160" t="s">
        <v>20</v>
      </c>
      <c r="C160" t="s">
        <v>23</v>
      </c>
      <c r="D160" t="s">
        <v>22</v>
      </c>
      <c r="E160">
        <v>1049580</v>
      </c>
      <c r="F160">
        <v>1807</v>
      </c>
      <c r="G160">
        <v>31</v>
      </c>
      <c r="H160">
        <v>21</v>
      </c>
      <c r="I160" t="s">
        <v>20</v>
      </c>
      <c r="J160">
        <v>0</v>
      </c>
      <c r="K160">
        <v>0</v>
      </c>
      <c r="L160">
        <v>0</v>
      </c>
      <c r="M160">
        <v>0</v>
      </c>
      <c r="N160">
        <v>0</v>
      </c>
      <c r="O160">
        <v>0</v>
      </c>
      <c r="P160">
        <v>0</v>
      </c>
      <c r="Q160">
        <v>0</v>
      </c>
      <c r="R160">
        <v>0</v>
      </c>
      <c r="S160">
        <v>0</v>
      </c>
      <c r="T160">
        <v>0</v>
      </c>
      <c r="U160" t="str">
        <f>IF(SeismicData[[#This Row],[class]]=1,"Dangerous","Safe")</f>
        <v>Safe</v>
      </c>
      <c r="V160" t="str">
        <f>IF(SeismicData[[#This Row],[shift]]="W","Production","Non-Production")</f>
        <v>Production</v>
      </c>
      <c r="W160" t="str">
        <f>IF(SeismicData[[#This Row],[genergy]]=0,"0","10^"&amp;INT(LOG10(SeismicData[[#This Row],[genergy]])))</f>
        <v>10^6</v>
      </c>
      <c r="X160" t="str">
        <f>IF(OR(SeismicData[[#This Row],[genergy]]&lt;$AA$6,SeismicData[[#This Row],[genergy]]&gt;$AA$5),"Outlier","Normal")</f>
        <v>Outlier</v>
      </c>
    </row>
    <row r="161" spans="1:24" x14ac:dyDescent="0.15">
      <c r="A161">
        <v>160</v>
      </c>
      <c r="B161" t="s">
        <v>20</v>
      </c>
      <c r="C161" t="s">
        <v>23</v>
      </c>
      <c r="D161" t="s">
        <v>22</v>
      </c>
      <c r="E161">
        <v>715540</v>
      </c>
      <c r="F161">
        <v>1471</v>
      </c>
      <c r="G161">
        <v>-13</v>
      </c>
      <c r="H161">
        <v>-4</v>
      </c>
      <c r="I161" t="s">
        <v>20</v>
      </c>
      <c r="J161">
        <v>2</v>
      </c>
      <c r="K161">
        <v>2</v>
      </c>
      <c r="L161">
        <v>0</v>
      </c>
      <c r="M161">
        <v>0</v>
      </c>
      <c r="N161">
        <v>0</v>
      </c>
      <c r="O161">
        <v>0</v>
      </c>
      <c r="P161">
        <v>0</v>
      </c>
      <c r="Q161">
        <v>0</v>
      </c>
      <c r="R161">
        <v>900</v>
      </c>
      <c r="S161">
        <v>600</v>
      </c>
      <c r="T161">
        <v>1</v>
      </c>
      <c r="U161" t="str">
        <f>IF(SeismicData[[#This Row],[class]]=1,"Dangerous","Safe")</f>
        <v>Dangerous</v>
      </c>
      <c r="V161" t="str">
        <f>IF(SeismicData[[#This Row],[shift]]="W","Production","Non-Production")</f>
        <v>Production</v>
      </c>
      <c r="W161" t="str">
        <f>IF(SeismicData[[#This Row],[genergy]]=0,"0","10^"&amp;INT(LOG10(SeismicData[[#This Row],[genergy]])))</f>
        <v>10^5</v>
      </c>
      <c r="X161" t="str">
        <f>IF(OR(SeismicData[[#This Row],[genergy]]&lt;$AA$6,SeismicData[[#This Row],[genergy]]&gt;$AA$5),"Outlier","Normal")</f>
        <v>Outlier</v>
      </c>
    </row>
    <row r="162" spans="1:24" x14ac:dyDescent="0.15">
      <c r="A162">
        <v>161</v>
      </c>
      <c r="B162" t="s">
        <v>20</v>
      </c>
      <c r="C162" t="s">
        <v>23</v>
      </c>
      <c r="D162" t="s">
        <v>21</v>
      </c>
      <c r="E162">
        <v>92520</v>
      </c>
      <c r="F162">
        <v>169</v>
      </c>
      <c r="G162">
        <v>-73</v>
      </c>
      <c r="H162">
        <v>-74</v>
      </c>
      <c r="I162" t="s">
        <v>20</v>
      </c>
      <c r="J162">
        <v>1</v>
      </c>
      <c r="K162">
        <v>0</v>
      </c>
      <c r="L162">
        <v>0</v>
      </c>
      <c r="M162">
        <v>1</v>
      </c>
      <c r="N162">
        <v>0</v>
      </c>
      <c r="O162">
        <v>0</v>
      </c>
      <c r="P162">
        <v>0</v>
      </c>
      <c r="Q162">
        <v>0</v>
      </c>
      <c r="R162">
        <v>10000</v>
      </c>
      <c r="S162">
        <v>10000</v>
      </c>
      <c r="T162">
        <v>1</v>
      </c>
      <c r="U162" t="str">
        <f>IF(SeismicData[[#This Row],[class]]=1,"Dangerous","Safe")</f>
        <v>Dangerous</v>
      </c>
      <c r="V162" t="str">
        <f>IF(SeismicData[[#This Row],[shift]]="W","Production","Non-Production")</f>
        <v>Non-Production</v>
      </c>
      <c r="W162" t="str">
        <f>IF(SeismicData[[#This Row],[genergy]]=0,"0","10^"&amp;INT(LOG10(SeismicData[[#This Row],[genergy]])))</f>
        <v>10^4</v>
      </c>
      <c r="X162" t="str">
        <f>IF(OR(SeismicData[[#This Row],[genergy]]&lt;$AA$6,SeismicData[[#This Row],[genergy]]&gt;$AA$5),"Outlier","Normal")</f>
        <v>Normal</v>
      </c>
    </row>
    <row r="163" spans="1:24" x14ac:dyDescent="0.15">
      <c r="A163">
        <v>162</v>
      </c>
      <c r="B163" t="s">
        <v>23</v>
      </c>
      <c r="C163" t="s">
        <v>24</v>
      </c>
      <c r="D163" t="s">
        <v>22</v>
      </c>
      <c r="E163">
        <v>974430</v>
      </c>
      <c r="F163">
        <v>1828</v>
      </c>
      <c r="G163">
        <v>20</v>
      </c>
      <c r="H163">
        <v>20</v>
      </c>
      <c r="I163" t="s">
        <v>20</v>
      </c>
      <c r="J163">
        <v>2</v>
      </c>
      <c r="K163">
        <v>1</v>
      </c>
      <c r="L163">
        <v>0</v>
      </c>
      <c r="M163">
        <v>1</v>
      </c>
      <c r="N163">
        <v>0</v>
      </c>
      <c r="O163">
        <v>0</v>
      </c>
      <c r="P163">
        <v>0</v>
      </c>
      <c r="Q163">
        <v>0</v>
      </c>
      <c r="R163">
        <v>20600</v>
      </c>
      <c r="S163">
        <v>20000</v>
      </c>
      <c r="T163">
        <v>0</v>
      </c>
      <c r="U163" t="str">
        <f>IF(SeismicData[[#This Row],[class]]=1,"Dangerous","Safe")</f>
        <v>Safe</v>
      </c>
      <c r="V163" t="str">
        <f>IF(SeismicData[[#This Row],[shift]]="W","Production","Non-Production")</f>
        <v>Production</v>
      </c>
      <c r="W163" t="str">
        <f>IF(SeismicData[[#This Row],[genergy]]=0,"0","10^"&amp;INT(LOG10(SeismicData[[#This Row],[genergy]])))</f>
        <v>10^5</v>
      </c>
      <c r="X163" t="str">
        <f>IF(OR(SeismicData[[#This Row],[genergy]]&lt;$AA$6,SeismicData[[#This Row],[genergy]]&gt;$AA$5),"Outlier","Normal")</f>
        <v>Outlier</v>
      </c>
    </row>
    <row r="164" spans="1:24" x14ac:dyDescent="0.15">
      <c r="A164">
        <v>163</v>
      </c>
      <c r="B164" t="s">
        <v>23</v>
      </c>
      <c r="C164" t="s">
        <v>24</v>
      </c>
      <c r="D164" t="s">
        <v>22</v>
      </c>
      <c r="E164">
        <v>696470</v>
      </c>
      <c r="F164">
        <v>1368</v>
      </c>
      <c r="G164">
        <v>-16</v>
      </c>
      <c r="H164">
        <v>-12</v>
      </c>
      <c r="I164" t="s">
        <v>20</v>
      </c>
      <c r="J164">
        <v>2</v>
      </c>
      <c r="K164">
        <v>1</v>
      </c>
      <c r="L164">
        <v>1</v>
      </c>
      <c r="M164">
        <v>0</v>
      </c>
      <c r="N164">
        <v>0</v>
      </c>
      <c r="O164">
        <v>0</v>
      </c>
      <c r="P164">
        <v>0</v>
      </c>
      <c r="Q164">
        <v>0</v>
      </c>
      <c r="R164">
        <v>2400</v>
      </c>
      <c r="S164">
        <v>2000</v>
      </c>
      <c r="T164">
        <v>0</v>
      </c>
      <c r="U164" t="str">
        <f>IF(SeismicData[[#This Row],[class]]=1,"Dangerous","Safe")</f>
        <v>Safe</v>
      </c>
      <c r="V164" t="str">
        <f>IF(SeismicData[[#This Row],[shift]]="W","Production","Non-Production")</f>
        <v>Production</v>
      </c>
      <c r="W164" t="str">
        <f>IF(SeismicData[[#This Row],[genergy]]=0,"0","10^"&amp;INT(LOG10(SeismicData[[#This Row],[genergy]])))</f>
        <v>10^5</v>
      </c>
      <c r="X164" t="str">
        <f>IF(OR(SeismicData[[#This Row],[genergy]]&lt;$AA$6,SeismicData[[#This Row],[genergy]]&gt;$AA$5),"Outlier","Normal")</f>
        <v>Outlier</v>
      </c>
    </row>
    <row r="165" spans="1:24" x14ac:dyDescent="0.15">
      <c r="A165">
        <v>164</v>
      </c>
      <c r="B165" t="s">
        <v>23</v>
      </c>
      <c r="C165" t="s">
        <v>24</v>
      </c>
      <c r="D165" t="s">
        <v>21</v>
      </c>
      <c r="E165">
        <v>61620</v>
      </c>
      <c r="F165">
        <v>195</v>
      </c>
      <c r="G165">
        <v>-33</v>
      </c>
      <c r="H165">
        <v>-4</v>
      </c>
      <c r="I165" t="s">
        <v>20</v>
      </c>
      <c r="J165">
        <v>1</v>
      </c>
      <c r="K165">
        <v>0</v>
      </c>
      <c r="L165">
        <v>1</v>
      </c>
      <c r="M165">
        <v>0</v>
      </c>
      <c r="N165">
        <v>0</v>
      </c>
      <c r="O165">
        <v>0</v>
      </c>
      <c r="P165">
        <v>0</v>
      </c>
      <c r="Q165">
        <v>0</v>
      </c>
      <c r="R165">
        <v>3000</v>
      </c>
      <c r="S165">
        <v>3000</v>
      </c>
      <c r="T165">
        <v>0</v>
      </c>
      <c r="U165" t="str">
        <f>IF(SeismicData[[#This Row],[class]]=1,"Dangerous","Safe")</f>
        <v>Safe</v>
      </c>
      <c r="V165" t="str">
        <f>IF(SeismicData[[#This Row],[shift]]="W","Production","Non-Production")</f>
        <v>Non-Production</v>
      </c>
      <c r="W165" t="str">
        <f>IF(SeismicData[[#This Row],[genergy]]=0,"0","10^"&amp;INT(LOG10(SeismicData[[#This Row],[genergy]])))</f>
        <v>10^4</v>
      </c>
      <c r="X165" t="str">
        <f>IF(OR(SeismicData[[#This Row],[genergy]]&lt;$AA$6,SeismicData[[#This Row],[genergy]]&gt;$AA$5),"Outlier","Normal")</f>
        <v>Normal</v>
      </c>
    </row>
    <row r="166" spans="1:24" x14ac:dyDescent="0.15">
      <c r="A166">
        <v>165</v>
      </c>
      <c r="B166" t="s">
        <v>20</v>
      </c>
      <c r="C166" t="s">
        <v>24</v>
      </c>
      <c r="D166" t="s">
        <v>22</v>
      </c>
      <c r="E166">
        <v>1124850</v>
      </c>
      <c r="F166">
        <v>2153</v>
      </c>
      <c r="G166">
        <v>37</v>
      </c>
      <c r="H166">
        <v>39</v>
      </c>
      <c r="I166" t="s">
        <v>20</v>
      </c>
      <c r="J166">
        <v>3</v>
      </c>
      <c r="K166">
        <v>1</v>
      </c>
      <c r="L166">
        <v>2</v>
      </c>
      <c r="M166">
        <v>0</v>
      </c>
      <c r="N166">
        <v>0</v>
      </c>
      <c r="O166">
        <v>0</v>
      </c>
      <c r="P166">
        <v>0</v>
      </c>
      <c r="Q166">
        <v>0</v>
      </c>
      <c r="R166">
        <v>3900</v>
      </c>
      <c r="S166">
        <v>2000</v>
      </c>
      <c r="T166">
        <v>0</v>
      </c>
      <c r="U166" t="str">
        <f>IF(SeismicData[[#This Row],[class]]=1,"Dangerous","Safe")</f>
        <v>Safe</v>
      </c>
      <c r="V166" t="str">
        <f>IF(SeismicData[[#This Row],[shift]]="W","Production","Non-Production")</f>
        <v>Production</v>
      </c>
      <c r="W166" t="str">
        <f>IF(SeismicData[[#This Row],[genergy]]=0,"0","10^"&amp;INT(LOG10(SeismicData[[#This Row],[genergy]])))</f>
        <v>10^6</v>
      </c>
      <c r="X166" t="str">
        <f>IF(OR(SeismicData[[#This Row],[genergy]]&lt;$AA$6,SeismicData[[#This Row],[genergy]]&gt;$AA$5),"Outlier","Normal")</f>
        <v>Outlier</v>
      </c>
    </row>
    <row r="167" spans="1:24" x14ac:dyDescent="0.15">
      <c r="A167">
        <v>166</v>
      </c>
      <c r="B167" t="s">
        <v>20</v>
      </c>
      <c r="C167" t="s">
        <v>23</v>
      </c>
      <c r="D167" t="s">
        <v>22</v>
      </c>
      <c r="E167">
        <v>640820</v>
      </c>
      <c r="F167">
        <v>1235</v>
      </c>
      <c r="G167">
        <v>-25</v>
      </c>
      <c r="H167">
        <v>-23</v>
      </c>
      <c r="I167" t="s">
        <v>20</v>
      </c>
      <c r="J167">
        <v>1</v>
      </c>
      <c r="K167">
        <v>0</v>
      </c>
      <c r="L167">
        <v>1</v>
      </c>
      <c r="M167">
        <v>0</v>
      </c>
      <c r="N167">
        <v>0</v>
      </c>
      <c r="O167">
        <v>0</v>
      </c>
      <c r="P167">
        <v>0</v>
      </c>
      <c r="Q167">
        <v>0</v>
      </c>
      <c r="R167">
        <v>5000</v>
      </c>
      <c r="S167">
        <v>5000</v>
      </c>
      <c r="T167">
        <v>0</v>
      </c>
      <c r="U167" t="str">
        <f>IF(SeismicData[[#This Row],[class]]=1,"Dangerous","Safe")</f>
        <v>Safe</v>
      </c>
      <c r="V167" t="str">
        <f>IF(SeismicData[[#This Row],[shift]]="W","Production","Non-Production")</f>
        <v>Production</v>
      </c>
      <c r="W167" t="str">
        <f>IF(SeismicData[[#This Row],[genergy]]=0,"0","10^"&amp;INT(LOG10(SeismicData[[#This Row],[genergy]])))</f>
        <v>10^5</v>
      </c>
      <c r="X167" t="str">
        <f>IF(OR(SeismicData[[#This Row],[genergy]]&lt;$AA$6,SeismicData[[#This Row],[genergy]]&gt;$AA$5),"Outlier","Normal")</f>
        <v>Outlier</v>
      </c>
    </row>
    <row r="168" spans="1:24" x14ac:dyDescent="0.15">
      <c r="A168">
        <v>167</v>
      </c>
      <c r="B168" t="s">
        <v>20</v>
      </c>
      <c r="C168" t="s">
        <v>23</v>
      </c>
      <c r="D168" t="s">
        <v>22</v>
      </c>
      <c r="E168">
        <v>1096910</v>
      </c>
      <c r="F168">
        <v>2037</v>
      </c>
      <c r="G168">
        <v>31</v>
      </c>
      <c r="H168">
        <v>29</v>
      </c>
      <c r="I168" t="s">
        <v>20</v>
      </c>
      <c r="J168">
        <v>2</v>
      </c>
      <c r="K168">
        <v>1</v>
      </c>
      <c r="L168">
        <v>1</v>
      </c>
      <c r="M168">
        <v>0</v>
      </c>
      <c r="N168">
        <v>0</v>
      </c>
      <c r="O168">
        <v>0</v>
      </c>
      <c r="P168">
        <v>0</v>
      </c>
      <c r="Q168">
        <v>0</v>
      </c>
      <c r="R168">
        <v>3700</v>
      </c>
      <c r="S168">
        <v>3000</v>
      </c>
      <c r="T168">
        <v>0</v>
      </c>
      <c r="U168" t="str">
        <f>IF(SeismicData[[#This Row],[class]]=1,"Dangerous","Safe")</f>
        <v>Safe</v>
      </c>
      <c r="V168" t="str">
        <f>IF(SeismicData[[#This Row],[shift]]="W","Production","Non-Production")</f>
        <v>Production</v>
      </c>
      <c r="W168" t="str">
        <f>IF(SeismicData[[#This Row],[genergy]]=0,"0","10^"&amp;INT(LOG10(SeismicData[[#This Row],[genergy]])))</f>
        <v>10^6</v>
      </c>
      <c r="X168" t="str">
        <f>IF(OR(SeismicData[[#This Row],[genergy]]&lt;$AA$6,SeismicData[[#This Row],[genergy]]&gt;$AA$5),"Outlier","Normal")</f>
        <v>Outlier</v>
      </c>
    </row>
    <row r="169" spans="1:24" x14ac:dyDescent="0.15">
      <c r="A169">
        <v>168</v>
      </c>
      <c r="B169" t="s">
        <v>20</v>
      </c>
      <c r="C169" t="s">
        <v>23</v>
      </c>
      <c r="D169" t="s">
        <v>21</v>
      </c>
      <c r="E169">
        <v>155540</v>
      </c>
      <c r="F169">
        <v>363</v>
      </c>
      <c r="G169">
        <v>74</v>
      </c>
      <c r="H169">
        <v>79</v>
      </c>
      <c r="I169" t="s">
        <v>20</v>
      </c>
      <c r="J169">
        <v>0</v>
      </c>
      <c r="K169">
        <v>0</v>
      </c>
      <c r="L169">
        <v>0</v>
      </c>
      <c r="M169">
        <v>0</v>
      </c>
      <c r="N169">
        <v>0</v>
      </c>
      <c r="O169">
        <v>0</v>
      </c>
      <c r="P169">
        <v>0</v>
      </c>
      <c r="Q169">
        <v>0</v>
      </c>
      <c r="R169">
        <v>0</v>
      </c>
      <c r="S169">
        <v>0</v>
      </c>
      <c r="T169">
        <v>0</v>
      </c>
      <c r="U169" t="str">
        <f>IF(SeismicData[[#This Row],[class]]=1,"Dangerous","Safe")</f>
        <v>Safe</v>
      </c>
      <c r="V169" t="str">
        <f>IF(SeismicData[[#This Row],[shift]]="W","Production","Non-Production")</f>
        <v>Non-Production</v>
      </c>
      <c r="W169" t="str">
        <f>IF(SeismicData[[#This Row],[genergy]]=0,"0","10^"&amp;INT(LOG10(SeismicData[[#This Row],[genergy]])))</f>
        <v>10^5</v>
      </c>
      <c r="X169" t="str">
        <f>IF(OR(SeismicData[[#This Row],[genergy]]&lt;$AA$6,SeismicData[[#This Row],[genergy]]&gt;$AA$5),"Outlier","Normal")</f>
        <v>Outlier</v>
      </c>
    </row>
    <row r="170" spans="1:24" x14ac:dyDescent="0.15">
      <c r="A170">
        <v>169</v>
      </c>
      <c r="B170" t="s">
        <v>20</v>
      </c>
      <c r="C170" t="s">
        <v>23</v>
      </c>
      <c r="D170" t="s">
        <v>22</v>
      </c>
      <c r="E170">
        <v>722590</v>
      </c>
      <c r="F170">
        <v>2125</v>
      </c>
      <c r="G170">
        <v>-17</v>
      </c>
      <c r="H170">
        <v>30</v>
      </c>
      <c r="I170" t="s">
        <v>20</v>
      </c>
      <c r="J170">
        <v>2</v>
      </c>
      <c r="K170">
        <v>0</v>
      </c>
      <c r="L170">
        <v>2</v>
      </c>
      <c r="M170">
        <v>0</v>
      </c>
      <c r="N170">
        <v>0</v>
      </c>
      <c r="O170">
        <v>0</v>
      </c>
      <c r="P170">
        <v>0</v>
      </c>
      <c r="Q170">
        <v>0</v>
      </c>
      <c r="R170">
        <v>5000</v>
      </c>
      <c r="S170">
        <v>4000</v>
      </c>
      <c r="T170">
        <v>0</v>
      </c>
      <c r="U170" t="str">
        <f>IF(SeismicData[[#This Row],[class]]=1,"Dangerous","Safe")</f>
        <v>Safe</v>
      </c>
      <c r="V170" t="str">
        <f>IF(SeismicData[[#This Row],[shift]]="W","Production","Non-Production")</f>
        <v>Production</v>
      </c>
      <c r="W170" t="str">
        <f>IF(SeismicData[[#This Row],[genergy]]=0,"0","10^"&amp;INT(LOG10(SeismicData[[#This Row],[genergy]])))</f>
        <v>10^5</v>
      </c>
      <c r="X170" t="str">
        <f>IF(OR(SeismicData[[#This Row],[genergy]]&lt;$AA$6,SeismicData[[#This Row],[genergy]]&gt;$AA$5),"Outlier","Normal")</f>
        <v>Outlier</v>
      </c>
    </row>
    <row r="171" spans="1:24" x14ac:dyDescent="0.15">
      <c r="A171">
        <v>170</v>
      </c>
      <c r="B171" t="s">
        <v>20</v>
      </c>
      <c r="C171" t="s">
        <v>23</v>
      </c>
      <c r="D171" t="s">
        <v>22</v>
      </c>
      <c r="E171">
        <v>582700</v>
      </c>
      <c r="F171">
        <v>1232</v>
      </c>
      <c r="G171">
        <v>-32</v>
      </c>
      <c r="H171">
        <v>-28</v>
      </c>
      <c r="I171" t="s">
        <v>20</v>
      </c>
      <c r="J171">
        <v>1</v>
      </c>
      <c r="K171">
        <v>0</v>
      </c>
      <c r="L171">
        <v>1</v>
      </c>
      <c r="M171">
        <v>0</v>
      </c>
      <c r="N171">
        <v>0</v>
      </c>
      <c r="O171">
        <v>0</v>
      </c>
      <c r="P171">
        <v>0</v>
      </c>
      <c r="Q171">
        <v>0</v>
      </c>
      <c r="R171">
        <v>7000</v>
      </c>
      <c r="S171">
        <v>7000</v>
      </c>
      <c r="T171">
        <v>0</v>
      </c>
      <c r="U171" t="str">
        <f>IF(SeismicData[[#This Row],[class]]=1,"Dangerous","Safe")</f>
        <v>Safe</v>
      </c>
      <c r="V171" t="str">
        <f>IF(SeismicData[[#This Row],[shift]]="W","Production","Non-Production")</f>
        <v>Production</v>
      </c>
      <c r="W171" t="str">
        <f>IF(SeismicData[[#This Row],[genergy]]=0,"0","10^"&amp;INT(LOG10(SeismicData[[#This Row],[genergy]])))</f>
        <v>10^5</v>
      </c>
      <c r="X171" t="str">
        <f>IF(OR(SeismicData[[#This Row],[genergy]]&lt;$AA$6,SeismicData[[#This Row],[genergy]]&gt;$AA$5),"Outlier","Normal")</f>
        <v>Outlier</v>
      </c>
    </row>
    <row r="172" spans="1:24" x14ac:dyDescent="0.15">
      <c r="A172">
        <v>171</v>
      </c>
      <c r="B172" t="s">
        <v>20</v>
      </c>
      <c r="C172" t="s">
        <v>23</v>
      </c>
      <c r="D172" t="s">
        <v>22</v>
      </c>
      <c r="E172">
        <v>691310</v>
      </c>
      <c r="F172">
        <v>1416</v>
      </c>
      <c r="G172">
        <v>-14</v>
      </c>
      <c r="H172">
        <v>-6</v>
      </c>
      <c r="I172" t="s">
        <v>20</v>
      </c>
      <c r="J172">
        <v>0</v>
      </c>
      <c r="K172">
        <v>0</v>
      </c>
      <c r="L172">
        <v>0</v>
      </c>
      <c r="M172">
        <v>0</v>
      </c>
      <c r="N172">
        <v>0</v>
      </c>
      <c r="O172">
        <v>0</v>
      </c>
      <c r="P172">
        <v>0</v>
      </c>
      <c r="Q172">
        <v>0</v>
      </c>
      <c r="R172">
        <v>0</v>
      </c>
      <c r="S172">
        <v>0</v>
      </c>
      <c r="T172">
        <v>0</v>
      </c>
      <c r="U172" t="str">
        <f>IF(SeismicData[[#This Row],[class]]=1,"Dangerous","Safe")</f>
        <v>Safe</v>
      </c>
      <c r="V172" t="str">
        <f>IF(SeismicData[[#This Row],[shift]]="W","Production","Non-Production")</f>
        <v>Production</v>
      </c>
      <c r="W172" t="str">
        <f>IF(SeismicData[[#This Row],[genergy]]=0,"0","10^"&amp;INT(LOG10(SeismicData[[#This Row],[genergy]])))</f>
        <v>10^5</v>
      </c>
      <c r="X172" t="str">
        <f>IF(OR(SeismicData[[#This Row],[genergy]]&lt;$AA$6,SeismicData[[#This Row],[genergy]]&gt;$AA$5),"Outlier","Normal")</f>
        <v>Outlier</v>
      </c>
    </row>
    <row r="173" spans="1:24" x14ac:dyDescent="0.15">
      <c r="A173">
        <v>172</v>
      </c>
      <c r="B173" t="s">
        <v>20</v>
      </c>
      <c r="C173" t="s">
        <v>23</v>
      </c>
      <c r="D173" t="s">
        <v>22</v>
      </c>
      <c r="E173">
        <v>698810</v>
      </c>
      <c r="F173">
        <v>1279</v>
      </c>
      <c r="G173">
        <v>-11</v>
      </c>
      <c r="H173">
        <v>-14</v>
      </c>
      <c r="I173" t="s">
        <v>20</v>
      </c>
      <c r="J173">
        <v>3</v>
      </c>
      <c r="K173">
        <v>0</v>
      </c>
      <c r="L173">
        <v>3</v>
      </c>
      <c r="M173">
        <v>0</v>
      </c>
      <c r="N173">
        <v>0</v>
      </c>
      <c r="O173">
        <v>0</v>
      </c>
      <c r="P173">
        <v>0</v>
      </c>
      <c r="Q173">
        <v>0</v>
      </c>
      <c r="R173">
        <v>8000</v>
      </c>
      <c r="S173">
        <v>4000</v>
      </c>
      <c r="T173">
        <v>0</v>
      </c>
      <c r="U173" t="str">
        <f>IF(SeismicData[[#This Row],[class]]=1,"Dangerous","Safe")</f>
        <v>Safe</v>
      </c>
      <c r="V173" t="str">
        <f>IF(SeismicData[[#This Row],[shift]]="W","Production","Non-Production")</f>
        <v>Production</v>
      </c>
      <c r="W173" t="str">
        <f>IF(SeismicData[[#This Row],[genergy]]=0,"0","10^"&amp;INT(LOG10(SeismicData[[#This Row],[genergy]])))</f>
        <v>10^5</v>
      </c>
      <c r="X173" t="str">
        <f>IF(OR(SeismicData[[#This Row],[genergy]]&lt;$AA$6,SeismicData[[#This Row],[genergy]]&gt;$AA$5),"Outlier","Normal")</f>
        <v>Outlier</v>
      </c>
    </row>
    <row r="174" spans="1:24" x14ac:dyDescent="0.15">
      <c r="A174">
        <v>173</v>
      </c>
      <c r="B174" t="s">
        <v>20</v>
      </c>
      <c r="C174" t="s">
        <v>23</v>
      </c>
      <c r="D174" t="s">
        <v>21</v>
      </c>
      <c r="E174">
        <v>94110</v>
      </c>
      <c r="F174">
        <v>314</v>
      </c>
      <c r="G174">
        <v>-76</v>
      </c>
      <c r="H174">
        <v>-58</v>
      </c>
      <c r="I174" t="s">
        <v>20</v>
      </c>
      <c r="J174">
        <v>0</v>
      </c>
      <c r="K174">
        <v>0</v>
      </c>
      <c r="L174">
        <v>0</v>
      </c>
      <c r="M174">
        <v>0</v>
      </c>
      <c r="N174">
        <v>0</v>
      </c>
      <c r="O174">
        <v>0</v>
      </c>
      <c r="P174">
        <v>0</v>
      </c>
      <c r="Q174">
        <v>0</v>
      </c>
      <c r="R174">
        <v>0</v>
      </c>
      <c r="S174">
        <v>0</v>
      </c>
      <c r="T174">
        <v>0</v>
      </c>
      <c r="U174" t="str">
        <f>IF(SeismicData[[#This Row],[class]]=1,"Dangerous","Safe")</f>
        <v>Safe</v>
      </c>
      <c r="V174" t="str">
        <f>IF(SeismicData[[#This Row],[shift]]="W","Production","Non-Production")</f>
        <v>Non-Production</v>
      </c>
      <c r="W174" t="str">
        <f>IF(SeismicData[[#This Row],[genergy]]=0,"0","10^"&amp;INT(LOG10(SeismicData[[#This Row],[genergy]])))</f>
        <v>10^4</v>
      </c>
      <c r="X174" t="str">
        <f>IF(OR(SeismicData[[#This Row],[genergy]]&lt;$AA$6,SeismicData[[#This Row],[genergy]]&gt;$AA$5),"Outlier","Normal")</f>
        <v>Normal</v>
      </c>
    </row>
    <row r="175" spans="1:24" x14ac:dyDescent="0.15">
      <c r="A175">
        <v>174</v>
      </c>
      <c r="B175" t="s">
        <v>20</v>
      </c>
      <c r="C175" t="s">
        <v>20</v>
      </c>
      <c r="D175" t="s">
        <v>22</v>
      </c>
      <c r="E175">
        <v>716630</v>
      </c>
      <c r="F175">
        <v>1677</v>
      </c>
      <c r="G175">
        <v>-8</v>
      </c>
      <c r="H175">
        <v>14</v>
      </c>
      <c r="I175" t="s">
        <v>20</v>
      </c>
      <c r="J175">
        <v>2</v>
      </c>
      <c r="K175">
        <v>2</v>
      </c>
      <c r="L175">
        <v>0</v>
      </c>
      <c r="M175">
        <v>0</v>
      </c>
      <c r="N175">
        <v>0</v>
      </c>
      <c r="O175">
        <v>0</v>
      </c>
      <c r="P175">
        <v>0</v>
      </c>
      <c r="Q175">
        <v>0</v>
      </c>
      <c r="R175">
        <v>700</v>
      </c>
      <c r="S175">
        <v>500</v>
      </c>
      <c r="T175">
        <v>0</v>
      </c>
      <c r="U175" t="str">
        <f>IF(SeismicData[[#This Row],[class]]=1,"Dangerous","Safe")</f>
        <v>Safe</v>
      </c>
      <c r="V175" t="str">
        <f>IF(SeismicData[[#This Row],[shift]]="W","Production","Non-Production")</f>
        <v>Production</v>
      </c>
      <c r="W175" t="str">
        <f>IF(SeismicData[[#This Row],[genergy]]=0,"0","10^"&amp;INT(LOG10(SeismicData[[#This Row],[genergy]])))</f>
        <v>10^5</v>
      </c>
      <c r="X175" t="str">
        <f>IF(OR(SeismicData[[#This Row],[genergy]]&lt;$AA$6,SeismicData[[#This Row],[genergy]]&gt;$AA$5),"Outlier","Normal")</f>
        <v>Outlier</v>
      </c>
    </row>
    <row r="176" spans="1:24" x14ac:dyDescent="0.15">
      <c r="A176">
        <v>175</v>
      </c>
      <c r="B176" t="s">
        <v>20</v>
      </c>
      <c r="C176" t="s">
        <v>20</v>
      </c>
      <c r="D176" t="s">
        <v>22</v>
      </c>
      <c r="E176">
        <v>641120</v>
      </c>
      <c r="F176">
        <v>1571</v>
      </c>
      <c r="G176">
        <v>-17</v>
      </c>
      <c r="H176">
        <v>6</v>
      </c>
      <c r="I176" t="s">
        <v>20</v>
      </c>
      <c r="J176">
        <v>1</v>
      </c>
      <c r="K176">
        <v>1</v>
      </c>
      <c r="L176">
        <v>0</v>
      </c>
      <c r="M176">
        <v>0</v>
      </c>
      <c r="N176">
        <v>0</v>
      </c>
      <c r="O176">
        <v>0</v>
      </c>
      <c r="P176">
        <v>0</v>
      </c>
      <c r="Q176">
        <v>0</v>
      </c>
      <c r="R176">
        <v>800</v>
      </c>
      <c r="S176">
        <v>800</v>
      </c>
      <c r="T176">
        <v>0</v>
      </c>
      <c r="U176" t="str">
        <f>IF(SeismicData[[#This Row],[class]]=1,"Dangerous","Safe")</f>
        <v>Safe</v>
      </c>
      <c r="V176" t="str">
        <f>IF(SeismicData[[#This Row],[shift]]="W","Production","Non-Production")</f>
        <v>Production</v>
      </c>
      <c r="W176" t="str">
        <f>IF(SeismicData[[#This Row],[genergy]]=0,"0","10^"&amp;INT(LOG10(SeismicData[[#This Row],[genergy]])))</f>
        <v>10^5</v>
      </c>
      <c r="X176" t="str">
        <f>IF(OR(SeismicData[[#This Row],[genergy]]&lt;$AA$6,SeismicData[[#This Row],[genergy]]&gt;$AA$5),"Outlier","Normal")</f>
        <v>Outlier</v>
      </c>
    </row>
    <row r="177" spans="1:24" x14ac:dyDescent="0.15">
      <c r="A177">
        <v>176</v>
      </c>
      <c r="B177" t="s">
        <v>20</v>
      </c>
      <c r="C177" t="s">
        <v>20</v>
      </c>
      <c r="D177" t="s">
        <v>21</v>
      </c>
      <c r="E177">
        <v>384230</v>
      </c>
      <c r="F177">
        <v>751</v>
      </c>
      <c r="G177">
        <v>4</v>
      </c>
      <c r="H177">
        <v>6</v>
      </c>
      <c r="I177" t="s">
        <v>20</v>
      </c>
      <c r="J177">
        <v>3</v>
      </c>
      <c r="K177">
        <v>1</v>
      </c>
      <c r="L177">
        <v>2</v>
      </c>
      <c r="M177">
        <v>0</v>
      </c>
      <c r="N177">
        <v>0</v>
      </c>
      <c r="O177">
        <v>0</v>
      </c>
      <c r="P177">
        <v>0</v>
      </c>
      <c r="Q177">
        <v>0</v>
      </c>
      <c r="R177">
        <v>9700</v>
      </c>
      <c r="S177">
        <v>6000</v>
      </c>
      <c r="T177">
        <v>1</v>
      </c>
      <c r="U177" t="str">
        <f>IF(SeismicData[[#This Row],[class]]=1,"Dangerous","Safe")</f>
        <v>Dangerous</v>
      </c>
      <c r="V177" t="str">
        <f>IF(SeismicData[[#This Row],[shift]]="W","Production","Non-Production")</f>
        <v>Non-Production</v>
      </c>
      <c r="W177" t="str">
        <f>IF(SeismicData[[#This Row],[genergy]]=0,"0","10^"&amp;INT(LOG10(SeismicData[[#This Row],[genergy]])))</f>
        <v>10^5</v>
      </c>
      <c r="X177" t="str">
        <f>IF(OR(SeismicData[[#This Row],[genergy]]&lt;$AA$6,SeismicData[[#This Row],[genergy]]&gt;$AA$5),"Outlier","Normal")</f>
        <v>Outlier</v>
      </c>
    </row>
    <row r="178" spans="1:24" x14ac:dyDescent="0.15">
      <c r="A178">
        <v>177</v>
      </c>
      <c r="B178" t="s">
        <v>20</v>
      </c>
      <c r="C178" t="s">
        <v>20</v>
      </c>
      <c r="D178" t="s">
        <v>22</v>
      </c>
      <c r="E178">
        <v>790830</v>
      </c>
      <c r="F178">
        <v>1434</v>
      </c>
      <c r="G178">
        <v>5</v>
      </c>
      <c r="H178">
        <v>-4</v>
      </c>
      <c r="I178" t="s">
        <v>20</v>
      </c>
      <c r="J178">
        <v>2</v>
      </c>
      <c r="K178">
        <v>0</v>
      </c>
      <c r="L178">
        <v>1</v>
      </c>
      <c r="M178">
        <v>1</v>
      </c>
      <c r="N178">
        <v>0</v>
      </c>
      <c r="O178">
        <v>0</v>
      </c>
      <c r="P178">
        <v>0</v>
      </c>
      <c r="Q178">
        <v>0</v>
      </c>
      <c r="R178">
        <v>13000</v>
      </c>
      <c r="S178">
        <v>10000</v>
      </c>
      <c r="T178">
        <v>0</v>
      </c>
      <c r="U178" t="str">
        <f>IF(SeismicData[[#This Row],[class]]=1,"Dangerous","Safe")</f>
        <v>Safe</v>
      </c>
      <c r="V178" t="str">
        <f>IF(SeismicData[[#This Row],[shift]]="W","Production","Non-Production")</f>
        <v>Production</v>
      </c>
      <c r="W178" t="str">
        <f>IF(SeismicData[[#This Row],[genergy]]=0,"0","10^"&amp;INT(LOG10(SeismicData[[#This Row],[genergy]])))</f>
        <v>10^5</v>
      </c>
      <c r="X178" t="str">
        <f>IF(OR(SeismicData[[#This Row],[genergy]]&lt;$AA$6,SeismicData[[#This Row],[genergy]]&gt;$AA$5),"Outlier","Normal")</f>
        <v>Outlier</v>
      </c>
    </row>
    <row r="179" spans="1:24" x14ac:dyDescent="0.15">
      <c r="A179">
        <v>178</v>
      </c>
      <c r="B179" t="s">
        <v>20</v>
      </c>
      <c r="C179" t="s">
        <v>23</v>
      </c>
      <c r="D179" t="s">
        <v>21</v>
      </c>
      <c r="E179">
        <v>390180</v>
      </c>
      <c r="F179">
        <v>938</v>
      </c>
      <c r="G179">
        <v>6</v>
      </c>
      <c r="H179">
        <v>33</v>
      </c>
      <c r="I179" t="s">
        <v>20</v>
      </c>
      <c r="J179">
        <v>0</v>
      </c>
      <c r="K179">
        <v>0</v>
      </c>
      <c r="L179">
        <v>0</v>
      </c>
      <c r="M179">
        <v>0</v>
      </c>
      <c r="N179">
        <v>0</v>
      </c>
      <c r="O179">
        <v>0</v>
      </c>
      <c r="P179">
        <v>0</v>
      </c>
      <c r="Q179">
        <v>0</v>
      </c>
      <c r="R179">
        <v>0</v>
      </c>
      <c r="S179">
        <v>0</v>
      </c>
      <c r="T179">
        <v>0</v>
      </c>
      <c r="U179" t="str">
        <f>IF(SeismicData[[#This Row],[class]]=1,"Dangerous","Safe")</f>
        <v>Safe</v>
      </c>
      <c r="V179" t="str">
        <f>IF(SeismicData[[#This Row],[shift]]="W","Production","Non-Production")</f>
        <v>Non-Production</v>
      </c>
      <c r="W179" t="str">
        <f>IF(SeismicData[[#This Row],[genergy]]=0,"0","10^"&amp;INT(LOG10(SeismicData[[#This Row],[genergy]])))</f>
        <v>10^5</v>
      </c>
      <c r="X179" t="str">
        <f>IF(OR(SeismicData[[#This Row],[genergy]]&lt;$AA$6,SeismicData[[#This Row],[genergy]]&gt;$AA$5),"Outlier","Normal")</f>
        <v>Outlier</v>
      </c>
    </row>
    <row r="180" spans="1:24" x14ac:dyDescent="0.15">
      <c r="A180">
        <v>179</v>
      </c>
      <c r="B180" t="s">
        <v>20</v>
      </c>
      <c r="C180" t="s">
        <v>23</v>
      </c>
      <c r="D180" t="s">
        <v>21</v>
      </c>
      <c r="E180">
        <v>69360</v>
      </c>
      <c r="F180">
        <v>257</v>
      </c>
      <c r="G180">
        <v>-81</v>
      </c>
      <c r="H180">
        <v>-65</v>
      </c>
      <c r="I180" t="s">
        <v>20</v>
      </c>
      <c r="J180">
        <v>1</v>
      </c>
      <c r="K180">
        <v>0</v>
      </c>
      <c r="L180">
        <v>1</v>
      </c>
      <c r="M180">
        <v>0</v>
      </c>
      <c r="N180">
        <v>0</v>
      </c>
      <c r="O180">
        <v>0</v>
      </c>
      <c r="P180">
        <v>0</v>
      </c>
      <c r="Q180">
        <v>0</v>
      </c>
      <c r="R180">
        <v>4000</v>
      </c>
      <c r="S180">
        <v>4000</v>
      </c>
      <c r="T180">
        <v>0</v>
      </c>
      <c r="U180" t="str">
        <f>IF(SeismicData[[#This Row],[class]]=1,"Dangerous","Safe")</f>
        <v>Safe</v>
      </c>
      <c r="V180" t="str">
        <f>IF(SeismicData[[#This Row],[shift]]="W","Production","Non-Production")</f>
        <v>Non-Production</v>
      </c>
      <c r="W180" t="str">
        <f>IF(SeismicData[[#This Row],[genergy]]=0,"0","10^"&amp;INT(LOG10(SeismicData[[#This Row],[genergy]])))</f>
        <v>10^4</v>
      </c>
      <c r="X180" t="str">
        <f>IF(OR(SeismicData[[#This Row],[genergy]]&lt;$AA$6,SeismicData[[#This Row],[genergy]]&gt;$AA$5),"Outlier","Normal")</f>
        <v>Normal</v>
      </c>
    </row>
    <row r="181" spans="1:24" x14ac:dyDescent="0.15">
      <c r="A181">
        <v>180</v>
      </c>
      <c r="B181" t="s">
        <v>20</v>
      </c>
      <c r="C181" t="s">
        <v>23</v>
      </c>
      <c r="D181" t="s">
        <v>22</v>
      </c>
      <c r="E181">
        <v>936850</v>
      </c>
      <c r="F181">
        <v>1737</v>
      </c>
      <c r="G181">
        <v>24</v>
      </c>
      <c r="H181">
        <v>17</v>
      </c>
      <c r="I181" t="s">
        <v>20</v>
      </c>
      <c r="J181">
        <v>2</v>
      </c>
      <c r="K181">
        <v>1</v>
      </c>
      <c r="L181">
        <v>1</v>
      </c>
      <c r="M181">
        <v>0</v>
      </c>
      <c r="N181">
        <v>0</v>
      </c>
      <c r="O181">
        <v>0</v>
      </c>
      <c r="P181">
        <v>0</v>
      </c>
      <c r="Q181">
        <v>0</v>
      </c>
      <c r="R181">
        <v>2600</v>
      </c>
      <c r="S181">
        <v>2000</v>
      </c>
      <c r="T181">
        <v>0</v>
      </c>
      <c r="U181" t="str">
        <f>IF(SeismicData[[#This Row],[class]]=1,"Dangerous","Safe")</f>
        <v>Safe</v>
      </c>
      <c r="V181" t="str">
        <f>IF(SeismicData[[#This Row],[shift]]="W","Production","Non-Production")</f>
        <v>Production</v>
      </c>
      <c r="W181" t="str">
        <f>IF(SeismicData[[#This Row],[genergy]]=0,"0","10^"&amp;INT(LOG10(SeismicData[[#This Row],[genergy]])))</f>
        <v>10^5</v>
      </c>
      <c r="X181" t="str">
        <f>IF(OR(SeismicData[[#This Row],[genergy]]&lt;$AA$6,SeismicData[[#This Row],[genergy]]&gt;$AA$5),"Outlier","Normal")</f>
        <v>Outlier</v>
      </c>
    </row>
    <row r="182" spans="1:24" x14ac:dyDescent="0.15">
      <c r="A182">
        <v>181</v>
      </c>
      <c r="B182" t="s">
        <v>20</v>
      </c>
      <c r="C182" t="s">
        <v>23</v>
      </c>
      <c r="D182" t="s">
        <v>21</v>
      </c>
      <c r="E182">
        <v>432690</v>
      </c>
      <c r="F182">
        <v>1012</v>
      </c>
      <c r="G182">
        <v>30</v>
      </c>
      <c r="H182">
        <v>50</v>
      </c>
      <c r="I182" t="s">
        <v>20</v>
      </c>
      <c r="J182">
        <v>0</v>
      </c>
      <c r="K182">
        <v>0</v>
      </c>
      <c r="L182">
        <v>0</v>
      </c>
      <c r="M182">
        <v>0</v>
      </c>
      <c r="N182">
        <v>0</v>
      </c>
      <c r="O182">
        <v>0</v>
      </c>
      <c r="P182">
        <v>0</v>
      </c>
      <c r="Q182">
        <v>0</v>
      </c>
      <c r="R182">
        <v>0</v>
      </c>
      <c r="S182">
        <v>0</v>
      </c>
      <c r="T182">
        <v>0</v>
      </c>
      <c r="U182" t="str">
        <f>IF(SeismicData[[#This Row],[class]]=1,"Dangerous","Safe")</f>
        <v>Safe</v>
      </c>
      <c r="V182" t="str">
        <f>IF(SeismicData[[#This Row],[shift]]="W","Production","Non-Production")</f>
        <v>Non-Production</v>
      </c>
      <c r="W182" t="str">
        <f>IF(SeismicData[[#This Row],[genergy]]=0,"0","10^"&amp;INT(LOG10(SeismicData[[#This Row],[genergy]])))</f>
        <v>10^5</v>
      </c>
      <c r="X182" t="str">
        <f>IF(OR(SeismicData[[#This Row],[genergy]]&lt;$AA$6,SeismicData[[#This Row],[genergy]]&gt;$AA$5),"Outlier","Normal")</f>
        <v>Outlier</v>
      </c>
    </row>
    <row r="183" spans="1:24" x14ac:dyDescent="0.15">
      <c r="A183">
        <v>182</v>
      </c>
      <c r="B183" t="s">
        <v>20</v>
      </c>
      <c r="C183" t="s">
        <v>20</v>
      </c>
      <c r="D183" t="s">
        <v>22</v>
      </c>
      <c r="E183">
        <v>441960</v>
      </c>
      <c r="F183">
        <v>1006</v>
      </c>
      <c r="G183">
        <v>-42</v>
      </c>
      <c r="H183">
        <v>-33</v>
      </c>
      <c r="I183" t="s">
        <v>20</v>
      </c>
      <c r="J183">
        <v>3</v>
      </c>
      <c r="K183">
        <v>0</v>
      </c>
      <c r="L183">
        <v>3</v>
      </c>
      <c r="M183">
        <v>0</v>
      </c>
      <c r="N183">
        <v>0</v>
      </c>
      <c r="O183">
        <v>0</v>
      </c>
      <c r="P183">
        <v>0</v>
      </c>
      <c r="Q183">
        <v>0</v>
      </c>
      <c r="R183">
        <v>6000</v>
      </c>
      <c r="S183">
        <v>3000</v>
      </c>
      <c r="T183">
        <v>0</v>
      </c>
      <c r="U183" t="str">
        <f>IF(SeismicData[[#This Row],[class]]=1,"Dangerous","Safe")</f>
        <v>Safe</v>
      </c>
      <c r="V183" t="str">
        <f>IF(SeismicData[[#This Row],[shift]]="W","Production","Non-Production")</f>
        <v>Production</v>
      </c>
      <c r="W183" t="str">
        <f>IF(SeismicData[[#This Row],[genergy]]=0,"0","10^"&amp;INT(LOG10(SeismicData[[#This Row],[genergy]])))</f>
        <v>10^5</v>
      </c>
      <c r="X183" t="str">
        <f>IF(OR(SeismicData[[#This Row],[genergy]]&lt;$AA$6,SeismicData[[#This Row],[genergy]]&gt;$AA$5),"Outlier","Normal")</f>
        <v>Outlier</v>
      </c>
    </row>
    <row r="184" spans="1:24" x14ac:dyDescent="0.15">
      <c r="A184">
        <v>183</v>
      </c>
      <c r="B184" t="s">
        <v>20</v>
      </c>
      <c r="C184" t="s">
        <v>20</v>
      </c>
      <c r="D184" t="s">
        <v>22</v>
      </c>
      <c r="E184">
        <v>912890</v>
      </c>
      <c r="F184">
        <v>2001</v>
      </c>
      <c r="G184">
        <v>25</v>
      </c>
      <c r="H184">
        <v>37</v>
      </c>
      <c r="I184" t="s">
        <v>20</v>
      </c>
      <c r="J184">
        <v>0</v>
      </c>
      <c r="K184">
        <v>0</v>
      </c>
      <c r="L184">
        <v>0</v>
      </c>
      <c r="M184">
        <v>0</v>
      </c>
      <c r="N184">
        <v>0</v>
      </c>
      <c r="O184">
        <v>0</v>
      </c>
      <c r="P184">
        <v>0</v>
      </c>
      <c r="Q184">
        <v>0</v>
      </c>
      <c r="R184">
        <v>0</v>
      </c>
      <c r="S184">
        <v>0</v>
      </c>
      <c r="T184">
        <v>0</v>
      </c>
      <c r="U184" t="str">
        <f>IF(SeismicData[[#This Row],[class]]=1,"Dangerous","Safe")</f>
        <v>Safe</v>
      </c>
      <c r="V184" t="str">
        <f>IF(SeismicData[[#This Row],[shift]]="W","Production","Non-Production")</f>
        <v>Production</v>
      </c>
      <c r="W184" t="str">
        <f>IF(SeismicData[[#This Row],[genergy]]=0,"0","10^"&amp;INT(LOG10(SeismicData[[#This Row],[genergy]])))</f>
        <v>10^5</v>
      </c>
      <c r="X184" t="str">
        <f>IF(OR(SeismicData[[#This Row],[genergy]]&lt;$AA$6,SeismicData[[#This Row],[genergy]]&gt;$AA$5),"Outlier","Normal")</f>
        <v>Outlier</v>
      </c>
    </row>
    <row r="185" spans="1:24" x14ac:dyDescent="0.15">
      <c r="A185">
        <v>184</v>
      </c>
      <c r="B185" t="s">
        <v>20</v>
      </c>
      <c r="C185" t="s">
        <v>20</v>
      </c>
      <c r="D185" t="s">
        <v>22</v>
      </c>
      <c r="E185">
        <v>446210</v>
      </c>
      <c r="F185">
        <v>1030</v>
      </c>
      <c r="G185">
        <v>-40</v>
      </c>
      <c r="H185">
        <v>-32</v>
      </c>
      <c r="I185" t="s">
        <v>20</v>
      </c>
      <c r="J185">
        <v>0</v>
      </c>
      <c r="K185">
        <v>0</v>
      </c>
      <c r="L185">
        <v>0</v>
      </c>
      <c r="M185">
        <v>0</v>
      </c>
      <c r="N185">
        <v>0</v>
      </c>
      <c r="O185">
        <v>0</v>
      </c>
      <c r="P185">
        <v>0</v>
      </c>
      <c r="Q185">
        <v>0</v>
      </c>
      <c r="R185">
        <v>0</v>
      </c>
      <c r="S185">
        <v>0</v>
      </c>
      <c r="T185">
        <v>0</v>
      </c>
      <c r="U185" t="str">
        <f>IF(SeismicData[[#This Row],[class]]=1,"Dangerous","Safe")</f>
        <v>Safe</v>
      </c>
      <c r="V185" t="str">
        <f>IF(SeismicData[[#This Row],[shift]]="W","Production","Non-Production")</f>
        <v>Production</v>
      </c>
      <c r="W185" t="str">
        <f>IF(SeismicData[[#This Row],[genergy]]=0,"0","10^"&amp;INT(LOG10(SeismicData[[#This Row],[genergy]])))</f>
        <v>10^5</v>
      </c>
      <c r="X185" t="str">
        <f>IF(OR(SeismicData[[#This Row],[genergy]]&lt;$AA$6,SeismicData[[#This Row],[genergy]]&gt;$AA$5),"Outlier","Normal")</f>
        <v>Outlier</v>
      </c>
    </row>
    <row r="186" spans="1:24" x14ac:dyDescent="0.15">
      <c r="A186">
        <v>185</v>
      </c>
      <c r="B186" t="s">
        <v>20</v>
      </c>
      <c r="C186" t="s">
        <v>20</v>
      </c>
      <c r="D186" t="s">
        <v>21</v>
      </c>
      <c r="E186">
        <v>84630</v>
      </c>
      <c r="F186">
        <v>233</v>
      </c>
      <c r="G186">
        <v>-75</v>
      </c>
      <c r="H186">
        <v>-67</v>
      </c>
      <c r="I186" t="s">
        <v>20</v>
      </c>
      <c r="J186">
        <v>0</v>
      </c>
      <c r="K186">
        <v>0</v>
      </c>
      <c r="L186">
        <v>0</v>
      </c>
      <c r="M186">
        <v>0</v>
      </c>
      <c r="N186">
        <v>0</v>
      </c>
      <c r="O186">
        <v>0</v>
      </c>
      <c r="P186">
        <v>0</v>
      </c>
      <c r="Q186">
        <v>0</v>
      </c>
      <c r="R186">
        <v>0</v>
      </c>
      <c r="S186">
        <v>0</v>
      </c>
      <c r="T186">
        <v>0</v>
      </c>
      <c r="U186" t="str">
        <f>IF(SeismicData[[#This Row],[class]]=1,"Dangerous","Safe")</f>
        <v>Safe</v>
      </c>
      <c r="V186" t="str">
        <f>IF(SeismicData[[#This Row],[shift]]="W","Production","Non-Production")</f>
        <v>Non-Production</v>
      </c>
      <c r="W186" t="str">
        <f>IF(SeismicData[[#This Row],[genergy]]=0,"0","10^"&amp;INT(LOG10(SeismicData[[#This Row],[genergy]])))</f>
        <v>10^4</v>
      </c>
      <c r="X186" t="str">
        <f>IF(OR(SeismicData[[#This Row],[genergy]]&lt;$AA$6,SeismicData[[#This Row],[genergy]]&gt;$AA$5),"Outlier","Normal")</f>
        <v>Normal</v>
      </c>
    </row>
    <row r="187" spans="1:24" x14ac:dyDescent="0.15">
      <c r="A187">
        <v>186</v>
      </c>
      <c r="B187" t="s">
        <v>20</v>
      </c>
      <c r="C187" t="s">
        <v>20</v>
      </c>
      <c r="D187" t="s">
        <v>21</v>
      </c>
      <c r="E187">
        <v>77540</v>
      </c>
      <c r="F187">
        <v>174</v>
      </c>
      <c r="G187">
        <v>-75</v>
      </c>
      <c r="H187">
        <v>-73</v>
      </c>
      <c r="I187" t="s">
        <v>20</v>
      </c>
      <c r="J187">
        <v>0</v>
      </c>
      <c r="K187">
        <v>0</v>
      </c>
      <c r="L187">
        <v>0</v>
      </c>
      <c r="M187">
        <v>0</v>
      </c>
      <c r="N187">
        <v>0</v>
      </c>
      <c r="O187">
        <v>0</v>
      </c>
      <c r="P187">
        <v>0</v>
      </c>
      <c r="Q187">
        <v>0</v>
      </c>
      <c r="R187">
        <v>0</v>
      </c>
      <c r="S187">
        <v>0</v>
      </c>
      <c r="T187">
        <v>0</v>
      </c>
      <c r="U187" t="str">
        <f>IF(SeismicData[[#This Row],[class]]=1,"Dangerous","Safe")</f>
        <v>Safe</v>
      </c>
      <c r="V187" t="str">
        <f>IF(SeismicData[[#This Row],[shift]]="W","Production","Non-Production")</f>
        <v>Non-Production</v>
      </c>
      <c r="W187" t="str">
        <f>IF(SeismicData[[#This Row],[genergy]]=0,"0","10^"&amp;INT(LOG10(SeismicData[[#This Row],[genergy]])))</f>
        <v>10^4</v>
      </c>
      <c r="X187" t="str">
        <f>IF(OR(SeismicData[[#This Row],[genergy]]&lt;$AA$6,SeismicData[[#This Row],[genergy]]&gt;$AA$5),"Outlier","Normal")</f>
        <v>Normal</v>
      </c>
    </row>
    <row r="188" spans="1:24" x14ac:dyDescent="0.15">
      <c r="A188">
        <v>187</v>
      </c>
      <c r="B188" t="s">
        <v>20</v>
      </c>
      <c r="C188" t="s">
        <v>20</v>
      </c>
      <c r="D188" t="s">
        <v>21</v>
      </c>
      <c r="E188">
        <v>117040</v>
      </c>
      <c r="F188">
        <v>328</v>
      </c>
      <c r="G188">
        <v>-57</v>
      </c>
      <c r="H188">
        <v>-45</v>
      </c>
      <c r="I188" t="s">
        <v>20</v>
      </c>
      <c r="J188">
        <v>1</v>
      </c>
      <c r="K188">
        <v>0</v>
      </c>
      <c r="L188">
        <v>1</v>
      </c>
      <c r="M188">
        <v>0</v>
      </c>
      <c r="N188">
        <v>0</v>
      </c>
      <c r="O188">
        <v>0</v>
      </c>
      <c r="P188">
        <v>0</v>
      </c>
      <c r="Q188">
        <v>0</v>
      </c>
      <c r="R188">
        <v>2000</v>
      </c>
      <c r="S188">
        <v>2000</v>
      </c>
      <c r="T188">
        <v>0</v>
      </c>
      <c r="U188" t="str">
        <f>IF(SeismicData[[#This Row],[class]]=1,"Dangerous","Safe")</f>
        <v>Safe</v>
      </c>
      <c r="V188" t="str">
        <f>IF(SeismicData[[#This Row],[shift]]="W","Production","Non-Production")</f>
        <v>Non-Production</v>
      </c>
      <c r="W188" t="str">
        <f>IF(SeismicData[[#This Row],[genergy]]=0,"0","10^"&amp;INT(LOG10(SeismicData[[#This Row],[genergy]])))</f>
        <v>10^5</v>
      </c>
      <c r="X188" t="str">
        <f>IF(OR(SeismicData[[#This Row],[genergy]]&lt;$AA$6,SeismicData[[#This Row],[genergy]]&gt;$AA$5),"Outlier","Normal")</f>
        <v>Outlier</v>
      </c>
    </row>
    <row r="189" spans="1:24" x14ac:dyDescent="0.15">
      <c r="A189">
        <v>188</v>
      </c>
      <c r="B189" t="s">
        <v>20</v>
      </c>
      <c r="C189" t="s">
        <v>20</v>
      </c>
      <c r="D189" t="s">
        <v>21</v>
      </c>
      <c r="E189">
        <v>414700</v>
      </c>
      <c r="F189">
        <v>900</v>
      </c>
      <c r="G189">
        <v>69</v>
      </c>
      <c r="H189">
        <v>63</v>
      </c>
      <c r="I189" t="s">
        <v>20</v>
      </c>
      <c r="J189">
        <v>0</v>
      </c>
      <c r="K189">
        <v>0</v>
      </c>
      <c r="L189">
        <v>0</v>
      </c>
      <c r="M189">
        <v>0</v>
      </c>
      <c r="N189">
        <v>0</v>
      </c>
      <c r="O189">
        <v>0</v>
      </c>
      <c r="P189">
        <v>0</v>
      </c>
      <c r="Q189">
        <v>0</v>
      </c>
      <c r="R189">
        <v>0</v>
      </c>
      <c r="S189">
        <v>0</v>
      </c>
      <c r="T189">
        <v>0</v>
      </c>
      <c r="U189" t="str">
        <f>IF(SeismicData[[#This Row],[class]]=1,"Dangerous","Safe")</f>
        <v>Safe</v>
      </c>
      <c r="V189" t="str">
        <f>IF(SeismicData[[#This Row],[shift]]="W","Production","Non-Production")</f>
        <v>Non-Production</v>
      </c>
      <c r="W189" t="str">
        <f>IF(SeismicData[[#This Row],[genergy]]=0,"0","10^"&amp;INT(LOG10(SeismicData[[#This Row],[genergy]])))</f>
        <v>10^5</v>
      </c>
      <c r="X189" t="str">
        <f>IF(OR(SeismicData[[#This Row],[genergy]]&lt;$AA$6,SeismicData[[#This Row],[genergy]]&gt;$AA$5),"Outlier","Normal")</f>
        <v>Outlier</v>
      </c>
    </row>
    <row r="190" spans="1:24" x14ac:dyDescent="0.15">
      <c r="A190">
        <v>189</v>
      </c>
      <c r="B190" t="s">
        <v>20</v>
      </c>
      <c r="C190" t="s">
        <v>20</v>
      </c>
      <c r="D190" t="s">
        <v>22</v>
      </c>
      <c r="E190">
        <v>960770</v>
      </c>
      <c r="F190">
        <v>2117</v>
      </c>
      <c r="G190">
        <v>36</v>
      </c>
      <c r="H190">
        <v>44</v>
      </c>
      <c r="I190" t="s">
        <v>20</v>
      </c>
      <c r="J190">
        <v>0</v>
      </c>
      <c r="K190">
        <v>0</v>
      </c>
      <c r="L190">
        <v>0</v>
      </c>
      <c r="M190">
        <v>0</v>
      </c>
      <c r="N190">
        <v>0</v>
      </c>
      <c r="O190">
        <v>0</v>
      </c>
      <c r="P190">
        <v>0</v>
      </c>
      <c r="Q190">
        <v>0</v>
      </c>
      <c r="R190">
        <v>0</v>
      </c>
      <c r="S190">
        <v>0</v>
      </c>
      <c r="T190">
        <v>0</v>
      </c>
      <c r="U190" t="str">
        <f>IF(SeismicData[[#This Row],[class]]=1,"Dangerous","Safe")</f>
        <v>Safe</v>
      </c>
      <c r="V190" t="str">
        <f>IF(SeismicData[[#This Row],[shift]]="W","Production","Non-Production")</f>
        <v>Production</v>
      </c>
      <c r="W190" t="str">
        <f>IF(SeismicData[[#This Row],[genergy]]=0,"0","10^"&amp;INT(LOG10(SeismicData[[#This Row],[genergy]])))</f>
        <v>10^5</v>
      </c>
      <c r="X190" t="str">
        <f>IF(OR(SeismicData[[#This Row],[genergy]]&lt;$AA$6,SeismicData[[#This Row],[genergy]]&gt;$AA$5),"Outlier","Normal")</f>
        <v>Outlier</v>
      </c>
    </row>
    <row r="191" spans="1:24" x14ac:dyDescent="0.15">
      <c r="A191">
        <v>190</v>
      </c>
      <c r="B191" t="s">
        <v>20</v>
      </c>
      <c r="C191" t="s">
        <v>23</v>
      </c>
      <c r="D191" t="s">
        <v>22</v>
      </c>
      <c r="E191">
        <v>763520</v>
      </c>
      <c r="F191">
        <v>2079</v>
      </c>
      <c r="G191">
        <v>5</v>
      </c>
      <c r="H191">
        <v>36</v>
      </c>
      <c r="I191" t="s">
        <v>23</v>
      </c>
      <c r="J191">
        <v>0</v>
      </c>
      <c r="K191">
        <v>0</v>
      </c>
      <c r="L191">
        <v>0</v>
      </c>
      <c r="M191">
        <v>0</v>
      </c>
      <c r="N191">
        <v>0</v>
      </c>
      <c r="O191">
        <v>0</v>
      </c>
      <c r="P191">
        <v>0</v>
      </c>
      <c r="Q191">
        <v>0</v>
      </c>
      <c r="R191">
        <v>0</v>
      </c>
      <c r="S191">
        <v>0</v>
      </c>
      <c r="T191">
        <v>0</v>
      </c>
      <c r="U191" t="str">
        <f>IF(SeismicData[[#This Row],[class]]=1,"Dangerous","Safe")</f>
        <v>Safe</v>
      </c>
      <c r="V191" t="str">
        <f>IF(SeismicData[[#This Row],[shift]]="W","Production","Non-Production")</f>
        <v>Production</v>
      </c>
      <c r="W191" t="str">
        <f>IF(SeismicData[[#This Row],[genergy]]=0,"0","10^"&amp;INT(LOG10(SeismicData[[#This Row],[genergy]])))</f>
        <v>10^5</v>
      </c>
      <c r="X191" t="str">
        <f>IF(OR(SeismicData[[#This Row],[genergy]]&lt;$AA$6,SeismicData[[#This Row],[genergy]]&gt;$AA$5),"Outlier","Normal")</f>
        <v>Outlier</v>
      </c>
    </row>
    <row r="192" spans="1:24" x14ac:dyDescent="0.15">
      <c r="A192">
        <v>191</v>
      </c>
      <c r="B192" t="s">
        <v>20</v>
      </c>
      <c r="C192" t="s">
        <v>23</v>
      </c>
      <c r="D192" t="s">
        <v>22</v>
      </c>
      <c r="E192">
        <v>541040</v>
      </c>
      <c r="F192">
        <v>1295</v>
      </c>
      <c r="G192">
        <v>-26</v>
      </c>
      <c r="H192">
        <v>-19</v>
      </c>
      <c r="I192" t="s">
        <v>23</v>
      </c>
      <c r="J192">
        <v>4</v>
      </c>
      <c r="K192">
        <v>3</v>
      </c>
      <c r="L192">
        <v>1</v>
      </c>
      <c r="M192">
        <v>0</v>
      </c>
      <c r="N192">
        <v>0</v>
      </c>
      <c r="O192">
        <v>0</v>
      </c>
      <c r="P192">
        <v>0</v>
      </c>
      <c r="Q192">
        <v>0</v>
      </c>
      <c r="R192">
        <v>4200</v>
      </c>
      <c r="S192">
        <v>3000</v>
      </c>
      <c r="T192">
        <v>0</v>
      </c>
      <c r="U192" t="str">
        <f>IF(SeismicData[[#This Row],[class]]=1,"Dangerous","Safe")</f>
        <v>Safe</v>
      </c>
      <c r="V192" t="str">
        <f>IF(SeismicData[[#This Row],[shift]]="W","Production","Non-Production")</f>
        <v>Production</v>
      </c>
      <c r="W192" t="str">
        <f>IF(SeismicData[[#This Row],[genergy]]=0,"0","10^"&amp;INT(LOG10(SeismicData[[#This Row],[genergy]])))</f>
        <v>10^5</v>
      </c>
      <c r="X192" t="str">
        <f>IF(OR(SeismicData[[#This Row],[genergy]]&lt;$AA$6,SeismicData[[#This Row],[genergy]]&gt;$AA$5),"Outlier","Normal")</f>
        <v>Outlier</v>
      </c>
    </row>
    <row r="193" spans="1:24" x14ac:dyDescent="0.15">
      <c r="A193">
        <v>192</v>
      </c>
      <c r="B193" t="s">
        <v>20</v>
      </c>
      <c r="C193" t="s">
        <v>23</v>
      </c>
      <c r="D193" t="s">
        <v>22</v>
      </c>
      <c r="E193">
        <v>1127430</v>
      </c>
      <c r="F193">
        <v>3031</v>
      </c>
      <c r="G193">
        <v>58</v>
      </c>
      <c r="H193">
        <v>90</v>
      </c>
      <c r="I193" t="s">
        <v>20</v>
      </c>
      <c r="J193">
        <v>1</v>
      </c>
      <c r="K193">
        <v>1</v>
      </c>
      <c r="L193">
        <v>0</v>
      </c>
      <c r="M193">
        <v>0</v>
      </c>
      <c r="N193">
        <v>0</v>
      </c>
      <c r="O193">
        <v>0</v>
      </c>
      <c r="P193">
        <v>0</v>
      </c>
      <c r="Q193">
        <v>0</v>
      </c>
      <c r="R193">
        <v>300</v>
      </c>
      <c r="S193">
        <v>300</v>
      </c>
      <c r="T193">
        <v>0</v>
      </c>
      <c r="U193" t="str">
        <f>IF(SeismicData[[#This Row],[class]]=1,"Dangerous","Safe")</f>
        <v>Safe</v>
      </c>
      <c r="V193" t="str">
        <f>IF(SeismicData[[#This Row],[shift]]="W","Production","Non-Production")</f>
        <v>Production</v>
      </c>
      <c r="W193" t="str">
        <f>IF(SeismicData[[#This Row],[genergy]]=0,"0","10^"&amp;INT(LOG10(SeismicData[[#This Row],[genergy]])))</f>
        <v>10^6</v>
      </c>
      <c r="X193" t="str">
        <f>IF(OR(SeismicData[[#This Row],[genergy]]&lt;$AA$6,SeismicData[[#This Row],[genergy]]&gt;$AA$5),"Outlier","Normal")</f>
        <v>Outlier</v>
      </c>
    </row>
    <row r="194" spans="1:24" x14ac:dyDescent="0.15">
      <c r="A194">
        <v>193</v>
      </c>
      <c r="B194" t="s">
        <v>20</v>
      </c>
      <c r="C194" t="s">
        <v>23</v>
      </c>
      <c r="D194" t="s">
        <v>22</v>
      </c>
      <c r="E194">
        <v>664090</v>
      </c>
      <c r="F194">
        <v>1824</v>
      </c>
      <c r="G194">
        <v>-12</v>
      </c>
      <c r="H194">
        <v>5</v>
      </c>
      <c r="I194" t="s">
        <v>20</v>
      </c>
      <c r="J194">
        <v>2</v>
      </c>
      <c r="K194">
        <v>2</v>
      </c>
      <c r="L194">
        <v>0</v>
      </c>
      <c r="M194">
        <v>0</v>
      </c>
      <c r="N194">
        <v>0</v>
      </c>
      <c r="O194">
        <v>0</v>
      </c>
      <c r="P194">
        <v>0</v>
      </c>
      <c r="Q194">
        <v>0</v>
      </c>
      <c r="R194">
        <v>1100</v>
      </c>
      <c r="S194">
        <v>600</v>
      </c>
      <c r="T194">
        <v>0</v>
      </c>
      <c r="U194" t="str">
        <f>IF(SeismicData[[#This Row],[class]]=1,"Dangerous","Safe")</f>
        <v>Safe</v>
      </c>
      <c r="V194" t="str">
        <f>IF(SeismicData[[#This Row],[shift]]="W","Production","Non-Production")</f>
        <v>Production</v>
      </c>
      <c r="W194" t="str">
        <f>IF(SeismicData[[#This Row],[genergy]]=0,"0","10^"&amp;INT(LOG10(SeismicData[[#This Row],[genergy]])))</f>
        <v>10^5</v>
      </c>
      <c r="X194" t="str">
        <f>IF(OR(SeismicData[[#This Row],[genergy]]&lt;$AA$6,SeismicData[[#This Row],[genergy]]&gt;$AA$5),"Outlier","Normal")</f>
        <v>Outlier</v>
      </c>
    </row>
    <row r="195" spans="1:24" x14ac:dyDescent="0.15">
      <c r="A195">
        <v>194</v>
      </c>
      <c r="B195" t="s">
        <v>20</v>
      </c>
      <c r="C195" t="s">
        <v>20</v>
      </c>
      <c r="D195" t="s">
        <v>22</v>
      </c>
      <c r="E195">
        <v>320150</v>
      </c>
      <c r="F195">
        <v>1012</v>
      </c>
      <c r="G195">
        <v>-58</v>
      </c>
      <c r="H195">
        <v>-42</v>
      </c>
      <c r="I195" t="s">
        <v>20</v>
      </c>
      <c r="J195">
        <v>2</v>
      </c>
      <c r="K195">
        <v>0</v>
      </c>
      <c r="L195">
        <v>2</v>
      </c>
      <c r="M195">
        <v>0</v>
      </c>
      <c r="N195">
        <v>0</v>
      </c>
      <c r="O195">
        <v>0</v>
      </c>
      <c r="P195">
        <v>0</v>
      </c>
      <c r="Q195">
        <v>0</v>
      </c>
      <c r="R195">
        <v>5000</v>
      </c>
      <c r="S195">
        <v>3000</v>
      </c>
      <c r="T195">
        <v>0</v>
      </c>
      <c r="U195" t="str">
        <f>IF(SeismicData[[#This Row],[class]]=1,"Dangerous","Safe")</f>
        <v>Safe</v>
      </c>
      <c r="V195" t="str">
        <f>IF(SeismicData[[#This Row],[shift]]="W","Production","Non-Production")</f>
        <v>Production</v>
      </c>
      <c r="W195" t="str">
        <f>IF(SeismicData[[#This Row],[genergy]]=0,"0","10^"&amp;INT(LOG10(SeismicData[[#This Row],[genergy]])))</f>
        <v>10^5</v>
      </c>
      <c r="X195" t="str">
        <f>IF(OR(SeismicData[[#This Row],[genergy]]&lt;$AA$6,SeismicData[[#This Row],[genergy]]&gt;$AA$5),"Outlier","Normal")</f>
        <v>Outlier</v>
      </c>
    </row>
    <row r="196" spans="1:24" x14ac:dyDescent="0.15">
      <c r="A196">
        <v>195</v>
      </c>
      <c r="B196" t="s">
        <v>20</v>
      </c>
      <c r="C196" t="s">
        <v>20</v>
      </c>
      <c r="D196" t="s">
        <v>22</v>
      </c>
      <c r="E196">
        <v>768080</v>
      </c>
      <c r="F196">
        <v>2124</v>
      </c>
      <c r="G196">
        <v>8</v>
      </c>
      <c r="H196">
        <v>24</v>
      </c>
      <c r="I196" t="s">
        <v>20</v>
      </c>
      <c r="J196">
        <v>1</v>
      </c>
      <c r="K196">
        <v>1</v>
      </c>
      <c r="L196">
        <v>0</v>
      </c>
      <c r="M196">
        <v>0</v>
      </c>
      <c r="N196">
        <v>0</v>
      </c>
      <c r="O196">
        <v>0</v>
      </c>
      <c r="P196">
        <v>0</v>
      </c>
      <c r="Q196">
        <v>0</v>
      </c>
      <c r="R196">
        <v>300</v>
      </c>
      <c r="S196">
        <v>300</v>
      </c>
      <c r="T196">
        <v>0</v>
      </c>
      <c r="U196" t="str">
        <f>IF(SeismicData[[#This Row],[class]]=1,"Dangerous","Safe")</f>
        <v>Safe</v>
      </c>
      <c r="V196" t="str">
        <f>IF(SeismicData[[#This Row],[shift]]="W","Production","Non-Production")</f>
        <v>Production</v>
      </c>
      <c r="W196" t="str">
        <f>IF(SeismicData[[#This Row],[genergy]]=0,"0","10^"&amp;INT(LOG10(SeismicData[[#This Row],[genergy]])))</f>
        <v>10^5</v>
      </c>
      <c r="X196" t="str">
        <f>IF(OR(SeismicData[[#This Row],[genergy]]&lt;$AA$6,SeismicData[[#This Row],[genergy]]&gt;$AA$5),"Outlier","Normal")</f>
        <v>Outlier</v>
      </c>
    </row>
    <row r="197" spans="1:24" x14ac:dyDescent="0.15">
      <c r="A197">
        <v>196</v>
      </c>
      <c r="B197" t="s">
        <v>20</v>
      </c>
      <c r="C197" t="s">
        <v>20</v>
      </c>
      <c r="D197" t="s">
        <v>22</v>
      </c>
      <c r="E197">
        <v>474770</v>
      </c>
      <c r="F197">
        <v>1512</v>
      </c>
      <c r="G197">
        <v>-32</v>
      </c>
      <c r="H197">
        <v>-14</v>
      </c>
      <c r="I197" t="s">
        <v>20</v>
      </c>
      <c r="J197">
        <v>0</v>
      </c>
      <c r="K197">
        <v>0</v>
      </c>
      <c r="L197">
        <v>0</v>
      </c>
      <c r="M197">
        <v>0</v>
      </c>
      <c r="N197">
        <v>0</v>
      </c>
      <c r="O197">
        <v>0</v>
      </c>
      <c r="P197">
        <v>0</v>
      </c>
      <c r="Q197">
        <v>0</v>
      </c>
      <c r="R197">
        <v>0</v>
      </c>
      <c r="S197">
        <v>0</v>
      </c>
      <c r="T197">
        <v>0</v>
      </c>
      <c r="U197" t="str">
        <f>IF(SeismicData[[#This Row],[class]]=1,"Dangerous","Safe")</f>
        <v>Safe</v>
      </c>
      <c r="V197" t="str">
        <f>IF(SeismicData[[#This Row],[shift]]="W","Production","Non-Production")</f>
        <v>Production</v>
      </c>
      <c r="W197" t="str">
        <f>IF(SeismicData[[#This Row],[genergy]]=0,"0","10^"&amp;INT(LOG10(SeismicData[[#This Row],[genergy]])))</f>
        <v>10^5</v>
      </c>
      <c r="X197" t="str">
        <f>IF(OR(SeismicData[[#This Row],[genergy]]&lt;$AA$6,SeismicData[[#This Row],[genergy]]&gt;$AA$5),"Outlier","Normal")</f>
        <v>Outlier</v>
      </c>
    </row>
    <row r="198" spans="1:24" x14ac:dyDescent="0.15">
      <c r="A198">
        <v>197</v>
      </c>
      <c r="B198" t="s">
        <v>20</v>
      </c>
      <c r="C198" t="s">
        <v>20</v>
      </c>
      <c r="D198" t="s">
        <v>22</v>
      </c>
      <c r="E198">
        <v>682910</v>
      </c>
      <c r="F198">
        <v>1486</v>
      </c>
      <c r="G198">
        <v>-2</v>
      </c>
      <c r="H198">
        <v>-18</v>
      </c>
      <c r="I198" t="s">
        <v>20</v>
      </c>
      <c r="J198">
        <v>2</v>
      </c>
      <c r="K198">
        <v>0</v>
      </c>
      <c r="L198">
        <v>2</v>
      </c>
      <c r="M198">
        <v>0</v>
      </c>
      <c r="N198">
        <v>0</v>
      </c>
      <c r="O198">
        <v>0</v>
      </c>
      <c r="P198">
        <v>0</v>
      </c>
      <c r="Q198">
        <v>0</v>
      </c>
      <c r="R198">
        <v>6000</v>
      </c>
      <c r="S198">
        <v>4000</v>
      </c>
      <c r="T198">
        <v>0</v>
      </c>
      <c r="U198" t="str">
        <f>IF(SeismicData[[#This Row],[class]]=1,"Dangerous","Safe")</f>
        <v>Safe</v>
      </c>
      <c r="V198" t="str">
        <f>IF(SeismicData[[#This Row],[shift]]="W","Production","Non-Production")</f>
        <v>Production</v>
      </c>
      <c r="W198" t="str">
        <f>IF(SeismicData[[#This Row],[genergy]]=0,"0","10^"&amp;INT(LOG10(SeismicData[[#This Row],[genergy]])))</f>
        <v>10^5</v>
      </c>
      <c r="X198" t="str">
        <f>IF(OR(SeismicData[[#This Row],[genergy]]&lt;$AA$6,SeismicData[[#This Row],[genergy]]&gt;$AA$5),"Outlier","Normal")</f>
        <v>Outlier</v>
      </c>
    </row>
    <row r="199" spans="1:24" x14ac:dyDescent="0.15">
      <c r="A199">
        <v>198</v>
      </c>
      <c r="B199" t="s">
        <v>20</v>
      </c>
      <c r="C199" t="s">
        <v>20</v>
      </c>
      <c r="D199" t="s">
        <v>22</v>
      </c>
      <c r="E199">
        <v>1256570</v>
      </c>
      <c r="F199">
        <v>3289</v>
      </c>
      <c r="G199">
        <v>86</v>
      </c>
      <c r="H199">
        <v>88</v>
      </c>
      <c r="I199" t="s">
        <v>20</v>
      </c>
      <c r="J199">
        <v>3</v>
      </c>
      <c r="K199">
        <v>2</v>
      </c>
      <c r="L199">
        <v>1</v>
      </c>
      <c r="M199">
        <v>0</v>
      </c>
      <c r="N199">
        <v>0</v>
      </c>
      <c r="O199">
        <v>0</v>
      </c>
      <c r="P199">
        <v>0</v>
      </c>
      <c r="Q199">
        <v>0</v>
      </c>
      <c r="R199">
        <v>6200</v>
      </c>
      <c r="S199">
        <v>5000</v>
      </c>
      <c r="T199">
        <v>0</v>
      </c>
      <c r="U199" t="str">
        <f>IF(SeismicData[[#This Row],[class]]=1,"Dangerous","Safe")</f>
        <v>Safe</v>
      </c>
      <c r="V199" t="str">
        <f>IF(SeismicData[[#This Row],[shift]]="W","Production","Non-Production")</f>
        <v>Production</v>
      </c>
      <c r="W199" t="str">
        <f>IF(SeismicData[[#This Row],[genergy]]=0,"0","10^"&amp;INT(LOG10(SeismicData[[#This Row],[genergy]])))</f>
        <v>10^6</v>
      </c>
      <c r="X199" t="str">
        <f>IF(OR(SeismicData[[#This Row],[genergy]]&lt;$AA$6,SeismicData[[#This Row],[genergy]]&gt;$AA$5),"Outlier","Normal")</f>
        <v>Outlier</v>
      </c>
    </row>
    <row r="200" spans="1:24" x14ac:dyDescent="0.15">
      <c r="A200">
        <v>199</v>
      </c>
      <c r="B200" t="s">
        <v>20</v>
      </c>
      <c r="C200" t="s">
        <v>20</v>
      </c>
      <c r="D200" t="s">
        <v>22</v>
      </c>
      <c r="E200">
        <v>576040</v>
      </c>
      <c r="F200">
        <v>1541</v>
      </c>
      <c r="G200">
        <v>-24</v>
      </c>
      <c r="H200">
        <v>-22</v>
      </c>
      <c r="I200" t="s">
        <v>20</v>
      </c>
      <c r="J200">
        <v>1</v>
      </c>
      <c r="K200">
        <v>1</v>
      </c>
      <c r="L200">
        <v>0</v>
      </c>
      <c r="M200">
        <v>0</v>
      </c>
      <c r="N200">
        <v>0</v>
      </c>
      <c r="O200">
        <v>0</v>
      </c>
      <c r="P200">
        <v>0</v>
      </c>
      <c r="Q200">
        <v>0</v>
      </c>
      <c r="R200">
        <v>900</v>
      </c>
      <c r="S200">
        <v>900</v>
      </c>
      <c r="T200">
        <v>0</v>
      </c>
      <c r="U200" t="str">
        <f>IF(SeismicData[[#This Row],[class]]=1,"Dangerous","Safe")</f>
        <v>Safe</v>
      </c>
      <c r="V200" t="str">
        <f>IF(SeismicData[[#This Row],[shift]]="W","Production","Non-Production")</f>
        <v>Production</v>
      </c>
      <c r="W200" t="str">
        <f>IF(SeismicData[[#This Row],[genergy]]=0,"0","10^"&amp;INT(LOG10(SeismicData[[#This Row],[genergy]])))</f>
        <v>10^5</v>
      </c>
      <c r="X200" t="str">
        <f>IF(OR(SeismicData[[#This Row],[genergy]]&lt;$AA$6,SeismicData[[#This Row],[genergy]]&gt;$AA$5),"Outlier","Normal")</f>
        <v>Outlier</v>
      </c>
    </row>
    <row r="201" spans="1:24" x14ac:dyDescent="0.15">
      <c r="A201">
        <v>200</v>
      </c>
      <c r="B201" t="s">
        <v>20</v>
      </c>
      <c r="C201" t="s">
        <v>20</v>
      </c>
      <c r="D201" t="s">
        <v>22</v>
      </c>
      <c r="E201">
        <v>782750</v>
      </c>
      <c r="F201">
        <v>1593</v>
      </c>
      <c r="G201">
        <v>9</v>
      </c>
      <c r="H201">
        <v>-17</v>
      </c>
      <c r="I201" t="s">
        <v>20</v>
      </c>
      <c r="J201">
        <v>2</v>
      </c>
      <c r="K201">
        <v>0</v>
      </c>
      <c r="L201">
        <v>2</v>
      </c>
      <c r="M201">
        <v>0</v>
      </c>
      <c r="N201">
        <v>0</v>
      </c>
      <c r="O201">
        <v>0</v>
      </c>
      <c r="P201">
        <v>0</v>
      </c>
      <c r="Q201">
        <v>0</v>
      </c>
      <c r="R201">
        <v>6000</v>
      </c>
      <c r="S201">
        <v>3000</v>
      </c>
      <c r="T201">
        <v>0</v>
      </c>
      <c r="U201" t="str">
        <f>IF(SeismicData[[#This Row],[class]]=1,"Dangerous","Safe")</f>
        <v>Safe</v>
      </c>
      <c r="V201" t="str">
        <f>IF(SeismicData[[#This Row],[shift]]="W","Production","Non-Production")</f>
        <v>Production</v>
      </c>
      <c r="W201" t="str">
        <f>IF(SeismicData[[#This Row],[genergy]]=0,"0","10^"&amp;INT(LOG10(SeismicData[[#This Row],[genergy]])))</f>
        <v>10^5</v>
      </c>
      <c r="X201" t="str">
        <f>IF(OR(SeismicData[[#This Row],[genergy]]&lt;$AA$6,SeismicData[[#This Row],[genergy]]&gt;$AA$5),"Outlier","Normal")</f>
        <v>Outlier</v>
      </c>
    </row>
    <row r="202" spans="1:24" x14ac:dyDescent="0.15">
      <c r="A202">
        <v>201</v>
      </c>
      <c r="B202" t="s">
        <v>20</v>
      </c>
      <c r="C202" t="s">
        <v>20</v>
      </c>
      <c r="D202" t="s">
        <v>22</v>
      </c>
      <c r="E202">
        <v>1371400</v>
      </c>
      <c r="F202">
        <v>3040</v>
      </c>
      <c r="G202">
        <v>91</v>
      </c>
      <c r="H202">
        <v>63</v>
      </c>
      <c r="I202" t="s">
        <v>20</v>
      </c>
      <c r="J202">
        <v>1</v>
      </c>
      <c r="K202">
        <v>1</v>
      </c>
      <c r="L202">
        <v>0</v>
      </c>
      <c r="M202">
        <v>0</v>
      </c>
      <c r="N202">
        <v>0</v>
      </c>
      <c r="O202">
        <v>0</v>
      </c>
      <c r="P202">
        <v>0</v>
      </c>
      <c r="Q202">
        <v>0</v>
      </c>
      <c r="R202">
        <v>300</v>
      </c>
      <c r="S202">
        <v>300</v>
      </c>
      <c r="T202">
        <v>0</v>
      </c>
      <c r="U202" t="str">
        <f>IF(SeismicData[[#This Row],[class]]=1,"Dangerous","Safe")</f>
        <v>Safe</v>
      </c>
      <c r="V202" t="str">
        <f>IF(SeismicData[[#This Row],[shift]]="W","Production","Non-Production")</f>
        <v>Production</v>
      </c>
      <c r="W202" t="str">
        <f>IF(SeismicData[[#This Row],[genergy]]=0,"0","10^"&amp;INT(LOG10(SeismicData[[#This Row],[genergy]])))</f>
        <v>10^6</v>
      </c>
      <c r="X202" t="str">
        <f>IF(OR(SeismicData[[#This Row],[genergy]]&lt;$AA$6,SeismicData[[#This Row],[genergy]]&gt;$AA$5),"Outlier","Normal")</f>
        <v>Outlier</v>
      </c>
    </row>
    <row r="203" spans="1:24" x14ac:dyDescent="0.15">
      <c r="A203">
        <v>202</v>
      </c>
      <c r="B203" t="s">
        <v>20</v>
      </c>
      <c r="C203" t="s">
        <v>20</v>
      </c>
      <c r="D203" t="s">
        <v>22</v>
      </c>
      <c r="E203">
        <v>891720</v>
      </c>
      <c r="F203">
        <v>2037</v>
      </c>
      <c r="G203">
        <v>11</v>
      </c>
      <c r="H203">
        <v>0</v>
      </c>
      <c r="I203" t="s">
        <v>20</v>
      </c>
      <c r="J203">
        <v>0</v>
      </c>
      <c r="K203">
        <v>0</v>
      </c>
      <c r="L203">
        <v>0</v>
      </c>
      <c r="M203">
        <v>0</v>
      </c>
      <c r="N203">
        <v>0</v>
      </c>
      <c r="O203">
        <v>0</v>
      </c>
      <c r="P203">
        <v>0</v>
      </c>
      <c r="Q203">
        <v>0</v>
      </c>
      <c r="R203">
        <v>0</v>
      </c>
      <c r="S203">
        <v>0</v>
      </c>
      <c r="T203">
        <v>0</v>
      </c>
      <c r="U203" t="str">
        <f>IF(SeismicData[[#This Row],[class]]=1,"Dangerous","Safe")</f>
        <v>Safe</v>
      </c>
      <c r="V203" t="str">
        <f>IF(SeismicData[[#This Row],[shift]]="W","Production","Non-Production")</f>
        <v>Production</v>
      </c>
      <c r="W203" t="str">
        <f>IF(SeismicData[[#This Row],[genergy]]=0,"0","10^"&amp;INT(LOG10(SeismicData[[#This Row],[genergy]])))</f>
        <v>10^5</v>
      </c>
      <c r="X203" t="str">
        <f>IF(OR(SeismicData[[#This Row],[genergy]]&lt;$AA$6,SeismicData[[#This Row],[genergy]]&gt;$AA$5),"Outlier","Normal")</f>
        <v>Outlier</v>
      </c>
    </row>
    <row r="204" spans="1:24" x14ac:dyDescent="0.15">
      <c r="A204">
        <v>203</v>
      </c>
      <c r="B204" t="s">
        <v>20</v>
      </c>
      <c r="C204" t="s">
        <v>20</v>
      </c>
      <c r="D204" t="s">
        <v>22</v>
      </c>
      <c r="E204">
        <v>1034700</v>
      </c>
      <c r="F204">
        <v>1837</v>
      </c>
      <c r="G204">
        <v>33</v>
      </c>
      <c r="H204">
        <v>-6</v>
      </c>
      <c r="I204" t="s">
        <v>20</v>
      </c>
      <c r="J204">
        <v>1</v>
      </c>
      <c r="K204">
        <v>0</v>
      </c>
      <c r="L204">
        <v>1</v>
      </c>
      <c r="M204">
        <v>0</v>
      </c>
      <c r="N204">
        <v>0</v>
      </c>
      <c r="O204">
        <v>0</v>
      </c>
      <c r="P204">
        <v>0</v>
      </c>
      <c r="Q204">
        <v>0</v>
      </c>
      <c r="R204">
        <v>2000</v>
      </c>
      <c r="S204">
        <v>2000</v>
      </c>
      <c r="T204">
        <v>1</v>
      </c>
      <c r="U204" t="str">
        <f>IF(SeismicData[[#This Row],[class]]=1,"Dangerous","Safe")</f>
        <v>Dangerous</v>
      </c>
      <c r="V204" t="str">
        <f>IF(SeismicData[[#This Row],[shift]]="W","Production","Non-Production")</f>
        <v>Production</v>
      </c>
      <c r="W204" t="str">
        <f>IF(SeismicData[[#This Row],[genergy]]=0,"0","10^"&amp;INT(LOG10(SeismicData[[#This Row],[genergy]])))</f>
        <v>10^6</v>
      </c>
      <c r="X204" t="str">
        <f>IF(OR(SeismicData[[#This Row],[genergy]]&lt;$AA$6,SeismicData[[#This Row],[genergy]]&gt;$AA$5),"Outlier","Normal")</f>
        <v>Outlier</v>
      </c>
    </row>
    <row r="205" spans="1:24" x14ac:dyDescent="0.15">
      <c r="A205">
        <v>204</v>
      </c>
      <c r="B205" t="s">
        <v>23</v>
      </c>
      <c r="C205" t="s">
        <v>23</v>
      </c>
      <c r="D205" t="s">
        <v>22</v>
      </c>
      <c r="E205">
        <v>2129020</v>
      </c>
      <c r="F205">
        <v>3722</v>
      </c>
      <c r="G205">
        <v>161</v>
      </c>
      <c r="H205">
        <v>91</v>
      </c>
      <c r="I205" t="s">
        <v>23</v>
      </c>
      <c r="J205">
        <v>2</v>
      </c>
      <c r="K205">
        <v>1</v>
      </c>
      <c r="L205">
        <v>0</v>
      </c>
      <c r="M205">
        <v>1</v>
      </c>
      <c r="N205">
        <v>0</v>
      </c>
      <c r="O205">
        <v>0</v>
      </c>
      <c r="P205">
        <v>0</v>
      </c>
      <c r="Q205">
        <v>0</v>
      </c>
      <c r="R205">
        <v>20600</v>
      </c>
      <c r="S205">
        <v>20000</v>
      </c>
      <c r="T205">
        <v>0</v>
      </c>
      <c r="U205" t="str">
        <f>IF(SeismicData[[#This Row],[class]]=1,"Dangerous","Safe")</f>
        <v>Safe</v>
      </c>
      <c r="V205" t="str">
        <f>IF(SeismicData[[#This Row],[shift]]="W","Production","Non-Production")</f>
        <v>Production</v>
      </c>
      <c r="W205" t="str">
        <f>IF(SeismicData[[#This Row],[genergy]]=0,"0","10^"&amp;INT(LOG10(SeismicData[[#This Row],[genergy]])))</f>
        <v>10^6</v>
      </c>
      <c r="X205" t="str">
        <f>IF(OR(SeismicData[[#This Row],[genergy]]&lt;$AA$6,SeismicData[[#This Row],[genergy]]&gt;$AA$5),"Outlier","Normal")</f>
        <v>Outlier</v>
      </c>
    </row>
    <row r="206" spans="1:24" x14ac:dyDescent="0.15">
      <c r="A206">
        <v>205</v>
      </c>
      <c r="B206" t="s">
        <v>23</v>
      </c>
      <c r="C206" t="s">
        <v>23</v>
      </c>
      <c r="D206" t="s">
        <v>22</v>
      </c>
      <c r="E206">
        <v>1547010</v>
      </c>
      <c r="F206">
        <v>3060</v>
      </c>
      <c r="G206">
        <v>55</v>
      </c>
      <c r="H206">
        <v>38</v>
      </c>
      <c r="I206" t="s">
        <v>20</v>
      </c>
      <c r="J206">
        <v>3</v>
      </c>
      <c r="K206">
        <v>1</v>
      </c>
      <c r="L206">
        <v>2</v>
      </c>
      <c r="M206">
        <v>0</v>
      </c>
      <c r="N206">
        <v>0</v>
      </c>
      <c r="O206">
        <v>0</v>
      </c>
      <c r="P206">
        <v>0</v>
      </c>
      <c r="Q206">
        <v>0</v>
      </c>
      <c r="R206">
        <v>6500</v>
      </c>
      <c r="S206">
        <v>4000</v>
      </c>
      <c r="T206">
        <v>0</v>
      </c>
      <c r="U206" t="str">
        <f>IF(SeismicData[[#This Row],[class]]=1,"Dangerous","Safe")</f>
        <v>Safe</v>
      </c>
      <c r="V206" t="str">
        <f>IF(SeismicData[[#This Row],[shift]]="W","Production","Non-Production")</f>
        <v>Production</v>
      </c>
      <c r="W206" t="str">
        <f>IF(SeismicData[[#This Row],[genergy]]=0,"0","10^"&amp;INT(LOG10(SeismicData[[#This Row],[genergy]])))</f>
        <v>10^6</v>
      </c>
      <c r="X206" t="str">
        <f>IF(OR(SeismicData[[#This Row],[genergy]]&lt;$AA$6,SeismicData[[#This Row],[genergy]]&gt;$AA$5),"Outlier","Normal")</f>
        <v>Outlier</v>
      </c>
    </row>
    <row r="207" spans="1:24" x14ac:dyDescent="0.15">
      <c r="A207">
        <v>206</v>
      </c>
      <c r="B207" t="s">
        <v>23</v>
      </c>
      <c r="C207" t="s">
        <v>23</v>
      </c>
      <c r="D207" t="s">
        <v>22</v>
      </c>
      <c r="E207">
        <v>924910</v>
      </c>
      <c r="F207">
        <v>1869</v>
      </c>
      <c r="G207">
        <v>-14</v>
      </c>
      <c r="H207">
        <v>-19</v>
      </c>
      <c r="I207" t="s">
        <v>20</v>
      </c>
      <c r="J207">
        <v>0</v>
      </c>
      <c r="K207">
        <v>0</v>
      </c>
      <c r="L207">
        <v>0</v>
      </c>
      <c r="M207">
        <v>0</v>
      </c>
      <c r="N207">
        <v>0</v>
      </c>
      <c r="O207">
        <v>0</v>
      </c>
      <c r="P207">
        <v>0</v>
      </c>
      <c r="Q207">
        <v>0</v>
      </c>
      <c r="R207">
        <v>0</v>
      </c>
      <c r="S207">
        <v>0</v>
      </c>
      <c r="T207">
        <v>0</v>
      </c>
      <c r="U207" t="str">
        <f>IF(SeismicData[[#This Row],[class]]=1,"Dangerous","Safe")</f>
        <v>Safe</v>
      </c>
      <c r="V207" t="str">
        <f>IF(SeismicData[[#This Row],[shift]]="W","Production","Non-Production")</f>
        <v>Production</v>
      </c>
      <c r="W207" t="str">
        <f>IF(SeismicData[[#This Row],[genergy]]=0,"0","10^"&amp;INT(LOG10(SeismicData[[#This Row],[genergy]])))</f>
        <v>10^5</v>
      </c>
      <c r="X207" t="str">
        <f>IF(OR(SeismicData[[#This Row],[genergy]]&lt;$AA$6,SeismicData[[#This Row],[genergy]]&gt;$AA$5),"Outlier","Normal")</f>
        <v>Outlier</v>
      </c>
    </row>
    <row r="208" spans="1:24" x14ac:dyDescent="0.15">
      <c r="A208">
        <v>207</v>
      </c>
      <c r="B208" t="s">
        <v>20</v>
      </c>
      <c r="C208" t="s">
        <v>20</v>
      </c>
      <c r="D208" t="s">
        <v>22</v>
      </c>
      <c r="E208">
        <v>1988970</v>
      </c>
      <c r="F208">
        <v>3697</v>
      </c>
      <c r="G208">
        <v>78</v>
      </c>
      <c r="H208">
        <v>57</v>
      </c>
      <c r="I208" t="s">
        <v>20</v>
      </c>
      <c r="J208">
        <v>0</v>
      </c>
      <c r="K208">
        <v>0</v>
      </c>
      <c r="L208">
        <v>0</v>
      </c>
      <c r="M208">
        <v>0</v>
      </c>
      <c r="N208">
        <v>0</v>
      </c>
      <c r="O208">
        <v>0</v>
      </c>
      <c r="P208">
        <v>0</v>
      </c>
      <c r="Q208">
        <v>0</v>
      </c>
      <c r="R208">
        <v>0</v>
      </c>
      <c r="S208">
        <v>0</v>
      </c>
      <c r="T208">
        <v>0</v>
      </c>
      <c r="U208" t="str">
        <f>IF(SeismicData[[#This Row],[class]]=1,"Dangerous","Safe")</f>
        <v>Safe</v>
      </c>
      <c r="V208" t="str">
        <f>IF(SeismicData[[#This Row],[shift]]="W","Production","Non-Production")</f>
        <v>Production</v>
      </c>
      <c r="W208" t="str">
        <f>IF(SeismicData[[#This Row],[genergy]]=0,"0","10^"&amp;INT(LOG10(SeismicData[[#This Row],[genergy]])))</f>
        <v>10^6</v>
      </c>
      <c r="X208" t="str">
        <f>IF(OR(SeismicData[[#This Row],[genergy]]&lt;$AA$6,SeismicData[[#This Row],[genergy]]&gt;$AA$5),"Outlier","Normal")</f>
        <v>Outlier</v>
      </c>
    </row>
    <row r="209" spans="1:24" x14ac:dyDescent="0.15">
      <c r="A209">
        <v>208</v>
      </c>
      <c r="B209" t="s">
        <v>20</v>
      </c>
      <c r="C209" t="s">
        <v>20</v>
      </c>
      <c r="D209" t="s">
        <v>21</v>
      </c>
      <c r="E209">
        <v>218630</v>
      </c>
      <c r="F209">
        <v>645</v>
      </c>
      <c r="G209">
        <v>-11</v>
      </c>
      <c r="H209">
        <v>14</v>
      </c>
      <c r="I209" t="s">
        <v>20</v>
      </c>
      <c r="J209">
        <v>1</v>
      </c>
      <c r="K209">
        <v>0</v>
      </c>
      <c r="L209">
        <v>1</v>
      </c>
      <c r="M209">
        <v>0</v>
      </c>
      <c r="N209">
        <v>0</v>
      </c>
      <c r="O209">
        <v>0</v>
      </c>
      <c r="P209">
        <v>0</v>
      </c>
      <c r="Q209">
        <v>0</v>
      </c>
      <c r="R209">
        <v>3000</v>
      </c>
      <c r="S209">
        <v>3000</v>
      </c>
      <c r="T209">
        <v>0</v>
      </c>
      <c r="U209" t="str">
        <f>IF(SeismicData[[#This Row],[class]]=1,"Dangerous","Safe")</f>
        <v>Safe</v>
      </c>
      <c r="V209" t="str">
        <f>IF(SeismicData[[#This Row],[shift]]="W","Production","Non-Production")</f>
        <v>Non-Production</v>
      </c>
      <c r="W209" t="str">
        <f>IF(SeismicData[[#This Row],[genergy]]=0,"0","10^"&amp;INT(LOG10(SeismicData[[#This Row],[genergy]])))</f>
        <v>10^5</v>
      </c>
      <c r="X209" t="str">
        <f>IF(OR(SeismicData[[#This Row],[genergy]]&lt;$AA$6,SeismicData[[#This Row],[genergy]]&gt;$AA$5),"Outlier","Normal")</f>
        <v>Outlier</v>
      </c>
    </row>
    <row r="210" spans="1:24" x14ac:dyDescent="0.15">
      <c r="A210">
        <v>209</v>
      </c>
      <c r="B210" t="s">
        <v>20</v>
      </c>
      <c r="C210" t="s">
        <v>20</v>
      </c>
      <c r="D210" t="s">
        <v>22</v>
      </c>
      <c r="E210">
        <v>1018360</v>
      </c>
      <c r="F210">
        <v>2263</v>
      </c>
      <c r="G210">
        <v>-19</v>
      </c>
      <c r="H210">
        <v>-12</v>
      </c>
      <c r="I210" t="s">
        <v>20</v>
      </c>
      <c r="J210">
        <v>0</v>
      </c>
      <c r="K210">
        <v>0</v>
      </c>
      <c r="L210">
        <v>0</v>
      </c>
      <c r="M210">
        <v>0</v>
      </c>
      <c r="N210">
        <v>0</v>
      </c>
      <c r="O210">
        <v>0</v>
      </c>
      <c r="P210">
        <v>0</v>
      </c>
      <c r="Q210">
        <v>0</v>
      </c>
      <c r="R210">
        <v>0</v>
      </c>
      <c r="S210">
        <v>0</v>
      </c>
      <c r="T210">
        <v>0</v>
      </c>
      <c r="U210" t="str">
        <f>IF(SeismicData[[#This Row],[class]]=1,"Dangerous","Safe")</f>
        <v>Safe</v>
      </c>
      <c r="V210" t="str">
        <f>IF(SeismicData[[#This Row],[shift]]="W","Production","Non-Production")</f>
        <v>Production</v>
      </c>
      <c r="W210" t="str">
        <f>IF(SeismicData[[#This Row],[genergy]]=0,"0","10^"&amp;INT(LOG10(SeismicData[[#This Row],[genergy]])))</f>
        <v>10^6</v>
      </c>
      <c r="X210" t="str">
        <f>IF(OR(SeismicData[[#This Row],[genergy]]&lt;$AA$6,SeismicData[[#This Row],[genergy]]&gt;$AA$5),"Outlier","Normal")</f>
        <v>Outlier</v>
      </c>
    </row>
    <row r="211" spans="1:24" x14ac:dyDescent="0.15">
      <c r="A211">
        <v>210</v>
      </c>
      <c r="B211" t="s">
        <v>20</v>
      </c>
      <c r="C211" t="s">
        <v>20</v>
      </c>
      <c r="D211" t="s">
        <v>22</v>
      </c>
      <c r="E211">
        <v>1189240</v>
      </c>
      <c r="F211">
        <v>2159</v>
      </c>
      <c r="G211">
        <v>-3</v>
      </c>
      <c r="H211">
        <v>-12</v>
      </c>
      <c r="I211" t="s">
        <v>20</v>
      </c>
      <c r="J211">
        <v>3</v>
      </c>
      <c r="K211">
        <v>2</v>
      </c>
      <c r="L211">
        <v>1</v>
      </c>
      <c r="M211">
        <v>0</v>
      </c>
      <c r="N211">
        <v>0</v>
      </c>
      <c r="O211">
        <v>0</v>
      </c>
      <c r="P211">
        <v>0</v>
      </c>
      <c r="Q211">
        <v>0</v>
      </c>
      <c r="R211">
        <v>5200</v>
      </c>
      <c r="S211">
        <v>4000</v>
      </c>
      <c r="T211">
        <v>0</v>
      </c>
      <c r="U211" t="str">
        <f>IF(SeismicData[[#This Row],[class]]=1,"Dangerous","Safe")</f>
        <v>Safe</v>
      </c>
      <c r="V211" t="str">
        <f>IF(SeismicData[[#This Row],[shift]]="W","Production","Non-Production")</f>
        <v>Production</v>
      </c>
      <c r="W211" t="str">
        <f>IF(SeismicData[[#This Row],[genergy]]=0,"0","10^"&amp;INT(LOG10(SeismicData[[#This Row],[genergy]])))</f>
        <v>10^6</v>
      </c>
      <c r="X211" t="str">
        <f>IF(OR(SeismicData[[#This Row],[genergy]]&lt;$AA$6,SeismicData[[#This Row],[genergy]]&gt;$AA$5),"Outlier","Normal")</f>
        <v>Outlier</v>
      </c>
    </row>
    <row r="212" spans="1:24" x14ac:dyDescent="0.15">
      <c r="A212">
        <v>211</v>
      </c>
      <c r="B212" t="s">
        <v>20</v>
      </c>
      <c r="C212" t="s">
        <v>20</v>
      </c>
      <c r="D212" t="s">
        <v>22</v>
      </c>
      <c r="E212">
        <v>1582550</v>
      </c>
      <c r="F212">
        <v>2545</v>
      </c>
      <c r="G212">
        <v>23</v>
      </c>
      <c r="H212">
        <v>1</v>
      </c>
      <c r="I212" t="s">
        <v>20</v>
      </c>
      <c r="J212">
        <v>0</v>
      </c>
      <c r="K212">
        <v>0</v>
      </c>
      <c r="L212">
        <v>0</v>
      </c>
      <c r="M212">
        <v>0</v>
      </c>
      <c r="N212">
        <v>0</v>
      </c>
      <c r="O212">
        <v>0</v>
      </c>
      <c r="P212">
        <v>0</v>
      </c>
      <c r="Q212">
        <v>0</v>
      </c>
      <c r="R212">
        <v>0</v>
      </c>
      <c r="S212">
        <v>0</v>
      </c>
      <c r="T212">
        <v>0</v>
      </c>
      <c r="U212" t="str">
        <f>IF(SeismicData[[#This Row],[class]]=1,"Dangerous","Safe")</f>
        <v>Safe</v>
      </c>
      <c r="V212" t="str">
        <f>IF(SeismicData[[#This Row],[shift]]="W","Production","Non-Production")</f>
        <v>Production</v>
      </c>
      <c r="W212" t="str">
        <f>IF(SeismicData[[#This Row],[genergy]]=0,"0","10^"&amp;INT(LOG10(SeismicData[[#This Row],[genergy]])))</f>
        <v>10^6</v>
      </c>
      <c r="X212" t="str">
        <f>IF(OR(SeismicData[[#This Row],[genergy]]&lt;$AA$6,SeismicData[[#This Row],[genergy]]&gt;$AA$5),"Outlier","Normal")</f>
        <v>Outlier</v>
      </c>
    </row>
    <row r="213" spans="1:24" x14ac:dyDescent="0.15">
      <c r="A213">
        <v>212</v>
      </c>
      <c r="B213" t="s">
        <v>20</v>
      </c>
      <c r="C213" t="s">
        <v>20</v>
      </c>
      <c r="D213" t="s">
        <v>22</v>
      </c>
      <c r="E213">
        <v>927530</v>
      </c>
      <c r="F213">
        <v>1777</v>
      </c>
      <c r="G213">
        <v>-32</v>
      </c>
      <c r="H213">
        <v>-32</v>
      </c>
      <c r="I213" t="s">
        <v>20</v>
      </c>
      <c r="J213">
        <v>1</v>
      </c>
      <c r="K213">
        <v>0</v>
      </c>
      <c r="L213">
        <v>1</v>
      </c>
      <c r="M213">
        <v>0</v>
      </c>
      <c r="N213">
        <v>0</v>
      </c>
      <c r="O213">
        <v>0</v>
      </c>
      <c r="P213">
        <v>0</v>
      </c>
      <c r="Q213">
        <v>0</v>
      </c>
      <c r="R213">
        <v>3000</v>
      </c>
      <c r="S213">
        <v>3000</v>
      </c>
      <c r="T213">
        <v>0</v>
      </c>
      <c r="U213" t="str">
        <f>IF(SeismicData[[#This Row],[class]]=1,"Dangerous","Safe")</f>
        <v>Safe</v>
      </c>
      <c r="V213" t="str">
        <f>IF(SeismicData[[#This Row],[shift]]="W","Production","Non-Production")</f>
        <v>Production</v>
      </c>
      <c r="W213" t="str">
        <f>IF(SeismicData[[#This Row],[genergy]]=0,"0","10^"&amp;INT(LOG10(SeismicData[[#This Row],[genergy]])))</f>
        <v>10^5</v>
      </c>
      <c r="X213" t="str">
        <f>IF(OR(SeismicData[[#This Row],[genergy]]&lt;$AA$6,SeismicData[[#This Row],[genergy]]&gt;$AA$5),"Outlier","Normal")</f>
        <v>Outlier</v>
      </c>
    </row>
    <row r="214" spans="1:24" x14ac:dyDescent="0.15">
      <c r="A214">
        <v>213</v>
      </c>
      <c r="B214" t="s">
        <v>20</v>
      </c>
      <c r="C214" t="s">
        <v>20</v>
      </c>
      <c r="D214" t="s">
        <v>22</v>
      </c>
      <c r="E214">
        <v>2052510</v>
      </c>
      <c r="F214">
        <v>3635</v>
      </c>
      <c r="G214">
        <v>55</v>
      </c>
      <c r="H214">
        <v>46</v>
      </c>
      <c r="I214" t="s">
        <v>20</v>
      </c>
      <c r="J214">
        <v>1</v>
      </c>
      <c r="K214">
        <v>1</v>
      </c>
      <c r="L214">
        <v>0</v>
      </c>
      <c r="M214">
        <v>0</v>
      </c>
      <c r="N214">
        <v>0</v>
      </c>
      <c r="O214">
        <v>0</v>
      </c>
      <c r="P214">
        <v>0</v>
      </c>
      <c r="Q214">
        <v>0</v>
      </c>
      <c r="R214">
        <v>800</v>
      </c>
      <c r="S214">
        <v>800</v>
      </c>
      <c r="T214">
        <v>0</v>
      </c>
      <c r="U214" t="str">
        <f>IF(SeismicData[[#This Row],[class]]=1,"Dangerous","Safe")</f>
        <v>Safe</v>
      </c>
      <c r="V214" t="str">
        <f>IF(SeismicData[[#This Row],[shift]]="W","Production","Non-Production")</f>
        <v>Production</v>
      </c>
      <c r="W214" t="str">
        <f>IF(SeismicData[[#This Row],[genergy]]=0,"0","10^"&amp;INT(LOG10(SeismicData[[#This Row],[genergy]])))</f>
        <v>10^6</v>
      </c>
      <c r="X214" t="str">
        <f>IF(OR(SeismicData[[#This Row],[genergy]]&lt;$AA$6,SeismicData[[#This Row],[genergy]]&gt;$AA$5),"Outlier","Normal")</f>
        <v>Outlier</v>
      </c>
    </row>
    <row r="215" spans="1:24" x14ac:dyDescent="0.15">
      <c r="A215">
        <v>214</v>
      </c>
      <c r="B215" t="s">
        <v>20</v>
      </c>
      <c r="C215" t="s">
        <v>20</v>
      </c>
      <c r="D215" t="s">
        <v>22</v>
      </c>
      <c r="E215">
        <v>1260100</v>
      </c>
      <c r="F215">
        <v>2519</v>
      </c>
      <c r="G215">
        <v>-12</v>
      </c>
      <c r="H215">
        <v>-5</v>
      </c>
      <c r="I215" t="s">
        <v>20</v>
      </c>
      <c r="J215">
        <v>1</v>
      </c>
      <c r="K215">
        <v>1</v>
      </c>
      <c r="L215">
        <v>0</v>
      </c>
      <c r="M215">
        <v>0</v>
      </c>
      <c r="N215">
        <v>0</v>
      </c>
      <c r="O215">
        <v>0</v>
      </c>
      <c r="P215">
        <v>0</v>
      </c>
      <c r="Q215">
        <v>0</v>
      </c>
      <c r="R215">
        <v>600</v>
      </c>
      <c r="S215">
        <v>600</v>
      </c>
      <c r="T215">
        <v>0</v>
      </c>
      <c r="U215" t="str">
        <f>IF(SeismicData[[#This Row],[class]]=1,"Dangerous","Safe")</f>
        <v>Safe</v>
      </c>
      <c r="V215" t="str">
        <f>IF(SeismicData[[#This Row],[shift]]="W","Production","Non-Production")</f>
        <v>Production</v>
      </c>
      <c r="W215" t="str">
        <f>IF(SeismicData[[#This Row],[genergy]]=0,"0","10^"&amp;INT(LOG10(SeismicData[[#This Row],[genergy]])))</f>
        <v>10^6</v>
      </c>
      <c r="X215" t="str">
        <f>IF(OR(SeismicData[[#This Row],[genergy]]&lt;$AA$6,SeismicData[[#This Row],[genergy]]&gt;$AA$5),"Outlier","Normal")</f>
        <v>Outlier</v>
      </c>
    </row>
    <row r="216" spans="1:24" x14ac:dyDescent="0.15">
      <c r="A216">
        <v>215</v>
      </c>
      <c r="B216" t="s">
        <v>20</v>
      </c>
      <c r="C216" t="s">
        <v>20</v>
      </c>
      <c r="D216" t="s">
        <v>22</v>
      </c>
      <c r="E216">
        <v>1062280</v>
      </c>
      <c r="F216">
        <v>1982</v>
      </c>
      <c r="G216">
        <v>-27</v>
      </c>
      <c r="H216">
        <v>-27</v>
      </c>
      <c r="I216" t="s">
        <v>20</v>
      </c>
      <c r="J216">
        <v>2</v>
      </c>
      <c r="K216">
        <v>1</v>
      </c>
      <c r="L216">
        <v>1</v>
      </c>
      <c r="M216">
        <v>0</v>
      </c>
      <c r="N216">
        <v>0</v>
      </c>
      <c r="O216">
        <v>0</v>
      </c>
      <c r="P216">
        <v>0</v>
      </c>
      <c r="Q216">
        <v>0</v>
      </c>
      <c r="R216">
        <v>5200</v>
      </c>
      <c r="S216">
        <v>5000</v>
      </c>
      <c r="T216">
        <v>0</v>
      </c>
      <c r="U216" t="str">
        <f>IF(SeismicData[[#This Row],[class]]=1,"Dangerous","Safe")</f>
        <v>Safe</v>
      </c>
      <c r="V216" t="str">
        <f>IF(SeismicData[[#This Row],[shift]]="W","Production","Non-Production")</f>
        <v>Production</v>
      </c>
      <c r="W216" t="str">
        <f>IF(SeismicData[[#This Row],[genergy]]=0,"0","10^"&amp;INT(LOG10(SeismicData[[#This Row],[genergy]])))</f>
        <v>10^6</v>
      </c>
      <c r="X216" t="str">
        <f>IF(OR(SeismicData[[#This Row],[genergy]]&lt;$AA$6,SeismicData[[#This Row],[genergy]]&gt;$AA$5),"Outlier","Normal")</f>
        <v>Outlier</v>
      </c>
    </row>
    <row r="217" spans="1:24" x14ac:dyDescent="0.15">
      <c r="A217">
        <v>216</v>
      </c>
      <c r="B217" t="s">
        <v>20</v>
      </c>
      <c r="C217" t="s">
        <v>20</v>
      </c>
      <c r="D217" t="s">
        <v>22</v>
      </c>
      <c r="E217">
        <v>2196220</v>
      </c>
      <c r="F217">
        <v>3848</v>
      </c>
      <c r="G217">
        <v>62</v>
      </c>
      <c r="H217">
        <v>51</v>
      </c>
      <c r="I217" t="s">
        <v>20</v>
      </c>
      <c r="J217">
        <v>3</v>
      </c>
      <c r="K217">
        <v>1</v>
      </c>
      <c r="L217">
        <v>2</v>
      </c>
      <c r="M217">
        <v>0</v>
      </c>
      <c r="N217">
        <v>0</v>
      </c>
      <c r="O217">
        <v>0</v>
      </c>
      <c r="P217">
        <v>0</v>
      </c>
      <c r="Q217">
        <v>0</v>
      </c>
      <c r="R217">
        <v>8500</v>
      </c>
      <c r="S217">
        <v>4000</v>
      </c>
      <c r="T217">
        <v>0</v>
      </c>
      <c r="U217" t="str">
        <f>IF(SeismicData[[#This Row],[class]]=1,"Dangerous","Safe")</f>
        <v>Safe</v>
      </c>
      <c r="V217" t="str">
        <f>IF(SeismicData[[#This Row],[shift]]="W","Production","Non-Production")</f>
        <v>Production</v>
      </c>
      <c r="W217" t="str">
        <f>IF(SeismicData[[#This Row],[genergy]]=0,"0","10^"&amp;INT(LOG10(SeismicData[[#This Row],[genergy]])))</f>
        <v>10^6</v>
      </c>
      <c r="X217" t="str">
        <f>IF(OR(SeismicData[[#This Row],[genergy]]&lt;$AA$6,SeismicData[[#This Row],[genergy]]&gt;$AA$5),"Outlier","Normal")</f>
        <v>Outlier</v>
      </c>
    </row>
    <row r="218" spans="1:24" x14ac:dyDescent="0.15">
      <c r="A218">
        <v>217</v>
      </c>
      <c r="B218" t="s">
        <v>20</v>
      </c>
      <c r="C218" t="s">
        <v>20</v>
      </c>
      <c r="D218" t="s">
        <v>22</v>
      </c>
      <c r="E218">
        <v>1138340</v>
      </c>
      <c r="F218">
        <v>2106</v>
      </c>
      <c r="G218">
        <v>-20</v>
      </c>
      <c r="H218">
        <v>-20</v>
      </c>
      <c r="I218" t="s">
        <v>20</v>
      </c>
      <c r="J218">
        <v>2</v>
      </c>
      <c r="K218">
        <v>0</v>
      </c>
      <c r="L218">
        <v>2</v>
      </c>
      <c r="M218">
        <v>0</v>
      </c>
      <c r="N218">
        <v>0</v>
      </c>
      <c r="O218">
        <v>0</v>
      </c>
      <c r="P218">
        <v>0</v>
      </c>
      <c r="Q218">
        <v>0</v>
      </c>
      <c r="R218">
        <v>11000</v>
      </c>
      <c r="S218">
        <v>9000</v>
      </c>
      <c r="T218">
        <v>0</v>
      </c>
      <c r="U218" t="str">
        <f>IF(SeismicData[[#This Row],[class]]=1,"Dangerous","Safe")</f>
        <v>Safe</v>
      </c>
      <c r="V218" t="str">
        <f>IF(SeismicData[[#This Row],[shift]]="W","Production","Non-Production")</f>
        <v>Production</v>
      </c>
      <c r="W218" t="str">
        <f>IF(SeismicData[[#This Row],[genergy]]=0,"0","10^"&amp;INT(LOG10(SeismicData[[#This Row],[genergy]])))</f>
        <v>10^6</v>
      </c>
      <c r="X218" t="str">
        <f>IF(OR(SeismicData[[#This Row],[genergy]]&lt;$AA$6,SeismicData[[#This Row],[genergy]]&gt;$AA$5),"Outlier","Normal")</f>
        <v>Outlier</v>
      </c>
    </row>
    <row r="219" spans="1:24" x14ac:dyDescent="0.15">
      <c r="A219">
        <v>218</v>
      </c>
      <c r="B219" t="s">
        <v>20</v>
      </c>
      <c r="C219" t="s">
        <v>20</v>
      </c>
      <c r="D219" t="s">
        <v>22</v>
      </c>
      <c r="E219">
        <v>918020</v>
      </c>
      <c r="F219">
        <v>1759</v>
      </c>
      <c r="G219">
        <v>-36</v>
      </c>
      <c r="H219">
        <v>-34</v>
      </c>
      <c r="I219" t="s">
        <v>20</v>
      </c>
      <c r="J219">
        <v>2</v>
      </c>
      <c r="K219">
        <v>0</v>
      </c>
      <c r="L219">
        <v>2</v>
      </c>
      <c r="M219">
        <v>0</v>
      </c>
      <c r="N219">
        <v>0</v>
      </c>
      <c r="O219">
        <v>0</v>
      </c>
      <c r="P219">
        <v>0</v>
      </c>
      <c r="Q219">
        <v>0</v>
      </c>
      <c r="R219">
        <v>5000</v>
      </c>
      <c r="S219">
        <v>3000</v>
      </c>
      <c r="T219">
        <v>0</v>
      </c>
      <c r="U219" t="str">
        <f>IF(SeismicData[[#This Row],[class]]=1,"Dangerous","Safe")</f>
        <v>Safe</v>
      </c>
      <c r="V219" t="str">
        <f>IF(SeismicData[[#This Row],[shift]]="W","Production","Non-Production")</f>
        <v>Production</v>
      </c>
      <c r="W219" t="str">
        <f>IF(SeismicData[[#This Row],[genergy]]=0,"0","10^"&amp;INT(LOG10(SeismicData[[#This Row],[genergy]])))</f>
        <v>10^5</v>
      </c>
      <c r="X219" t="str">
        <f>IF(OR(SeismicData[[#This Row],[genergy]]&lt;$AA$6,SeismicData[[#This Row],[genergy]]&gt;$AA$5),"Outlier","Normal")</f>
        <v>Outlier</v>
      </c>
    </row>
    <row r="220" spans="1:24" x14ac:dyDescent="0.15">
      <c r="A220">
        <v>219</v>
      </c>
      <c r="B220" t="s">
        <v>20</v>
      </c>
      <c r="C220" t="s">
        <v>20</v>
      </c>
      <c r="D220" t="s">
        <v>22</v>
      </c>
      <c r="E220">
        <v>1766860</v>
      </c>
      <c r="F220">
        <v>2899</v>
      </c>
      <c r="G220">
        <v>32</v>
      </c>
      <c r="H220">
        <v>18</v>
      </c>
      <c r="I220" t="s">
        <v>20</v>
      </c>
      <c r="J220">
        <v>0</v>
      </c>
      <c r="K220">
        <v>0</v>
      </c>
      <c r="L220">
        <v>0</v>
      </c>
      <c r="M220">
        <v>0</v>
      </c>
      <c r="N220">
        <v>0</v>
      </c>
      <c r="O220">
        <v>0</v>
      </c>
      <c r="P220">
        <v>0</v>
      </c>
      <c r="Q220">
        <v>0</v>
      </c>
      <c r="R220">
        <v>0</v>
      </c>
      <c r="S220">
        <v>0</v>
      </c>
      <c r="T220">
        <v>1</v>
      </c>
      <c r="U220" t="str">
        <f>IF(SeismicData[[#This Row],[class]]=1,"Dangerous","Safe")</f>
        <v>Dangerous</v>
      </c>
      <c r="V220" t="str">
        <f>IF(SeismicData[[#This Row],[shift]]="W","Production","Non-Production")</f>
        <v>Production</v>
      </c>
      <c r="W220" t="str">
        <f>IF(SeismicData[[#This Row],[genergy]]=0,"0","10^"&amp;INT(LOG10(SeismicData[[#This Row],[genergy]])))</f>
        <v>10^6</v>
      </c>
      <c r="X220" t="str">
        <f>IF(OR(SeismicData[[#This Row],[genergy]]&lt;$AA$6,SeismicData[[#This Row],[genergy]]&gt;$AA$5),"Outlier","Normal")</f>
        <v>Outlier</v>
      </c>
    </row>
    <row r="221" spans="1:24" x14ac:dyDescent="0.15">
      <c r="A221">
        <v>220</v>
      </c>
      <c r="B221" t="s">
        <v>23</v>
      </c>
      <c r="C221" t="s">
        <v>20</v>
      </c>
      <c r="D221" t="s">
        <v>22</v>
      </c>
      <c r="E221">
        <v>1699290</v>
      </c>
      <c r="F221">
        <v>3425</v>
      </c>
      <c r="G221">
        <v>21</v>
      </c>
      <c r="H221">
        <v>36</v>
      </c>
      <c r="I221" t="s">
        <v>20</v>
      </c>
      <c r="J221">
        <v>1</v>
      </c>
      <c r="K221">
        <v>0</v>
      </c>
      <c r="L221">
        <v>0</v>
      </c>
      <c r="M221">
        <v>1</v>
      </c>
      <c r="N221">
        <v>0</v>
      </c>
      <c r="O221">
        <v>0</v>
      </c>
      <c r="P221">
        <v>0</v>
      </c>
      <c r="Q221">
        <v>0</v>
      </c>
      <c r="R221">
        <v>50000</v>
      </c>
      <c r="S221">
        <v>50000</v>
      </c>
      <c r="T221">
        <v>0</v>
      </c>
      <c r="U221" t="str">
        <f>IF(SeismicData[[#This Row],[class]]=1,"Dangerous","Safe")</f>
        <v>Safe</v>
      </c>
      <c r="V221" t="str">
        <f>IF(SeismicData[[#This Row],[shift]]="W","Production","Non-Production")</f>
        <v>Production</v>
      </c>
      <c r="W221" t="str">
        <f>IF(SeismicData[[#This Row],[genergy]]=0,"0","10^"&amp;INT(LOG10(SeismicData[[#This Row],[genergy]])))</f>
        <v>10^6</v>
      </c>
      <c r="X221" t="str">
        <f>IF(OR(SeismicData[[#This Row],[genergy]]&lt;$AA$6,SeismicData[[#This Row],[genergy]]&gt;$AA$5),"Outlier","Normal")</f>
        <v>Outlier</v>
      </c>
    </row>
    <row r="222" spans="1:24" x14ac:dyDescent="0.15">
      <c r="A222">
        <v>221</v>
      </c>
      <c r="B222" t="s">
        <v>23</v>
      </c>
      <c r="C222" t="s">
        <v>23</v>
      </c>
      <c r="D222" t="s">
        <v>21</v>
      </c>
      <c r="E222">
        <v>301550</v>
      </c>
      <c r="F222">
        <v>922</v>
      </c>
      <c r="G222">
        <v>32</v>
      </c>
      <c r="H222">
        <v>66</v>
      </c>
      <c r="I222" t="s">
        <v>20</v>
      </c>
      <c r="J222">
        <v>1</v>
      </c>
      <c r="K222">
        <v>0</v>
      </c>
      <c r="L222">
        <v>1</v>
      </c>
      <c r="M222">
        <v>0</v>
      </c>
      <c r="N222">
        <v>0</v>
      </c>
      <c r="O222">
        <v>0</v>
      </c>
      <c r="P222">
        <v>0</v>
      </c>
      <c r="Q222">
        <v>0</v>
      </c>
      <c r="R222">
        <v>3000</v>
      </c>
      <c r="S222">
        <v>3000</v>
      </c>
      <c r="T222">
        <v>0</v>
      </c>
      <c r="U222" t="str">
        <f>IF(SeismicData[[#This Row],[class]]=1,"Dangerous","Safe")</f>
        <v>Safe</v>
      </c>
      <c r="V222" t="str">
        <f>IF(SeismicData[[#This Row],[shift]]="W","Production","Non-Production")</f>
        <v>Non-Production</v>
      </c>
      <c r="W222" t="str">
        <f>IF(SeismicData[[#This Row],[genergy]]=0,"0","10^"&amp;INT(LOG10(SeismicData[[#This Row],[genergy]])))</f>
        <v>10^5</v>
      </c>
      <c r="X222" t="str">
        <f>IF(OR(SeismicData[[#This Row],[genergy]]&lt;$AA$6,SeismicData[[#This Row],[genergy]]&gt;$AA$5),"Outlier","Normal")</f>
        <v>Outlier</v>
      </c>
    </row>
    <row r="223" spans="1:24" x14ac:dyDescent="0.15">
      <c r="A223">
        <v>222</v>
      </c>
      <c r="B223" t="s">
        <v>23</v>
      </c>
      <c r="C223" t="s">
        <v>23</v>
      </c>
      <c r="D223" t="s">
        <v>22</v>
      </c>
      <c r="E223">
        <v>1355970</v>
      </c>
      <c r="F223">
        <v>2326</v>
      </c>
      <c r="G223">
        <v>-7</v>
      </c>
      <c r="H223">
        <v>-12</v>
      </c>
      <c r="I223" t="s">
        <v>20</v>
      </c>
      <c r="J223">
        <v>0</v>
      </c>
      <c r="K223">
        <v>0</v>
      </c>
      <c r="L223">
        <v>0</v>
      </c>
      <c r="M223">
        <v>0</v>
      </c>
      <c r="N223">
        <v>0</v>
      </c>
      <c r="O223">
        <v>0</v>
      </c>
      <c r="P223">
        <v>0</v>
      </c>
      <c r="Q223">
        <v>0</v>
      </c>
      <c r="R223">
        <v>0</v>
      </c>
      <c r="S223">
        <v>0</v>
      </c>
      <c r="T223">
        <v>0</v>
      </c>
      <c r="U223" t="str">
        <f>IF(SeismicData[[#This Row],[class]]=1,"Dangerous","Safe")</f>
        <v>Safe</v>
      </c>
      <c r="V223" t="str">
        <f>IF(SeismicData[[#This Row],[shift]]="W","Production","Non-Production")</f>
        <v>Production</v>
      </c>
      <c r="W223" t="str">
        <f>IF(SeismicData[[#This Row],[genergy]]=0,"0","10^"&amp;INT(LOG10(SeismicData[[#This Row],[genergy]])))</f>
        <v>10^6</v>
      </c>
      <c r="X223" t="str">
        <f>IF(OR(SeismicData[[#This Row],[genergy]]&lt;$AA$6,SeismicData[[#This Row],[genergy]]&gt;$AA$5),"Outlier","Normal")</f>
        <v>Outlier</v>
      </c>
    </row>
    <row r="224" spans="1:24" x14ac:dyDescent="0.15">
      <c r="A224">
        <v>223</v>
      </c>
      <c r="B224" t="s">
        <v>20</v>
      </c>
      <c r="C224" t="s">
        <v>23</v>
      </c>
      <c r="D224" t="s">
        <v>22</v>
      </c>
      <c r="E224">
        <v>2595650</v>
      </c>
      <c r="F224">
        <v>4365</v>
      </c>
      <c r="G224">
        <v>81</v>
      </c>
      <c r="H224">
        <v>66</v>
      </c>
      <c r="I224" t="s">
        <v>20</v>
      </c>
      <c r="J224">
        <v>0</v>
      </c>
      <c r="K224">
        <v>0</v>
      </c>
      <c r="L224">
        <v>0</v>
      </c>
      <c r="M224">
        <v>0</v>
      </c>
      <c r="N224">
        <v>0</v>
      </c>
      <c r="O224">
        <v>0</v>
      </c>
      <c r="P224">
        <v>0</v>
      </c>
      <c r="Q224">
        <v>0</v>
      </c>
      <c r="R224">
        <v>0</v>
      </c>
      <c r="S224">
        <v>0</v>
      </c>
      <c r="T224">
        <v>0</v>
      </c>
      <c r="U224" t="str">
        <f>IF(SeismicData[[#This Row],[class]]=1,"Dangerous","Safe")</f>
        <v>Safe</v>
      </c>
      <c r="V224" t="str">
        <f>IF(SeismicData[[#This Row],[shift]]="W","Production","Non-Production")</f>
        <v>Production</v>
      </c>
      <c r="W224" t="str">
        <f>IF(SeismicData[[#This Row],[genergy]]=0,"0","10^"&amp;INT(LOG10(SeismicData[[#This Row],[genergy]])))</f>
        <v>10^6</v>
      </c>
      <c r="X224" t="str">
        <f>IF(OR(SeismicData[[#This Row],[genergy]]&lt;$AA$6,SeismicData[[#This Row],[genergy]]&gt;$AA$5),"Outlier","Normal")</f>
        <v>Outlier</v>
      </c>
    </row>
    <row r="225" spans="1:24" x14ac:dyDescent="0.15">
      <c r="A225">
        <v>224</v>
      </c>
      <c r="B225" t="s">
        <v>20</v>
      </c>
      <c r="C225" t="s">
        <v>23</v>
      </c>
      <c r="D225" t="s">
        <v>22</v>
      </c>
      <c r="E225">
        <v>2160800</v>
      </c>
      <c r="F225">
        <v>4518</v>
      </c>
      <c r="G225">
        <v>35</v>
      </c>
      <c r="H225">
        <v>57</v>
      </c>
      <c r="I225" t="s">
        <v>20</v>
      </c>
      <c r="J225">
        <v>4</v>
      </c>
      <c r="K225">
        <v>2</v>
      </c>
      <c r="L225">
        <v>2</v>
      </c>
      <c r="M225">
        <v>0</v>
      </c>
      <c r="N225">
        <v>0</v>
      </c>
      <c r="O225">
        <v>0</v>
      </c>
      <c r="P225">
        <v>0</v>
      </c>
      <c r="Q225">
        <v>0</v>
      </c>
      <c r="R225">
        <v>5100</v>
      </c>
      <c r="S225">
        <v>2000</v>
      </c>
      <c r="T225">
        <v>0</v>
      </c>
      <c r="U225" t="str">
        <f>IF(SeismicData[[#This Row],[class]]=1,"Dangerous","Safe")</f>
        <v>Safe</v>
      </c>
      <c r="V225" t="str">
        <f>IF(SeismicData[[#This Row],[shift]]="W","Production","Non-Production")</f>
        <v>Production</v>
      </c>
      <c r="W225" t="str">
        <f>IF(SeismicData[[#This Row],[genergy]]=0,"0","10^"&amp;INT(LOG10(SeismicData[[#This Row],[genergy]])))</f>
        <v>10^6</v>
      </c>
      <c r="X225" t="str">
        <f>IF(OR(SeismicData[[#This Row],[genergy]]&lt;$AA$6,SeismicData[[#This Row],[genergy]]&gt;$AA$5),"Outlier","Normal")</f>
        <v>Outlier</v>
      </c>
    </row>
    <row r="226" spans="1:24" x14ac:dyDescent="0.15">
      <c r="A226">
        <v>225</v>
      </c>
      <c r="B226" t="s">
        <v>20</v>
      </c>
      <c r="C226" t="s">
        <v>20</v>
      </c>
      <c r="D226" t="s">
        <v>22</v>
      </c>
      <c r="E226">
        <v>1367850</v>
      </c>
      <c r="F226">
        <v>3137</v>
      </c>
      <c r="G226">
        <v>-15</v>
      </c>
      <c r="H226">
        <v>5</v>
      </c>
      <c r="I226" t="s">
        <v>20</v>
      </c>
      <c r="J226">
        <v>1</v>
      </c>
      <c r="K226">
        <v>0</v>
      </c>
      <c r="L226">
        <v>1</v>
      </c>
      <c r="M226">
        <v>0</v>
      </c>
      <c r="N226">
        <v>0</v>
      </c>
      <c r="O226">
        <v>0</v>
      </c>
      <c r="P226">
        <v>0</v>
      </c>
      <c r="Q226">
        <v>0</v>
      </c>
      <c r="R226">
        <v>1000</v>
      </c>
      <c r="S226">
        <v>1000</v>
      </c>
      <c r="T226">
        <v>0</v>
      </c>
      <c r="U226" t="str">
        <f>IF(SeismicData[[#This Row],[class]]=1,"Dangerous","Safe")</f>
        <v>Safe</v>
      </c>
      <c r="V226" t="str">
        <f>IF(SeismicData[[#This Row],[shift]]="W","Production","Non-Production")</f>
        <v>Production</v>
      </c>
      <c r="W226" t="str">
        <f>IF(SeismicData[[#This Row],[genergy]]=0,"0","10^"&amp;INT(LOG10(SeismicData[[#This Row],[genergy]])))</f>
        <v>10^6</v>
      </c>
      <c r="X226" t="str">
        <f>IF(OR(SeismicData[[#This Row],[genergy]]&lt;$AA$6,SeismicData[[#This Row],[genergy]]&gt;$AA$5),"Outlier","Normal")</f>
        <v>Outlier</v>
      </c>
    </row>
    <row r="227" spans="1:24" x14ac:dyDescent="0.15">
      <c r="A227">
        <v>226</v>
      </c>
      <c r="B227" t="s">
        <v>20</v>
      </c>
      <c r="C227" t="s">
        <v>20</v>
      </c>
      <c r="D227" t="s">
        <v>21</v>
      </c>
      <c r="E227">
        <v>251120</v>
      </c>
      <c r="F227">
        <v>624</v>
      </c>
      <c r="G227">
        <v>1</v>
      </c>
      <c r="H227">
        <v>1</v>
      </c>
      <c r="I227" t="s">
        <v>20</v>
      </c>
      <c r="J227">
        <v>0</v>
      </c>
      <c r="K227">
        <v>0</v>
      </c>
      <c r="L227">
        <v>0</v>
      </c>
      <c r="M227">
        <v>0</v>
      </c>
      <c r="N227">
        <v>0</v>
      </c>
      <c r="O227">
        <v>0</v>
      </c>
      <c r="P227">
        <v>0</v>
      </c>
      <c r="Q227">
        <v>0</v>
      </c>
      <c r="R227">
        <v>0</v>
      </c>
      <c r="S227">
        <v>0</v>
      </c>
      <c r="T227">
        <v>0</v>
      </c>
      <c r="U227" t="str">
        <f>IF(SeismicData[[#This Row],[class]]=1,"Dangerous","Safe")</f>
        <v>Safe</v>
      </c>
      <c r="V227" t="str">
        <f>IF(SeismicData[[#This Row],[shift]]="W","Production","Non-Production")</f>
        <v>Non-Production</v>
      </c>
      <c r="W227" t="str">
        <f>IF(SeismicData[[#This Row],[genergy]]=0,"0","10^"&amp;INT(LOG10(SeismicData[[#This Row],[genergy]])))</f>
        <v>10^5</v>
      </c>
      <c r="X227" t="str">
        <f>IF(OR(SeismicData[[#This Row],[genergy]]&lt;$AA$6,SeismicData[[#This Row],[genergy]]&gt;$AA$5),"Outlier","Normal")</f>
        <v>Outlier</v>
      </c>
    </row>
    <row r="228" spans="1:24" x14ac:dyDescent="0.15">
      <c r="A228">
        <v>227</v>
      </c>
      <c r="B228" t="s">
        <v>20</v>
      </c>
      <c r="C228" t="s">
        <v>20</v>
      </c>
      <c r="D228" t="s">
        <v>21</v>
      </c>
      <c r="E228">
        <v>157450</v>
      </c>
      <c r="F228">
        <v>418</v>
      </c>
      <c r="G228">
        <v>-33</v>
      </c>
      <c r="H228">
        <v>-31</v>
      </c>
      <c r="I228" t="s">
        <v>20</v>
      </c>
      <c r="J228">
        <v>0</v>
      </c>
      <c r="K228">
        <v>0</v>
      </c>
      <c r="L228">
        <v>0</v>
      </c>
      <c r="M228">
        <v>0</v>
      </c>
      <c r="N228">
        <v>0</v>
      </c>
      <c r="O228">
        <v>0</v>
      </c>
      <c r="P228">
        <v>0</v>
      </c>
      <c r="Q228">
        <v>0</v>
      </c>
      <c r="R228">
        <v>0</v>
      </c>
      <c r="S228">
        <v>0</v>
      </c>
      <c r="T228">
        <v>0</v>
      </c>
      <c r="U228" t="str">
        <f>IF(SeismicData[[#This Row],[class]]=1,"Dangerous","Safe")</f>
        <v>Safe</v>
      </c>
      <c r="V228" t="str">
        <f>IF(SeismicData[[#This Row],[shift]]="W","Production","Non-Production")</f>
        <v>Non-Production</v>
      </c>
      <c r="W228" t="str">
        <f>IF(SeismicData[[#This Row],[genergy]]=0,"0","10^"&amp;INT(LOG10(SeismicData[[#This Row],[genergy]])))</f>
        <v>10^5</v>
      </c>
      <c r="X228" t="str">
        <f>IF(OR(SeismicData[[#This Row],[genergy]]&lt;$AA$6,SeismicData[[#This Row],[genergy]]&gt;$AA$5),"Outlier","Normal")</f>
        <v>Outlier</v>
      </c>
    </row>
    <row r="229" spans="1:24" x14ac:dyDescent="0.15">
      <c r="A229">
        <v>228</v>
      </c>
      <c r="B229" t="s">
        <v>20</v>
      </c>
      <c r="C229" t="s">
        <v>20</v>
      </c>
      <c r="D229" t="s">
        <v>21</v>
      </c>
      <c r="E229">
        <v>129740</v>
      </c>
      <c r="F229">
        <v>306</v>
      </c>
      <c r="G229">
        <v>-39</v>
      </c>
      <c r="H229">
        <v>-44</v>
      </c>
      <c r="I229" t="s">
        <v>20</v>
      </c>
      <c r="J229">
        <v>0</v>
      </c>
      <c r="K229">
        <v>0</v>
      </c>
      <c r="L229">
        <v>0</v>
      </c>
      <c r="M229">
        <v>0</v>
      </c>
      <c r="N229">
        <v>0</v>
      </c>
      <c r="O229">
        <v>0</v>
      </c>
      <c r="P229">
        <v>0</v>
      </c>
      <c r="Q229">
        <v>0</v>
      </c>
      <c r="R229">
        <v>0</v>
      </c>
      <c r="S229">
        <v>0</v>
      </c>
      <c r="T229">
        <v>0</v>
      </c>
      <c r="U229" t="str">
        <f>IF(SeismicData[[#This Row],[class]]=1,"Dangerous","Safe")</f>
        <v>Safe</v>
      </c>
      <c r="V229" t="str">
        <f>IF(SeismicData[[#This Row],[shift]]="W","Production","Non-Production")</f>
        <v>Non-Production</v>
      </c>
      <c r="W229" t="str">
        <f>IF(SeismicData[[#This Row],[genergy]]=0,"0","10^"&amp;INT(LOG10(SeismicData[[#This Row],[genergy]])))</f>
        <v>10^5</v>
      </c>
      <c r="X229" t="str">
        <f>IF(OR(SeismicData[[#This Row],[genergy]]&lt;$AA$6,SeismicData[[#This Row],[genergy]]&gt;$AA$5),"Outlier","Normal")</f>
        <v>Outlier</v>
      </c>
    </row>
    <row r="230" spans="1:24" x14ac:dyDescent="0.15">
      <c r="A230">
        <v>229</v>
      </c>
      <c r="B230" t="s">
        <v>20</v>
      </c>
      <c r="C230" t="s">
        <v>20</v>
      </c>
      <c r="D230" t="s">
        <v>21</v>
      </c>
      <c r="E230">
        <v>144520</v>
      </c>
      <c r="F230">
        <v>407</v>
      </c>
      <c r="G230">
        <v>-34</v>
      </c>
      <c r="H230">
        <v>-27</v>
      </c>
      <c r="I230" t="s">
        <v>20</v>
      </c>
      <c r="J230">
        <v>1</v>
      </c>
      <c r="K230">
        <v>0</v>
      </c>
      <c r="L230">
        <v>1</v>
      </c>
      <c r="M230">
        <v>0</v>
      </c>
      <c r="N230">
        <v>0</v>
      </c>
      <c r="O230">
        <v>0</v>
      </c>
      <c r="P230">
        <v>0</v>
      </c>
      <c r="Q230">
        <v>0</v>
      </c>
      <c r="R230">
        <v>3000</v>
      </c>
      <c r="S230">
        <v>3000</v>
      </c>
      <c r="T230">
        <v>0</v>
      </c>
      <c r="U230" t="str">
        <f>IF(SeismicData[[#This Row],[class]]=1,"Dangerous","Safe")</f>
        <v>Safe</v>
      </c>
      <c r="V230" t="str">
        <f>IF(SeismicData[[#This Row],[shift]]="W","Production","Non-Production")</f>
        <v>Non-Production</v>
      </c>
      <c r="W230" t="str">
        <f>IF(SeismicData[[#This Row],[genergy]]=0,"0","10^"&amp;INT(LOG10(SeismicData[[#This Row],[genergy]])))</f>
        <v>10^5</v>
      </c>
      <c r="X230" t="str">
        <f>IF(OR(SeismicData[[#This Row],[genergy]]&lt;$AA$6,SeismicData[[#This Row],[genergy]]&gt;$AA$5),"Outlier","Normal")</f>
        <v>Outlier</v>
      </c>
    </row>
    <row r="231" spans="1:24" x14ac:dyDescent="0.15">
      <c r="A231">
        <v>230</v>
      </c>
      <c r="B231" t="s">
        <v>20</v>
      </c>
      <c r="C231" t="s">
        <v>20</v>
      </c>
      <c r="D231" t="s">
        <v>22</v>
      </c>
      <c r="E231">
        <v>1345240</v>
      </c>
      <c r="F231">
        <v>3510</v>
      </c>
      <c r="G231">
        <v>-17</v>
      </c>
      <c r="H231">
        <v>16</v>
      </c>
      <c r="I231" t="s">
        <v>20</v>
      </c>
      <c r="J231">
        <v>0</v>
      </c>
      <c r="K231">
        <v>0</v>
      </c>
      <c r="L231">
        <v>0</v>
      </c>
      <c r="M231">
        <v>0</v>
      </c>
      <c r="N231">
        <v>0</v>
      </c>
      <c r="O231">
        <v>0</v>
      </c>
      <c r="P231">
        <v>0</v>
      </c>
      <c r="Q231">
        <v>0</v>
      </c>
      <c r="R231">
        <v>0</v>
      </c>
      <c r="S231">
        <v>0</v>
      </c>
      <c r="T231">
        <v>0</v>
      </c>
      <c r="U231" t="str">
        <f>IF(SeismicData[[#This Row],[class]]=1,"Dangerous","Safe")</f>
        <v>Safe</v>
      </c>
      <c r="V231" t="str">
        <f>IF(SeismicData[[#This Row],[shift]]="W","Production","Non-Production")</f>
        <v>Production</v>
      </c>
      <c r="W231" t="str">
        <f>IF(SeismicData[[#This Row],[genergy]]=0,"0","10^"&amp;INT(LOG10(SeismicData[[#This Row],[genergy]])))</f>
        <v>10^6</v>
      </c>
      <c r="X231" t="str">
        <f>IF(OR(SeismicData[[#This Row],[genergy]]&lt;$AA$6,SeismicData[[#This Row],[genergy]]&gt;$AA$5),"Outlier","Normal")</f>
        <v>Outlier</v>
      </c>
    </row>
    <row r="232" spans="1:24" x14ac:dyDescent="0.15">
      <c r="A232">
        <v>231</v>
      </c>
      <c r="B232" t="s">
        <v>20</v>
      </c>
      <c r="C232" t="s">
        <v>20</v>
      </c>
      <c r="D232" t="s">
        <v>22</v>
      </c>
      <c r="E232">
        <v>2102300</v>
      </c>
      <c r="F232">
        <v>4014</v>
      </c>
      <c r="G232">
        <v>27</v>
      </c>
      <c r="H232">
        <v>26</v>
      </c>
      <c r="I232" t="s">
        <v>20</v>
      </c>
      <c r="J232">
        <v>2</v>
      </c>
      <c r="K232">
        <v>0</v>
      </c>
      <c r="L232">
        <v>2</v>
      </c>
      <c r="M232">
        <v>0</v>
      </c>
      <c r="N232">
        <v>0</v>
      </c>
      <c r="O232">
        <v>0</v>
      </c>
      <c r="P232">
        <v>0</v>
      </c>
      <c r="Q232">
        <v>0</v>
      </c>
      <c r="R232">
        <v>4000</v>
      </c>
      <c r="S232">
        <v>3000</v>
      </c>
      <c r="T232">
        <v>0</v>
      </c>
      <c r="U232" t="str">
        <f>IF(SeismicData[[#This Row],[class]]=1,"Dangerous","Safe")</f>
        <v>Safe</v>
      </c>
      <c r="V232" t="str">
        <f>IF(SeismicData[[#This Row],[shift]]="W","Production","Non-Production")</f>
        <v>Production</v>
      </c>
      <c r="W232" t="str">
        <f>IF(SeismicData[[#This Row],[genergy]]=0,"0","10^"&amp;INT(LOG10(SeismicData[[#This Row],[genergy]])))</f>
        <v>10^6</v>
      </c>
      <c r="X232" t="str">
        <f>IF(OR(SeismicData[[#This Row],[genergy]]&lt;$AA$6,SeismicData[[#This Row],[genergy]]&gt;$AA$5),"Outlier","Normal")</f>
        <v>Outlier</v>
      </c>
    </row>
    <row r="233" spans="1:24" x14ac:dyDescent="0.15">
      <c r="A233">
        <v>232</v>
      </c>
      <c r="B233" t="s">
        <v>20</v>
      </c>
      <c r="C233" t="s">
        <v>20</v>
      </c>
      <c r="D233" t="s">
        <v>21</v>
      </c>
      <c r="E233">
        <v>219070</v>
      </c>
      <c r="F233">
        <v>475</v>
      </c>
      <c r="G233">
        <v>15</v>
      </c>
      <c r="H233">
        <v>-4</v>
      </c>
      <c r="I233" t="s">
        <v>20</v>
      </c>
      <c r="J233">
        <v>0</v>
      </c>
      <c r="K233">
        <v>0</v>
      </c>
      <c r="L233">
        <v>0</v>
      </c>
      <c r="M233">
        <v>0</v>
      </c>
      <c r="N233">
        <v>0</v>
      </c>
      <c r="O233">
        <v>0</v>
      </c>
      <c r="P233">
        <v>0</v>
      </c>
      <c r="Q233">
        <v>0</v>
      </c>
      <c r="R233">
        <v>0</v>
      </c>
      <c r="S233">
        <v>0</v>
      </c>
      <c r="T233">
        <v>0</v>
      </c>
      <c r="U233" t="str">
        <f>IF(SeismicData[[#This Row],[class]]=1,"Dangerous","Safe")</f>
        <v>Safe</v>
      </c>
      <c r="V233" t="str">
        <f>IF(SeismicData[[#This Row],[shift]]="W","Production","Non-Production")</f>
        <v>Non-Production</v>
      </c>
      <c r="W233" t="str">
        <f>IF(SeismicData[[#This Row],[genergy]]=0,"0","10^"&amp;INT(LOG10(SeismicData[[#This Row],[genergy]])))</f>
        <v>10^5</v>
      </c>
      <c r="X233" t="str">
        <f>IF(OR(SeismicData[[#This Row],[genergy]]&lt;$AA$6,SeismicData[[#This Row],[genergy]]&gt;$AA$5),"Outlier","Normal")</f>
        <v>Outlier</v>
      </c>
    </row>
    <row r="234" spans="1:24" x14ac:dyDescent="0.15">
      <c r="A234">
        <v>233</v>
      </c>
      <c r="B234" t="s">
        <v>20</v>
      </c>
      <c r="C234" t="s">
        <v>20</v>
      </c>
      <c r="D234" t="s">
        <v>22</v>
      </c>
      <c r="E234">
        <v>628360</v>
      </c>
      <c r="F234">
        <v>636</v>
      </c>
      <c r="G234">
        <v>-37</v>
      </c>
      <c r="H234">
        <v>-58</v>
      </c>
      <c r="I234" t="s">
        <v>20</v>
      </c>
      <c r="J234">
        <v>2</v>
      </c>
      <c r="K234">
        <v>1</v>
      </c>
      <c r="L234">
        <v>1</v>
      </c>
      <c r="M234">
        <v>0</v>
      </c>
      <c r="N234">
        <v>0</v>
      </c>
      <c r="O234">
        <v>0</v>
      </c>
      <c r="P234">
        <v>0</v>
      </c>
      <c r="Q234">
        <v>0</v>
      </c>
      <c r="R234">
        <v>2300</v>
      </c>
      <c r="S234">
        <v>2000</v>
      </c>
      <c r="T234">
        <v>0</v>
      </c>
      <c r="U234" t="str">
        <f>IF(SeismicData[[#This Row],[class]]=1,"Dangerous","Safe")</f>
        <v>Safe</v>
      </c>
      <c r="V234" t="str">
        <f>IF(SeismicData[[#This Row],[shift]]="W","Production","Non-Production")</f>
        <v>Production</v>
      </c>
      <c r="W234" t="str">
        <f>IF(SeismicData[[#This Row],[genergy]]=0,"0","10^"&amp;INT(LOG10(SeismicData[[#This Row],[genergy]])))</f>
        <v>10^5</v>
      </c>
      <c r="X234" t="str">
        <f>IF(OR(SeismicData[[#This Row],[genergy]]&lt;$AA$6,SeismicData[[#This Row],[genergy]]&gt;$AA$5),"Outlier","Normal")</f>
        <v>Outlier</v>
      </c>
    </row>
    <row r="235" spans="1:24" x14ac:dyDescent="0.15">
      <c r="A235">
        <v>234</v>
      </c>
      <c r="B235" t="s">
        <v>20</v>
      </c>
      <c r="C235" t="s">
        <v>20</v>
      </c>
      <c r="D235" t="s">
        <v>22</v>
      </c>
      <c r="E235">
        <v>1449990</v>
      </c>
      <c r="F235">
        <v>1581</v>
      </c>
      <c r="G235">
        <v>51</v>
      </c>
      <c r="H235">
        <v>12</v>
      </c>
      <c r="I235" t="s">
        <v>20</v>
      </c>
      <c r="J235">
        <v>0</v>
      </c>
      <c r="K235">
        <v>0</v>
      </c>
      <c r="L235">
        <v>0</v>
      </c>
      <c r="M235">
        <v>0</v>
      </c>
      <c r="N235">
        <v>0</v>
      </c>
      <c r="O235">
        <v>0</v>
      </c>
      <c r="P235">
        <v>0</v>
      </c>
      <c r="Q235">
        <v>0</v>
      </c>
      <c r="R235">
        <v>0</v>
      </c>
      <c r="S235">
        <v>0</v>
      </c>
      <c r="T235">
        <v>0</v>
      </c>
      <c r="U235" t="str">
        <f>IF(SeismicData[[#This Row],[class]]=1,"Dangerous","Safe")</f>
        <v>Safe</v>
      </c>
      <c r="V235" t="str">
        <f>IF(SeismicData[[#This Row],[shift]]="W","Production","Non-Production")</f>
        <v>Production</v>
      </c>
      <c r="W235" t="str">
        <f>IF(SeismicData[[#This Row],[genergy]]=0,"0","10^"&amp;INT(LOG10(SeismicData[[#This Row],[genergy]])))</f>
        <v>10^6</v>
      </c>
      <c r="X235" t="str">
        <f>IF(OR(SeismicData[[#This Row],[genergy]]&lt;$AA$6,SeismicData[[#This Row],[genergy]]&gt;$AA$5),"Outlier","Normal")</f>
        <v>Outlier</v>
      </c>
    </row>
    <row r="236" spans="1:24" x14ac:dyDescent="0.15">
      <c r="A236">
        <v>235</v>
      </c>
      <c r="B236" t="s">
        <v>20</v>
      </c>
      <c r="C236" t="s">
        <v>20</v>
      </c>
      <c r="D236" t="s">
        <v>22</v>
      </c>
      <c r="E236">
        <v>1531530</v>
      </c>
      <c r="F236">
        <v>1680</v>
      </c>
      <c r="G236">
        <v>52</v>
      </c>
      <c r="H236">
        <v>18</v>
      </c>
      <c r="I236" t="s">
        <v>20</v>
      </c>
      <c r="J236">
        <v>2</v>
      </c>
      <c r="K236">
        <v>0</v>
      </c>
      <c r="L236">
        <v>2</v>
      </c>
      <c r="M236">
        <v>0</v>
      </c>
      <c r="N236">
        <v>0</v>
      </c>
      <c r="O236">
        <v>0</v>
      </c>
      <c r="P236">
        <v>0</v>
      </c>
      <c r="Q236">
        <v>0</v>
      </c>
      <c r="R236">
        <v>5000</v>
      </c>
      <c r="S236">
        <v>3000</v>
      </c>
      <c r="T236">
        <v>0</v>
      </c>
      <c r="U236" t="str">
        <f>IF(SeismicData[[#This Row],[class]]=1,"Dangerous","Safe")</f>
        <v>Safe</v>
      </c>
      <c r="V236" t="str">
        <f>IF(SeismicData[[#This Row],[shift]]="W","Production","Non-Production")</f>
        <v>Production</v>
      </c>
      <c r="W236" t="str">
        <f>IF(SeismicData[[#This Row],[genergy]]=0,"0","10^"&amp;INT(LOG10(SeismicData[[#This Row],[genergy]])))</f>
        <v>10^6</v>
      </c>
      <c r="X236" t="str">
        <f>IF(OR(SeismicData[[#This Row],[genergy]]&lt;$AA$6,SeismicData[[#This Row],[genergy]]&gt;$AA$5),"Outlier","Normal")</f>
        <v>Outlier</v>
      </c>
    </row>
    <row r="237" spans="1:24" x14ac:dyDescent="0.15">
      <c r="A237">
        <v>236</v>
      </c>
      <c r="B237" t="s">
        <v>20</v>
      </c>
      <c r="C237" t="s">
        <v>23</v>
      </c>
      <c r="D237" t="s">
        <v>21</v>
      </c>
      <c r="E237">
        <v>195510</v>
      </c>
      <c r="F237">
        <v>321</v>
      </c>
      <c r="G237">
        <v>-61</v>
      </c>
      <c r="H237">
        <v>-57</v>
      </c>
      <c r="I237" t="s">
        <v>20</v>
      </c>
      <c r="J237">
        <v>1</v>
      </c>
      <c r="K237">
        <v>0</v>
      </c>
      <c r="L237">
        <v>1</v>
      </c>
      <c r="M237">
        <v>0</v>
      </c>
      <c r="N237">
        <v>0</v>
      </c>
      <c r="O237">
        <v>0</v>
      </c>
      <c r="P237">
        <v>0</v>
      </c>
      <c r="Q237">
        <v>0</v>
      </c>
      <c r="R237">
        <v>6000</v>
      </c>
      <c r="S237">
        <v>6000</v>
      </c>
      <c r="T237">
        <v>0</v>
      </c>
      <c r="U237" t="str">
        <f>IF(SeismicData[[#This Row],[class]]=1,"Dangerous","Safe")</f>
        <v>Safe</v>
      </c>
      <c r="V237" t="str">
        <f>IF(SeismicData[[#This Row],[shift]]="W","Production","Non-Production")</f>
        <v>Non-Production</v>
      </c>
      <c r="W237" t="str">
        <f>IF(SeismicData[[#This Row],[genergy]]=0,"0","10^"&amp;INT(LOG10(SeismicData[[#This Row],[genergy]])))</f>
        <v>10^5</v>
      </c>
      <c r="X237" t="str">
        <f>IF(OR(SeismicData[[#This Row],[genergy]]&lt;$AA$6,SeismicData[[#This Row],[genergy]]&gt;$AA$5),"Outlier","Normal")</f>
        <v>Outlier</v>
      </c>
    </row>
    <row r="238" spans="1:24" x14ac:dyDescent="0.15">
      <c r="A238">
        <v>237</v>
      </c>
      <c r="B238" t="s">
        <v>20</v>
      </c>
      <c r="C238" t="s">
        <v>23</v>
      </c>
      <c r="D238" t="s">
        <v>22</v>
      </c>
      <c r="E238">
        <v>1312110</v>
      </c>
      <c r="F238">
        <v>1471</v>
      </c>
      <c r="G238">
        <v>24</v>
      </c>
      <c r="H238">
        <v>2</v>
      </c>
      <c r="I238" t="s">
        <v>20</v>
      </c>
      <c r="J238">
        <v>1</v>
      </c>
      <c r="K238">
        <v>0</v>
      </c>
      <c r="L238">
        <v>1</v>
      </c>
      <c r="M238">
        <v>0</v>
      </c>
      <c r="N238">
        <v>0</v>
      </c>
      <c r="O238">
        <v>0</v>
      </c>
      <c r="P238">
        <v>0</v>
      </c>
      <c r="Q238">
        <v>0</v>
      </c>
      <c r="R238">
        <v>3000</v>
      </c>
      <c r="S238">
        <v>3000</v>
      </c>
      <c r="T238">
        <v>0</v>
      </c>
      <c r="U238" t="str">
        <f>IF(SeismicData[[#This Row],[class]]=1,"Dangerous","Safe")</f>
        <v>Safe</v>
      </c>
      <c r="V238" t="str">
        <f>IF(SeismicData[[#This Row],[shift]]="W","Production","Non-Production")</f>
        <v>Production</v>
      </c>
      <c r="W238" t="str">
        <f>IF(SeismicData[[#This Row],[genergy]]=0,"0","10^"&amp;INT(LOG10(SeismicData[[#This Row],[genergy]])))</f>
        <v>10^6</v>
      </c>
      <c r="X238" t="str">
        <f>IF(OR(SeismicData[[#This Row],[genergy]]&lt;$AA$6,SeismicData[[#This Row],[genergy]]&gt;$AA$5),"Outlier","Normal")</f>
        <v>Outlier</v>
      </c>
    </row>
    <row r="239" spans="1:24" x14ac:dyDescent="0.15">
      <c r="A239">
        <v>238</v>
      </c>
      <c r="B239" t="s">
        <v>20</v>
      </c>
      <c r="C239" t="s">
        <v>23</v>
      </c>
      <c r="D239" t="s">
        <v>21</v>
      </c>
      <c r="E239">
        <v>315650</v>
      </c>
      <c r="F239">
        <v>645</v>
      </c>
      <c r="G239">
        <v>-33</v>
      </c>
      <c r="H239">
        <v>-9</v>
      </c>
      <c r="I239" t="s">
        <v>20</v>
      </c>
      <c r="J239">
        <v>1</v>
      </c>
      <c r="K239">
        <v>0</v>
      </c>
      <c r="L239">
        <v>1</v>
      </c>
      <c r="M239">
        <v>0</v>
      </c>
      <c r="N239">
        <v>0</v>
      </c>
      <c r="O239">
        <v>0</v>
      </c>
      <c r="P239">
        <v>0</v>
      </c>
      <c r="Q239">
        <v>0</v>
      </c>
      <c r="R239">
        <v>5000</v>
      </c>
      <c r="S239">
        <v>5000</v>
      </c>
      <c r="T239">
        <v>0</v>
      </c>
      <c r="U239" t="str">
        <f>IF(SeismicData[[#This Row],[class]]=1,"Dangerous","Safe")</f>
        <v>Safe</v>
      </c>
      <c r="V239" t="str">
        <f>IF(SeismicData[[#This Row],[shift]]="W","Production","Non-Production")</f>
        <v>Non-Production</v>
      </c>
      <c r="W239" t="str">
        <f>IF(SeismicData[[#This Row],[genergy]]=0,"0","10^"&amp;INT(LOG10(SeismicData[[#This Row],[genergy]])))</f>
        <v>10^5</v>
      </c>
      <c r="X239" t="str">
        <f>IF(OR(SeismicData[[#This Row],[genergy]]&lt;$AA$6,SeismicData[[#This Row],[genergy]]&gt;$AA$5),"Outlier","Normal")</f>
        <v>Outlier</v>
      </c>
    </row>
    <row r="240" spans="1:24" x14ac:dyDescent="0.15">
      <c r="A240">
        <v>239</v>
      </c>
      <c r="B240" t="s">
        <v>20</v>
      </c>
      <c r="C240" t="s">
        <v>23</v>
      </c>
      <c r="D240" t="s">
        <v>22</v>
      </c>
      <c r="E240">
        <v>1061760</v>
      </c>
      <c r="F240">
        <v>1443</v>
      </c>
      <c r="G240">
        <v>-3</v>
      </c>
      <c r="H240">
        <v>0</v>
      </c>
      <c r="I240" t="s">
        <v>20</v>
      </c>
      <c r="J240">
        <v>1</v>
      </c>
      <c r="K240">
        <v>0</v>
      </c>
      <c r="L240">
        <v>1</v>
      </c>
      <c r="M240">
        <v>0</v>
      </c>
      <c r="N240">
        <v>0</v>
      </c>
      <c r="O240">
        <v>0</v>
      </c>
      <c r="P240">
        <v>0</v>
      </c>
      <c r="Q240">
        <v>0</v>
      </c>
      <c r="R240">
        <v>3000</v>
      </c>
      <c r="S240">
        <v>3000</v>
      </c>
      <c r="T240">
        <v>1</v>
      </c>
      <c r="U240" t="str">
        <f>IF(SeismicData[[#This Row],[class]]=1,"Dangerous","Safe")</f>
        <v>Dangerous</v>
      </c>
      <c r="V240" t="str">
        <f>IF(SeismicData[[#This Row],[shift]]="W","Production","Non-Production")</f>
        <v>Production</v>
      </c>
      <c r="W240" t="str">
        <f>IF(SeismicData[[#This Row],[genergy]]=0,"0","10^"&amp;INT(LOG10(SeismicData[[#This Row],[genergy]])))</f>
        <v>10^6</v>
      </c>
      <c r="X240" t="str">
        <f>IF(OR(SeismicData[[#This Row],[genergy]]&lt;$AA$6,SeismicData[[#This Row],[genergy]]&gt;$AA$5),"Outlier","Normal")</f>
        <v>Outlier</v>
      </c>
    </row>
    <row r="241" spans="1:24" x14ac:dyDescent="0.15">
      <c r="A241">
        <v>240</v>
      </c>
      <c r="B241" t="s">
        <v>23</v>
      </c>
      <c r="C241" t="s">
        <v>23</v>
      </c>
      <c r="D241" t="s">
        <v>22</v>
      </c>
      <c r="E241">
        <v>1283710</v>
      </c>
      <c r="F241">
        <v>1556</v>
      </c>
      <c r="G241">
        <v>17</v>
      </c>
      <c r="H241">
        <v>9</v>
      </c>
      <c r="I241" t="s">
        <v>20</v>
      </c>
      <c r="J241">
        <v>2</v>
      </c>
      <c r="K241">
        <v>1</v>
      </c>
      <c r="L241">
        <v>0</v>
      </c>
      <c r="M241">
        <v>1</v>
      </c>
      <c r="N241">
        <v>0</v>
      </c>
      <c r="O241">
        <v>0</v>
      </c>
      <c r="P241">
        <v>0</v>
      </c>
      <c r="Q241">
        <v>0</v>
      </c>
      <c r="R241">
        <v>40600</v>
      </c>
      <c r="S241">
        <v>40000</v>
      </c>
      <c r="T241">
        <v>0</v>
      </c>
      <c r="U241" t="str">
        <f>IF(SeismicData[[#This Row],[class]]=1,"Dangerous","Safe")</f>
        <v>Safe</v>
      </c>
      <c r="V241" t="str">
        <f>IF(SeismicData[[#This Row],[shift]]="W","Production","Non-Production")</f>
        <v>Production</v>
      </c>
      <c r="W241" t="str">
        <f>IF(SeismicData[[#This Row],[genergy]]=0,"0","10^"&amp;INT(LOG10(SeismicData[[#This Row],[genergy]])))</f>
        <v>10^6</v>
      </c>
      <c r="X241" t="str">
        <f>IF(OR(SeismicData[[#This Row],[genergy]]&lt;$AA$6,SeismicData[[#This Row],[genergy]]&gt;$AA$5),"Outlier","Normal")</f>
        <v>Outlier</v>
      </c>
    </row>
    <row r="242" spans="1:24" x14ac:dyDescent="0.15">
      <c r="A242">
        <v>241</v>
      </c>
      <c r="B242" t="s">
        <v>23</v>
      </c>
      <c r="C242" t="s">
        <v>23</v>
      </c>
      <c r="D242" t="s">
        <v>22</v>
      </c>
      <c r="E242">
        <v>1134540</v>
      </c>
      <c r="F242">
        <v>1363</v>
      </c>
      <c r="G242">
        <v>1</v>
      </c>
      <c r="H242">
        <v>-5</v>
      </c>
      <c r="I242" t="s">
        <v>20</v>
      </c>
      <c r="J242">
        <v>2</v>
      </c>
      <c r="K242">
        <v>0</v>
      </c>
      <c r="L242">
        <v>2</v>
      </c>
      <c r="M242">
        <v>0</v>
      </c>
      <c r="N242">
        <v>0</v>
      </c>
      <c r="O242">
        <v>0</v>
      </c>
      <c r="P242">
        <v>0</v>
      </c>
      <c r="Q242">
        <v>0</v>
      </c>
      <c r="R242">
        <v>7000</v>
      </c>
      <c r="S242">
        <v>5000</v>
      </c>
      <c r="T242">
        <v>0</v>
      </c>
      <c r="U242" t="str">
        <f>IF(SeismicData[[#This Row],[class]]=1,"Dangerous","Safe")</f>
        <v>Safe</v>
      </c>
      <c r="V242" t="str">
        <f>IF(SeismicData[[#This Row],[shift]]="W","Production","Non-Production")</f>
        <v>Production</v>
      </c>
      <c r="W242" t="str">
        <f>IF(SeismicData[[#This Row],[genergy]]=0,"0","10^"&amp;INT(LOG10(SeismicData[[#This Row],[genergy]])))</f>
        <v>10^6</v>
      </c>
      <c r="X242" t="str">
        <f>IF(OR(SeismicData[[#This Row],[genergy]]&lt;$AA$6,SeismicData[[#This Row],[genergy]]&gt;$AA$5),"Outlier","Normal")</f>
        <v>Outlier</v>
      </c>
    </row>
    <row r="243" spans="1:24" x14ac:dyDescent="0.15">
      <c r="A243">
        <v>242</v>
      </c>
      <c r="B243" t="s">
        <v>23</v>
      </c>
      <c r="C243" t="s">
        <v>20</v>
      </c>
      <c r="D243" t="s">
        <v>22</v>
      </c>
      <c r="E243">
        <v>525630</v>
      </c>
      <c r="F243">
        <v>734</v>
      </c>
      <c r="G243">
        <v>-54</v>
      </c>
      <c r="H243">
        <v>-48</v>
      </c>
      <c r="I243" t="s">
        <v>20</v>
      </c>
      <c r="J243">
        <v>1</v>
      </c>
      <c r="K243">
        <v>1</v>
      </c>
      <c r="L243">
        <v>0</v>
      </c>
      <c r="M243">
        <v>0</v>
      </c>
      <c r="N243">
        <v>0</v>
      </c>
      <c r="O243">
        <v>0</v>
      </c>
      <c r="P243">
        <v>0</v>
      </c>
      <c r="Q243">
        <v>0</v>
      </c>
      <c r="R243">
        <v>200</v>
      </c>
      <c r="S243">
        <v>200</v>
      </c>
      <c r="T243">
        <v>0</v>
      </c>
      <c r="U243" t="str">
        <f>IF(SeismicData[[#This Row],[class]]=1,"Dangerous","Safe")</f>
        <v>Safe</v>
      </c>
      <c r="V243" t="str">
        <f>IF(SeismicData[[#This Row],[shift]]="W","Production","Non-Production")</f>
        <v>Production</v>
      </c>
      <c r="W243" t="str">
        <f>IF(SeismicData[[#This Row],[genergy]]=0,"0","10^"&amp;INT(LOG10(SeismicData[[#This Row],[genergy]])))</f>
        <v>10^5</v>
      </c>
      <c r="X243" t="str">
        <f>IF(OR(SeismicData[[#This Row],[genergy]]&lt;$AA$6,SeismicData[[#This Row],[genergy]]&gt;$AA$5),"Outlier","Normal")</f>
        <v>Outlier</v>
      </c>
    </row>
    <row r="244" spans="1:24" x14ac:dyDescent="0.15">
      <c r="A244">
        <v>243</v>
      </c>
      <c r="B244" t="s">
        <v>20</v>
      </c>
      <c r="C244" t="s">
        <v>20</v>
      </c>
      <c r="D244" t="s">
        <v>22</v>
      </c>
      <c r="E244">
        <v>1661100</v>
      </c>
      <c r="F244">
        <v>1772</v>
      </c>
      <c r="G244">
        <v>52</v>
      </c>
      <c r="H244">
        <v>32</v>
      </c>
      <c r="I244" t="s">
        <v>20</v>
      </c>
      <c r="J244">
        <v>1</v>
      </c>
      <c r="K244">
        <v>0</v>
      </c>
      <c r="L244">
        <v>1</v>
      </c>
      <c r="M244">
        <v>0</v>
      </c>
      <c r="N244">
        <v>0</v>
      </c>
      <c r="O244">
        <v>0</v>
      </c>
      <c r="P244">
        <v>0</v>
      </c>
      <c r="Q244">
        <v>0</v>
      </c>
      <c r="R244">
        <v>9000</v>
      </c>
      <c r="S244">
        <v>9000</v>
      </c>
      <c r="T244">
        <v>0</v>
      </c>
      <c r="U244" t="str">
        <f>IF(SeismicData[[#This Row],[class]]=1,"Dangerous","Safe")</f>
        <v>Safe</v>
      </c>
      <c r="V244" t="str">
        <f>IF(SeismicData[[#This Row],[shift]]="W","Production","Non-Production")</f>
        <v>Production</v>
      </c>
      <c r="W244" t="str">
        <f>IF(SeismicData[[#This Row],[genergy]]=0,"0","10^"&amp;INT(LOG10(SeismicData[[#This Row],[genergy]])))</f>
        <v>10^6</v>
      </c>
      <c r="X244" t="str">
        <f>IF(OR(SeismicData[[#This Row],[genergy]]&lt;$AA$6,SeismicData[[#This Row],[genergy]]&gt;$AA$5),"Outlier","Normal")</f>
        <v>Outlier</v>
      </c>
    </row>
    <row r="245" spans="1:24" x14ac:dyDescent="0.15">
      <c r="A245">
        <v>244</v>
      </c>
      <c r="B245" t="s">
        <v>20</v>
      </c>
      <c r="C245" t="s">
        <v>20</v>
      </c>
      <c r="D245" t="s">
        <v>22</v>
      </c>
      <c r="E245">
        <v>1310730</v>
      </c>
      <c r="F245">
        <v>1504</v>
      </c>
      <c r="G245">
        <v>13</v>
      </c>
      <c r="H245">
        <v>9</v>
      </c>
      <c r="I245" t="s">
        <v>20</v>
      </c>
      <c r="J245">
        <v>2</v>
      </c>
      <c r="K245">
        <v>1</v>
      </c>
      <c r="L245">
        <v>1</v>
      </c>
      <c r="M245">
        <v>0</v>
      </c>
      <c r="N245">
        <v>0</v>
      </c>
      <c r="O245">
        <v>0</v>
      </c>
      <c r="P245">
        <v>0</v>
      </c>
      <c r="Q245">
        <v>0</v>
      </c>
      <c r="R245">
        <v>4200</v>
      </c>
      <c r="S245">
        <v>4000</v>
      </c>
      <c r="T245">
        <v>0</v>
      </c>
      <c r="U245" t="str">
        <f>IF(SeismicData[[#This Row],[class]]=1,"Dangerous","Safe")</f>
        <v>Safe</v>
      </c>
      <c r="V245" t="str">
        <f>IF(SeismicData[[#This Row],[shift]]="W","Production","Non-Production")</f>
        <v>Production</v>
      </c>
      <c r="W245" t="str">
        <f>IF(SeismicData[[#This Row],[genergy]]=0,"0","10^"&amp;INT(LOG10(SeismicData[[#This Row],[genergy]])))</f>
        <v>10^6</v>
      </c>
      <c r="X245" t="str">
        <f>IF(OR(SeismicData[[#This Row],[genergy]]&lt;$AA$6,SeismicData[[#This Row],[genergy]]&gt;$AA$5),"Outlier","Normal")</f>
        <v>Outlier</v>
      </c>
    </row>
    <row r="246" spans="1:24" x14ac:dyDescent="0.15">
      <c r="A246">
        <v>245</v>
      </c>
      <c r="B246" t="s">
        <v>20</v>
      </c>
      <c r="C246" t="s">
        <v>20</v>
      </c>
      <c r="D246" t="s">
        <v>22</v>
      </c>
      <c r="E246">
        <v>1101540</v>
      </c>
      <c r="F246">
        <v>1185</v>
      </c>
      <c r="G246">
        <v>-7</v>
      </c>
      <c r="H246">
        <v>-14</v>
      </c>
      <c r="I246" t="s">
        <v>20</v>
      </c>
      <c r="J246">
        <v>0</v>
      </c>
      <c r="K246">
        <v>0</v>
      </c>
      <c r="L246">
        <v>0</v>
      </c>
      <c r="M246">
        <v>0</v>
      </c>
      <c r="N246">
        <v>0</v>
      </c>
      <c r="O246">
        <v>0</v>
      </c>
      <c r="P246">
        <v>0</v>
      </c>
      <c r="Q246">
        <v>0</v>
      </c>
      <c r="R246">
        <v>0</v>
      </c>
      <c r="S246">
        <v>0</v>
      </c>
      <c r="T246">
        <v>0</v>
      </c>
      <c r="U246" t="str">
        <f>IF(SeismicData[[#This Row],[class]]=1,"Dangerous","Safe")</f>
        <v>Safe</v>
      </c>
      <c r="V246" t="str">
        <f>IF(SeismicData[[#This Row],[shift]]="W","Production","Non-Production")</f>
        <v>Production</v>
      </c>
      <c r="W246" t="str">
        <f>IF(SeismicData[[#This Row],[genergy]]=0,"0","10^"&amp;INT(LOG10(SeismicData[[#This Row],[genergy]])))</f>
        <v>10^6</v>
      </c>
      <c r="X246" t="str">
        <f>IF(OR(SeismicData[[#This Row],[genergy]]&lt;$AA$6,SeismicData[[#This Row],[genergy]]&gt;$AA$5),"Outlier","Normal")</f>
        <v>Outlier</v>
      </c>
    </row>
    <row r="247" spans="1:24" x14ac:dyDescent="0.15">
      <c r="A247">
        <v>246</v>
      </c>
      <c r="B247" t="s">
        <v>20</v>
      </c>
      <c r="C247" t="s">
        <v>23</v>
      </c>
      <c r="D247" t="s">
        <v>22</v>
      </c>
      <c r="E247">
        <v>1496830</v>
      </c>
      <c r="F247">
        <v>1645</v>
      </c>
      <c r="G247">
        <v>21</v>
      </c>
      <c r="H247">
        <v>15</v>
      </c>
      <c r="I247" t="s">
        <v>20</v>
      </c>
      <c r="J247">
        <v>3</v>
      </c>
      <c r="K247">
        <v>2</v>
      </c>
      <c r="L247">
        <v>1</v>
      </c>
      <c r="M247">
        <v>0</v>
      </c>
      <c r="N247">
        <v>0</v>
      </c>
      <c r="O247">
        <v>0</v>
      </c>
      <c r="P247">
        <v>0</v>
      </c>
      <c r="Q247">
        <v>0</v>
      </c>
      <c r="R247">
        <v>5700</v>
      </c>
      <c r="S247">
        <v>5000</v>
      </c>
      <c r="T247">
        <v>0</v>
      </c>
      <c r="U247" t="str">
        <f>IF(SeismicData[[#This Row],[class]]=1,"Dangerous","Safe")</f>
        <v>Safe</v>
      </c>
      <c r="V247" t="str">
        <f>IF(SeismicData[[#This Row],[shift]]="W","Production","Non-Production")</f>
        <v>Production</v>
      </c>
      <c r="W247" t="str">
        <f>IF(SeismicData[[#This Row],[genergy]]=0,"0","10^"&amp;INT(LOG10(SeismicData[[#This Row],[genergy]])))</f>
        <v>10^6</v>
      </c>
      <c r="X247" t="str">
        <f>IF(OR(SeismicData[[#This Row],[genergy]]&lt;$AA$6,SeismicData[[#This Row],[genergy]]&gt;$AA$5),"Outlier","Normal")</f>
        <v>Outlier</v>
      </c>
    </row>
    <row r="248" spans="1:24" x14ac:dyDescent="0.15">
      <c r="A248">
        <v>247</v>
      </c>
      <c r="B248" t="s">
        <v>20</v>
      </c>
      <c r="C248" t="s">
        <v>23</v>
      </c>
      <c r="D248" t="s">
        <v>22</v>
      </c>
      <c r="E248">
        <v>1323740</v>
      </c>
      <c r="F248">
        <v>1405</v>
      </c>
      <c r="G248">
        <v>7</v>
      </c>
      <c r="H248">
        <v>-2</v>
      </c>
      <c r="I248" t="s">
        <v>20</v>
      </c>
      <c r="J248">
        <v>1</v>
      </c>
      <c r="K248">
        <v>0</v>
      </c>
      <c r="L248">
        <v>1</v>
      </c>
      <c r="M248">
        <v>0</v>
      </c>
      <c r="N248">
        <v>0</v>
      </c>
      <c r="O248">
        <v>0</v>
      </c>
      <c r="P248">
        <v>0</v>
      </c>
      <c r="Q248">
        <v>0</v>
      </c>
      <c r="R248">
        <v>3000</v>
      </c>
      <c r="S248">
        <v>3000</v>
      </c>
      <c r="T248">
        <v>0</v>
      </c>
      <c r="U248" t="str">
        <f>IF(SeismicData[[#This Row],[class]]=1,"Dangerous","Safe")</f>
        <v>Safe</v>
      </c>
      <c r="V248" t="str">
        <f>IF(SeismicData[[#This Row],[shift]]="W","Production","Non-Production")</f>
        <v>Production</v>
      </c>
      <c r="W248" t="str">
        <f>IF(SeismicData[[#This Row],[genergy]]=0,"0","10^"&amp;INT(LOG10(SeismicData[[#This Row],[genergy]])))</f>
        <v>10^6</v>
      </c>
      <c r="X248" t="str">
        <f>IF(OR(SeismicData[[#This Row],[genergy]]&lt;$AA$6,SeismicData[[#This Row],[genergy]]&gt;$AA$5),"Outlier","Normal")</f>
        <v>Outlier</v>
      </c>
    </row>
    <row r="249" spans="1:24" x14ac:dyDescent="0.15">
      <c r="A249">
        <v>248</v>
      </c>
      <c r="B249" t="s">
        <v>20</v>
      </c>
      <c r="C249" t="s">
        <v>23</v>
      </c>
      <c r="D249" t="s">
        <v>22</v>
      </c>
      <c r="E249">
        <v>943300</v>
      </c>
      <c r="F249">
        <v>987</v>
      </c>
      <c r="G249">
        <v>-23</v>
      </c>
      <c r="H249">
        <v>-30</v>
      </c>
      <c r="I249" t="s">
        <v>20</v>
      </c>
      <c r="J249">
        <v>2</v>
      </c>
      <c r="K249">
        <v>1</v>
      </c>
      <c r="L249">
        <v>1</v>
      </c>
      <c r="M249">
        <v>0</v>
      </c>
      <c r="N249">
        <v>0</v>
      </c>
      <c r="O249">
        <v>0</v>
      </c>
      <c r="P249">
        <v>0</v>
      </c>
      <c r="Q249">
        <v>0</v>
      </c>
      <c r="R249">
        <v>1400</v>
      </c>
      <c r="S249">
        <v>1000</v>
      </c>
      <c r="T249">
        <v>0</v>
      </c>
      <c r="U249" t="str">
        <f>IF(SeismicData[[#This Row],[class]]=1,"Dangerous","Safe")</f>
        <v>Safe</v>
      </c>
      <c r="V249" t="str">
        <f>IF(SeismicData[[#This Row],[shift]]="W","Production","Non-Production")</f>
        <v>Production</v>
      </c>
      <c r="W249" t="str">
        <f>IF(SeismicData[[#This Row],[genergy]]=0,"0","10^"&amp;INT(LOG10(SeismicData[[#This Row],[genergy]])))</f>
        <v>10^5</v>
      </c>
      <c r="X249" t="str">
        <f>IF(OR(SeismicData[[#This Row],[genergy]]&lt;$AA$6,SeismicData[[#This Row],[genergy]]&gt;$AA$5),"Outlier","Normal")</f>
        <v>Outlier</v>
      </c>
    </row>
    <row r="250" spans="1:24" x14ac:dyDescent="0.15">
      <c r="A250">
        <v>249</v>
      </c>
      <c r="B250" t="s">
        <v>20</v>
      </c>
      <c r="C250" t="s">
        <v>23</v>
      </c>
      <c r="D250" t="s">
        <v>21</v>
      </c>
      <c r="E250">
        <v>348780</v>
      </c>
      <c r="F250">
        <v>723</v>
      </c>
      <c r="G250">
        <v>-23</v>
      </c>
      <c r="H250">
        <v>4</v>
      </c>
      <c r="I250" t="s">
        <v>20</v>
      </c>
      <c r="J250">
        <v>1</v>
      </c>
      <c r="K250">
        <v>1</v>
      </c>
      <c r="L250">
        <v>0</v>
      </c>
      <c r="M250">
        <v>0</v>
      </c>
      <c r="N250">
        <v>0</v>
      </c>
      <c r="O250">
        <v>0</v>
      </c>
      <c r="P250">
        <v>0</v>
      </c>
      <c r="Q250">
        <v>0</v>
      </c>
      <c r="R250">
        <v>300</v>
      </c>
      <c r="S250">
        <v>300</v>
      </c>
      <c r="T250">
        <v>0</v>
      </c>
      <c r="U250" t="str">
        <f>IF(SeismicData[[#This Row],[class]]=1,"Dangerous","Safe")</f>
        <v>Safe</v>
      </c>
      <c r="V250" t="str">
        <f>IF(SeismicData[[#This Row],[shift]]="W","Production","Non-Production")</f>
        <v>Non-Production</v>
      </c>
      <c r="W250" t="str">
        <f>IF(SeismicData[[#This Row],[genergy]]=0,"0","10^"&amp;INT(LOG10(SeismicData[[#This Row],[genergy]])))</f>
        <v>10^5</v>
      </c>
      <c r="X250" t="str">
        <f>IF(OR(SeismicData[[#This Row],[genergy]]&lt;$AA$6,SeismicData[[#This Row],[genergy]]&gt;$AA$5),"Outlier","Normal")</f>
        <v>Outlier</v>
      </c>
    </row>
    <row r="251" spans="1:24" x14ac:dyDescent="0.15">
      <c r="A251">
        <v>250</v>
      </c>
      <c r="B251" t="s">
        <v>20</v>
      </c>
      <c r="C251" t="s">
        <v>23</v>
      </c>
      <c r="D251" t="s">
        <v>21</v>
      </c>
      <c r="E251">
        <v>154420</v>
      </c>
      <c r="F251">
        <v>319</v>
      </c>
      <c r="G251">
        <v>-46</v>
      </c>
      <c r="H251">
        <v>-43</v>
      </c>
      <c r="I251" t="s">
        <v>20</v>
      </c>
      <c r="J251">
        <v>1</v>
      </c>
      <c r="K251">
        <v>0</v>
      </c>
      <c r="L251">
        <v>1</v>
      </c>
      <c r="M251">
        <v>0</v>
      </c>
      <c r="N251">
        <v>0</v>
      </c>
      <c r="O251">
        <v>0</v>
      </c>
      <c r="P251">
        <v>0</v>
      </c>
      <c r="Q251">
        <v>0</v>
      </c>
      <c r="R251">
        <v>3000</v>
      </c>
      <c r="S251">
        <v>3000</v>
      </c>
      <c r="T251">
        <v>0</v>
      </c>
      <c r="U251" t="str">
        <f>IF(SeismicData[[#This Row],[class]]=1,"Dangerous","Safe")</f>
        <v>Safe</v>
      </c>
      <c r="V251" t="str">
        <f>IF(SeismicData[[#This Row],[shift]]="W","Production","Non-Production")</f>
        <v>Non-Production</v>
      </c>
      <c r="W251" t="str">
        <f>IF(SeismicData[[#This Row],[genergy]]=0,"0","10^"&amp;INT(LOG10(SeismicData[[#This Row],[genergy]])))</f>
        <v>10^5</v>
      </c>
      <c r="X251" t="str">
        <f>IF(OR(SeismicData[[#This Row],[genergy]]&lt;$AA$6,SeismicData[[#This Row],[genergy]]&gt;$AA$5),"Outlier","Normal")</f>
        <v>Outlier</v>
      </c>
    </row>
    <row r="252" spans="1:24" x14ac:dyDescent="0.15">
      <c r="A252">
        <v>251</v>
      </c>
      <c r="B252" t="s">
        <v>20</v>
      </c>
      <c r="C252" t="s">
        <v>23</v>
      </c>
      <c r="D252" t="s">
        <v>22</v>
      </c>
      <c r="E252">
        <v>1514120</v>
      </c>
      <c r="F252">
        <v>1518</v>
      </c>
      <c r="G252">
        <v>28</v>
      </c>
      <c r="H252">
        <v>12</v>
      </c>
      <c r="I252" t="s">
        <v>20</v>
      </c>
      <c r="J252">
        <v>3</v>
      </c>
      <c r="K252">
        <v>2</v>
      </c>
      <c r="L252">
        <v>1</v>
      </c>
      <c r="M252">
        <v>0</v>
      </c>
      <c r="N252">
        <v>0</v>
      </c>
      <c r="O252">
        <v>0</v>
      </c>
      <c r="P252">
        <v>0</v>
      </c>
      <c r="Q252">
        <v>0</v>
      </c>
      <c r="R252">
        <v>1900</v>
      </c>
      <c r="S252">
        <v>1000</v>
      </c>
      <c r="T252">
        <v>1</v>
      </c>
      <c r="U252" t="str">
        <f>IF(SeismicData[[#This Row],[class]]=1,"Dangerous","Safe")</f>
        <v>Dangerous</v>
      </c>
      <c r="V252" t="str">
        <f>IF(SeismicData[[#This Row],[shift]]="W","Production","Non-Production")</f>
        <v>Production</v>
      </c>
      <c r="W252" t="str">
        <f>IF(SeismicData[[#This Row],[genergy]]=0,"0","10^"&amp;INT(LOG10(SeismicData[[#This Row],[genergy]])))</f>
        <v>10^6</v>
      </c>
      <c r="X252" t="str">
        <f>IF(OR(SeismicData[[#This Row],[genergy]]&lt;$AA$6,SeismicData[[#This Row],[genergy]]&gt;$AA$5),"Outlier","Normal")</f>
        <v>Outlier</v>
      </c>
    </row>
    <row r="253" spans="1:24" x14ac:dyDescent="0.15">
      <c r="A253">
        <v>252</v>
      </c>
      <c r="B253" t="s">
        <v>23</v>
      </c>
      <c r="C253" t="s">
        <v>23</v>
      </c>
      <c r="D253" t="s">
        <v>22</v>
      </c>
      <c r="E253">
        <v>1811640</v>
      </c>
      <c r="F253">
        <v>1927</v>
      </c>
      <c r="G253">
        <v>47</v>
      </c>
      <c r="H253">
        <v>41</v>
      </c>
      <c r="I253" t="s">
        <v>20</v>
      </c>
      <c r="J253">
        <v>1</v>
      </c>
      <c r="K253">
        <v>0</v>
      </c>
      <c r="L253">
        <v>0</v>
      </c>
      <c r="M253">
        <v>1</v>
      </c>
      <c r="N253">
        <v>0</v>
      </c>
      <c r="O253">
        <v>0</v>
      </c>
      <c r="P253">
        <v>0</v>
      </c>
      <c r="Q253">
        <v>0</v>
      </c>
      <c r="R253">
        <v>40000</v>
      </c>
      <c r="S253">
        <v>40000</v>
      </c>
      <c r="T253">
        <v>0</v>
      </c>
      <c r="U253" t="str">
        <f>IF(SeismicData[[#This Row],[class]]=1,"Dangerous","Safe")</f>
        <v>Safe</v>
      </c>
      <c r="V253" t="str">
        <f>IF(SeismicData[[#This Row],[shift]]="W","Production","Non-Production")</f>
        <v>Production</v>
      </c>
      <c r="W253" t="str">
        <f>IF(SeismicData[[#This Row],[genergy]]=0,"0","10^"&amp;INT(LOG10(SeismicData[[#This Row],[genergy]])))</f>
        <v>10^6</v>
      </c>
      <c r="X253" t="str">
        <f>IF(OR(SeismicData[[#This Row],[genergy]]&lt;$AA$6,SeismicData[[#This Row],[genergy]]&gt;$AA$5),"Outlier","Normal")</f>
        <v>Outlier</v>
      </c>
    </row>
    <row r="254" spans="1:24" x14ac:dyDescent="0.15">
      <c r="A254">
        <v>253</v>
      </c>
      <c r="B254" t="s">
        <v>23</v>
      </c>
      <c r="C254" t="s">
        <v>23</v>
      </c>
      <c r="D254" t="s">
        <v>22</v>
      </c>
      <c r="E254">
        <v>1446770</v>
      </c>
      <c r="F254">
        <v>1471</v>
      </c>
      <c r="G254">
        <v>13</v>
      </c>
      <c r="H254">
        <v>5</v>
      </c>
      <c r="I254" t="s">
        <v>20</v>
      </c>
      <c r="J254">
        <v>0</v>
      </c>
      <c r="K254">
        <v>0</v>
      </c>
      <c r="L254">
        <v>0</v>
      </c>
      <c r="M254">
        <v>0</v>
      </c>
      <c r="N254">
        <v>0</v>
      </c>
      <c r="O254">
        <v>0</v>
      </c>
      <c r="P254">
        <v>0</v>
      </c>
      <c r="Q254">
        <v>0</v>
      </c>
      <c r="R254">
        <v>0</v>
      </c>
      <c r="S254">
        <v>0</v>
      </c>
      <c r="T254">
        <v>0</v>
      </c>
      <c r="U254" t="str">
        <f>IF(SeismicData[[#This Row],[class]]=1,"Dangerous","Safe")</f>
        <v>Safe</v>
      </c>
      <c r="V254" t="str">
        <f>IF(SeismicData[[#This Row],[shift]]="W","Production","Non-Production")</f>
        <v>Production</v>
      </c>
      <c r="W254" t="str">
        <f>IF(SeismicData[[#This Row],[genergy]]=0,"0","10^"&amp;INT(LOG10(SeismicData[[#This Row],[genergy]])))</f>
        <v>10^6</v>
      </c>
      <c r="X254" t="str">
        <f>IF(OR(SeismicData[[#This Row],[genergy]]&lt;$AA$6,SeismicData[[#This Row],[genergy]]&gt;$AA$5),"Outlier","Normal")</f>
        <v>Outlier</v>
      </c>
    </row>
    <row r="255" spans="1:24" x14ac:dyDescent="0.15">
      <c r="A255">
        <v>254</v>
      </c>
      <c r="B255" t="s">
        <v>23</v>
      </c>
      <c r="C255" t="s">
        <v>23</v>
      </c>
      <c r="D255" t="s">
        <v>22</v>
      </c>
      <c r="E255">
        <v>1132810</v>
      </c>
      <c r="F255">
        <v>1893</v>
      </c>
      <c r="G255">
        <v>-14</v>
      </c>
      <c r="H255">
        <v>34</v>
      </c>
      <c r="I255" t="s">
        <v>20</v>
      </c>
      <c r="J255">
        <v>5</v>
      </c>
      <c r="K255">
        <v>3</v>
      </c>
      <c r="L255">
        <v>2</v>
      </c>
      <c r="M255">
        <v>0</v>
      </c>
      <c r="N255">
        <v>0</v>
      </c>
      <c r="O255">
        <v>0</v>
      </c>
      <c r="P255">
        <v>0</v>
      </c>
      <c r="Q255">
        <v>0</v>
      </c>
      <c r="R255">
        <v>7000</v>
      </c>
      <c r="S255">
        <v>3000</v>
      </c>
      <c r="T255">
        <v>1</v>
      </c>
      <c r="U255" t="str">
        <f>IF(SeismicData[[#This Row],[class]]=1,"Dangerous","Safe")</f>
        <v>Dangerous</v>
      </c>
      <c r="V255" t="str">
        <f>IF(SeismicData[[#This Row],[shift]]="W","Production","Non-Production")</f>
        <v>Production</v>
      </c>
      <c r="W255" t="str">
        <f>IF(SeismicData[[#This Row],[genergy]]=0,"0","10^"&amp;INT(LOG10(SeismicData[[#This Row],[genergy]])))</f>
        <v>10^6</v>
      </c>
      <c r="X255" t="str">
        <f>IF(OR(SeismicData[[#This Row],[genergy]]&lt;$AA$6,SeismicData[[#This Row],[genergy]]&gt;$AA$5),"Outlier","Normal")</f>
        <v>Outlier</v>
      </c>
    </row>
    <row r="256" spans="1:24" x14ac:dyDescent="0.15">
      <c r="A256">
        <v>255</v>
      </c>
      <c r="B256" t="s">
        <v>23</v>
      </c>
      <c r="C256" t="s">
        <v>23</v>
      </c>
      <c r="D256" t="s">
        <v>22</v>
      </c>
      <c r="E256">
        <v>1367690</v>
      </c>
      <c r="F256">
        <v>2902</v>
      </c>
      <c r="G256">
        <v>0</v>
      </c>
      <c r="H256">
        <v>90</v>
      </c>
      <c r="I256" t="s">
        <v>20</v>
      </c>
      <c r="J256">
        <v>4</v>
      </c>
      <c r="K256">
        <v>2</v>
      </c>
      <c r="L256">
        <v>1</v>
      </c>
      <c r="M256">
        <v>1</v>
      </c>
      <c r="N256">
        <v>0</v>
      </c>
      <c r="O256">
        <v>0</v>
      </c>
      <c r="P256">
        <v>0</v>
      </c>
      <c r="Q256">
        <v>0</v>
      </c>
      <c r="R256">
        <v>25400</v>
      </c>
      <c r="S256">
        <v>20000</v>
      </c>
      <c r="T256">
        <v>0</v>
      </c>
      <c r="U256" t="str">
        <f>IF(SeismicData[[#This Row],[class]]=1,"Dangerous","Safe")</f>
        <v>Safe</v>
      </c>
      <c r="V256" t="str">
        <f>IF(SeismicData[[#This Row],[shift]]="W","Production","Non-Production")</f>
        <v>Production</v>
      </c>
      <c r="W256" t="str">
        <f>IF(SeismicData[[#This Row],[genergy]]=0,"0","10^"&amp;INT(LOG10(SeismicData[[#This Row],[genergy]])))</f>
        <v>10^6</v>
      </c>
      <c r="X256" t="str">
        <f>IF(OR(SeismicData[[#This Row],[genergy]]&lt;$AA$6,SeismicData[[#This Row],[genergy]]&gt;$AA$5),"Outlier","Normal")</f>
        <v>Outlier</v>
      </c>
    </row>
    <row r="257" spans="1:24" x14ac:dyDescent="0.15">
      <c r="A257">
        <v>256</v>
      </c>
      <c r="B257" t="s">
        <v>23</v>
      </c>
      <c r="C257" t="s">
        <v>23</v>
      </c>
      <c r="D257" t="s">
        <v>22</v>
      </c>
      <c r="E257">
        <v>814170</v>
      </c>
      <c r="F257">
        <v>2082</v>
      </c>
      <c r="G257">
        <v>-39</v>
      </c>
      <c r="H257">
        <v>27</v>
      </c>
      <c r="I257" t="s">
        <v>23</v>
      </c>
      <c r="J257">
        <v>2</v>
      </c>
      <c r="K257">
        <v>1</v>
      </c>
      <c r="L257">
        <v>1</v>
      </c>
      <c r="M257">
        <v>0</v>
      </c>
      <c r="N257">
        <v>0</v>
      </c>
      <c r="O257">
        <v>0</v>
      </c>
      <c r="P257">
        <v>0</v>
      </c>
      <c r="Q257">
        <v>0</v>
      </c>
      <c r="R257">
        <v>1700</v>
      </c>
      <c r="S257">
        <v>1000</v>
      </c>
      <c r="T257">
        <v>0</v>
      </c>
      <c r="U257" t="str">
        <f>IF(SeismicData[[#This Row],[class]]=1,"Dangerous","Safe")</f>
        <v>Safe</v>
      </c>
      <c r="V257" t="str">
        <f>IF(SeismicData[[#This Row],[shift]]="W","Production","Non-Production")</f>
        <v>Production</v>
      </c>
      <c r="W257" t="str">
        <f>IF(SeismicData[[#This Row],[genergy]]=0,"0","10^"&amp;INT(LOG10(SeismicData[[#This Row],[genergy]])))</f>
        <v>10^5</v>
      </c>
      <c r="X257" t="str">
        <f>IF(OR(SeismicData[[#This Row],[genergy]]&lt;$AA$6,SeismicData[[#This Row],[genergy]]&gt;$AA$5),"Outlier","Normal")</f>
        <v>Outlier</v>
      </c>
    </row>
    <row r="258" spans="1:24" x14ac:dyDescent="0.15">
      <c r="A258">
        <v>257</v>
      </c>
      <c r="B258" t="s">
        <v>23</v>
      </c>
      <c r="C258" t="s">
        <v>23</v>
      </c>
      <c r="D258" t="s">
        <v>22</v>
      </c>
      <c r="E258">
        <v>600400</v>
      </c>
      <c r="F258">
        <v>1688</v>
      </c>
      <c r="G258">
        <v>-54</v>
      </c>
      <c r="H258">
        <v>-1</v>
      </c>
      <c r="I258" t="s">
        <v>23</v>
      </c>
      <c r="J258">
        <v>2</v>
      </c>
      <c r="K258">
        <v>1</v>
      </c>
      <c r="L258">
        <v>1</v>
      </c>
      <c r="M258">
        <v>0</v>
      </c>
      <c r="N258">
        <v>0</v>
      </c>
      <c r="O258">
        <v>0</v>
      </c>
      <c r="P258">
        <v>0</v>
      </c>
      <c r="Q258">
        <v>0</v>
      </c>
      <c r="R258">
        <v>2200</v>
      </c>
      <c r="S258">
        <v>2000</v>
      </c>
      <c r="T258">
        <v>1</v>
      </c>
      <c r="U258" t="str">
        <f>IF(SeismicData[[#This Row],[class]]=1,"Dangerous","Safe")</f>
        <v>Dangerous</v>
      </c>
      <c r="V258" t="str">
        <f>IF(SeismicData[[#This Row],[shift]]="W","Production","Non-Production")</f>
        <v>Production</v>
      </c>
      <c r="W258" t="str">
        <f>IF(SeismicData[[#This Row],[genergy]]=0,"0","10^"&amp;INT(LOG10(SeismicData[[#This Row],[genergy]])))</f>
        <v>10^5</v>
      </c>
      <c r="X258" t="str">
        <f>IF(OR(SeismicData[[#This Row],[genergy]]&lt;$AA$6,SeismicData[[#This Row],[genergy]]&gt;$AA$5),"Outlier","Normal")</f>
        <v>Outlier</v>
      </c>
    </row>
    <row r="259" spans="1:24" x14ac:dyDescent="0.15">
      <c r="A259">
        <v>258</v>
      </c>
      <c r="B259" t="s">
        <v>23</v>
      </c>
      <c r="C259" t="s">
        <v>23</v>
      </c>
      <c r="D259" t="s">
        <v>22</v>
      </c>
      <c r="E259">
        <v>886800</v>
      </c>
      <c r="F259">
        <v>2519</v>
      </c>
      <c r="G259">
        <v>-29</v>
      </c>
      <c r="H259">
        <v>44</v>
      </c>
      <c r="I259" t="s">
        <v>20</v>
      </c>
      <c r="J259">
        <v>3</v>
      </c>
      <c r="K259">
        <v>0</v>
      </c>
      <c r="L259">
        <v>2</v>
      </c>
      <c r="M259">
        <v>1</v>
      </c>
      <c r="N259">
        <v>0</v>
      </c>
      <c r="O259">
        <v>0</v>
      </c>
      <c r="P259">
        <v>0</v>
      </c>
      <c r="Q259">
        <v>0</v>
      </c>
      <c r="R259">
        <v>49000</v>
      </c>
      <c r="S259">
        <v>40000</v>
      </c>
      <c r="T259">
        <v>0</v>
      </c>
      <c r="U259" t="str">
        <f>IF(SeismicData[[#This Row],[class]]=1,"Dangerous","Safe")</f>
        <v>Safe</v>
      </c>
      <c r="V259" t="str">
        <f>IF(SeismicData[[#This Row],[shift]]="W","Production","Non-Production")</f>
        <v>Production</v>
      </c>
      <c r="W259" t="str">
        <f>IF(SeismicData[[#This Row],[genergy]]=0,"0","10^"&amp;INT(LOG10(SeismicData[[#This Row],[genergy]])))</f>
        <v>10^5</v>
      </c>
      <c r="X259" t="str">
        <f>IF(OR(SeismicData[[#This Row],[genergy]]&lt;$AA$6,SeismicData[[#This Row],[genergy]]&gt;$AA$5),"Outlier","Normal")</f>
        <v>Outlier</v>
      </c>
    </row>
    <row r="260" spans="1:24" x14ac:dyDescent="0.15">
      <c r="A260">
        <v>259</v>
      </c>
      <c r="B260" t="s">
        <v>23</v>
      </c>
      <c r="C260" t="s">
        <v>23</v>
      </c>
      <c r="D260" t="s">
        <v>22</v>
      </c>
      <c r="E260">
        <v>588930</v>
      </c>
      <c r="F260">
        <v>1807</v>
      </c>
      <c r="G260">
        <v>-50</v>
      </c>
      <c r="H260">
        <v>-2</v>
      </c>
      <c r="I260" t="s">
        <v>20</v>
      </c>
      <c r="J260">
        <v>1</v>
      </c>
      <c r="K260">
        <v>0</v>
      </c>
      <c r="L260">
        <v>1</v>
      </c>
      <c r="M260">
        <v>0</v>
      </c>
      <c r="N260">
        <v>0</v>
      </c>
      <c r="O260">
        <v>0</v>
      </c>
      <c r="P260">
        <v>0</v>
      </c>
      <c r="Q260">
        <v>0</v>
      </c>
      <c r="R260">
        <v>4000</v>
      </c>
      <c r="S260">
        <v>4000</v>
      </c>
      <c r="T260">
        <v>1</v>
      </c>
      <c r="U260" t="str">
        <f>IF(SeismicData[[#This Row],[class]]=1,"Dangerous","Safe")</f>
        <v>Dangerous</v>
      </c>
      <c r="V260" t="str">
        <f>IF(SeismicData[[#This Row],[shift]]="W","Production","Non-Production")</f>
        <v>Production</v>
      </c>
      <c r="W260" t="str">
        <f>IF(SeismicData[[#This Row],[genergy]]=0,"0","10^"&amp;INT(LOG10(SeismicData[[#This Row],[genergy]])))</f>
        <v>10^5</v>
      </c>
      <c r="X260" t="str">
        <f>IF(OR(SeismicData[[#This Row],[genergy]]&lt;$AA$6,SeismicData[[#This Row],[genergy]]&gt;$AA$5),"Outlier","Normal")</f>
        <v>Outlier</v>
      </c>
    </row>
    <row r="261" spans="1:24" x14ac:dyDescent="0.15">
      <c r="A261">
        <v>260</v>
      </c>
      <c r="B261" t="s">
        <v>23</v>
      </c>
      <c r="C261" t="s">
        <v>20</v>
      </c>
      <c r="D261" t="s">
        <v>22</v>
      </c>
      <c r="E261">
        <v>542890</v>
      </c>
      <c r="F261">
        <v>1623</v>
      </c>
      <c r="G261">
        <v>-51</v>
      </c>
      <c r="H261">
        <v>-14</v>
      </c>
      <c r="I261" t="s">
        <v>20</v>
      </c>
      <c r="J261">
        <v>3</v>
      </c>
      <c r="K261">
        <v>0</v>
      </c>
      <c r="L261">
        <v>2</v>
      </c>
      <c r="M261">
        <v>1</v>
      </c>
      <c r="N261">
        <v>0</v>
      </c>
      <c r="O261">
        <v>0</v>
      </c>
      <c r="P261">
        <v>0</v>
      </c>
      <c r="Q261">
        <v>0</v>
      </c>
      <c r="R261">
        <v>25000</v>
      </c>
      <c r="S261">
        <v>20000</v>
      </c>
      <c r="T261">
        <v>0</v>
      </c>
      <c r="U261" t="str">
        <f>IF(SeismicData[[#This Row],[class]]=1,"Dangerous","Safe")</f>
        <v>Safe</v>
      </c>
      <c r="V261" t="str">
        <f>IF(SeismicData[[#This Row],[shift]]="W","Production","Non-Production")</f>
        <v>Production</v>
      </c>
      <c r="W261" t="str">
        <f>IF(SeismicData[[#This Row],[genergy]]=0,"0","10^"&amp;INT(LOG10(SeismicData[[#This Row],[genergy]])))</f>
        <v>10^5</v>
      </c>
      <c r="X261" t="str">
        <f>IF(OR(SeismicData[[#This Row],[genergy]]&lt;$AA$6,SeismicData[[#This Row],[genergy]]&gt;$AA$5),"Outlier","Normal")</f>
        <v>Outlier</v>
      </c>
    </row>
    <row r="262" spans="1:24" x14ac:dyDescent="0.15">
      <c r="A262">
        <v>261</v>
      </c>
      <c r="B262" t="s">
        <v>23</v>
      </c>
      <c r="C262" t="s">
        <v>20</v>
      </c>
      <c r="D262" t="s">
        <v>22</v>
      </c>
      <c r="E262">
        <v>1104700</v>
      </c>
      <c r="F262">
        <v>2584</v>
      </c>
      <c r="G262">
        <v>3</v>
      </c>
      <c r="H262">
        <v>33</v>
      </c>
      <c r="I262" t="s">
        <v>20</v>
      </c>
      <c r="J262">
        <v>0</v>
      </c>
      <c r="K262">
        <v>0</v>
      </c>
      <c r="L262">
        <v>0</v>
      </c>
      <c r="M262">
        <v>0</v>
      </c>
      <c r="N262">
        <v>0</v>
      </c>
      <c r="O262">
        <v>0</v>
      </c>
      <c r="P262">
        <v>0</v>
      </c>
      <c r="Q262">
        <v>0</v>
      </c>
      <c r="R262">
        <v>0</v>
      </c>
      <c r="S262">
        <v>0</v>
      </c>
      <c r="T262">
        <v>0</v>
      </c>
      <c r="U262" t="str">
        <f>IF(SeismicData[[#This Row],[class]]=1,"Dangerous","Safe")</f>
        <v>Safe</v>
      </c>
      <c r="V262" t="str">
        <f>IF(SeismicData[[#This Row],[shift]]="W","Production","Non-Production")</f>
        <v>Production</v>
      </c>
      <c r="W262" t="str">
        <f>IF(SeismicData[[#This Row],[genergy]]=0,"0","10^"&amp;INT(LOG10(SeismicData[[#This Row],[genergy]])))</f>
        <v>10^6</v>
      </c>
      <c r="X262" t="str">
        <f>IF(OR(SeismicData[[#This Row],[genergy]]&lt;$AA$6,SeismicData[[#This Row],[genergy]]&gt;$AA$5),"Outlier","Normal")</f>
        <v>Outlier</v>
      </c>
    </row>
    <row r="263" spans="1:24" x14ac:dyDescent="0.15">
      <c r="A263">
        <v>262</v>
      </c>
      <c r="B263" t="s">
        <v>23</v>
      </c>
      <c r="C263" t="s">
        <v>20</v>
      </c>
      <c r="D263" t="s">
        <v>22</v>
      </c>
      <c r="E263">
        <v>734930</v>
      </c>
      <c r="F263">
        <v>2062</v>
      </c>
      <c r="G263">
        <v>-29</v>
      </c>
      <c r="H263">
        <v>1</v>
      </c>
      <c r="I263" t="s">
        <v>20</v>
      </c>
      <c r="J263">
        <v>2</v>
      </c>
      <c r="K263">
        <v>1</v>
      </c>
      <c r="L263">
        <v>1</v>
      </c>
      <c r="M263">
        <v>0</v>
      </c>
      <c r="N263">
        <v>0</v>
      </c>
      <c r="O263">
        <v>0</v>
      </c>
      <c r="P263">
        <v>0</v>
      </c>
      <c r="Q263">
        <v>0</v>
      </c>
      <c r="R263">
        <v>4800</v>
      </c>
      <c r="S263">
        <v>4000</v>
      </c>
      <c r="T263">
        <v>0</v>
      </c>
      <c r="U263" t="str">
        <f>IF(SeismicData[[#This Row],[class]]=1,"Dangerous","Safe")</f>
        <v>Safe</v>
      </c>
      <c r="V263" t="str">
        <f>IF(SeismicData[[#This Row],[shift]]="W","Production","Non-Production")</f>
        <v>Production</v>
      </c>
      <c r="W263" t="str">
        <f>IF(SeismicData[[#This Row],[genergy]]=0,"0","10^"&amp;INT(LOG10(SeismicData[[#This Row],[genergy]])))</f>
        <v>10^5</v>
      </c>
      <c r="X263" t="str">
        <f>IF(OR(SeismicData[[#This Row],[genergy]]&lt;$AA$6,SeismicData[[#This Row],[genergy]]&gt;$AA$5),"Outlier","Normal")</f>
        <v>Outlier</v>
      </c>
    </row>
    <row r="264" spans="1:24" x14ac:dyDescent="0.15">
      <c r="A264">
        <v>263</v>
      </c>
      <c r="B264" t="s">
        <v>20</v>
      </c>
      <c r="C264" t="s">
        <v>20</v>
      </c>
      <c r="D264" t="s">
        <v>22</v>
      </c>
      <c r="E264">
        <v>509190</v>
      </c>
      <c r="F264">
        <v>1758</v>
      </c>
      <c r="G264">
        <v>-45</v>
      </c>
      <c r="H264">
        <v>-15</v>
      </c>
      <c r="I264" t="s">
        <v>20</v>
      </c>
      <c r="J264">
        <v>2</v>
      </c>
      <c r="K264">
        <v>1</v>
      </c>
      <c r="L264">
        <v>1</v>
      </c>
      <c r="M264">
        <v>0</v>
      </c>
      <c r="N264">
        <v>0</v>
      </c>
      <c r="O264">
        <v>0</v>
      </c>
      <c r="P264">
        <v>0</v>
      </c>
      <c r="Q264">
        <v>0</v>
      </c>
      <c r="R264">
        <v>2300</v>
      </c>
      <c r="S264">
        <v>2000</v>
      </c>
      <c r="T264">
        <v>1</v>
      </c>
      <c r="U264" t="str">
        <f>IF(SeismicData[[#This Row],[class]]=1,"Dangerous","Safe")</f>
        <v>Dangerous</v>
      </c>
      <c r="V264" t="str">
        <f>IF(SeismicData[[#This Row],[shift]]="W","Production","Non-Production")</f>
        <v>Production</v>
      </c>
      <c r="W264" t="str">
        <f>IF(SeismicData[[#This Row],[genergy]]=0,"0","10^"&amp;INT(LOG10(SeismicData[[#This Row],[genergy]])))</f>
        <v>10^5</v>
      </c>
      <c r="X264" t="str">
        <f>IF(OR(SeismicData[[#This Row],[genergy]]&lt;$AA$6,SeismicData[[#This Row],[genergy]]&gt;$AA$5),"Outlier","Normal")</f>
        <v>Outlier</v>
      </c>
    </row>
    <row r="265" spans="1:24" x14ac:dyDescent="0.15">
      <c r="A265">
        <v>264</v>
      </c>
      <c r="B265" t="s">
        <v>23</v>
      </c>
      <c r="C265" t="s">
        <v>20</v>
      </c>
      <c r="D265" t="s">
        <v>22</v>
      </c>
      <c r="E265">
        <v>480250</v>
      </c>
      <c r="F265">
        <v>2368</v>
      </c>
      <c r="G265">
        <v>-42</v>
      </c>
      <c r="H265">
        <v>13</v>
      </c>
      <c r="I265" t="s">
        <v>20</v>
      </c>
      <c r="J265">
        <v>2</v>
      </c>
      <c r="K265">
        <v>0</v>
      </c>
      <c r="L265">
        <v>1</v>
      </c>
      <c r="M265">
        <v>1</v>
      </c>
      <c r="N265">
        <v>0</v>
      </c>
      <c r="O265">
        <v>0</v>
      </c>
      <c r="P265">
        <v>0</v>
      </c>
      <c r="Q265">
        <v>0</v>
      </c>
      <c r="R265">
        <v>34000</v>
      </c>
      <c r="S265">
        <v>30000</v>
      </c>
      <c r="T265">
        <v>0</v>
      </c>
      <c r="U265" t="str">
        <f>IF(SeismicData[[#This Row],[class]]=1,"Dangerous","Safe")</f>
        <v>Safe</v>
      </c>
      <c r="V265" t="str">
        <f>IF(SeismicData[[#This Row],[shift]]="W","Production","Non-Production")</f>
        <v>Production</v>
      </c>
      <c r="W265" t="str">
        <f>IF(SeismicData[[#This Row],[genergy]]=0,"0","10^"&amp;INT(LOG10(SeismicData[[#This Row],[genergy]])))</f>
        <v>10^5</v>
      </c>
      <c r="X265" t="str">
        <f>IF(OR(SeismicData[[#This Row],[genergy]]&lt;$AA$6,SeismicData[[#This Row],[genergy]]&gt;$AA$5),"Outlier","Normal")</f>
        <v>Outlier</v>
      </c>
    </row>
    <row r="266" spans="1:24" x14ac:dyDescent="0.15">
      <c r="A266">
        <v>265</v>
      </c>
      <c r="B266" t="s">
        <v>23</v>
      </c>
      <c r="C266" t="s">
        <v>20</v>
      </c>
      <c r="D266" t="s">
        <v>22</v>
      </c>
      <c r="E266">
        <v>428740</v>
      </c>
      <c r="F266">
        <v>2031</v>
      </c>
      <c r="G266">
        <v>-44</v>
      </c>
      <c r="H266">
        <v>-5</v>
      </c>
      <c r="I266" t="s">
        <v>20</v>
      </c>
      <c r="J266">
        <v>1</v>
      </c>
      <c r="K266">
        <v>0</v>
      </c>
      <c r="L266">
        <v>1</v>
      </c>
      <c r="M266">
        <v>0</v>
      </c>
      <c r="N266">
        <v>0</v>
      </c>
      <c r="O266">
        <v>0</v>
      </c>
      <c r="P266">
        <v>0</v>
      </c>
      <c r="Q266">
        <v>0</v>
      </c>
      <c r="R266">
        <v>4000</v>
      </c>
      <c r="S266">
        <v>4000</v>
      </c>
      <c r="T266">
        <v>0</v>
      </c>
      <c r="U266" t="str">
        <f>IF(SeismicData[[#This Row],[class]]=1,"Dangerous","Safe")</f>
        <v>Safe</v>
      </c>
      <c r="V266" t="str">
        <f>IF(SeismicData[[#This Row],[shift]]="W","Production","Non-Production")</f>
        <v>Production</v>
      </c>
      <c r="W266" t="str">
        <f>IF(SeismicData[[#This Row],[genergy]]=0,"0","10^"&amp;INT(LOG10(SeismicData[[#This Row],[genergy]])))</f>
        <v>10^5</v>
      </c>
      <c r="X266" t="str">
        <f>IF(OR(SeismicData[[#This Row],[genergy]]&lt;$AA$6,SeismicData[[#This Row],[genergy]]&gt;$AA$5),"Outlier","Normal")</f>
        <v>Outlier</v>
      </c>
    </row>
    <row r="267" spans="1:24" x14ac:dyDescent="0.15">
      <c r="A267">
        <v>266</v>
      </c>
      <c r="B267" t="s">
        <v>23</v>
      </c>
      <c r="C267" t="s">
        <v>20</v>
      </c>
      <c r="D267" t="s">
        <v>22</v>
      </c>
      <c r="E267">
        <v>450060</v>
      </c>
      <c r="F267">
        <v>2019</v>
      </c>
      <c r="G267">
        <v>-33</v>
      </c>
      <c r="H267">
        <v>-2</v>
      </c>
      <c r="I267" t="s">
        <v>20</v>
      </c>
      <c r="J267">
        <v>3</v>
      </c>
      <c r="K267">
        <v>0</v>
      </c>
      <c r="L267">
        <v>3</v>
      </c>
      <c r="M267">
        <v>0</v>
      </c>
      <c r="N267">
        <v>0</v>
      </c>
      <c r="O267">
        <v>0</v>
      </c>
      <c r="P267">
        <v>0</v>
      </c>
      <c r="Q267">
        <v>0</v>
      </c>
      <c r="R267">
        <v>14000</v>
      </c>
      <c r="S267">
        <v>8000</v>
      </c>
      <c r="T267">
        <v>0</v>
      </c>
      <c r="U267" t="str">
        <f>IF(SeismicData[[#This Row],[class]]=1,"Dangerous","Safe")</f>
        <v>Safe</v>
      </c>
      <c r="V267" t="str">
        <f>IF(SeismicData[[#This Row],[shift]]="W","Production","Non-Production")</f>
        <v>Production</v>
      </c>
      <c r="W267" t="str">
        <f>IF(SeismicData[[#This Row],[genergy]]=0,"0","10^"&amp;INT(LOG10(SeismicData[[#This Row],[genergy]])))</f>
        <v>10^5</v>
      </c>
      <c r="X267" t="str">
        <f>IF(OR(SeismicData[[#This Row],[genergy]]&lt;$AA$6,SeismicData[[#This Row],[genergy]]&gt;$AA$5),"Outlier","Normal")</f>
        <v>Outlier</v>
      </c>
    </row>
    <row r="268" spans="1:24" x14ac:dyDescent="0.15">
      <c r="A268">
        <v>267</v>
      </c>
      <c r="B268" t="s">
        <v>20</v>
      </c>
      <c r="C268" t="s">
        <v>20</v>
      </c>
      <c r="D268" t="s">
        <v>22</v>
      </c>
      <c r="E268">
        <v>627380</v>
      </c>
      <c r="F268">
        <v>3155</v>
      </c>
      <c r="G268">
        <v>-1</v>
      </c>
      <c r="H268">
        <v>54</v>
      </c>
      <c r="I268" t="s">
        <v>20</v>
      </c>
      <c r="J268">
        <v>1</v>
      </c>
      <c r="K268">
        <v>1</v>
      </c>
      <c r="L268">
        <v>0</v>
      </c>
      <c r="M268">
        <v>0</v>
      </c>
      <c r="N268">
        <v>0</v>
      </c>
      <c r="O268">
        <v>0</v>
      </c>
      <c r="P268">
        <v>0</v>
      </c>
      <c r="Q268">
        <v>0</v>
      </c>
      <c r="R268">
        <v>800</v>
      </c>
      <c r="S268">
        <v>800</v>
      </c>
      <c r="T268">
        <v>1</v>
      </c>
      <c r="U268" t="str">
        <f>IF(SeismicData[[#This Row],[class]]=1,"Dangerous","Safe")</f>
        <v>Dangerous</v>
      </c>
      <c r="V268" t="str">
        <f>IF(SeismicData[[#This Row],[shift]]="W","Production","Non-Production")</f>
        <v>Production</v>
      </c>
      <c r="W268" t="str">
        <f>IF(SeismicData[[#This Row],[genergy]]=0,"0","10^"&amp;INT(LOG10(SeismicData[[#This Row],[genergy]])))</f>
        <v>10^5</v>
      </c>
      <c r="X268" t="str">
        <f>IF(OR(SeismicData[[#This Row],[genergy]]&lt;$AA$6,SeismicData[[#This Row],[genergy]]&gt;$AA$5),"Outlier","Normal")</f>
        <v>Outlier</v>
      </c>
    </row>
    <row r="269" spans="1:24" x14ac:dyDescent="0.15">
      <c r="A269">
        <v>268</v>
      </c>
      <c r="B269" t="s">
        <v>23</v>
      </c>
      <c r="C269" t="s">
        <v>20</v>
      </c>
      <c r="D269" t="s">
        <v>22</v>
      </c>
      <c r="E269">
        <v>448900</v>
      </c>
      <c r="F269">
        <v>2162</v>
      </c>
      <c r="G269">
        <v>-29</v>
      </c>
      <c r="H269">
        <v>-1</v>
      </c>
      <c r="I269" t="s">
        <v>20</v>
      </c>
      <c r="J269">
        <v>5</v>
      </c>
      <c r="K269">
        <v>1</v>
      </c>
      <c r="L269">
        <v>3</v>
      </c>
      <c r="M269">
        <v>1</v>
      </c>
      <c r="N269">
        <v>0</v>
      </c>
      <c r="O269">
        <v>0</v>
      </c>
      <c r="P269">
        <v>0</v>
      </c>
      <c r="Q269">
        <v>0</v>
      </c>
      <c r="R269">
        <v>31500</v>
      </c>
      <c r="S269">
        <v>20000</v>
      </c>
      <c r="T269">
        <v>0</v>
      </c>
      <c r="U269" t="str">
        <f>IF(SeismicData[[#This Row],[class]]=1,"Dangerous","Safe")</f>
        <v>Safe</v>
      </c>
      <c r="V269" t="str">
        <f>IF(SeismicData[[#This Row],[shift]]="W","Production","Non-Production")</f>
        <v>Production</v>
      </c>
      <c r="W269" t="str">
        <f>IF(SeismicData[[#This Row],[genergy]]=0,"0","10^"&amp;INT(LOG10(SeismicData[[#This Row],[genergy]])))</f>
        <v>10^5</v>
      </c>
      <c r="X269" t="str">
        <f>IF(OR(SeismicData[[#This Row],[genergy]]&lt;$AA$6,SeismicData[[#This Row],[genergy]]&gt;$AA$5),"Outlier","Normal")</f>
        <v>Outlier</v>
      </c>
    </row>
    <row r="270" spans="1:24" x14ac:dyDescent="0.15">
      <c r="A270">
        <v>269</v>
      </c>
      <c r="B270" t="s">
        <v>23</v>
      </c>
      <c r="C270" t="s">
        <v>20</v>
      </c>
      <c r="D270" t="s">
        <v>22</v>
      </c>
      <c r="E270">
        <v>453850</v>
      </c>
      <c r="F270">
        <v>1973</v>
      </c>
      <c r="G270">
        <v>-23</v>
      </c>
      <c r="H270">
        <v>-9</v>
      </c>
      <c r="I270" t="s">
        <v>20</v>
      </c>
      <c r="J270">
        <v>1</v>
      </c>
      <c r="K270">
        <v>0</v>
      </c>
      <c r="L270">
        <v>1</v>
      </c>
      <c r="M270">
        <v>0</v>
      </c>
      <c r="N270">
        <v>0</v>
      </c>
      <c r="O270">
        <v>0</v>
      </c>
      <c r="P270">
        <v>0</v>
      </c>
      <c r="Q270">
        <v>0</v>
      </c>
      <c r="R270">
        <v>8000</v>
      </c>
      <c r="S270">
        <v>8000</v>
      </c>
      <c r="T270">
        <v>0</v>
      </c>
      <c r="U270" t="str">
        <f>IF(SeismicData[[#This Row],[class]]=1,"Dangerous","Safe")</f>
        <v>Safe</v>
      </c>
      <c r="V270" t="str">
        <f>IF(SeismicData[[#This Row],[shift]]="W","Production","Non-Production")</f>
        <v>Production</v>
      </c>
      <c r="W270" t="str">
        <f>IF(SeismicData[[#This Row],[genergy]]=0,"0","10^"&amp;INT(LOG10(SeismicData[[#This Row],[genergy]])))</f>
        <v>10^5</v>
      </c>
      <c r="X270" t="str">
        <f>IF(OR(SeismicData[[#This Row],[genergy]]&lt;$AA$6,SeismicData[[#This Row],[genergy]]&gt;$AA$5),"Outlier","Normal")</f>
        <v>Outlier</v>
      </c>
    </row>
    <row r="271" spans="1:24" x14ac:dyDescent="0.15">
      <c r="A271">
        <v>270</v>
      </c>
      <c r="B271" t="s">
        <v>23</v>
      </c>
      <c r="C271" t="s">
        <v>20</v>
      </c>
      <c r="D271" t="s">
        <v>22</v>
      </c>
      <c r="E271">
        <v>779850</v>
      </c>
      <c r="F271">
        <v>2999</v>
      </c>
      <c r="G271">
        <v>35</v>
      </c>
      <c r="H271">
        <v>38</v>
      </c>
      <c r="I271" t="s">
        <v>20</v>
      </c>
      <c r="J271">
        <v>2</v>
      </c>
      <c r="K271">
        <v>1</v>
      </c>
      <c r="L271">
        <v>1</v>
      </c>
      <c r="M271">
        <v>0</v>
      </c>
      <c r="N271">
        <v>0</v>
      </c>
      <c r="O271">
        <v>0</v>
      </c>
      <c r="P271">
        <v>0</v>
      </c>
      <c r="Q271">
        <v>0</v>
      </c>
      <c r="R271">
        <v>5600</v>
      </c>
      <c r="S271">
        <v>5000</v>
      </c>
      <c r="T271">
        <v>0</v>
      </c>
      <c r="U271" t="str">
        <f>IF(SeismicData[[#This Row],[class]]=1,"Dangerous","Safe")</f>
        <v>Safe</v>
      </c>
      <c r="V271" t="str">
        <f>IF(SeismicData[[#This Row],[shift]]="W","Production","Non-Production")</f>
        <v>Production</v>
      </c>
      <c r="W271" t="str">
        <f>IF(SeismicData[[#This Row],[genergy]]=0,"0","10^"&amp;INT(LOG10(SeismicData[[#This Row],[genergy]])))</f>
        <v>10^5</v>
      </c>
      <c r="X271" t="str">
        <f>IF(OR(SeismicData[[#This Row],[genergy]]&lt;$AA$6,SeismicData[[#This Row],[genergy]]&gt;$AA$5),"Outlier","Normal")</f>
        <v>Outlier</v>
      </c>
    </row>
    <row r="272" spans="1:24" x14ac:dyDescent="0.15">
      <c r="A272">
        <v>271</v>
      </c>
      <c r="B272" t="s">
        <v>20</v>
      </c>
      <c r="C272" t="s">
        <v>20</v>
      </c>
      <c r="D272" t="s">
        <v>21</v>
      </c>
      <c r="E272">
        <v>146840</v>
      </c>
      <c r="F272">
        <v>744</v>
      </c>
      <c r="G272">
        <v>-68</v>
      </c>
      <c r="H272">
        <v>-46</v>
      </c>
      <c r="I272" t="s">
        <v>20</v>
      </c>
      <c r="J272">
        <v>1</v>
      </c>
      <c r="K272">
        <v>0</v>
      </c>
      <c r="L272">
        <v>1</v>
      </c>
      <c r="M272">
        <v>0</v>
      </c>
      <c r="N272">
        <v>0</v>
      </c>
      <c r="O272">
        <v>0</v>
      </c>
      <c r="P272">
        <v>0</v>
      </c>
      <c r="Q272">
        <v>0</v>
      </c>
      <c r="R272">
        <v>2000</v>
      </c>
      <c r="S272">
        <v>2000</v>
      </c>
      <c r="T272">
        <v>0</v>
      </c>
      <c r="U272" t="str">
        <f>IF(SeismicData[[#This Row],[class]]=1,"Dangerous","Safe")</f>
        <v>Safe</v>
      </c>
      <c r="V272" t="str">
        <f>IF(SeismicData[[#This Row],[shift]]="W","Production","Non-Production")</f>
        <v>Non-Production</v>
      </c>
      <c r="W272" t="str">
        <f>IF(SeismicData[[#This Row],[genergy]]=0,"0","10^"&amp;INT(LOG10(SeismicData[[#This Row],[genergy]])))</f>
        <v>10^5</v>
      </c>
      <c r="X272" t="str">
        <f>IF(OR(SeismicData[[#This Row],[genergy]]&lt;$AA$6,SeismicData[[#This Row],[genergy]]&gt;$AA$5),"Outlier","Normal")</f>
        <v>Outlier</v>
      </c>
    </row>
    <row r="273" spans="1:24" x14ac:dyDescent="0.15">
      <c r="A273">
        <v>272</v>
      </c>
      <c r="B273" t="s">
        <v>20</v>
      </c>
      <c r="C273" t="s">
        <v>20</v>
      </c>
      <c r="D273" t="s">
        <v>22</v>
      </c>
      <c r="E273">
        <v>675030</v>
      </c>
      <c r="F273">
        <v>1992</v>
      </c>
      <c r="G273">
        <v>12</v>
      </c>
      <c r="H273">
        <v>-14</v>
      </c>
      <c r="I273" t="s">
        <v>20</v>
      </c>
      <c r="J273">
        <v>4</v>
      </c>
      <c r="K273">
        <v>1</v>
      </c>
      <c r="L273">
        <v>3</v>
      </c>
      <c r="M273">
        <v>0</v>
      </c>
      <c r="N273">
        <v>0</v>
      </c>
      <c r="O273">
        <v>0</v>
      </c>
      <c r="P273">
        <v>0</v>
      </c>
      <c r="Q273">
        <v>0</v>
      </c>
      <c r="R273">
        <v>5300</v>
      </c>
      <c r="S273">
        <v>2000</v>
      </c>
      <c r="T273">
        <v>0</v>
      </c>
      <c r="U273" t="str">
        <f>IF(SeismicData[[#This Row],[class]]=1,"Dangerous","Safe")</f>
        <v>Safe</v>
      </c>
      <c r="V273" t="str">
        <f>IF(SeismicData[[#This Row],[shift]]="W","Production","Non-Production")</f>
        <v>Production</v>
      </c>
      <c r="W273" t="str">
        <f>IF(SeismicData[[#This Row],[genergy]]=0,"0","10^"&amp;INT(LOG10(SeismicData[[#This Row],[genergy]])))</f>
        <v>10^5</v>
      </c>
      <c r="X273" t="str">
        <f>IF(OR(SeismicData[[#This Row],[genergy]]&lt;$AA$6,SeismicData[[#This Row],[genergy]]&gt;$AA$5),"Outlier","Normal")</f>
        <v>Outlier</v>
      </c>
    </row>
    <row r="274" spans="1:24" x14ac:dyDescent="0.15">
      <c r="A274">
        <v>273</v>
      </c>
      <c r="B274" t="s">
        <v>20</v>
      </c>
      <c r="C274" t="s">
        <v>20</v>
      </c>
      <c r="D274" t="s">
        <v>22</v>
      </c>
      <c r="E274">
        <v>811060</v>
      </c>
      <c r="F274">
        <v>2877</v>
      </c>
      <c r="G274">
        <v>45</v>
      </c>
      <c r="H274">
        <v>28</v>
      </c>
      <c r="I274" t="s">
        <v>20</v>
      </c>
      <c r="J274">
        <v>2</v>
      </c>
      <c r="K274">
        <v>2</v>
      </c>
      <c r="L274">
        <v>0</v>
      </c>
      <c r="M274">
        <v>0</v>
      </c>
      <c r="N274">
        <v>0</v>
      </c>
      <c r="O274">
        <v>0</v>
      </c>
      <c r="P274">
        <v>0</v>
      </c>
      <c r="Q274">
        <v>0</v>
      </c>
      <c r="R274">
        <v>900</v>
      </c>
      <c r="S274">
        <v>700</v>
      </c>
      <c r="T274">
        <v>0</v>
      </c>
      <c r="U274" t="str">
        <f>IF(SeismicData[[#This Row],[class]]=1,"Dangerous","Safe")</f>
        <v>Safe</v>
      </c>
      <c r="V274" t="str">
        <f>IF(SeismicData[[#This Row],[shift]]="W","Production","Non-Production")</f>
        <v>Production</v>
      </c>
      <c r="W274" t="str">
        <f>IF(SeismicData[[#This Row],[genergy]]=0,"0","10^"&amp;INT(LOG10(SeismicData[[#This Row],[genergy]])))</f>
        <v>10^5</v>
      </c>
      <c r="X274" t="str">
        <f>IF(OR(SeismicData[[#This Row],[genergy]]&lt;$AA$6,SeismicData[[#This Row],[genergy]]&gt;$AA$5),"Outlier","Normal")</f>
        <v>Outlier</v>
      </c>
    </row>
    <row r="275" spans="1:24" x14ac:dyDescent="0.15">
      <c r="A275">
        <v>274</v>
      </c>
      <c r="B275" t="s">
        <v>20</v>
      </c>
      <c r="C275" t="s">
        <v>20</v>
      </c>
      <c r="D275" t="s">
        <v>22</v>
      </c>
      <c r="E275">
        <v>538060</v>
      </c>
      <c r="F275">
        <v>2075</v>
      </c>
      <c r="G275">
        <v>-5</v>
      </c>
      <c r="H275">
        <v>-11</v>
      </c>
      <c r="I275" t="s">
        <v>20</v>
      </c>
      <c r="J275">
        <v>2</v>
      </c>
      <c r="K275">
        <v>2</v>
      </c>
      <c r="L275">
        <v>0</v>
      </c>
      <c r="M275">
        <v>0</v>
      </c>
      <c r="N275">
        <v>0</v>
      </c>
      <c r="O275">
        <v>0</v>
      </c>
      <c r="P275">
        <v>0</v>
      </c>
      <c r="Q275">
        <v>0</v>
      </c>
      <c r="R275">
        <v>900</v>
      </c>
      <c r="S275">
        <v>700</v>
      </c>
      <c r="T275">
        <v>1</v>
      </c>
      <c r="U275" t="str">
        <f>IF(SeismicData[[#This Row],[class]]=1,"Dangerous","Safe")</f>
        <v>Dangerous</v>
      </c>
      <c r="V275" t="str">
        <f>IF(SeismicData[[#This Row],[shift]]="W","Production","Non-Production")</f>
        <v>Production</v>
      </c>
      <c r="W275" t="str">
        <f>IF(SeismicData[[#This Row],[genergy]]=0,"0","10^"&amp;INT(LOG10(SeismicData[[#This Row],[genergy]])))</f>
        <v>10^5</v>
      </c>
      <c r="X275" t="str">
        <f>IF(OR(SeismicData[[#This Row],[genergy]]&lt;$AA$6,SeismicData[[#This Row],[genergy]]&gt;$AA$5),"Outlier","Normal")</f>
        <v>Outlier</v>
      </c>
    </row>
    <row r="276" spans="1:24" x14ac:dyDescent="0.15">
      <c r="A276">
        <v>275</v>
      </c>
      <c r="B276" t="s">
        <v>23</v>
      </c>
      <c r="C276" t="s">
        <v>20</v>
      </c>
      <c r="D276" t="s">
        <v>22</v>
      </c>
      <c r="E276">
        <v>372470</v>
      </c>
      <c r="F276">
        <v>1848</v>
      </c>
      <c r="G276">
        <v>-35</v>
      </c>
      <c r="H276">
        <v>-22</v>
      </c>
      <c r="I276" t="s">
        <v>20</v>
      </c>
      <c r="J276">
        <v>3</v>
      </c>
      <c r="K276">
        <v>0</v>
      </c>
      <c r="L276">
        <v>2</v>
      </c>
      <c r="M276">
        <v>1</v>
      </c>
      <c r="N276">
        <v>0</v>
      </c>
      <c r="O276">
        <v>0</v>
      </c>
      <c r="P276">
        <v>0</v>
      </c>
      <c r="Q276">
        <v>0</v>
      </c>
      <c r="R276">
        <v>70000</v>
      </c>
      <c r="S276">
        <v>60000</v>
      </c>
      <c r="T276">
        <v>1</v>
      </c>
      <c r="U276" t="str">
        <f>IF(SeismicData[[#This Row],[class]]=1,"Dangerous","Safe")</f>
        <v>Dangerous</v>
      </c>
      <c r="V276" t="str">
        <f>IF(SeismicData[[#This Row],[shift]]="W","Production","Non-Production")</f>
        <v>Production</v>
      </c>
      <c r="W276" t="str">
        <f>IF(SeismicData[[#This Row],[genergy]]=0,"0","10^"&amp;INT(LOG10(SeismicData[[#This Row],[genergy]])))</f>
        <v>10^5</v>
      </c>
      <c r="X276" t="str">
        <f>IF(OR(SeismicData[[#This Row],[genergy]]&lt;$AA$6,SeismicData[[#This Row],[genergy]]&gt;$AA$5),"Outlier","Normal")</f>
        <v>Outlier</v>
      </c>
    </row>
    <row r="277" spans="1:24" x14ac:dyDescent="0.15">
      <c r="A277">
        <v>276</v>
      </c>
      <c r="B277" t="s">
        <v>23</v>
      </c>
      <c r="C277" t="s">
        <v>23</v>
      </c>
      <c r="D277" t="s">
        <v>22</v>
      </c>
      <c r="E277">
        <v>439210</v>
      </c>
      <c r="F277">
        <v>2259</v>
      </c>
      <c r="G277">
        <v>-21</v>
      </c>
      <c r="H277">
        <v>-2</v>
      </c>
      <c r="I277" t="s">
        <v>20</v>
      </c>
      <c r="J277">
        <v>6</v>
      </c>
      <c r="K277">
        <v>3</v>
      </c>
      <c r="L277">
        <v>2</v>
      </c>
      <c r="M277">
        <v>1</v>
      </c>
      <c r="N277">
        <v>0</v>
      </c>
      <c r="O277">
        <v>0</v>
      </c>
      <c r="P277">
        <v>0</v>
      </c>
      <c r="Q277">
        <v>0</v>
      </c>
      <c r="R277">
        <v>18000</v>
      </c>
      <c r="S277">
        <v>10000</v>
      </c>
      <c r="T277">
        <v>0</v>
      </c>
      <c r="U277" t="str">
        <f>IF(SeismicData[[#This Row],[class]]=1,"Dangerous","Safe")</f>
        <v>Safe</v>
      </c>
      <c r="V277" t="str">
        <f>IF(SeismicData[[#This Row],[shift]]="W","Production","Non-Production")</f>
        <v>Production</v>
      </c>
      <c r="W277" t="str">
        <f>IF(SeismicData[[#This Row],[genergy]]=0,"0","10^"&amp;INT(LOG10(SeismicData[[#This Row],[genergy]])))</f>
        <v>10^5</v>
      </c>
      <c r="X277" t="str">
        <f>IF(OR(SeismicData[[#This Row],[genergy]]&lt;$AA$6,SeismicData[[#This Row],[genergy]]&gt;$AA$5),"Outlier","Normal")</f>
        <v>Outlier</v>
      </c>
    </row>
    <row r="278" spans="1:24" x14ac:dyDescent="0.15">
      <c r="A278">
        <v>277</v>
      </c>
      <c r="B278" t="s">
        <v>23</v>
      </c>
      <c r="C278" t="s">
        <v>23</v>
      </c>
      <c r="D278" t="s">
        <v>22</v>
      </c>
      <c r="E278">
        <v>286300</v>
      </c>
      <c r="F278">
        <v>1381</v>
      </c>
      <c r="G278">
        <v>-49</v>
      </c>
      <c r="H278">
        <v>-41</v>
      </c>
      <c r="I278" t="s">
        <v>20</v>
      </c>
      <c r="J278">
        <v>0</v>
      </c>
      <c r="K278">
        <v>0</v>
      </c>
      <c r="L278">
        <v>0</v>
      </c>
      <c r="M278">
        <v>0</v>
      </c>
      <c r="N278">
        <v>0</v>
      </c>
      <c r="O278">
        <v>0</v>
      </c>
      <c r="P278">
        <v>0</v>
      </c>
      <c r="Q278">
        <v>0</v>
      </c>
      <c r="R278">
        <v>0</v>
      </c>
      <c r="S278">
        <v>0</v>
      </c>
      <c r="T278">
        <v>0</v>
      </c>
      <c r="U278" t="str">
        <f>IF(SeismicData[[#This Row],[class]]=1,"Dangerous","Safe")</f>
        <v>Safe</v>
      </c>
      <c r="V278" t="str">
        <f>IF(SeismicData[[#This Row],[shift]]="W","Production","Non-Production")</f>
        <v>Production</v>
      </c>
      <c r="W278" t="str">
        <f>IF(SeismicData[[#This Row],[genergy]]=0,"0","10^"&amp;INT(LOG10(SeismicData[[#This Row],[genergy]])))</f>
        <v>10^5</v>
      </c>
      <c r="X278" t="str">
        <f>IF(OR(SeismicData[[#This Row],[genergy]]&lt;$AA$6,SeismicData[[#This Row],[genergy]]&gt;$AA$5),"Outlier","Normal")</f>
        <v>Outlier</v>
      </c>
    </row>
    <row r="279" spans="1:24" x14ac:dyDescent="0.15">
      <c r="A279">
        <v>278</v>
      </c>
      <c r="B279" t="s">
        <v>20</v>
      </c>
      <c r="C279" t="s">
        <v>23</v>
      </c>
      <c r="D279" t="s">
        <v>22</v>
      </c>
      <c r="E279">
        <v>576200</v>
      </c>
      <c r="F279">
        <v>1558</v>
      </c>
      <c r="G279">
        <v>15</v>
      </c>
      <c r="H279">
        <v>-22</v>
      </c>
      <c r="I279" t="s">
        <v>20</v>
      </c>
      <c r="J279">
        <v>6</v>
      </c>
      <c r="K279">
        <v>3</v>
      </c>
      <c r="L279">
        <v>3</v>
      </c>
      <c r="M279">
        <v>0</v>
      </c>
      <c r="N279">
        <v>0</v>
      </c>
      <c r="O279">
        <v>0</v>
      </c>
      <c r="P279">
        <v>0</v>
      </c>
      <c r="Q279">
        <v>0</v>
      </c>
      <c r="R279">
        <v>21300</v>
      </c>
      <c r="S279">
        <v>8000</v>
      </c>
      <c r="T279">
        <v>1</v>
      </c>
      <c r="U279" t="str">
        <f>IF(SeismicData[[#This Row],[class]]=1,"Dangerous","Safe")</f>
        <v>Dangerous</v>
      </c>
      <c r="V279" t="str">
        <f>IF(SeismicData[[#This Row],[shift]]="W","Production","Non-Production")</f>
        <v>Production</v>
      </c>
      <c r="W279" t="str">
        <f>IF(SeismicData[[#This Row],[genergy]]=0,"0","10^"&amp;INT(LOG10(SeismicData[[#This Row],[genergy]])))</f>
        <v>10^5</v>
      </c>
      <c r="X279" t="str">
        <f>IF(OR(SeismicData[[#This Row],[genergy]]&lt;$AA$6,SeismicData[[#This Row],[genergy]]&gt;$AA$5),"Outlier","Normal")</f>
        <v>Outlier</v>
      </c>
    </row>
    <row r="280" spans="1:24" x14ac:dyDescent="0.15">
      <c r="A280">
        <v>279</v>
      </c>
      <c r="B280" t="s">
        <v>20</v>
      </c>
      <c r="C280" t="s">
        <v>23</v>
      </c>
      <c r="D280" t="s">
        <v>22</v>
      </c>
      <c r="E280">
        <v>833250</v>
      </c>
      <c r="F280">
        <v>1840</v>
      </c>
      <c r="G280">
        <v>64</v>
      </c>
      <c r="H280">
        <v>-6</v>
      </c>
      <c r="I280" t="s">
        <v>20</v>
      </c>
      <c r="J280">
        <v>4</v>
      </c>
      <c r="K280">
        <v>1</v>
      </c>
      <c r="L280">
        <v>2</v>
      </c>
      <c r="M280">
        <v>1</v>
      </c>
      <c r="N280">
        <v>0</v>
      </c>
      <c r="O280">
        <v>0</v>
      </c>
      <c r="P280">
        <v>0</v>
      </c>
      <c r="Q280">
        <v>0</v>
      </c>
      <c r="R280">
        <v>14600</v>
      </c>
      <c r="S280">
        <v>10000</v>
      </c>
      <c r="T280">
        <v>0</v>
      </c>
      <c r="U280" t="str">
        <f>IF(SeismicData[[#This Row],[class]]=1,"Dangerous","Safe")</f>
        <v>Safe</v>
      </c>
      <c r="V280" t="str">
        <f>IF(SeismicData[[#This Row],[shift]]="W","Production","Non-Production")</f>
        <v>Production</v>
      </c>
      <c r="W280" t="str">
        <f>IF(SeismicData[[#This Row],[genergy]]=0,"0","10^"&amp;INT(LOG10(SeismicData[[#This Row],[genergy]])))</f>
        <v>10^5</v>
      </c>
      <c r="X280" t="str">
        <f>IF(OR(SeismicData[[#This Row],[genergy]]&lt;$AA$6,SeismicData[[#This Row],[genergy]]&gt;$AA$5),"Outlier","Normal")</f>
        <v>Outlier</v>
      </c>
    </row>
    <row r="281" spans="1:24" x14ac:dyDescent="0.15">
      <c r="A281">
        <v>280</v>
      </c>
      <c r="B281" t="s">
        <v>20</v>
      </c>
      <c r="C281" t="s">
        <v>23</v>
      </c>
      <c r="D281" t="s">
        <v>22</v>
      </c>
      <c r="E281">
        <v>836500</v>
      </c>
      <c r="F281">
        <v>2313</v>
      </c>
      <c r="G281">
        <v>55</v>
      </c>
      <c r="H281">
        <v>19</v>
      </c>
      <c r="I281" t="s">
        <v>20</v>
      </c>
      <c r="J281">
        <v>4</v>
      </c>
      <c r="K281">
        <v>0</v>
      </c>
      <c r="L281">
        <v>4</v>
      </c>
      <c r="M281">
        <v>0</v>
      </c>
      <c r="N281">
        <v>0</v>
      </c>
      <c r="O281">
        <v>0</v>
      </c>
      <c r="P281">
        <v>0</v>
      </c>
      <c r="Q281">
        <v>0</v>
      </c>
      <c r="R281">
        <v>19000</v>
      </c>
      <c r="S281">
        <v>9000</v>
      </c>
      <c r="T281">
        <v>1</v>
      </c>
      <c r="U281" t="str">
        <f>IF(SeismicData[[#This Row],[class]]=1,"Dangerous","Safe")</f>
        <v>Dangerous</v>
      </c>
      <c r="V281" t="str">
        <f>IF(SeismicData[[#This Row],[shift]]="W","Production","Non-Production")</f>
        <v>Production</v>
      </c>
      <c r="W281" t="str">
        <f>IF(SeismicData[[#This Row],[genergy]]=0,"0","10^"&amp;INT(LOG10(SeismicData[[#This Row],[genergy]])))</f>
        <v>10^5</v>
      </c>
      <c r="X281" t="str">
        <f>IF(OR(SeismicData[[#This Row],[genergy]]&lt;$AA$6,SeismicData[[#This Row],[genergy]]&gt;$AA$5),"Outlier","Normal")</f>
        <v>Outlier</v>
      </c>
    </row>
    <row r="282" spans="1:24" x14ac:dyDescent="0.15">
      <c r="A282">
        <v>281</v>
      </c>
      <c r="B282" t="s">
        <v>23</v>
      </c>
      <c r="C282" t="s">
        <v>23</v>
      </c>
      <c r="D282" t="s">
        <v>22</v>
      </c>
      <c r="E282">
        <v>571990</v>
      </c>
      <c r="F282">
        <v>1608</v>
      </c>
      <c r="G282">
        <v>0</v>
      </c>
      <c r="H282">
        <v>-18</v>
      </c>
      <c r="I282" t="s">
        <v>20</v>
      </c>
      <c r="J282">
        <v>4</v>
      </c>
      <c r="K282">
        <v>0</v>
      </c>
      <c r="L282">
        <v>3</v>
      </c>
      <c r="M282">
        <v>1</v>
      </c>
      <c r="N282">
        <v>0</v>
      </c>
      <c r="O282">
        <v>0</v>
      </c>
      <c r="P282">
        <v>0</v>
      </c>
      <c r="Q282">
        <v>0</v>
      </c>
      <c r="R282">
        <v>44000</v>
      </c>
      <c r="S282">
        <v>30000</v>
      </c>
      <c r="T282">
        <v>0</v>
      </c>
      <c r="U282" t="str">
        <f>IF(SeismicData[[#This Row],[class]]=1,"Dangerous","Safe")</f>
        <v>Safe</v>
      </c>
      <c r="V282" t="str">
        <f>IF(SeismicData[[#This Row],[shift]]="W","Production","Non-Production")</f>
        <v>Production</v>
      </c>
      <c r="W282" t="str">
        <f>IF(SeismicData[[#This Row],[genergy]]=0,"0","10^"&amp;INT(LOG10(SeismicData[[#This Row],[genergy]])))</f>
        <v>10^5</v>
      </c>
      <c r="X282" t="str">
        <f>IF(OR(SeismicData[[#This Row],[genergy]]&lt;$AA$6,SeismicData[[#This Row],[genergy]]&gt;$AA$5),"Outlier","Normal")</f>
        <v>Outlier</v>
      </c>
    </row>
    <row r="283" spans="1:24" x14ac:dyDescent="0.15">
      <c r="A283">
        <v>282</v>
      </c>
      <c r="B283" t="s">
        <v>23</v>
      </c>
      <c r="C283" t="s">
        <v>23</v>
      </c>
      <c r="D283" t="s">
        <v>22</v>
      </c>
      <c r="E283">
        <v>754760</v>
      </c>
      <c r="F283">
        <v>2218</v>
      </c>
      <c r="G283">
        <v>30</v>
      </c>
      <c r="H283">
        <v>15</v>
      </c>
      <c r="I283" t="s">
        <v>20</v>
      </c>
      <c r="J283">
        <v>2</v>
      </c>
      <c r="K283">
        <v>1</v>
      </c>
      <c r="L283">
        <v>1</v>
      </c>
      <c r="M283">
        <v>0</v>
      </c>
      <c r="N283">
        <v>0</v>
      </c>
      <c r="O283">
        <v>0</v>
      </c>
      <c r="P283">
        <v>0</v>
      </c>
      <c r="Q283">
        <v>0</v>
      </c>
      <c r="R283">
        <v>3200</v>
      </c>
      <c r="S283">
        <v>3000</v>
      </c>
      <c r="T283">
        <v>1</v>
      </c>
      <c r="U283" t="str">
        <f>IF(SeismicData[[#This Row],[class]]=1,"Dangerous","Safe")</f>
        <v>Dangerous</v>
      </c>
      <c r="V283" t="str">
        <f>IF(SeismicData[[#This Row],[shift]]="W","Production","Non-Production")</f>
        <v>Production</v>
      </c>
      <c r="W283" t="str">
        <f>IF(SeismicData[[#This Row],[genergy]]=0,"0","10^"&amp;INT(LOG10(SeismicData[[#This Row],[genergy]])))</f>
        <v>10^5</v>
      </c>
      <c r="X283" t="str">
        <f>IF(OR(SeismicData[[#This Row],[genergy]]&lt;$AA$6,SeismicData[[#This Row],[genergy]]&gt;$AA$5),"Outlier","Normal")</f>
        <v>Outlier</v>
      </c>
    </row>
    <row r="284" spans="1:24" x14ac:dyDescent="0.15">
      <c r="A284">
        <v>283</v>
      </c>
      <c r="B284" t="s">
        <v>23</v>
      </c>
      <c r="C284" t="s">
        <v>23</v>
      </c>
      <c r="D284" t="s">
        <v>22</v>
      </c>
      <c r="E284">
        <v>834760</v>
      </c>
      <c r="F284">
        <v>2307</v>
      </c>
      <c r="G284">
        <v>37</v>
      </c>
      <c r="H284">
        <v>18</v>
      </c>
      <c r="I284" t="s">
        <v>20</v>
      </c>
      <c r="J284">
        <v>4</v>
      </c>
      <c r="K284">
        <v>0</v>
      </c>
      <c r="L284">
        <v>2</v>
      </c>
      <c r="M284">
        <v>2</v>
      </c>
      <c r="N284">
        <v>0</v>
      </c>
      <c r="O284">
        <v>0</v>
      </c>
      <c r="P284">
        <v>0</v>
      </c>
      <c r="Q284">
        <v>0</v>
      </c>
      <c r="R284">
        <v>54000</v>
      </c>
      <c r="S284">
        <v>30000</v>
      </c>
      <c r="T284">
        <v>0</v>
      </c>
      <c r="U284" t="str">
        <f>IF(SeismicData[[#This Row],[class]]=1,"Dangerous","Safe")</f>
        <v>Safe</v>
      </c>
      <c r="V284" t="str">
        <f>IF(SeismicData[[#This Row],[shift]]="W","Production","Non-Production")</f>
        <v>Production</v>
      </c>
      <c r="W284" t="str">
        <f>IF(SeismicData[[#This Row],[genergy]]=0,"0","10^"&amp;INT(LOG10(SeismicData[[#This Row],[genergy]])))</f>
        <v>10^5</v>
      </c>
      <c r="X284" t="str">
        <f>IF(OR(SeismicData[[#This Row],[genergy]]&lt;$AA$6,SeismicData[[#This Row],[genergy]]&gt;$AA$5),"Outlier","Normal")</f>
        <v>Outlier</v>
      </c>
    </row>
    <row r="285" spans="1:24" x14ac:dyDescent="0.15">
      <c r="A285">
        <v>284</v>
      </c>
      <c r="B285" t="s">
        <v>23</v>
      </c>
      <c r="C285" t="s">
        <v>20</v>
      </c>
      <c r="D285" t="s">
        <v>22</v>
      </c>
      <c r="E285">
        <v>450490</v>
      </c>
      <c r="F285">
        <v>1437</v>
      </c>
      <c r="G285">
        <v>-30</v>
      </c>
      <c r="H285">
        <v>-28</v>
      </c>
      <c r="I285" t="s">
        <v>20</v>
      </c>
      <c r="J285">
        <v>6</v>
      </c>
      <c r="K285">
        <v>2</v>
      </c>
      <c r="L285">
        <v>4</v>
      </c>
      <c r="M285">
        <v>0</v>
      </c>
      <c r="N285">
        <v>0</v>
      </c>
      <c r="O285">
        <v>0</v>
      </c>
      <c r="P285">
        <v>0</v>
      </c>
      <c r="Q285">
        <v>0</v>
      </c>
      <c r="R285">
        <v>12700</v>
      </c>
      <c r="S285">
        <v>4000</v>
      </c>
      <c r="T285">
        <v>1</v>
      </c>
      <c r="U285" t="str">
        <f>IF(SeismicData[[#This Row],[class]]=1,"Dangerous","Safe")</f>
        <v>Dangerous</v>
      </c>
      <c r="V285" t="str">
        <f>IF(SeismicData[[#This Row],[shift]]="W","Production","Non-Production")</f>
        <v>Production</v>
      </c>
      <c r="W285" t="str">
        <f>IF(SeismicData[[#This Row],[genergy]]=0,"0","10^"&amp;INT(LOG10(SeismicData[[#This Row],[genergy]])))</f>
        <v>10^5</v>
      </c>
      <c r="X285" t="str">
        <f>IF(OR(SeismicData[[#This Row],[genergy]]&lt;$AA$6,SeismicData[[#This Row],[genergy]]&gt;$AA$5),"Outlier","Normal")</f>
        <v>Outlier</v>
      </c>
    </row>
    <row r="286" spans="1:24" x14ac:dyDescent="0.15">
      <c r="A286">
        <v>285</v>
      </c>
      <c r="B286" t="s">
        <v>23</v>
      </c>
      <c r="C286" t="s">
        <v>20</v>
      </c>
      <c r="D286" t="s">
        <v>22</v>
      </c>
      <c r="E286">
        <v>932410</v>
      </c>
      <c r="F286">
        <v>2464</v>
      </c>
      <c r="G286">
        <v>47</v>
      </c>
      <c r="H286">
        <v>28</v>
      </c>
      <c r="I286" t="s">
        <v>20</v>
      </c>
      <c r="J286">
        <v>7</v>
      </c>
      <c r="K286">
        <v>4</v>
      </c>
      <c r="L286">
        <v>2</v>
      </c>
      <c r="M286">
        <v>1</v>
      </c>
      <c r="N286">
        <v>0</v>
      </c>
      <c r="O286">
        <v>0</v>
      </c>
      <c r="P286">
        <v>0</v>
      </c>
      <c r="Q286">
        <v>0</v>
      </c>
      <c r="R286">
        <v>36500</v>
      </c>
      <c r="S286">
        <v>30000</v>
      </c>
      <c r="T286">
        <v>1</v>
      </c>
      <c r="U286" t="str">
        <f>IF(SeismicData[[#This Row],[class]]=1,"Dangerous","Safe")</f>
        <v>Dangerous</v>
      </c>
      <c r="V286" t="str">
        <f>IF(SeismicData[[#This Row],[shift]]="W","Production","Non-Production")</f>
        <v>Production</v>
      </c>
      <c r="W286" t="str">
        <f>IF(SeismicData[[#This Row],[genergy]]=0,"0","10^"&amp;INT(LOG10(SeismicData[[#This Row],[genergy]])))</f>
        <v>10^5</v>
      </c>
      <c r="X286" t="str">
        <f>IF(OR(SeismicData[[#This Row],[genergy]]&lt;$AA$6,SeismicData[[#This Row],[genergy]]&gt;$AA$5),"Outlier","Normal")</f>
        <v>Outlier</v>
      </c>
    </row>
    <row r="287" spans="1:24" x14ac:dyDescent="0.15">
      <c r="A287">
        <v>286</v>
      </c>
      <c r="B287" t="s">
        <v>23</v>
      </c>
      <c r="C287" t="s">
        <v>20</v>
      </c>
      <c r="D287" t="s">
        <v>22</v>
      </c>
      <c r="E287">
        <v>568200</v>
      </c>
      <c r="F287">
        <v>1834</v>
      </c>
      <c r="G287">
        <v>-16</v>
      </c>
      <c r="H287">
        <v>-7</v>
      </c>
      <c r="I287" t="s">
        <v>20</v>
      </c>
      <c r="J287">
        <v>4</v>
      </c>
      <c r="K287">
        <v>2</v>
      </c>
      <c r="L287">
        <v>1</v>
      </c>
      <c r="M287">
        <v>1</v>
      </c>
      <c r="N287">
        <v>0</v>
      </c>
      <c r="O287">
        <v>0</v>
      </c>
      <c r="P287">
        <v>0</v>
      </c>
      <c r="Q287">
        <v>0</v>
      </c>
      <c r="R287">
        <v>32700</v>
      </c>
      <c r="S287">
        <v>30000</v>
      </c>
      <c r="T287">
        <v>1</v>
      </c>
      <c r="U287" t="str">
        <f>IF(SeismicData[[#This Row],[class]]=1,"Dangerous","Safe")</f>
        <v>Dangerous</v>
      </c>
      <c r="V287" t="str">
        <f>IF(SeismicData[[#This Row],[shift]]="W","Production","Non-Production")</f>
        <v>Production</v>
      </c>
      <c r="W287" t="str">
        <f>IF(SeismicData[[#This Row],[genergy]]=0,"0","10^"&amp;INT(LOG10(SeismicData[[#This Row],[genergy]])))</f>
        <v>10^5</v>
      </c>
      <c r="X287" t="str">
        <f>IF(OR(SeismicData[[#This Row],[genergy]]&lt;$AA$6,SeismicData[[#This Row],[genergy]]&gt;$AA$5),"Outlier","Normal")</f>
        <v>Outlier</v>
      </c>
    </row>
    <row r="288" spans="1:24" x14ac:dyDescent="0.15">
      <c r="A288">
        <v>287</v>
      </c>
      <c r="B288" t="s">
        <v>23</v>
      </c>
      <c r="C288" t="s">
        <v>20</v>
      </c>
      <c r="D288" t="s">
        <v>22</v>
      </c>
      <c r="E288">
        <v>452730</v>
      </c>
      <c r="F288">
        <v>1349</v>
      </c>
      <c r="G288">
        <v>-34</v>
      </c>
      <c r="H288">
        <v>-31</v>
      </c>
      <c r="I288" t="s">
        <v>20</v>
      </c>
      <c r="J288">
        <v>3</v>
      </c>
      <c r="K288">
        <v>0</v>
      </c>
      <c r="L288">
        <v>1</v>
      </c>
      <c r="M288">
        <v>2</v>
      </c>
      <c r="N288">
        <v>0</v>
      </c>
      <c r="O288">
        <v>0</v>
      </c>
      <c r="P288">
        <v>0</v>
      </c>
      <c r="Q288">
        <v>0</v>
      </c>
      <c r="R288">
        <v>64000</v>
      </c>
      <c r="S288">
        <v>30000</v>
      </c>
      <c r="T288">
        <v>0</v>
      </c>
      <c r="U288" t="str">
        <f>IF(SeismicData[[#This Row],[class]]=1,"Dangerous","Safe")</f>
        <v>Safe</v>
      </c>
      <c r="V288" t="str">
        <f>IF(SeismicData[[#This Row],[shift]]="W","Production","Non-Production")</f>
        <v>Production</v>
      </c>
      <c r="W288" t="str">
        <f>IF(SeismicData[[#This Row],[genergy]]=0,"0","10^"&amp;INT(LOG10(SeismicData[[#This Row],[genergy]])))</f>
        <v>10^5</v>
      </c>
      <c r="X288" t="str">
        <f>IF(OR(SeismicData[[#This Row],[genergy]]&lt;$AA$6,SeismicData[[#This Row],[genergy]]&gt;$AA$5),"Outlier","Normal")</f>
        <v>Outlier</v>
      </c>
    </row>
    <row r="289" spans="1:24" x14ac:dyDescent="0.15">
      <c r="A289">
        <v>288</v>
      </c>
      <c r="B289" t="s">
        <v>23</v>
      </c>
      <c r="C289" t="s">
        <v>20</v>
      </c>
      <c r="D289" t="s">
        <v>22</v>
      </c>
      <c r="E289">
        <v>833660</v>
      </c>
      <c r="F289">
        <v>2493</v>
      </c>
      <c r="G289">
        <v>22</v>
      </c>
      <c r="H289">
        <v>32</v>
      </c>
      <c r="I289" t="s">
        <v>20</v>
      </c>
      <c r="J289">
        <v>4</v>
      </c>
      <c r="K289">
        <v>2</v>
      </c>
      <c r="L289">
        <v>2</v>
      </c>
      <c r="M289">
        <v>0</v>
      </c>
      <c r="N289">
        <v>0</v>
      </c>
      <c r="O289">
        <v>0</v>
      </c>
      <c r="P289">
        <v>0</v>
      </c>
      <c r="Q289">
        <v>0</v>
      </c>
      <c r="R289">
        <v>11000</v>
      </c>
      <c r="S289">
        <v>6000</v>
      </c>
      <c r="T289">
        <v>0</v>
      </c>
      <c r="U289" t="str">
        <f>IF(SeismicData[[#This Row],[class]]=1,"Dangerous","Safe")</f>
        <v>Safe</v>
      </c>
      <c r="V289" t="str">
        <f>IF(SeismicData[[#This Row],[shift]]="W","Production","Non-Production")</f>
        <v>Production</v>
      </c>
      <c r="W289" t="str">
        <f>IF(SeismicData[[#This Row],[genergy]]=0,"0","10^"&amp;INT(LOG10(SeismicData[[#This Row],[genergy]])))</f>
        <v>10^5</v>
      </c>
      <c r="X289" t="str">
        <f>IF(OR(SeismicData[[#This Row],[genergy]]&lt;$AA$6,SeismicData[[#This Row],[genergy]]&gt;$AA$5),"Outlier","Normal")</f>
        <v>Outlier</v>
      </c>
    </row>
    <row r="290" spans="1:24" x14ac:dyDescent="0.15">
      <c r="A290">
        <v>289</v>
      </c>
      <c r="B290" t="s">
        <v>23</v>
      </c>
      <c r="C290" t="s">
        <v>20</v>
      </c>
      <c r="D290" t="s">
        <v>21</v>
      </c>
      <c r="E290">
        <v>131820</v>
      </c>
      <c r="F290">
        <v>583</v>
      </c>
      <c r="G290">
        <v>-47</v>
      </c>
      <c r="H290">
        <v>-42</v>
      </c>
      <c r="I290" t="s">
        <v>20</v>
      </c>
      <c r="J290">
        <v>1</v>
      </c>
      <c r="K290">
        <v>0</v>
      </c>
      <c r="L290">
        <v>1</v>
      </c>
      <c r="M290">
        <v>0</v>
      </c>
      <c r="N290">
        <v>0</v>
      </c>
      <c r="O290">
        <v>0</v>
      </c>
      <c r="P290">
        <v>0</v>
      </c>
      <c r="Q290">
        <v>0</v>
      </c>
      <c r="R290">
        <v>1000</v>
      </c>
      <c r="S290">
        <v>1000</v>
      </c>
      <c r="T290">
        <v>0</v>
      </c>
      <c r="U290" t="str">
        <f>IF(SeismicData[[#This Row],[class]]=1,"Dangerous","Safe")</f>
        <v>Safe</v>
      </c>
      <c r="V290" t="str">
        <f>IF(SeismicData[[#This Row],[shift]]="W","Production","Non-Production")</f>
        <v>Non-Production</v>
      </c>
      <c r="W290" t="str">
        <f>IF(SeismicData[[#This Row],[genergy]]=0,"0","10^"&amp;INT(LOG10(SeismicData[[#This Row],[genergy]])))</f>
        <v>10^5</v>
      </c>
      <c r="X290" t="str">
        <f>IF(OR(SeismicData[[#This Row],[genergy]]&lt;$AA$6,SeismicData[[#This Row],[genergy]]&gt;$AA$5),"Outlier","Normal")</f>
        <v>Outlier</v>
      </c>
    </row>
    <row r="291" spans="1:24" x14ac:dyDescent="0.15">
      <c r="A291">
        <v>290</v>
      </c>
      <c r="B291" t="s">
        <v>20</v>
      </c>
      <c r="C291" t="s">
        <v>20</v>
      </c>
      <c r="D291" t="s">
        <v>21</v>
      </c>
      <c r="E291">
        <v>72250</v>
      </c>
      <c r="F291">
        <v>339</v>
      </c>
      <c r="G291">
        <v>-70</v>
      </c>
      <c r="H291">
        <v>-65</v>
      </c>
      <c r="I291" t="s">
        <v>20</v>
      </c>
      <c r="J291">
        <v>0</v>
      </c>
      <c r="K291">
        <v>0</v>
      </c>
      <c r="L291">
        <v>0</v>
      </c>
      <c r="M291">
        <v>0</v>
      </c>
      <c r="N291">
        <v>0</v>
      </c>
      <c r="O291">
        <v>0</v>
      </c>
      <c r="P291">
        <v>0</v>
      </c>
      <c r="Q291">
        <v>0</v>
      </c>
      <c r="R291">
        <v>0</v>
      </c>
      <c r="S291">
        <v>0</v>
      </c>
      <c r="T291">
        <v>0</v>
      </c>
      <c r="U291" t="str">
        <f>IF(SeismicData[[#This Row],[class]]=1,"Dangerous","Safe")</f>
        <v>Safe</v>
      </c>
      <c r="V291" t="str">
        <f>IF(SeismicData[[#This Row],[shift]]="W","Production","Non-Production")</f>
        <v>Non-Production</v>
      </c>
      <c r="W291" t="str">
        <f>IF(SeismicData[[#This Row],[genergy]]=0,"0","10^"&amp;INT(LOG10(SeismicData[[#This Row],[genergy]])))</f>
        <v>10^4</v>
      </c>
      <c r="X291" t="str">
        <f>IF(OR(SeismicData[[#This Row],[genergy]]&lt;$AA$6,SeismicData[[#This Row],[genergy]]&gt;$AA$5),"Outlier","Normal")</f>
        <v>Normal</v>
      </c>
    </row>
    <row r="292" spans="1:24" x14ac:dyDescent="0.15">
      <c r="A292">
        <v>291</v>
      </c>
      <c r="B292" t="s">
        <v>20</v>
      </c>
      <c r="C292" t="s">
        <v>20</v>
      </c>
      <c r="D292" t="s">
        <v>21</v>
      </c>
      <c r="E292">
        <v>58850</v>
      </c>
      <c r="F292">
        <v>236</v>
      </c>
      <c r="G292">
        <v>-73</v>
      </c>
      <c r="H292">
        <v>-74</v>
      </c>
      <c r="I292" t="s">
        <v>20</v>
      </c>
      <c r="J292">
        <v>0</v>
      </c>
      <c r="K292">
        <v>0</v>
      </c>
      <c r="L292">
        <v>0</v>
      </c>
      <c r="M292">
        <v>0</v>
      </c>
      <c r="N292">
        <v>0</v>
      </c>
      <c r="O292">
        <v>0</v>
      </c>
      <c r="P292">
        <v>0</v>
      </c>
      <c r="Q292">
        <v>0</v>
      </c>
      <c r="R292">
        <v>0</v>
      </c>
      <c r="S292">
        <v>0</v>
      </c>
      <c r="T292">
        <v>0</v>
      </c>
      <c r="U292" t="str">
        <f>IF(SeismicData[[#This Row],[class]]=1,"Dangerous","Safe")</f>
        <v>Safe</v>
      </c>
      <c r="V292" t="str">
        <f>IF(SeismicData[[#This Row],[shift]]="W","Production","Non-Production")</f>
        <v>Non-Production</v>
      </c>
      <c r="W292" t="str">
        <f>IF(SeismicData[[#This Row],[genergy]]=0,"0","10^"&amp;INT(LOG10(SeismicData[[#This Row],[genergy]])))</f>
        <v>10^4</v>
      </c>
      <c r="X292" t="str">
        <f>IF(OR(SeismicData[[#This Row],[genergy]]&lt;$AA$6,SeismicData[[#This Row],[genergy]]&gt;$AA$5),"Outlier","Normal")</f>
        <v>Normal</v>
      </c>
    </row>
    <row r="293" spans="1:24" x14ac:dyDescent="0.15">
      <c r="A293">
        <v>292</v>
      </c>
      <c r="B293" t="s">
        <v>20</v>
      </c>
      <c r="C293" t="s">
        <v>20</v>
      </c>
      <c r="D293" t="s">
        <v>21</v>
      </c>
      <c r="E293">
        <v>54750</v>
      </c>
      <c r="F293">
        <v>233</v>
      </c>
      <c r="G293">
        <v>-38</v>
      </c>
      <c r="H293">
        <v>-40</v>
      </c>
      <c r="I293" t="s">
        <v>20</v>
      </c>
      <c r="J293">
        <v>0</v>
      </c>
      <c r="K293">
        <v>0</v>
      </c>
      <c r="L293">
        <v>0</v>
      </c>
      <c r="M293">
        <v>0</v>
      </c>
      <c r="N293">
        <v>0</v>
      </c>
      <c r="O293">
        <v>0</v>
      </c>
      <c r="P293">
        <v>0</v>
      </c>
      <c r="Q293">
        <v>0</v>
      </c>
      <c r="R293">
        <v>0</v>
      </c>
      <c r="S293">
        <v>0</v>
      </c>
      <c r="T293">
        <v>0</v>
      </c>
      <c r="U293" t="str">
        <f>IF(SeismicData[[#This Row],[class]]=1,"Dangerous","Safe")</f>
        <v>Safe</v>
      </c>
      <c r="V293" t="str">
        <f>IF(SeismicData[[#This Row],[shift]]="W","Production","Non-Production")</f>
        <v>Non-Production</v>
      </c>
      <c r="W293" t="str">
        <f>IF(SeismicData[[#This Row],[genergy]]=0,"0","10^"&amp;INT(LOG10(SeismicData[[#This Row],[genergy]])))</f>
        <v>10^4</v>
      </c>
      <c r="X293" t="str">
        <f>IF(OR(SeismicData[[#This Row],[genergy]]&lt;$AA$6,SeismicData[[#This Row],[genergy]]&gt;$AA$5),"Outlier","Normal")</f>
        <v>Normal</v>
      </c>
    </row>
    <row r="294" spans="1:24" x14ac:dyDescent="0.15">
      <c r="A294">
        <v>293</v>
      </c>
      <c r="B294" t="s">
        <v>20</v>
      </c>
      <c r="C294" t="s">
        <v>20</v>
      </c>
      <c r="D294" t="s">
        <v>21</v>
      </c>
      <c r="E294">
        <v>43600</v>
      </c>
      <c r="F294">
        <v>194</v>
      </c>
      <c r="G294">
        <v>-48</v>
      </c>
      <c r="H294">
        <v>-48</v>
      </c>
      <c r="I294" t="s">
        <v>20</v>
      </c>
      <c r="J294">
        <v>0</v>
      </c>
      <c r="K294">
        <v>0</v>
      </c>
      <c r="L294">
        <v>0</v>
      </c>
      <c r="M294">
        <v>0</v>
      </c>
      <c r="N294">
        <v>0</v>
      </c>
      <c r="O294">
        <v>0</v>
      </c>
      <c r="P294">
        <v>0</v>
      </c>
      <c r="Q294">
        <v>0</v>
      </c>
      <c r="R294">
        <v>0</v>
      </c>
      <c r="S294">
        <v>0</v>
      </c>
      <c r="T294">
        <v>0</v>
      </c>
      <c r="U294" t="str">
        <f>IF(SeismicData[[#This Row],[class]]=1,"Dangerous","Safe")</f>
        <v>Safe</v>
      </c>
      <c r="V294" t="str">
        <f>IF(SeismicData[[#This Row],[shift]]="W","Production","Non-Production")</f>
        <v>Non-Production</v>
      </c>
      <c r="W294" t="str">
        <f>IF(SeismicData[[#This Row],[genergy]]=0,"0","10^"&amp;INT(LOG10(SeismicData[[#This Row],[genergy]])))</f>
        <v>10^4</v>
      </c>
      <c r="X294" t="str">
        <f>IF(OR(SeismicData[[#This Row],[genergy]]&lt;$AA$6,SeismicData[[#This Row],[genergy]]&gt;$AA$5),"Outlier","Normal")</f>
        <v>Normal</v>
      </c>
    </row>
    <row r="295" spans="1:24" x14ac:dyDescent="0.15">
      <c r="A295">
        <v>294</v>
      </c>
      <c r="B295" t="s">
        <v>20</v>
      </c>
      <c r="C295" t="s">
        <v>20</v>
      </c>
      <c r="D295" t="s">
        <v>21</v>
      </c>
      <c r="E295">
        <v>58200</v>
      </c>
      <c r="F295">
        <v>219</v>
      </c>
      <c r="G295">
        <v>-27</v>
      </c>
      <c r="H295">
        <v>-38</v>
      </c>
      <c r="I295" t="s">
        <v>20</v>
      </c>
      <c r="J295">
        <v>1</v>
      </c>
      <c r="K295">
        <v>0</v>
      </c>
      <c r="L295">
        <v>1</v>
      </c>
      <c r="M295">
        <v>0</v>
      </c>
      <c r="N295">
        <v>0</v>
      </c>
      <c r="O295">
        <v>0</v>
      </c>
      <c r="P295">
        <v>0</v>
      </c>
      <c r="Q295">
        <v>0</v>
      </c>
      <c r="R295">
        <v>3000</v>
      </c>
      <c r="S295">
        <v>3000</v>
      </c>
      <c r="T295">
        <v>0</v>
      </c>
      <c r="U295" t="str">
        <f>IF(SeismicData[[#This Row],[class]]=1,"Dangerous","Safe")</f>
        <v>Safe</v>
      </c>
      <c r="V295" t="str">
        <f>IF(SeismicData[[#This Row],[shift]]="W","Production","Non-Production")</f>
        <v>Non-Production</v>
      </c>
      <c r="W295" t="str">
        <f>IF(SeismicData[[#This Row],[genergy]]=0,"0","10^"&amp;INT(LOG10(SeismicData[[#This Row],[genergy]])))</f>
        <v>10^4</v>
      </c>
      <c r="X295" t="str">
        <f>IF(OR(SeismicData[[#This Row],[genergy]]&lt;$AA$6,SeismicData[[#This Row],[genergy]]&gt;$AA$5),"Outlier","Normal")</f>
        <v>Normal</v>
      </c>
    </row>
    <row r="296" spans="1:24" x14ac:dyDescent="0.15">
      <c r="A296">
        <v>295</v>
      </c>
      <c r="B296" t="s">
        <v>20</v>
      </c>
      <c r="C296" t="s">
        <v>20</v>
      </c>
      <c r="D296" t="s">
        <v>21</v>
      </c>
      <c r="E296">
        <v>53320</v>
      </c>
      <c r="F296">
        <v>203</v>
      </c>
      <c r="G296">
        <v>-31</v>
      </c>
      <c r="H296">
        <v>-39</v>
      </c>
      <c r="I296" t="s">
        <v>20</v>
      </c>
      <c r="J296">
        <v>1</v>
      </c>
      <c r="K296">
        <v>0</v>
      </c>
      <c r="L296">
        <v>1</v>
      </c>
      <c r="M296">
        <v>0</v>
      </c>
      <c r="N296">
        <v>0</v>
      </c>
      <c r="O296">
        <v>0</v>
      </c>
      <c r="P296">
        <v>0</v>
      </c>
      <c r="Q296">
        <v>0</v>
      </c>
      <c r="R296">
        <v>4000</v>
      </c>
      <c r="S296">
        <v>4000</v>
      </c>
      <c r="T296">
        <v>0</v>
      </c>
      <c r="U296" t="str">
        <f>IF(SeismicData[[#This Row],[class]]=1,"Dangerous","Safe")</f>
        <v>Safe</v>
      </c>
      <c r="V296" t="str">
        <f>IF(SeismicData[[#This Row],[shift]]="W","Production","Non-Production")</f>
        <v>Non-Production</v>
      </c>
      <c r="W296" t="str">
        <f>IF(SeismicData[[#This Row],[genergy]]=0,"0","10^"&amp;INT(LOG10(SeismicData[[#This Row],[genergy]])))</f>
        <v>10^4</v>
      </c>
      <c r="X296" t="str">
        <f>IF(OR(SeismicData[[#This Row],[genergy]]&lt;$AA$6,SeismicData[[#This Row],[genergy]]&gt;$AA$5),"Outlier","Normal")</f>
        <v>Normal</v>
      </c>
    </row>
    <row r="297" spans="1:24" x14ac:dyDescent="0.15">
      <c r="A297">
        <v>296</v>
      </c>
      <c r="B297" t="s">
        <v>20</v>
      </c>
      <c r="C297" t="s">
        <v>20</v>
      </c>
      <c r="D297" t="s">
        <v>22</v>
      </c>
      <c r="E297">
        <v>447360</v>
      </c>
      <c r="F297">
        <v>1332</v>
      </c>
      <c r="G297">
        <v>-37</v>
      </c>
      <c r="H297">
        <v>-33</v>
      </c>
      <c r="I297" t="s">
        <v>20</v>
      </c>
      <c r="J297">
        <v>2</v>
      </c>
      <c r="K297">
        <v>1</v>
      </c>
      <c r="L297">
        <v>1</v>
      </c>
      <c r="M297">
        <v>0</v>
      </c>
      <c r="N297">
        <v>0</v>
      </c>
      <c r="O297">
        <v>0</v>
      </c>
      <c r="P297">
        <v>0</v>
      </c>
      <c r="Q297">
        <v>0</v>
      </c>
      <c r="R297">
        <v>8400</v>
      </c>
      <c r="S297">
        <v>8000</v>
      </c>
      <c r="T297">
        <v>1</v>
      </c>
      <c r="U297" t="str">
        <f>IF(SeismicData[[#This Row],[class]]=1,"Dangerous","Safe")</f>
        <v>Dangerous</v>
      </c>
      <c r="V297" t="str">
        <f>IF(SeismicData[[#This Row],[shift]]="W","Production","Non-Production")</f>
        <v>Production</v>
      </c>
      <c r="W297" t="str">
        <f>IF(SeismicData[[#This Row],[genergy]]=0,"0","10^"&amp;INT(LOG10(SeismicData[[#This Row],[genergy]])))</f>
        <v>10^5</v>
      </c>
      <c r="X297" t="str">
        <f>IF(OR(SeismicData[[#This Row],[genergy]]&lt;$AA$6,SeismicData[[#This Row],[genergy]]&gt;$AA$5),"Outlier","Normal")</f>
        <v>Outlier</v>
      </c>
    </row>
    <row r="298" spans="1:24" x14ac:dyDescent="0.15">
      <c r="A298">
        <v>297</v>
      </c>
      <c r="B298" t="s">
        <v>23</v>
      </c>
      <c r="C298" t="s">
        <v>20</v>
      </c>
      <c r="D298" t="s">
        <v>22</v>
      </c>
      <c r="E298">
        <v>993080</v>
      </c>
      <c r="F298">
        <v>3023</v>
      </c>
      <c r="G298">
        <v>49</v>
      </c>
      <c r="H298">
        <v>56</v>
      </c>
      <c r="I298" t="s">
        <v>20</v>
      </c>
      <c r="J298">
        <v>3</v>
      </c>
      <c r="K298">
        <v>1</v>
      </c>
      <c r="L298">
        <v>0</v>
      </c>
      <c r="M298">
        <v>2</v>
      </c>
      <c r="N298">
        <v>0</v>
      </c>
      <c r="O298">
        <v>0</v>
      </c>
      <c r="P298">
        <v>0</v>
      </c>
      <c r="Q298">
        <v>0</v>
      </c>
      <c r="R298">
        <v>70800</v>
      </c>
      <c r="S298">
        <v>40000</v>
      </c>
      <c r="T298">
        <v>1</v>
      </c>
      <c r="U298" t="str">
        <f>IF(SeismicData[[#This Row],[class]]=1,"Dangerous","Safe")</f>
        <v>Dangerous</v>
      </c>
      <c r="V298" t="str">
        <f>IF(SeismicData[[#This Row],[shift]]="W","Production","Non-Production")</f>
        <v>Production</v>
      </c>
      <c r="W298" t="str">
        <f>IF(SeismicData[[#This Row],[genergy]]=0,"0","10^"&amp;INT(LOG10(SeismicData[[#This Row],[genergy]])))</f>
        <v>10^5</v>
      </c>
      <c r="X298" t="str">
        <f>IF(OR(SeismicData[[#This Row],[genergy]]&lt;$AA$6,SeismicData[[#This Row],[genergy]]&gt;$AA$5),"Outlier","Normal")</f>
        <v>Outlier</v>
      </c>
    </row>
    <row r="299" spans="1:24" x14ac:dyDescent="0.15">
      <c r="A299">
        <v>298</v>
      </c>
      <c r="B299" t="s">
        <v>23</v>
      </c>
      <c r="C299" t="s">
        <v>20</v>
      </c>
      <c r="D299" t="s">
        <v>22</v>
      </c>
      <c r="E299">
        <v>593950</v>
      </c>
      <c r="F299">
        <v>1972</v>
      </c>
      <c r="G299">
        <v>-13</v>
      </c>
      <c r="H299">
        <v>-2</v>
      </c>
      <c r="I299" t="s">
        <v>20</v>
      </c>
      <c r="J299">
        <v>4</v>
      </c>
      <c r="K299">
        <v>2</v>
      </c>
      <c r="L299">
        <v>1</v>
      </c>
      <c r="M299">
        <v>1</v>
      </c>
      <c r="N299">
        <v>0</v>
      </c>
      <c r="O299">
        <v>0</v>
      </c>
      <c r="P299">
        <v>0</v>
      </c>
      <c r="Q299">
        <v>0</v>
      </c>
      <c r="R299">
        <v>32800</v>
      </c>
      <c r="S299">
        <v>30000</v>
      </c>
      <c r="T299">
        <v>0</v>
      </c>
      <c r="U299" t="str">
        <f>IF(SeismicData[[#This Row],[class]]=1,"Dangerous","Safe")</f>
        <v>Safe</v>
      </c>
      <c r="V299" t="str">
        <f>IF(SeismicData[[#This Row],[shift]]="W","Production","Non-Production")</f>
        <v>Production</v>
      </c>
      <c r="W299" t="str">
        <f>IF(SeismicData[[#This Row],[genergy]]=0,"0","10^"&amp;INT(LOG10(SeismicData[[#This Row],[genergy]])))</f>
        <v>10^5</v>
      </c>
      <c r="X299" t="str">
        <f>IF(OR(SeismicData[[#This Row],[genergy]]&lt;$AA$6,SeismicData[[#This Row],[genergy]]&gt;$AA$5),"Outlier","Normal")</f>
        <v>Outlier</v>
      </c>
    </row>
    <row r="300" spans="1:24" x14ac:dyDescent="0.15">
      <c r="A300">
        <v>299</v>
      </c>
      <c r="B300" t="s">
        <v>23</v>
      </c>
      <c r="C300" t="s">
        <v>20</v>
      </c>
      <c r="D300" t="s">
        <v>22</v>
      </c>
      <c r="E300">
        <v>570400</v>
      </c>
      <c r="F300">
        <v>1892</v>
      </c>
      <c r="G300">
        <v>-17</v>
      </c>
      <c r="H300">
        <v>-7</v>
      </c>
      <c r="I300" t="s">
        <v>20</v>
      </c>
      <c r="J300">
        <v>2</v>
      </c>
      <c r="K300">
        <v>0</v>
      </c>
      <c r="L300">
        <v>2</v>
      </c>
      <c r="M300">
        <v>0</v>
      </c>
      <c r="N300">
        <v>0</v>
      </c>
      <c r="O300">
        <v>0</v>
      </c>
      <c r="P300">
        <v>0</v>
      </c>
      <c r="Q300">
        <v>0</v>
      </c>
      <c r="R300">
        <v>11000</v>
      </c>
      <c r="S300">
        <v>7000</v>
      </c>
      <c r="T300">
        <v>0</v>
      </c>
      <c r="U300" t="str">
        <f>IF(SeismicData[[#This Row],[class]]=1,"Dangerous","Safe")</f>
        <v>Safe</v>
      </c>
      <c r="V300" t="str">
        <f>IF(SeismicData[[#This Row],[shift]]="W","Production","Non-Production")</f>
        <v>Production</v>
      </c>
      <c r="W300" t="str">
        <f>IF(SeismicData[[#This Row],[genergy]]=0,"0","10^"&amp;INT(LOG10(SeismicData[[#This Row],[genergy]])))</f>
        <v>10^5</v>
      </c>
      <c r="X300" t="str">
        <f>IF(OR(SeismicData[[#This Row],[genergy]]&lt;$AA$6,SeismicData[[#This Row],[genergy]]&gt;$AA$5),"Outlier","Normal")</f>
        <v>Outlier</v>
      </c>
    </row>
    <row r="301" spans="1:24" x14ac:dyDescent="0.15">
      <c r="A301">
        <v>300</v>
      </c>
      <c r="B301" t="s">
        <v>23</v>
      </c>
      <c r="C301" t="s">
        <v>20</v>
      </c>
      <c r="D301" t="s">
        <v>22</v>
      </c>
      <c r="E301">
        <v>788650</v>
      </c>
      <c r="F301">
        <v>2361</v>
      </c>
      <c r="G301">
        <v>18</v>
      </c>
      <c r="H301">
        <v>17</v>
      </c>
      <c r="I301" t="s">
        <v>20</v>
      </c>
      <c r="J301">
        <v>3</v>
      </c>
      <c r="K301">
        <v>2</v>
      </c>
      <c r="L301">
        <v>1</v>
      </c>
      <c r="M301">
        <v>0</v>
      </c>
      <c r="N301">
        <v>0</v>
      </c>
      <c r="O301">
        <v>0</v>
      </c>
      <c r="P301">
        <v>0</v>
      </c>
      <c r="Q301">
        <v>0</v>
      </c>
      <c r="R301">
        <v>6100</v>
      </c>
      <c r="S301">
        <v>5000</v>
      </c>
      <c r="T301">
        <v>1</v>
      </c>
      <c r="U301" t="str">
        <f>IF(SeismicData[[#This Row],[class]]=1,"Dangerous","Safe")</f>
        <v>Dangerous</v>
      </c>
      <c r="V301" t="str">
        <f>IF(SeismicData[[#This Row],[shift]]="W","Production","Non-Production")</f>
        <v>Production</v>
      </c>
      <c r="W301" t="str">
        <f>IF(SeismicData[[#This Row],[genergy]]=0,"0","10^"&amp;INT(LOG10(SeismicData[[#This Row],[genergy]])))</f>
        <v>10^5</v>
      </c>
      <c r="X301" t="str">
        <f>IF(OR(SeismicData[[#This Row],[genergy]]&lt;$AA$6,SeismicData[[#This Row],[genergy]]&gt;$AA$5),"Outlier","Normal")</f>
        <v>Outlier</v>
      </c>
    </row>
    <row r="302" spans="1:24" x14ac:dyDescent="0.15">
      <c r="A302">
        <v>301</v>
      </c>
      <c r="B302" t="s">
        <v>23</v>
      </c>
      <c r="C302" t="s">
        <v>20</v>
      </c>
      <c r="D302" t="s">
        <v>22</v>
      </c>
      <c r="E302">
        <v>383490</v>
      </c>
      <c r="F302">
        <v>1401</v>
      </c>
      <c r="G302">
        <v>-42</v>
      </c>
      <c r="H302">
        <v>-30</v>
      </c>
      <c r="I302" t="s">
        <v>20</v>
      </c>
      <c r="J302">
        <v>1</v>
      </c>
      <c r="K302">
        <v>0</v>
      </c>
      <c r="L302">
        <v>0</v>
      </c>
      <c r="M302">
        <v>1</v>
      </c>
      <c r="N302">
        <v>0</v>
      </c>
      <c r="O302">
        <v>0</v>
      </c>
      <c r="P302">
        <v>0</v>
      </c>
      <c r="Q302">
        <v>0</v>
      </c>
      <c r="R302">
        <v>30000</v>
      </c>
      <c r="S302">
        <v>30000</v>
      </c>
      <c r="T302">
        <v>0</v>
      </c>
      <c r="U302" t="str">
        <f>IF(SeismicData[[#This Row],[class]]=1,"Dangerous","Safe")</f>
        <v>Safe</v>
      </c>
      <c r="V302" t="str">
        <f>IF(SeismicData[[#This Row],[shift]]="W","Production","Non-Production")</f>
        <v>Production</v>
      </c>
      <c r="W302" t="str">
        <f>IF(SeismicData[[#This Row],[genergy]]=0,"0","10^"&amp;INT(LOG10(SeismicData[[#This Row],[genergy]])))</f>
        <v>10^5</v>
      </c>
      <c r="X302" t="str">
        <f>IF(OR(SeismicData[[#This Row],[genergy]]&lt;$AA$6,SeismicData[[#This Row],[genergy]]&gt;$AA$5),"Outlier","Normal")</f>
        <v>Outlier</v>
      </c>
    </row>
    <row r="303" spans="1:24" x14ac:dyDescent="0.15">
      <c r="A303">
        <v>302</v>
      </c>
      <c r="B303" t="s">
        <v>23</v>
      </c>
      <c r="C303" t="s">
        <v>20</v>
      </c>
      <c r="D303" t="s">
        <v>22</v>
      </c>
      <c r="E303">
        <v>415690</v>
      </c>
      <c r="F303">
        <v>1486</v>
      </c>
      <c r="G303">
        <v>-37</v>
      </c>
      <c r="H303">
        <v>-26</v>
      </c>
      <c r="I303" t="s">
        <v>20</v>
      </c>
      <c r="J303">
        <v>1</v>
      </c>
      <c r="K303">
        <v>0</v>
      </c>
      <c r="L303">
        <v>1</v>
      </c>
      <c r="M303">
        <v>0</v>
      </c>
      <c r="N303">
        <v>0</v>
      </c>
      <c r="O303">
        <v>0</v>
      </c>
      <c r="P303">
        <v>0</v>
      </c>
      <c r="Q303">
        <v>0</v>
      </c>
      <c r="R303">
        <v>7000</v>
      </c>
      <c r="S303">
        <v>7000</v>
      </c>
      <c r="T303">
        <v>1</v>
      </c>
      <c r="U303" t="str">
        <f>IF(SeismicData[[#This Row],[class]]=1,"Dangerous","Safe")</f>
        <v>Dangerous</v>
      </c>
      <c r="V303" t="str">
        <f>IF(SeismicData[[#This Row],[shift]]="W","Production","Non-Production")</f>
        <v>Production</v>
      </c>
      <c r="W303" t="str">
        <f>IF(SeismicData[[#This Row],[genergy]]=0,"0","10^"&amp;INT(LOG10(SeismicData[[#This Row],[genergy]])))</f>
        <v>10^5</v>
      </c>
      <c r="X303" t="str">
        <f>IF(OR(SeismicData[[#This Row],[genergy]]&lt;$AA$6,SeismicData[[#This Row],[genergy]]&gt;$AA$5),"Outlier","Normal")</f>
        <v>Outlier</v>
      </c>
    </row>
    <row r="304" spans="1:24" x14ac:dyDescent="0.15">
      <c r="A304">
        <v>303</v>
      </c>
      <c r="B304" t="s">
        <v>23</v>
      </c>
      <c r="C304" t="s">
        <v>20</v>
      </c>
      <c r="D304" t="s">
        <v>22</v>
      </c>
      <c r="E304">
        <v>645750</v>
      </c>
      <c r="F304">
        <v>2035</v>
      </c>
      <c r="G304">
        <v>7</v>
      </c>
      <c r="H304">
        <v>6</v>
      </c>
      <c r="I304" t="s">
        <v>20</v>
      </c>
      <c r="J304">
        <v>4</v>
      </c>
      <c r="K304">
        <v>1</v>
      </c>
      <c r="L304">
        <v>1</v>
      </c>
      <c r="M304">
        <v>2</v>
      </c>
      <c r="N304">
        <v>0</v>
      </c>
      <c r="O304">
        <v>0</v>
      </c>
      <c r="P304">
        <v>0</v>
      </c>
      <c r="Q304">
        <v>0</v>
      </c>
      <c r="R304">
        <v>63800</v>
      </c>
      <c r="S304">
        <v>40000</v>
      </c>
      <c r="T304">
        <v>0</v>
      </c>
      <c r="U304" t="str">
        <f>IF(SeismicData[[#This Row],[class]]=1,"Dangerous","Safe")</f>
        <v>Safe</v>
      </c>
      <c r="V304" t="str">
        <f>IF(SeismicData[[#This Row],[shift]]="W","Production","Non-Production")</f>
        <v>Production</v>
      </c>
      <c r="W304" t="str">
        <f>IF(SeismicData[[#This Row],[genergy]]=0,"0","10^"&amp;INT(LOG10(SeismicData[[#This Row],[genergy]])))</f>
        <v>10^5</v>
      </c>
      <c r="X304" t="str">
        <f>IF(OR(SeismicData[[#This Row],[genergy]]&lt;$AA$6,SeismicData[[#This Row],[genergy]]&gt;$AA$5),"Outlier","Normal")</f>
        <v>Outlier</v>
      </c>
    </row>
    <row r="305" spans="1:24" x14ac:dyDescent="0.15">
      <c r="A305">
        <v>304</v>
      </c>
      <c r="B305" t="s">
        <v>23</v>
      </c>
      <c r="C305" t="s">
        <v>20</v>
      </c>
      <c r="D305" t="s">
        <v>22</v>
      </c>
      <c r="E305">
        <v>649840</v>
      </c>
      <c r="F305">
        <v>2256</v>
      </c>
      <c r="G305">
        <v>6</v>
      </c>
      <c r="H305">
        <v>17</v>
      </c>
      <c r="I305" t="s">
        <v>20</v>
      </c>
      <c r="J305">
        <v>3</v>
      </c>
      <c r="K305">
        <v>1</v>
      </c>
      <c r="L305">
        <v>2</v>
      </c>
      <c r="M305">
        <v>0</v>
      </c>
      <c r="N305">
        <v>0</v>
      </c>
      <c r="O305">
        <v>0</v>
      </c>
      <c r="P305">
        <v>0</v>
      </c>
      <c r="Q305">
        <v>0</v>
      </c>
      <c r="R305">
        <v>8400</v>
      </c>
      <c r="S305">
        <v>7000</v>
      </c>
      <c r="T305">
        <v>1</v>
      </c>
      <c r="U305" t="str">
        <f>IF(SeismicData[[#This Row],[class]]=1,"Dangerous","Safe")</f>
        <v>Dangerous</v>
      </c>
      <c r="V305" t="str">
        <f>IF(SeismicData[[#This Row],[shift]]="W","Production","Non-Production")</f>
        <v>Production</v>
      </c>
      <c r="W305" t="str">
        <f>IF(SeismicData[[#This Row],[genergy]]=0,"0","10^"&amp;INT(LOG10(SeismicData[[#This Row],[genergy]])))</f>
        <v>10^5</v>
      </c>
      <c r="X305" t="str">
        <f>IF(OR(SeismicData[[#This Row],[genergy]]&lt;$AA$6,SeismicData[[#This Row],[genergy]]&gt;$AA$5),"Outlier","Normal")</f>
        <v>Outlier</v>
      </c>
    </row>
    <row r="306" spans="1:24" x14ac:dyDescent="0.15">
      <c r="A306">
        <v>305</v>
      </c>
      <c r="B306" t="s">
        <v>23</v>
      </c>
      <c r="C306" t="s">
        <v>20</v>
      </c>
      <c r="D306" t="s">
        <v>22</v>
      </c>
      <c r="E306">
        <v>380320</v>
      </c>
      <c r="F306">
        <v>1545</v>
      </c>
      <c r="G306">
        <v>-40</v>
      </c>
      <c r="H306">
        <v>-24</v>
      </c>
      <c r="I306" t="s">
        <v>20</v>
      </c>
      <c r="J306">
        <v>4</v>
      </c>
      <c r="K306">
        <v>1</v>
      </c>
      <c r="L306">
        <v>2</v>
      </c>
      <c r="M306">
        <v>1</v>
      </c>
      <c r="N306">
        <v>0</v>
      </c>
      <c r="O306">
        <v>0</v>
      </c>
      <c r="P306">
        <v>0</v>
      </c>
      <c r="Q306">
        <v>0</v>
      </c>
      <c r="R306">
        <v>30900</v>
      </c>
      <c r="S306">
        <v>20000</v>
      </c>
      <c r="T306">
        <v>1</v>
      </c>
      <c r="U306" t="str">
        <f>IF(SeismicData[[#This Row],[class]]=1,"Dangerous","Safe")</f>
        <v>Dangerous</v>
      </c>
      <c r="V306" t="str">
        <f>IF(SeismicData[[#This Row],[shift]]="W","Production","Non-Production")</f>
        <v>Production</v>
      </c>
      <c r="W306" t="str">
        <f>IF(SeismicData[[#This Row],[genergy]]=0,"0","10^"&amp;INT(LOG10(SeismicData[[#This Row],[genergy]])))</f>
        <v>10^5</v>
      </c>
      <c r="X306" t="str">
        <f>IF(OR(SeismicData[[#This Row],[genergy]]&lt;$AA$6,SeismicData[[#This Row],[genergy]]&gt;$AA$5),"Outlier","Normal")</f>
        <v>Outlier</v>
      </c>
    </row>
    <row r="307" spans="1:24" x14ac:dyDescent="0.15">
      <c r="A307">
        <v>306</v>
      </c>
      <c r="B307" t="s">
        <v>23</v>
      </c>
      <c r="C307" t="s">
        <v>20</v>
      </c>
      <c r="D307" t="s">
        <v>22</v>
      </c>
      <c r="E307">
        <v>401730</v>
      </c>
      <c r="F307">
        <v>1329</v>
      </c>
      <c r="G307">
        <v>-32</v>
      </c>
      <c r="H307">
        <v>-31</v>
      </c>
      <c r="I307" t="s">
        <v>20</v>
      </c>
      <c r="J307">
        <v>3</v>
      </c>
      <c r="K307">
        <v>2</v>
      </c>
      <c r="L307">
        <v>0</v>
      </c>
      <c r="M307">
        <v>1</v>
      </c>
      <c r="N307">
        <v>0</v>
      </c>
      <c r="O307">
        <v>0</v>
      </c>
      <c r="P307">
        <v>0</v>
      </c>
      <c r="Q307">
        <v>0</v>
      </c>
      <c r="R307">
        <v>91700</v>
      </c>
      <c r="S307">
        <v>90000</v>
      </c>
      <c r="T307">
        <v>1</v>
      </c>
      <c r="U307" t="str">
        <f>IF(SeismicData[[#This Row],[class]]=1,"Dangerous","Safe")</f>
        <v>Dangerous</v>
      </c>
      <c r="V307" t="str">
        <f>IF(SeismicData[[#This Row],[shift]]="W","Production","Non-Production")</f>
        <v>Production</v>
      </c>
      <c r="W307" t="str">
        <f>IF(SeismicData[[#This Row],[genergy]]=0,"0","10^"&amp;INT(LOG10(SeismicData[[#This Row],[genergy]])))</f>
        <v>10^5</v>
      </c>
      <c r="X307" t="str">
        <f>IF(OR(SeismicData[[#This Row],[genergy]]&lt;$AA$6,SeismicData[[#This Row],[genergy]]&gt;$AA$5),"Outlier","Normal")</f>
        <v>Outlier</v>
      </c>
    </row>
    <row r="308" spans="1:24" x14ac:dyDescent="0.15">
      <c r="A308">
        <v>307</v>
      </c>
      <c r="B308" t="s">
        <v>23</v>
      </c>
      <c r="C308" t="s">
        <v>20</v>
      </c>
      <c r="D308" t="s">
        <v>22</v>
      </c>
      <c r="E308">
        <v>459160</v>
      </c>
      <c r="F308">
        <v>1714</v>
      </c>
      <c r="G308">
        <v>-21</v>
      </c>
      <c r="H308">
        <v>-11</v>
      </c>
      <c r="I308" t="s">
        <v>20</v>
      </c>
      <c r="J308">
        <v>1</v>
      </c>
      <c r="K308">
        <v>0</v>
      </c>
      <c r="L308">
        <v>0</v>
      </c>
      <c r="M308">
        <v>1</v>
      </c>
      <c r="N308">
        <v>0</v>
      </c>
      <c r="O308">
        <v>0</v>
      </c>
      <c r="P308">
        <v>0</v>
      </c>
      <c r="Q308">
        <v>0</v>
      </c>
      <c r="R308">
        <v>40000</v>
      </c>
      <c r="S308">
        <v>40000</v>
      </c>
      <c r="T308">
        <v>0</v>
      </c>
      <c r="U308" t="str">
        <f>IF(SeismicData[[#This Row],[class]]=1,"Dangerous","Safe")</f>
        <v>Safe</v>
      </c>
      <c r="V308" t="str">
        <f>IF(SeismicData[[#This Row],[shift]]="W","Production","Non-Production")</f>
        <v>Production</v>
      </c>
      <c r="W308" t="str">
        <f>IF(SeismicData[[#This Row],[genergy]]=0,"0","10^"&amp;INT(LOG10(SeismicData[[#This Row],[genergy]])))</f>
        <v>10^5</v>
      </c>
      <c r="X308" t="str">
        <f>IF(OR(SeismicData[[#This Row],[genergy]]&lt;$AA$6,SeismicData[[#This Row],[genergy]]&gt;$AA$5),"Outlier","Normal")</f>
        <v>Outlier</v>
      </c>
    </row>
    <row r="309" spans="1:24" x14ac:dyDescent="0.15">
      <c r="A309">
        <v>308</v>
      </c>
      <c r="B309" t="s">
        <v>23</v>
      </c>
      <c r="C309" t="s">
        <v>20</v>
      </c>
      <c r="D309" t="s">
        <v>21</v>
      </c>
      <c r="E309">
        <v>285990</v>
      </c>
      <c r="F309">
        <v>1109</v>
      </c>
      <c r="G309">
        <v>67</v>
      </c>
      <c r="H309">
        <v>62</v>
      </c>
      <c r="I309" t="s">
        <v>20</v>
      </c>
      <c r="J309">
        <v>1</v>
      </c>
      <c r="K309">
        <v>0</v>
      </c>
      <c r="L309">
        <v>1</v>
      </c>
      <c r="M309">
        <v>0</v>
      </c>
      <c r="N309">
        <v>0</v>
      </c>
      <c r="O309">
        <v>0</v>
      </c>
      <c r="P309">
        <v>0</v>
      </c>
      <c r="Q309">
        <v>0</v>
      </c>
      <c r="R309">
        <v>6000</v>
      </c>
      <c r="S309">
        <v>6000</v>
      </c>
      <c r="T309">
        <v>0</v>
      </c>
      <c r="U309" t="str">
        <f>IF(SeismicData[[#This Row],[class]]=1,"Dangerous","Safe")</f>
        <v>Safe</v>
      </c>
      <c r="V309" t="str">
        <f>IF(SeismicData[[#This Row],[shift]]="W","Production","Non-Production")</f>
        <v>Non-Production</v>
      </c>
      <c r="W309" t="str">
        <f>IF(SeismicData[[#This Row],[genergy]]=0,"0","10^"&amp;INT(LOG10(SeismicData[[#This Row],[genergy]])))</f>
        <v>10^5</v>
      </c>
      <c r="X309" t="str">
        <f>IF(OR(SeismicData[[#This Row],[genergy]]&lt;$AA$6,SeismicData[[#This Row],[genergy]]&gt;$AA$5),"Outlier","Normal")</f>
        <v>Outlier</v>
      </c>
    </row>
    <row r="310" spans="1:24" x14ac:dyDescent="0.15">
      <c r="A310">
        <v>309</v>
      </c>
      <c r="B310" t="s">
        <v>23</v>
      </c>
      <c r="C310" t="s">
        <v>20</v>
      </c>
      <c r="D310" t="s">
        <v>22</v>
      </c>
      <c r="E310">
        <v>557510</v>
      </c>
      <c r="F310">
        <v>1946</v>
      </c>
      <c r="G310">
        <v>5</v>
      </c>
      <c r="H310">
        <v>8</v>
      </c>
      <c r="I310" t="s">
        <v>20</v>
      </c>
      <c r="J310">
        <v>3</v>
      </c>
      <c r="K310">
        <v>2</v>
      </c>
      <c r="L310">
        <v>1</v>
      </c>
      <c r="M310">
        <v>0</v>
      </c>
      <c r="N310">
        <v>0</v>
      </c>
      <c r="O310">
        <v>0</v>
      </c>
      <c r="P310">
        <v>0</v>
      </c>
      <c r="Q310">
        <v>0</v>
      </c>
      <c r="R310">
        <v>5800</v>
      </c>
      <c r="S310">
        <v>5000</v>
      </c>
      <c r="T310">
        <v>1</v>
      </c>
      <c r="U310" t="str">
        <f>IF(SeismicData[[#This Row],[class]]=1,"Dangerous","Safe")</f>
        <v>Dangerous</v>
      </c>
      <c r="V310" t="str">
        <f>IF(SeismicData[[#This Row],[shift]]="W","Production","Non-Production")</f>
        <v>Production</v>
      </c>
      <c r="W310" t="str">
        <f>IF(SeismicData[[#This Row],[genergy]]=0,"0","10^"&amp;INT(LOG10(SeismicData[[#This Row],[genergy]])))</f>
        <v>10^5</v>
      </c>
      <c r="X310" t="str">
        <f>IF(OR(SeismicData[[#This Row],[genergy]]&lt;$AA$6,SeismicData[[#This Row],[genergy]]&gt;$AA$5),"Outlier","Normal")</f>
        <v>Outlier</v>
      </c>
    </row>
    <row r="311" spans="1:24" x14ac:dyDescent="0.15">
      <c r="A311">
        <v>310</v>
      </c>
      <c r="B311" t="s">
        <v>23</v>
      </c>
      <c r="C311" t="s">
        <v>20</v>
      </c>
      <c r="D311" t="s">
        <v>22</v>
      </c>
      <c r="E311">
        <v>536260</v>
      </c>
      <c r="F311">
        <v>1733</v>
      </c>
      <c r="G311">
        <v>2</v>
      </c>
      <c r="H311">
        <v>-4</v>
      </c>
      <c r="I311" t="s">
        <v>20</v>
      </c>
      <c r="J311">
        <v>2</v>
      </c>
      <c r="K311">
        <v>0</v>
      </c>
      <c r="L311">
        <v>1</v>
      </c>
      <c r="M311">
        <v>1</v>
      </c>
      <c r="N311">
        <v>0</v>
      </c>
      <c r="O311">
        <v>0</v>
      </c>
      <c r="P311">
        <v>0</v>
      </c>
      <c r="Q311">
        <v>0</v>
      </c>
      <c r="R311">
        <v>74000</v>
      </c>
      <c r="S311">
        <v>70000</v>
      </c>
      <c r="T311">
        <v>0</v>
      </c>
      <c r="U311" t="str">
        <f>IF(SeismicData[[#This Row],[class]]=1,"Dangerous","Safe")</f>
        <v>Safe</v>
      </c>
      <c r="V311" t="str">
        <f>IF(SeismicData[[#This Row],[shift]]="W","Production","Non-Production")</f>
        <v>Production</v>
      </c>
      <c r="W311" t="str">
        <f>IF(SeismicData[[#This Row],[genergy]]=0,"0","10^"&amp;INT(LOG10(SeismicData[[#This Row],[genergy]])))</f>
        <v>10^5</v>
      </c>
      <c r="X311" t="str">
        <f>IF(OR(SeismicData[[#This Row],[genergy]]&lt;$AA$6,SeismicData[[#This Row],[genergy]]&gt;$AA$5),"Outlier","Normal")</f>
        <v>Outlier</v>
      </c>
    </row>
    <row r="312" spans="1:24" x14ac:dyDescent="0.15">
      <c r="A312">
        <v>311</v>
      </c>
      <c r="B312" t="s">
        <v>23</v>
      </c>
      <c r="C312" t="s">
        <v>20</v>
      </c>
      <c r="D312" t="s">
        <v>21</v>
      </c>
      <c r="E312">
        <v>90160</v>
      </c>
      <c r="F312">
        <v>425</v>
      </c>
      <c r="G312">
        <v>-48</v>
      </c>
      <c r="H312">
        <v>-39</v>
      </c>
      <c r="I312" t="s">
        <v>20</v>
      </c>
      <c r="J312">
        <v>0</v>
      </c>
      <c r="K312">
        <v>0</v>
      </c>
      <c r="L312">
        <v>0</v>
      </c>
      <c r="M312">
        <v>0</v>
      </c>
      <c r="N312">
        <v>0</v>
      </c>
      <c r="O312">
        <v>0</v>
      </c>
      <c r="P312">
        <v>0</v>
      </c>
      <c r="Q312">
        <v>0</v>
      </c>
      <c r="R312">
        <v>0</v>
      </c>
      <c r="S312">
        <v>0</v>
      </c>
      <c r="T312">
        <v>0</v>
      </c>
      <c r="U312" t="str">
        <f>IF(SeismicData[[#This Row],[class]]=1,"Dangerous","Safe")</f>
        <v>Safe</v>
      </c>
      <c r="V312" t="str">
        <f>IF(SeismicData[[#This Row],[shift]]="W","Production","Non-Production")</f>
        <v>Non-Production</v>
      </c>
      <c r="W312" t="str">
        <f>IF(SeismicData[[#This Row],[genergy]]=0,"0","10^"&amp;INT(LOG10(SeismicData[[#This Row],[genergy]])))</f>
        <v>10^4</v>
      </c>
      <c r="X312" t="str">
        <f>IF(OR(SeismicData[[#This Row],[genergy]]&lt;$AA$6,SeismicData[[#This Row],[genergy]]&gt;$AA$5),"Outlier","Normal")</f>
        <v>Normal</v>
      </c>
    </row>
    <row r="313" spans="1:24" x14ac:dyDescent="0.15">
      <c r="A313">
        <v>312</v>
      </c>
      <c r="B313" t="s">
        <v>23</v>
      </c>
      <c r="C313" t="s">
        <v>20</v>
      </c>
      <c r="D313" t="s">
        <v>21</v>
      </c>
      <c r="E313">
        <v>55350</v>
      </c>
      <c r="F313">
        <v>246</v>
      </c>
      <c r="G313">
        <v>-65</v>
      </c>
      <c r="H313">
        <v>-61</v>
      </c>
      <c r="I313" t="s">
        <v>20</v>
      </c>
      <c r="J313">
        <v>1</v>
      </c>
      <c r="K313">
        <v>0</v>
      </c>
      <c r="L313">
        <v>1</v>
      </c>
      <c r="M313">
        <v>0</v>
      </c>
      <c r="N313">
        <v>0</v>
      </c>
      <c r="O313">
        <v>0</v>
      </c>
      <c r="P313">
        <v>0</v>
      </c>
      <c r="Q313">
        <v>0</v>
      </c>
      <c r="R313">
        <v>3000</v>
      </c>
      <c r="S313">
        <v>3000</v>
      </c>
      <c r="T313">
        <v>0</v>
      </c>
      <c r="U313" t="str">
        <f>IF(SeismicData[[#This Row],[class]]=1,"Dangerous","Safe")</f>
        <v>Safe</v>
      </c>
      <c r="V313" t="str">
        <f>IF(SeismicData[[#This Row],[shift]]="W","Production","Non-Production")</f>
        <v>Non-Production</v>
      </c>
      <c r="W313" t="str">
        <f>IF(SeismicData[[#This Row],[genergy]]=0,"0","10^"&amp;INT(LOG10(SeismicData[[#This Row],[genergy]])))</f>
        <v>10^4</v>
      </c>
      <c r="X313" t="str">
        <f>IF(OR(SeismicData[[#This Row],[genergy]]&lt;$AA$6,SeismicData[[#This Row],[genergy]]&gt;$AA$5),"Outlier","Normal")</f>
        <v>Normal</v>
      </c>
    </row>
    <row r="314" spans="1:24" x14ac:dyDescent="0.15">
      <c r="A314">
        <v>313</v>
      </c>
      <c r="B314" t="s">
        <v>20</v>
      </c>
      <c r="C314" t="s">
        <v>20</v>
      </c>
      <c r="D314" t="s">
        <v>21</v>
      </c>
      <c r="E314">
        <v>72780</v>
      </c>
      <c r="F314">
        <v>269</v>
      </c>
      <c r="G314">
        <v>-48</v>
      </c>
      <c r="H314">
        <v>-52</v>
      </c>
      <c r="I314" t="s">
        <v>20</v>
      </c>
      <c r="J314">
        <v>1</v>
      </c>
      <c r="K314">
        <v>0</v>
      </c>
      <c r="L314">
        <v>1</v>
      </c>
      <c r="M314">
        <v>0</v>
      </c>
      <c r="N314">
        <v>0</v>
      </c>
      <c r="O314">
        <v>0</v>
      </c>
      <c r="P314">
        <v>0</v>
      </c>
      <c r="Q314">
        <v>0</v>
      </c>
      <c r="R314">
        <v>3000</v>
      </c>
      <c r="S314">
        <v>3000</v>
      </c>
      <c r="T314">
        <v>0</v>
      </c>
      <c r="U314" t="str">
        <f>IF(SeismicData[[#This Row],[class]]=1,"Dangerous","Safe")</f>
        <v>Safe</v>
      </c>
      <c r="V314" t="str">
        <f>IF(SeismicData[[#This Row],[shift]]="W","Production","Non-Production")</f>
        <v>Non-Production</v>
      </c>
      <c r="W314" t="str">
        <f>IF(SeismicData[[#This Row],[genergy]]=0,"0","10^"&amp;INT(LOG10(SeismicData[[#This Row],[genergy]])))</f>
        <v>10^4</v>
      </c>
      <c r="X314" t="str">
        <f>IF(OR(SeismicData[[#This Row],[genergy]]&lt;$AA$6,SeismicData[[#This Row],[genergy]]&gt;$AA$5),"Outlier","Normal")</f>
        <v>Normal</v>
      </c>
    </row>
    <row r="315" spans="1:24" x14ac:dyDescent="0.15">
      <c r="A315">
        <v>314</v>
      </c>
      <c r="B315" t="s">
        <v>20</v>
      </c>
      <c r="C315" t="s">
        <v>20</v>
      </c>
      <c r="D315" t="s">
        <v>22</v>
      </c>
      <c r="E315">
        <v>498400</v>
      </c>
      <c r="F315">
        <v>1647</v>
      </c>
      <c r="G315">
        <v>-4</v>
      </c>
      <c r="H315">
        <v>-8</v>
      </c>
      <c r="I315" t="s">
        <v>20</v>
      </c>
      <c r="J315">
        <v>1</v>
      </c>
      <c r="K315">
        <v>1</v>
      </c>
      <c r="L315">
        <v>0</v>
      </c>
      <c r="M315">
        <v>0</v>
      </c>
      <c r="N315">
        <v>0</v>
      </c>
      <c r="O315">
        <v>0</v>
      </c>
      <c r="P315">
        <v>0</v>
      </c>
      <c r="Q315">
        <v>0</v>
      </c>
      <c r="R315">
        <v>300</v>
      </c>
      <c r="S315">
        <v>300</v>
      </c>
      <c r="T315">
        <v>0</v>
      </c>
      <c r="U315" t="str">
        <f>IF(SeismicData[[#This Row],[class]]=1,"Dangerous","Safe")</f>
        <v>Safe</v>
      </c>
      <c r="V315" t="str">
        <f>IF(SeismicData[[#This Row],[shift]]="W","Production","Non-Production")</f>
        <v>Production</v>
      </c>
      <c r="W315" t="str">
        <f>IF(SeismicData[[#This Row],[genergy]]=0,"0","10^"&amp;INT(LOG10(SeismicData[[#This Row],[genergy]])))</f>
        <v>10^5</v>
      </c>
      <c r="X315" t="str">
        <f>IF(OR(SeismicData[[#This Row],[genergy]]&lt;$AA$6,SeismicData[[#This Row],[genergy]]&gt;$AA$5),"Outlier","Normal")</f>
        <v>Outlier</v>
      </c>
    </row>
    <row r="316" spans="1:24" x14ac:dyDescent="0.15">
      <c r="A316">
        <v>315</v>
      </c>
      <c r="B316" t="s">
        <v>20</v>
      </c>
      <c r="C316" t="s">
        <v>20</v>
      </c>
      <c r="D316" t="s">
        <v>21</v>
      </c>
      <c r="E316">
        <v>342050</v>
      </c>
      <c r="F316">
        <v>1607</v>
      </c>
      <c r="G316">
        <v>-2</v>
      </c>
      <c r="H316">
        <v>-20</v>
      </c>
      <c r="I316" t="s">
        <v>20</v>
      </c>
      <c r="J316">
        <v>0</v>
      </c>
      <c r="K316">
        <v>0</v>
      </c>
      <c r="L316">
        <v>0</v>
      </c>
      <c r="M316">
        <v>0</v>
      </c>
      <c r="N316">
        <v>0</v>
      </c>
      <c r="O316">
        <v>0</v>
      </c>
      <c r="P316">
        <v>0</v>
      </c>
      <c r="Q316">
        <v>0</v>
      </c>
      <c r="R316">
        <v>0</v>
      </c>
      <c r="S316">
        <v>0</v>
      </c>
      <c r="T316">
        <v>0</v>
      </c>
      <c r="U316" t="str">
        <f>IF(SeismicData[[#This Row],[class]]=1,"Dangerous","Safe")</f>
        <v>Safe</v>
      </c>
      <c r="V316" t="str">
        <f>IF(SeismicData[[#This Row],[shift]]="W","Production","Non-Production")</f>
        <v>Non-Production</v>
      </c>
      <c r="W316" t="str">
        <f>IF(SeismicData[[#This Row],[genergy]]=0,"0","10^"&amp;INT(LOG10(SeismicData[[#This Row],[genergy]])))</f>
        <v>10^5</v>
      </c>
      <c r="X316" t="str">
        <f>IF(OR(SeismicData[[#This Row],[genergy]]&lt;$AA$6,SeismicData[[#This Row],[genergy]]&gt;$AA$5),"Outlier","Normal")</f>
        <v>Outlier</v>
      </c>
    </row>
    <row r="317" spans="1:24" x14ac:dyDescent="0.15">
      <c r="A317">
        <v>316</v>
      </c>
      <c r="B317" t="s">
        <v>20</v>
      </c>
      <c r="C317" t="s">
        <v>20</v>
      </c>
      <c r="D317" t="s">
        <v>22</v>
      </c>
      <c r="E317">
        <v>434360</v>
      </c>
      <c r="F317">
        <v>1584</v>
      </c>
      <c r="G317">
        <v>-38</v>
      </c>
      <c r="H317">
        <v>-60</v>
      </c>
      <c r="I317" t="s">
        <v>20</v>
      </c>
      <c r="J317">
        <v>2</v>
      </c>
      <c r="K317">
        <v>0</v>
      </c>
      <c r="L317">
        <v>2</v>
      </c>
      <c r="M317">
        <v>0</v>
      </c>
      <c r="N317">
        <v>0</v>
      </c>
      <c r="O317">
        <v>0</v>
      </c>
      <c r="P317">
        <v>0</v>
      </c>
      <c r="Q317">
        <v>0</v>
      </c>
      <c r="R317">
        <v>9000</v>
      </c>
      <c r="S317">
        <v>6000</v>
      </c>
      <c r="T317">
        <v>1</v>
      </c>
      <c r="U317" t="str">
        <f>IF(SeismicData[[#This Row],[class]]=1,"Dangerous","Safe")</f>
        <v>Dangerous</v>
      </c>
      <c r="V317" t="str">
        <f>IF(SeismicData[[#This Row],[shift]]="W","Production","Non-Production")</f>
        <v>Production</v>
      </c>
      <c r="W317" t="str">
        <f>IF(SeismicData[[#This Row],[genergy]]=0,"0","10^"&amp;INT(LOG10(SeismicData[[#This Row],[genergy]])))</f>
        <v>10^5</v>
      </c>
      <c r="X317" t="str">
        <f>IF(OR(SeismicData[[#This Row],[genergy]]&lt;$AA$6,SeismicData[[#This Row],[genergy]]&gt;$AA$5),"Outlier","Normal")</f>
        <v>Outlier</v>
      </c>
    </row>
    <row r="318" spans="1:24" x14ac:dyDescent="0.15">
      <c r="A318">
        <v>317</v>
      </c>
      <c r="B318" t="s">
        <v>23</v>
      </c>
      <c r="C318" t="s">
        <v>20</v>
      </c>
      <c r="D318" t="s">
        <v>22</v>
      </c>
      <c r="E318">
        <v>366500</v>
      </c>
      <c r="F318">
        <v>1484</v>
      </c>
      <c r="G318">
        <v>-46</v>
      </c>
      <c r="H318">
        <v>-61</v>
      </c>
      <c r="I318" t="s">
        <v>20</v>
      </c>
      <c r="J318">
        <v>1</v>
      </c>
      <c r="K318">
        <v>0</v>
      </c>
      <c r="L318">
        <v>0</v>
      </c>
      <c r="M318">
        <v>1</v>
      </c>
      <c r="N318">
        <v>0</v>
      </c>
      <c r="O318">
        <v>0</v>
      </c>
      <c r="P318">
        <v>0</v>
      </c>
      <c r="Q318">
        <v>0</v>
      </c>
      <c r="R318">
        <v>30000</v>
      </c>
      <c r="S318">
        <v>30000</v>
      </c>
      <c r="T318">
        <v>0</v>
      </c>
      <c r="U318" t="str">
        <f>IF(SeismicData[[#This Row],[class]]=1,"Dangerous","Safe")</f>
        <v>Safe</v>
      </c>
      <c r="V318" t="str">
        <f>IF(SeismicData[[#This Row],[shift]]="W","Production","Non-Production")</f>
        <v>Production</v>
      </c>
      <c r="W318" t="str">
        <f>IF(SeismicData[[#This Row],[genergy]]=0,"0","10^"&amp;INT(LOG10(SeismicData[[#This Row],[genergy]])))</f>
        <v>10^5</v>
      </c>
      <c r="X318" t="str">
        <f>IF(OR(SeismicData[[#This Row],[genergy]]&lt;$AA$6,SeismicData[[#This Row],[genergy]]&gt;$AA$5),"Outlier","Normal")</f>
        <v>Outlier</v>
      </c>
    </row>
    <row r="319" spans="1:24" x14ac:dyDescent="0.15">
      <c r="A319">
        <v>318</v>
      </c>
      <c r="B319" t="s">
        <v>23</v>
      </c>
      <c r="C319" t="s">
        <v>20</v>
      </c>
      <c r="D319" t="s">
        <v>22</v>
      </c>
      <c r="E319">
        <v>507230</v>
      </c>
      <c r="F319">
        <v>2116</v>
      </c>
      <c r="G319">
        <v>-21</v>
      </c>
      <c r="H319">
        <v>-40</v>
      </c>
      <c r="I319" t="s">
        <v>20</v>
      </c>
      <c r="J319">
        <v>1</v>
      </c>
      <c r="K319">
        <v>0</v>
      </c>
      <c r="L319">
        <v>1</v>
      </c>
      <c r="M319">
        <v>0</v>
      </c>
      <c r="N319">
        <v>0</v>
      </c>
      <c r="O319">
        <v>0</v>
      </c>
      <c r="P319">
        <v>0</v>
      </c>
      <c r="Q319">
        <v>0</v>
      </c>
      <c r="R319">
        <v>3000</v>
      </c>
      <c r="S319">
        <v>3000</v>
      </c>
      <c r="T319">
        <v>0</v>
      </c>
      <c r="U319" t="str">
        <f>IF(SeismicData[[#This Row],[class]]=1,"Dangerous","Safe")</f>
        <v>Safe</v>
      </c>
      <c r="V319" t="str">
        <f>IF(SeismicData[[#This Row],[shift]]="W","Production","Non-Production")</f>
        <v>Production</v>
      </c>
      <c r="W319" t="str">
        <f>IF(SeismicData[[#This Row],[genergy]]=0,"0","10^"&amp;INT(LOG10(SeismicData[[#This Row],[genergy]])))</f>
        <v>10^5</v>
      </c>
      <c r="X319" t="str">
        <f>IF(OR(SeismicData[[#This Row],[genergy]]&lt;$AA$6,SeismicData[[#This Row],[genergy]]&gt;$AA$5),"Outlier","Normal")</f>
        <v>Outlier</v>
      </c>
    </row>
    <row r="320" spans="1:24" x14ac:dyDescent="0.15">
      <c r="A320">
        <v>319</v>
      </c>
      <c r="B320" t="s">
        <v>23</v>
      </c>
      <c r="C320" t="s">
        <v>20</v>
      </c>
      <c r="D320" t="s">
        <v>22</v>
      </c>
      <c r="E320">
        <v>388530</v>
      </c>
      <c r="F320">
        <v>1539</v>
      </c>
      <c r="G320">
        <v>-11</v>
      </c>
      <c r="H320">
        <v>-11</v>
      </c>
      <c r="I320" t="s">
        <v>20</v>
      </c>
      <c r="J320">
        <v>2</v>
      </c>
      <c r="K320">
        <v>1</v>
      </c>
      <c r="L320">
        <v>1</v>
      </c>
      <c r="M320">
        <v>0</v>
      </c>
      <c r="N320">
        <v>0</v>
      </c>
      <c r="O320">
        <v>0</v>
      </c>
      <c r="P320">
        <v>0</v>
      </c>
      <c r="Q320">
        <v>0</v>
      </c>
      <c r="R320">
        <v>3200</v>
      </c>
      <c r="S320">
        <v>3000</v>
      </c>
      <c r="T320">
        <v>1</v>
      </c>
      <c r="U320" t="str">
        <f>IF(SeismicData[[#This Row],[class]]=1,"Dangerous","Safe")</f>
        <v>Dangerous</v>
      </c>
      <c r="V320" t="str">
        <f>IF(SeismicData[[#This Row],[shift]]="W","Production","Non-Production")</f>
        <v>Production</v>
      </c>
      <c r="W320" t="str">
        <f>IF(SeismicData[[#This Row],[genergy]]=0,"0","10^"&amp;INT(LOG10(SeismicData[[#This Row],[genergy]])))</f>
        <v>10^5</v>
      </c>
      <c r="X320" t="str">
        <f>IF(OR(SeismicData[[#This Row],[genergy]]&lt;$AA$6,SeismicData[[#This Row],[genergy]]&gt;$AA$5),"Outlier","Normal")</f>
        <v>Outlier</v>
      </c>
    </row>
    <row r="321" spans="1:24" x14ac:dyDescent="0.15">
      <c r="A321">
        <v>320</v>
      </c>
      <c r="B321" t="s">
        <v>23</v>
      </c>
      <c r="C321" t="s">
        <v>20</v>
      </c>
      <c r="D321" t="s">
        <v>22</v>
      </c>
      <c r="E321">
        <v>329680</v>
      </c>
      <c r="F321">
        <v>1268</v>
      </c>
      <c r="G321">
        <v>-24</v>
      </c>
      <c r="H321">
        <v>-26</v>
      </c>
      <c r="I321" t="s">
        <v>20</v>
      </c>
      <c r="J321">
        <v>1</v>
      </c>
      <c r="K321">
        <v>0</v>
      </c>
      <c r="L321">
        <v>0</v>
      </c>
      <c r="M321">
        <v>1</v>
      </c>
      <c r="N321">
        <v>0</v>
      </c>
      <c r="O321">
        <v>0</v>
      </c>
      <c r="P321">
        <v>0</v>
      </c>
      <c r="Q321">
        <v>0</v>
      </c>
      <c r="R321">
        <v>70000</v>
      </c>
      <c r="S321">
        <v>70000</v>
      </c>
      <c r="T321">
        <v>0</v>
      </c>
      <c r="U321" t="str">
        <f>IF(SeismicData[[#This Row],[class]]=1,"Dangerous","Safe")</f>
        <v>Safe</v>
      </c>
      <c r="V321" t="str">
        <f>IF(SeismicData[[#This Row],[shift]]="W","Production","Non-Production")</f>
        <v>Production</v>
      </c>
      <c r="W321" t="str">
        <f>IF(SeismicData[[#This Row],[genergy]]=0,"0","10^"&amp;INT(LOG10(SeismicData[[#This Row],[genergy]])))</f>
        <v>10^5</v>
      </c>
      <c r="X321" t="str">
        <f>IF(OR(SeismicData[[#This Row],[genergy]]&lt;$AA$6,SeismicData[[#This Row],[genergy]]&gt;$AA$5),"Outlier","Normal")</f>
        <v>Outlier</v>
      </c>
    </row>
    <row r="322" spans="1:24" x14ac:dyDescent="0.15">
      <c r="A322">
        <v>321</v>
      </c>
      <c r="B322" t="s">
        <v>23</v>
      </c>
      <c r="C322" t="s">
        <v>20</v>
      </c>
      <c r="D322" t="s">
        <v>22</v>
      </c>
      <c r="E322">
        <v>579440</v>
      </c>
      <c r="F322">
        <v>2343</v>
      </c>
      <c r="G322">
        <v>38</v>
      </c>
      <c r="H322">
        <v>41</v>
      </c>
      <c r="I322" t="s">
        <v>20</v>
      </c>
      <c r="J322">
        <v>1</v>
      </c>
      <c r="K322">
        <v>0</v>
      </c>
      <c r="L322">
        <v>1</v>
      </c>
      <c r="M322">
        <v>0</v>
      </c>
      <c r="N322">
        <v>0</v>
      </c>
      <c r="O322">
        <v>0</v>
      </c>
      <c r="P322">
        <v>0</v>
      </c>
      <c r="Q322">
        <v>0</v>
      </c>
      <c r="R322">
        <v>3000</v>
      </c>
      <c r="S322">
        <v>3000</v>
      </c>
      <c r="T322">
        <v>0</v>
      </c>
      <c r="U322" t="str">
        <f>IF(SeismicData[[#This Row],[class]]=1,"Dangerous","Safe")</f>
        <v>Safe</v>
      </c>
      <c r="V322" t="str">
        <f>IF(SeismicData[[#This Row],[shift]]="W","Production","Non-Production")</f>
        <v>Production</v>
      </c>
      <c r="W322" t="str">
        <f>IF(SeismicData[[#This Row],[genergy]]=0,"0","10^"&amp;INT(LOG10(SeismicData[[#This Row],[genergy]])))</f>
        <v>10^5</v>
      </c>
      <c r="X322" t="str">
        <f>IF(OR(SeismicData[[#This Row],[genergy]]&lt;$AA$6,SeismicData[[#This Row],[genergy]]&gt;$AA$5),"Outlier","Normal")</f>
        <v>Outlier</v>
      </c>
    </row>
    <row r="323" spans="1:24" x14ac:dyDescent="0.15">
      <c r="A323">
        <v>322</v>
      </c>
      <c r="B323" t="s">
        <v>23</v>
      </c>
      <c r="C323" t="s">
        <v>20</v>
      </c>
      <c r="D323" t="s">
        <v>22</v>
      </c>
      <c r="E323">
        <v>292040</v>
      </c>
      <c r="F323">
        <v>1233</v>
      </c>
      <c r="G323">
        <v>-33</v>
      </c>
      <c r="H323">
        <v>-29</v>
      </c>
      <c r="I323" t="s">
        <v>20</v>
      </c>
      <c r="J323">
        <v>0</v>
      </c>
      <c r="K323">
        <v>0</v>
      </c>
      <c r="L323">
        <v>0</v>
      </c>
      <c r="M323">
        <v>0</v>
      </c>
      <c r="N323">
        <v>0</v>
      </c>
      <c r="O323">
        <v>0</v>
      </c>
      <c r="P323">
        <v>0</v>
      </c>
      <c r="Q323">
        <v>0</v>
      </c>
      <c r="R323">
        <v>0</v>
      </c>
      <c r="S323">
        <v>0</v>
      </c>
      <c r="T323">
        <v>0</v>
      </c>
      <c r="U323" t="str">
        <f>IF(SeismicData[[#This Row],[class]]=1,"Dangerous","Safe")</f>
        <v>Safe</v>
      </c>
      <c r="V323" t="str">
        <f>IF(SeismicData[[#This Row],[shift]]="W","Production","Non-Production")</f>
        <v>Production</v>
      </c>
      <c r="W323" t="str">
        <f>IF(SeismicData[[#This Row],[genergy]]=0,"0","10^"&amp;INT(LOG10(SeismicData[[#This Row],[genergy]])))</f>
        <v>10^5</v>
      </c>
      <c r="X323" t="str">
        <f>IF(OR(SeismicData[[#This Row],[genergy]]&lt;$AA$6,SeismicData[[#This Row],[genergy]]&gt;$AA$5),"Outlier","Normal")</f>
        <v>Outlier</v>
      </c>
    </row>
    <row r="324" spans="1:24" x14ac:dyDescent="0.15">
      <c r="A324">
        <v>323</v>
      </c>
      <c r="B324" t="s">
        <v>20</v>
      </c>
      <c r="C324" t="s">
        <v>20</v>
      </c>
      <c r="D324" t="s">
        <v>22</v>
      </c>
      <c r="E324">
        <v>261010</v>
      </c>
      <c r="F324">
        <v>1352</v>
      </c>
      <c r="G324">
        <v>-38</v>
      </c>
      <c r="H324">
        <v>-19</v>
      </c>
      <c r="I324" t="s">
        <v>20</v>
      </c>
      <c r="J324">
        <v>2</v>
      </c>
      <c r="K324">
        <v>1</v>
      </c>
      <c r="L324">
        <v>1</v>
      </c>
      <c r="M324">
        <v>0</v>
      </c>
      <c r="N324">
        <v>0</v>
      </c>
      <c r="O324">
        <v>0</v>
      </c>
      <c r="P324">
        <v>0</v>
      </c>
      <c r="Q324">
        <v>0</v>
      </c>
      <c r="R324">
        <v>3700</v>
      </c>
      <c r="S324">
        <v>3000</v>
      </c>
      <c r="T324">
        <v>1</v>
      </c>
      <c r="U324" t="str">
        <f>IF(SeismicData[[#This Row],[class]]=1,"Dangerous","Safe")</f>
        <v>Dangerous</v>
      </c>
      <c r="V324" t="str">
        <f>IF(SeismicData[[#This Row],[shift]]="W","Production","Non-Production")</f>
        <v>Production</v>
      </c>
      <c r="W324" t="str">
        <f>IF(SeismicData[[#This Row],[genergy]]=0,"0","10^"&amp;INT(LOG10(SeismicData[[#This Row],[genergy]])))</f>
        <v>10^5</v>
      </c>
      <c r="X324" t="str">
        <f>IF(OR(SeismicData[[#This Row],[genergy]]&lt;$AA$6,SeismicData[[#This Row],[genergy]]&gt;$AA$5),"Outlier","Normal")</f>
        <v>Outlier</v>
      </c>
    </row>
    <row r="325" spans="1:24" x14ac:dyDescent="0.15">
      <c r="A325">
        <v>324</v>
      </c>
      <c r="B325" t="s">
        <v>23</v>
      </c>
      <c r="C325" t="s">
        <v>20</v>
      </c>
      <c r="D325" t="s">
        <v>22</v>
      </c>
      <c r="E325">
        <v>394660</v>
      </c>
      <c r="F325">
        <v>1764</v>
      </c>
      <c r="G325">
        <v>-2</v>
      </c>
      <c r="H325">
        <v>8</v>
      </c>
      <c r="I325" t="s">
        <v>20</v>
      </c>
      <c r="J325">
        <v>3</v>
      </c>
      <c r="K325">
        <v>1</v>
      </c>
      <c r="L325">
        <v>1</v>
      </c>
      <c r="M325">
        <v>1</v>
      </c>
      <c r="N325">
        <v>0</v>
      </c>
      <c r="O325">
        <v>0</v>
      </c>
      <c r="P325">
        <v>0</v>
      </c>
      <c r="Q325">
        <v>0</v>
      </c>
      <c r="R325">
        <v>35900</v>
      </c>
      <c r="S325">
        <v>30000</v>
      </c>
      <c r="T325">
        <v>1</v>
      </c>
      <c r="U325" t="str">
        <f>IF(SeismicData[[#This Row],[class]]=1,"Dangerous","Safe")</f>
        <v>Dangerous</v>
      </c>
      <c r="V325" t="str">
        <f>IF(SeismicData[[#This Row],[shift]]="W","Production","Non-Production")</f>
        <v>Production</v>
      </c>
      <c r="W325" t="str">
        <f>IF(SeismicData[[#This Row],[genergy]]=0,"0","10^"&amp;INT(LOG10(SeismicData[[#This Row],[genergy]])))</f>
        <v>10^5</v>
      </c>
      <c r="X325" t="str">
        <f>IF(OR(SeismicData[[#This Row],[genergy]]&lt;$AA$6,SeismicData[[#This Row],[genergy]]&gt;$AA$5),"Outlier","Normal")</f>
        <v>Outlier</v>
      </c>
    </row>
    <row r="326" spans="1:24" x14ac:dyDescent="0.15">
      <c r="A326">
        <v>325</v>
      </c>
      <c r="B326" t="s">
        <v>23</v>
      </c>
      <c r="C326" t="s">
        <v>20</v>
      </c>
      <c r="D326" t="s">
        <v>22</v>
      </c>
      <c r="E326">
        <v>464220</v>
      </c>
      <c r="F326">
        <v>1808</v>
      </c>
      <c r="G326">
        <v>16</v>
      </c>
      <c r="H326">
        <v>10</v>
      </c>
      <c r="I326" t="s">
        <v>20</v>
      </c>
      <c r="J326">
        <v>2</v>
      </c>
      <c r="K326">
        <v>1</v>
      </c>
      <c r="L326">
        <v>0</v>
      </c>
      <c r="M326">
        <v>1</v>
      </c>
      <c r="N326">
        <v>0</v>
      </c>
      <c r="O326">
        <v>0</v>
      </c>
      <c r="P326">
        <v>0</v>
      </c>
      <c r="Q326">
        <v>0</v>
      </c>
      <c r="R326">
        <v>40700</v>
      </c>
      <c r="S326">
        <v>40000</v>
      </c>
      <c r="T326">
        <v>0</v>
      </c>
      <c r="U326" t="str">
        <f>IF(SeismicData[[#This Row],[class]]=1,"Dangerous","Safe")</f>
        <v>Safe</v>
      </c>
      <c r="V326" t="str">
        <f>IF(SeismicData[[#This Row],[shift]]="W","Production","Non-Production")</f>
        <v>Production</v>
      </c>
      <c r="W326" t="str">
        <f>IF(SeismicData[[#This Row],[genergy]]=0,"0","10^"&amp;INT(LOG10(SeismicData[[#This Row],[genergy]])))</f>
        <v>10^5</v>
      </c>
      <c r="X326" t="str">
        <f>IF(OR(SeismicData[[#This Row],[genergy]]&lt;$AA$6,SeismicData[[#This Row],[genergy]]&gt;$AA$5),"Outlier","Normal")</f>
        <v>Outlier</v>
      </c>
    </row>
    <row r="327" spans="1:24" x14ac:dyDescent="0.15">
      <c r="A327">
        <v>326</v>
      </c>
      <c r="B327" t="s">
        <v>23</v>
      </c>
      <c r="C327" t="s">
        <v>23</v>
      </c>
      <c r="D327" t="s">
        <v>22</v>
      </c>
      <c r="E327">
        <v>393140</v>
      </c>
      <c r="F327">
        <v>1685</v>
      </c>
      <c r="G327">
        <v>-2</v>
      </c>
      <c r="H327">
        <v>2</v>
      </c>
      <c r="I327" t="s">
        <v>20</v>
      </c>
      <c r="J327">
        <v>3</v>
      </c>
      <c r="K327">
        <v>2</v>
      </c>
      <c r="L327">
        <v>1</v>
      </c>
      <c r="M327">
        <v>0</v>
      </c>
      <c r="N327">
        <v>0</v>
      </c>
      <c r="O327">
        <v>0</v>
      </c>
      <c r="P327">
        <v>0</v>
      </c>
      <c r="Q327">
        <v>0</v>
      </c>
      <c r="R327">
        <v>5200</v>
      </c>
      <c r="S327">
        <v>4000</v>
      </c>
      <c r="T327">
        <v>0</v>
      </c>
      <c r="U327" t="str">
        <f>IF(SeismicData[[#This Row],[class]]=1,"Dangerous","Safe")</f>
        <v>Safe</v>
      </c>
      <c r="V327" t="str">
        <f>IF(SeismicData[[#This Row],[shift]]="W","Production","Non-Production")</f>
        <v>Production</v>
      </c>
      <c r="W327" t="str">
        <f>IF(SeismicData[[#This Row],[genergy]]=0,"0","10^"&amp;INT(LOG10(SeismicData[[#This Row],[genergy]])))</f>
        <v>10^5</v>
      </c>
      <c r="X327" t="str">
        <f>IF(OR(SeismicData[[#This Row],[genergy]]&lt;$AA$6,SeismicData[[#This Row],[genergy]]&gt;$AA$5),"Outlier","Normal")</f>
        <v>Outlier</v>
      </c>
    </row>
    <row r="328" spans="1:24" x14ac:dyDescent="0.15">
      <c r="A328">
        <v>327</v>
      </c>
      <c r="B328" t="s">
        <v>23</v>
      </c>
      <c r="C328" t="s">
        <v>23</v>
      </c>
      <c r="D328" t="s">
        <v>22</v>
      </c>
      <c r="E328">
        <v>742750</v>
      </c>
      <c r="F328">
        <v>3037</v>
      </c>
      <c r="G328">
        <v>87</v>
      </c>
      <c r="H328">
        <v>85</v>
      </c>
      <c r="I328" t="s">
        <v>20</v>
      </c>
      <c r="J328">
        <v>4</v>
      </c>
      <c r="K328">
        <v>0</v>
      </c>
      <c r="L328">
        <v>4</v>
      </c>
      <c r="M328">
        <v>0</v>
      </c>
      <c r="N328">
        <v>0</v>
      </c>
      <c r="O328">
        <v>0</v>
      </c>
      <c r="P328">
        <v>0</v>
      </c>
      <c r="Q328">
        <v>0</v>
      </c>
      <c r="R328">
        <v>18000</v>
      </c>
      <c r="S328">
        <v>8000</v>
      </c>
      <c r="T328">
        <v>0</v>
      </c>
      <c r="U328" t="str">
        <f>IF(SeismicData[[#This Row],[class]]=1,"Dangerous","Safe")</f>
        <v>Safe</v>
      </c>
      <c r="V328" t="str">
        <f>IF(SeismicData[[#This Row],[shift]]="W","Production","Non-Production")</f>
        <v>Production</v>
      </c>
      <c r="W328" t="str">
        <f>IF(SeismicData[[#This Row],[genergy]]=0,"0","10^"&amp;INT(LOG10(SeismicData[[#This Row],[genergy]])))</f>
        <v>10^5</v>
      </c>
      <c r="X328" t="str">
        <f>IF(OR(SeismicData[[#This Row],[genergy]]&lt;$AA$6,SeismicData[[#This Row],[genergy]]&gt;$AA$5),"Outlier","Normal")</f>
        <v>Outlier</v>
      </c>
    </row>
    <row r="329" spans="1:24" x14ac:dyDescent="0.15">
      <c r="A329">
        <v>328</v>
      </c>
      <c r="B329" t="s">
        <v>20</v>
      </c>
      <c r="C329" t="s">
        <v>23</v>
      </c>
      <c r="D329" t="s">
        <v>22</v>
      </c>
      <c r="E329">
        <v>820600</v>
      </c>
      <c r="F329">
        <v>3506</v>
      </c>
      <c r="G329">
        <v>92</v>
      </c>
      <c r="H329">
        <v>97</v>
      </c>
      <c r="I329" t="s">
        <v>20</v>
      </c>
      <c r="J329">
        <v>2</v>
      </c>
      <c r="K329">
        <v>1</v>
      </c>
      <c r="L329">
        <v>1</v>
      </c>
      <c r="M329">
        <v>0</v>
      </c>
      <c r="N329">
        <v>0</v>
      </c>
      <c r="O329">
        <v>0</v>
      </c>
      <c r="P329">
        <v>0</v>
      </c>
      <c r="Q329">
        <v>0</v>
      </c>
      <c r="R329">
        <v>8700</v>
      </c>
      <c r="S329">
        <v>8000</v>
      </c>
      <c r="T329">
        <v>1</v>
      </c>
      <c r="U329" t="str">
        <f>IF(SeismicData[[#This Row],[class]]=1,"Dangerous","Safe")</f>
        <v>Dangerous</v>
      </c>
      <c r="V329" t="str">
        <f>IF(SeismicData[[#This Row],[shift]]="W","Production","Non-Production")</f>
        <v>Production</v>
      </c>
      <c r="W329" t="str">
        <f>IF(SeismicData[[#This Row],[genergy]]=0,"0","10^"&amp;INT(LOG10(SeismicData[[#This Row],[genergy]])))</f>
        <v>10^5</v>
      </c>
      <c r="X329" t="str">
        <f>IF(OR(SeismicData[[#This Row],[genergy]]&lt;$AA$6,SeismicData[[#This Row],[genergy]]&gt;$AA$5),"Outlier","Normal")</f>
        <v>Outlier</v>
      </c>
    </row>
    <row r="330" spans="1:24" x14ac:dyDescent="0.15">
      <c r="A330">
        <v>329</v>
      </c>
      <c r="B330" t="s">
        <v>23</v>
      </c>
      <c r="C330" t="s">
        <v>23</v>
      </c>
      <c r="D330" t="s">
        <v>22</v>
      </c>
      <c r="E330">
        <v>289580</v>
      </c>
      <c r="F330">
        <v>1986</v>
      </c>
      <c r="G330">
        <v>-38</v>
      </c>
      <c r="H330">
        <v>2</v>
      </c>
      <c r="I330" t="s">
        <v>20</v>
      </c>
      <c r="J330">
        <v>2</v>
      </c>
      <c r="K330">
        <v>0</v>
      </c>
      <c r="L330">
        <v>1</v>
      </c>
      <c r="M330">
        <v>1</v>
      </c>
      <c r="N330">
        <v>0</v>
      </c>
      <c r="O330">
        <v>0</v>
      </c>
      <c r="P330">
        <v>0</v>
      </c>
      <c r="Q330">
        <v>0</v>
      </c>
      <c r="R330">
        <v>54000</v>
      </c>
      <c r="S330">
        <v>50000</v>
      </c>
      <c r="T330">
        <v>0</v>
      </c>
      <c r="U330" t="str">
        <f>IF(SeismicData[[#This Row],[class]]=1,"Dangerous","Safe")</f>
        <v>Safe</v>
      </c>
      <c r="V330" t="str">
        <f>IF(SeismicData[[#This Row],[shift]]="W","Production","Non-Production")</f>
        <v>Production</v>
      </c>
      <c r="W330" t="str">
        <f>IF(SeismicData[[#This Row],[genergy]]=0,"0","10^"&amp;INT(LOG10(SeismicData[[#This Row],[genergy]])))</f>
        <v>10^5</v>
      </c>
      <c r="X330" t="str">
        <f>IF(OR(SeismicData[[#This Row],[genergy]]&lt;$AA$6,SeismicData[[#This Row],[genergy]]&gt;$AA$5),"Outlier","Normal")</f>
        <v>Outlier</v>
      </c>
    </row>
    <row r="331" spans="1:24" x14ac:dyDescent="0.15">
      <c r="A331">
        <v>330</v>
      </c>
      <c r="B331" t="s">
        <v>23</v>
      </c>
      <c r="C331" t="s">
        <v>20</v>
      </c>
      <c r="D331" t="s">
        <v>22</v>
      </c>
      <c r="E331">
        <v>577770</v>
      </c>
      <c r="F331">
        <v>2765</v>
      </c>
      <c r="G331">
        <v>27</v>
      </c>
      <c r="H331">
        <v>38</v>
      </c>
      <c r="I331" t="s">
        <v>20</v>
      </c>
      <c r="J331">
        <v>1</v>
      </c>
      <c r="K331">
        <v>0</v>
      </c>
      <c r="L331">
        <v>1</v>
      </c>
      <c r="M331">
        <v>0</v>
      </c>
      <c r="N331">
        <v>0</v>
      </c>
      <c r="O331">
        <v>0</v>
      </c>
      <c r="P331">
        <v>0</v>
      </c>
      <c r="Q331">
        <v>0</v>
      </c>
      <c r="R331">
        <v>2000</v>
      </c>
      <c r="S331">
        <v>2000</v>
      </c>
      <c r="T331">
        <v>1</v>
      </c>
      <c r="U331" t="str">
        <f>IF(SeismicData[[#This Row],[class]]=1,"Dangerous","Safe")</f>
        <v>Dangerous</v>
      </c>
      <c r="V331" t="str">
        <f>IF(SeismicData[[#This Row],[shift]]="W","Production","Non-Production")</f>
        <v>Production</v>
      </c>
      <c r="W331" t="str">
        <f>IF(SeismicData[[#This Row],[genergy]]=0,"0","10^"&amp;INT(LOG10(SeismicData[[#This Row],[genergy]])))</f>
        <v>10^5</v>
      </c>
      <c r="X331" t="str">
        <f>IF(OR(SeismicData[[#This Row],[genergy]]&lt;$AA$6,SeismicData[[#This Row],[genergy]]&gt;$AA$5),"Outlier","Normal")</f>
        <v>Outlier</v>
      </c>
    </row>
    <row r="332" spans="1:24" x14ac:dyDescent="0.15">
      <c r="A332">
        <v>331</v>
      </c>
      <c r="B332" t="s">
        <v>23</v>
      </c>
      <c r="C332" t="s">
        <v>20</v>
      </c>
      <c r="D332" t="s">
        <v>22</v>
      </c>
      <c r="E332">
        <v>347400</v>
      </c>
      <c r="F332">
        <v>1684</v>
      </c>
      <c r="G332">
        <v>-28</v>
      </c>
      <c r="H332">
        <v>-22</v>
      </c>
      <c r="I332" t="s">
        <v>20</v>
      </c>
      <c r="J332">
        <v>2</v>
      </c>
      <c r="K332">
        <v>0</v>
      </c>
      <c r="L332">
        <v>1</v>
      </c>
      <c r="M332">
        <v>1</v>
      </c>
      <c r="N332">
        <v>0</v>
      </c>
      <c r="O332">
        <v>0</v>
      </c>
      <c r="P332">
        <v>0</v>
      </c>
      <c r="Q332">
        <v>0</v>
      </c>
      <c r="R332">
        <v>31000</v>
      </c>
      <c r="S332">
        <v>30000</v>
      </c>
      <c r="T332">
        <v>0</v>
      </c>
      <c r="U332" t="str">
        <f>IF(SeismicData[[#This Row],[class]]=1,"Dangerous","Safe")</f>
        <v>Safe</v>
      </c>
      <c r="V332" t="str">
        <f>IF(SeismicData[[#This Row],[shift]]="W","Production","Non-Production")</f>
        <v>Production</v>
      </c>
      <c r="W332" t="str">
        <f>IF(SeismicData[[#This Row],[genergy]]=0,"0","10^"&amp;INT(LOG10(SeismicData[[#This Row],[genergy]])))</f>
        <v>10^5</v>
      </c>
      <c r="X332" t="str">
        <f>IF(OR(SeismicData[[#This Row],[genergy]]&lt;$AA$6,SeismicData[[#This Row],[genergy]]&gt;$AA$5),"Outlier","Normal")</f>
        <v>Outlier</v>
      </c>
    </row>
    <row r="333" spans="1:24" x14ac:dyDescent="0.15">
      <c r="A333">
        <v>332</v>
      </c>
      <c r="B333" t="s">
        <v>23</v>
      </c>
      <c r="C333" t="s">
        <v>20</v>
      </c>
      <c r="D333" t="s">
        <v>21</v>
      </c>
      <c r="E333">
        <v>72370</v>
      </c>
      <c r="F333">
        <v>581</v>
      </c>
      <c r="G333">
        <v>-79</v>
      </c>
      <c r="H333">
        <v>-70</v>
      </c>
      <c r="I333" t="s">
        <v>20</v>
      </c>
      <c r="J333">
        <v>0</v>
      </c>
      <c r="K333">
        <v>0</v>
      </c>
      <c r="L333">
        <v>0</v>
      </c>
      <c r="M333">
        <v>0</v>
      </c>
      <c r="N333">
        <v>0</v>
      </c>
      <c r="O333">
        <v>0</v>
      </c>
      <c r="P333">
        <v>0</v>
      </c>
      <c r="Q333">
        <v>0</v>
      </c>
      <c r="R333">
        <v>0</v>
      </c>
      <c r="S333">
        <v>0</v>
      </c>
      <c r="T333">
        <v>0</v>
      </c>
      <c r="U333" t="str">
        <f>IF(SeismicData[[#This Row],[class]]=1,"Dangerous","Safe")</f>
        <v>Safe</v>
      </c>
      <c r="V333" t="str">
        <f>IF(SeismicData[[#This Row],[shift]]="W","Production","Non-Production")</f>
        <v>Non-Production</v>
      </c>
      <c r="W333" t="str">
        <f>IF(SeismicData[[#This Row],[genergy]]=0,"0","10^"&amp;INT(LOG10(SeismicData[[#This Row],[genergy]])))</f>
        <v>10^4</v>
      </c>
      <c r="X333" t="str">
        <f>IF(OR(SeismicData[[#This Row],[genergy]]&lt;$AA$6,SeismicData[[#This Row],[genergy]]&gt;$AA$5),"Outlier","Normal")</f>
        <v>Normal</v>
      </c>
    </row>
    <row r="334" spans="1:24" x14ac:dyDescent="0.15">
      <c r="A334">
        <v>333</v>
      </c>
      <c r="B334" t="s">
        <v>23</v>
      </c>
      <c r="C334" t="s">
        <v>20</v>
      </c>
      <c r="D334" t="s">
        <v>21</v>
      </c>
      <c r="E334">
        <v>59210</v>
      </c>
      <c r="F334">
        <v>440</v>
      </c>
      <c r="G334">
        <v>-82</v>
      </c>
      <c r="H334">
        <v>-76</v>
      </c>
      <c r="I334" t="s">
        <v>20</v>
      </c>
      <c r="J334">
        <v>1</v>
      </c>
      <c r="K334">
        <v>0</v>
      </c>
      <c r="L334">
        <v>1</v>
      </c>
      <c r="M334">
        <v>0</v>
      </c>
      <c r="N334">
        <v>0</v>
      </c>
      <c r="O334">
        <v>0</v>
      </c>
      <c r="P334">
        <v>0</v>
      </c>
      <c r="Q334">
        <v>0</v>
      </c>
      <c r="R334">
        <v>2000</v>
      </c>
      <c r="S334">
        <v>2000</v>
      </c>
      <c r="T334">
        <v>0</v>
      </c>
      <c r="U334" t="str">
        <f>IF(SeismicData[[#This Row],[class]]=1,"Dangerous","Safe")</f>
        <v>Safe</v>
      </c>
      <c r="V334" t="str">
        <f>IF(SeismicData[[#This Row],[shift]]="W","Production","Non-Production")</f>
        <v>Non-Production</v>
      </c>
      <c r="W334" t="str">
        <f>IF(SeismicData[[#This Row],[genergy]]=0,"0","10^"&amp;INT(LOG10(SeismicData[[#This Row],[genergy]])))</f>
        <v>10^4</v>
      </c>
      <c r="X334" t="str">
        <f>IF(OR(SeismicData[[#This Row],[genergy]]&lt;$AA$6,SeismicData[[#This Row],[genergy]]&gt;$AA$5),"Outlier","Normal")</f>
        <v>Normal</v>
      </c>
    </row>
    <row r="335" spans="1:24" x14ac:dyDescent="0.15">
      <c r="A335">
        <v>334</v>
      </c>
      <c r="B335" t="s">
        <v>20</v>
      </c>
      <c r="C335" t="s">
        <v>20</v>
      </c>
      <c r="D335" t="s">
        <v>21</v>
      </c>
      <c r="E335">
        <v>42560</v>
      </c>
      <c r="F335">
        <v>379</v>
      </c>
      <c r="G335">
        <v>-73</v>
      </c>
      <c r="H335">
        <v>-57</v>
      </c>
      <c r="I335" t="s">
        <v>20</v>
      </c>
      <c r="J335">
        <v>1</v>
      </c>
      <c r="K335">
        <v>0</v>
      </c>
      <c r="L335">
        <v>1</v>
      </c>
      <c r="M335">
        <v>0</v>
      </c>
      <c r="N335">
        <v>0</v>
      </c>
      <c r="O335">
        <v>0</v>
      </c>
      <c r="P335">
        <v>0</v>
      </c>
      <c r="Q335">
        <v>0</v>
      </c>
      <c r="R335">
        <v>4000</v>
      </c>
      <c r="S335">
        <v>4000</v>
      </c>
      <c r="T335">
        <v>0</v>
      </c>
      <c r="U335" t="str">
        <f>IF(SeismicData[[#This Row],[class]]=1,"Dangerous","Safe")</f>
        <v>Safe</v>
      </c>
      <c r="V335" t="str">
        <f>IF(SeismicData[[#This Row],[shift]]="W","Production","Non-Production")</f>
        <v>Non-Production</v>
      </c>
      <c r="W335" t="str">
        <f>IF(SeismicData[[#This Row],[genergy]]=0,"0","10^"&amp;INT(LOG10(SeismicData[[#This Row],[genergy]])))</f>
        <v>10^4</v>
      </c>
      <c r="X335" t="str">
        <f>IF(OR(SeismicData[[#This Row],[genergy]]&lt;$AA$6,SeismicData[[#This Row],[genergy]]&gt;$AA$5),"Outlier","Normal")</f>
        <v>Normal</v>
      </c>
    </row>
    <row r="336" spans="1:24" x14ac:dyDescent="0.15">
      <c r="A336">
        <v>335</v>
      </c>
      <c r="B336" t="s">
        <v>20</v>
      </c>
      <c r="C336" t="s">
        <v>20</v>
      </c>
      <c r="D336" t="s">
        <v>22</v>
      </c>
      <c r="E336">
        <v>268170</v>
      </c>
      <c r="F336">
        <v>1352</v>
      </c>
      <c r="G336">
        <v>-41</v>
      </c>
      <c r="H336">
        <v>-35</v>
      </c>
      <c r="I336" t="s">
        <v>20</v>
      </c>
      <c r="J336">
        <v>1</v>
      </c>
      <c r="K336">
        <v>1</v>
      </c>
      <c r="L336">
        <v>0</v>
      </c>
      <c r="M336">
        <v>0</v>
      </c>
      <c r="N336">
        <v>0</v>
      </c>
      <c r="O336">
        <v>0</v>
      </c>
      <c r="P336">
        <v>0</v>
      </c>
      <c r="Q336">
        <v>0</v>
      </c>
      <c r="R336">
        <v>400</v>
      </c>
      <c r="S336">
        <v>400</v>
      </c>
      <c r="T336">
        <v>1</v>
      </c>
      <c r="U336" t="str">
        <f>IF(SeismicData[[#This Row],[class]]=1,"Dangerous","Safe")</f>
        <v>Dangerous</v>
      </c>
      <c r="V336" t="str">
        <f>IF(SeismicData[[#This Row],[shift]]="W","Production","Non-Production")</f>
        <v>Production</v>
      </c>
      <c r="W336" t="str">
        <f>IF(SeismicData[[#This Row],[genergy]]=0,"0","10^"&amp;INT(LOG10(SeismicData[[#This Row],[genergy]])))</f>
        <v>10^5</v>
      </c>
      <c r="X336" t="str">
        <f>IF(OR(SeismicData[[#This Row],[genergy]]&lt;$AA$6,SeismicData[[#This Row],[genergy]]&gt;$AA$5),"Outlier","Normal")</f>
        <v>Outlier</v>
      </c>
    </row>
    <row r="337" spans="1:24" x14ac:dyDescent="0.15">
      <c r="A337">
        <v>336</v>
      </c>
      <c r="B337" t="s">
        <v>23</v>
      </c>
      <c r="C337" t="s">
        <v>20</v>
      </c>
      <c r="D337" t="s">
        <v>22</v>
      </c>
      <c r="E337">
        <v>632800</v>
      </c>
      <c r="F337">
        <v>2959</v>
      </c>
      <c r="G337">
        <v>39</v>
      </c>
      <c r="H337">
        <v>41</v>
      </c>
      <c r="I337" t="s">
        <v>20</v>
      </c>
      <c r="J337">
        <v>2</v>
      </c>
      <c r="K337">
        <v>0</v>
      </c>
      <c r="L337">
        <v>1</v>
      </c>
      <c r="M337">
        <v>1</v>
      </c>
      <c r="N337">
        <v>0</v>
      </c>
      <c r="O337">
        <v>0</v>
      </c>
      <c r="P337">
        <v>0</v>
      </c>
      <c r="Q337">
        <v>0</v>
      </c>
      <c r="R337">
        <v>25000</v>
      </c>
      <c r="S337">
        <v>20000</v>
      </c>
      <c r="T337">
        <v>0</v>
      </c>
      <c r="U337" t="str">
        <f>IF(SeismicData[[#This Row],[class]]=1,"Dangerous","Safe")</f>
        <v>Safe</v>
      </c>
      <c r="V337" t="str">
        <f>IF(SeismicData[[#This Row],[shift]]="W","Production","Non-Production")</f>
        <v>Production</v>
      </c>
      <c r="W337" t="str">
        <f>IF(SeismicData[[#This Row],[genergy]]=0,"0","10^"&amp;INT(LOG10(SeismicData[[#This Row],[genergy]])))</f>
        <v>10^5</v>
      </c>
      <c r="X337" t="str">
        <f>IF(OR(SeismicData[[#This Row],[genergy]]&lt;$AA$6,SeismicData[[#This Row],[genergy]]&gt;$AA$5),"Outlier","Normal")</f>
        <v>Outlier</v>
      </c>
    </row>
    <row r="338" spans="1:24" x14ac:dyDescent="0.15">
      <c r="A338">
        <v>337</v>
      </c>
      <c r="B338" t="s">
        <v>23</v>
      </c>
      <c r="C338" t="s">
        <v>20</v>
      </c>
      <c r="D338" t="s">
        <v>22</v>
      </c>
      <c r="E338">
        <v>332180</v>
      </c>
      <c r="F338">
        <v>1890</v>
      </c>
      <c r="G338">
        <v>-33</v>
      </c>
      <c r="H338">
        <v>-16</v>
      </c>
      <c r="I338" t="s">
        <v>20</v>
      </c>
      <c r="J338">
        <v>1</v>
      </c>
      <c r="K338">
        <v>0</v>
      </c>
      <c r="L338">
        <v>1</v>
      </c>
      <c r="M338">
        <v>0</v>
      </c>
      <c r="N338">
        <v>0</v>
      </c>
      <c r="O338">
        <v>0</v>
      </c>
      <c r="P338">
        <v>0</v>
      </c>
      <c r="Q338">
        <v>0</v>
      </c>
      <c r="R338">
        <v>1000</v>
      </c>
      <c r="S338">
        <v>1000</v>
      </c>
      <c r="T338">
        <v>1</v>
      </c>
      <c r="U338" t="str">
        <f>IF(SeismicData[[#This Row],[class]]=1,"Dangerous","Safe")</f>
        <v>Dangerous</v>
      </c>
      <c r="V338" t="str">
        <f>IF(SeismicData[[#This Row],[shift]]="W","Production","Non-Production")</f>
        <v>Production</v>
      </c>
      <c r="W338" t="str">
        <f>IF(SeismicData[[#This Row],[genergy]]=0,"0","10^"&amp;INT(LOG10(SeismicData[[#This Row],[genergy]])))</f>
        <v>10^5</v>
      </c>
      <c r="X338" t="str">
        <f>IF(OR(SeismicData[[#This Row],[genergy]]&lt;$AA$6,SeismicData[[#This Row],[genergy]]&gt;$AA$5),"Outlier","Normal")</f>
        <v>Outlier</v>
      </c>
    </row>
    <row r="339" spans="1:24" x14ac:dyDescent="0.15">
      <c r="A339">
        <v>338</v>
      </c>
      <c r="B339" t="s">
        <v>23</v>
      </c>
      <c r="C339" t="s">
        <v>20</v>
      </c>
      <c r="D339" t="s">
        <v>22</v>
      </c>
      <c r="E339">
        <v>172250</v>
      </c>
      <c r="F339">
        <v>1250</v>
      </c>
      <c r="G339">
        <v>-43</v>
      </c>
      <c r="H339">
        <v>-50</v>
      </c>
      <c r="I339" t="s">
        <v>20</v>
      </c>
      <c r="J339">
        <v>2</v>
      </c>
      <c r="K339">
        <v>0</v>
      </c>
      <c r="L339">
        <v>1</v>
      </c>
      <c r="M339">
        <v>1</v>
      </c>
      <c r="N339">
        <v>0</v>
      </c>
      <c r="O339">
        <v>0</v>
      </c>
      <c r="P339">
        <v>0</v>
      </c>
      <c r="Q339">
        <v>0</v>
      </c>
      <c r="R339">
        <v>73000</v>
      </c>
      <c r="S339">
        <v>70000</v>
      </c>
      <c r="T339">
        <v>0</v>
      </c>
      <c r="U339" t="str">
        <f>IF(SeismicData[[#This Row],[class]]=1,"Dangerous","Safe")</f>
        <v>Safe</v>
      </c>
      <c r="V339" t="str">
        <f>IF(SeismicData[[#This Row],[shift]]="W","Production","Non-Production")</f>
        <v>Production</v>
      </c>
      <c r="W339" t="str">
        <f>IF(SeismicData[[#This Row],[genergy]]=0,"0","10^"&amp;INT(LOG10(SeismicData[[#This Row],[genergy]])))</f>
        <v>10^5</v>
      </c>
      <c r="X339" t="str">
        <f>IF(OR(SeismicData[[#This Row],[genergy]]&lt;$AA$6,SeismicData[[#This Row],[genergy]]&gt;$AA$5),"Outlier","Normal")</f>
        <v>Outlier</v>
      </c>
    </row>
    <row r="340" spans="1:24" x14ac:dyDescent="0.15">
      <c r="A340">
        <v>339</v>
      </c>
      <c r="B340" t="s">
        <v>23</v>
      </c>
      <c r="C340" t="s">
        <v>20</v>
      </c>
      <c r="D340" t="s">
        <v>22</v>
      </c>
      <c r="E340">
        <v>256850</v>
      </c>
      <c r="F340">
        <v>1650</v>
      </c>
      <c r="G340">
        <v>-11</v>
      </c>
      <c r="H340">
        <v>-31</v>
      </c>
      <c r="I340" t="s">
        <v>20</v>
      </c>
      <c r="J340">
        <v>4</v>
      </c>
      <c r="K340">
        <v>4</v>
      </c>
      <c r="L340">
        <v>0</v>
      </c>
      <c r="M340">
        <v>0</v>
      </c>
      <c r="N340">
        <v>0</v>
      </c>
      <c r="O340">
        <v>0</v>
      </c>
      <c r="P340">
        <v>0</v>
      </c>
      <c r="Q340">
        <v>0</v>
      </c>
      <c r="R340">
        <v>1800</v>
      </c>
      <c r="S340">
        <v>700</v>
      </c>
      <c r="T340">
        <v>0</v>
      </c>
      <c r="U340" t="str">
        <f>IF(SeismicData[[#This Row],[class]]=1,"Dangerous","Safe")</f>
        <v>Safe</v>
      </c>
      <c r="V340" t="str">
        <f>IF(SeismicData[[#This Row],[shift]]="W","Production","Non-Production")</f>
        <v>Production</v>
      </c>
      <c r="W340" t="str">
        <f>IF(SeismicData[[#This Row],[genergy]]=0,"0","10^"&amp;INT(LOG10(SeismicData[[#This Row],[genergy]])))</f>
        <v>10^5</v>
      </c>
      <c r="X340" t="str">
        <f>IF(OR(SeismicData[[#This Row],[genergy]]&lt;$AA$6,SeismicData[[#This Row],[genergy]]&gt;$AA$5),"Outlier","Normal")</f>
        <v>Outlier</v>
      </c>
    </row>
    <row r="341" spans="1:24" x14ac:dyDescent="0.15">
      <c r="A341">
        <v>340</v>
      </c>
      <c r="B341" t="s">
        <v>23</v>
      </c>
      <c r="C341" t="s">
        <v>20</v>
      </c>
      <c r="D341" t="s">
        <v>22</v>
      </c>
      <c r="E341">
        <v>199030</v>
      </c>
      <c r="F341">
        <v>1255</v>
      </c>
      <c r="G341">
        <v>-30</v>
      </c>
      <c r="H341">
        <v>-45</v>
      </c>
      <c r="I341" t="s">
        <v>20</v>
      </c>
      <c r="J341">
        <v>2</v>
      </c>
      <c r="K341">
        <v>2</v>
      </c>
      <c r="L341">
        <v>0</v>
      </c>
      <c r="M341">
        <v>0</v>
      </c>
      <c r="N341">
        <v>0</v>
      </c>
      <c r="O341">
        <v>0</v>
      </c>
      <c r="P341">
        <v>0</v>
      </c>
      <c r="Q341">
        <v>0</v>
      </c>
      <c r="R341">
        <v>700</v>
      </c>
      <c r="S341">
        <v>400</v>
      </c>
      <c r="T341">
        <v>1</v>
      </c>
      <c r="U341" t="str">
        <f>IF(SeismicData[[#This Row],[class]]=1,"Dangerous","Safe")</f>
        <v>Dangerous</v>
      </c>
      <c r="V341" t="str">
        <f>IF(SeismicData[[#This Row],[shift]]="W","Production","Non-Production")</f>
        <v>Production</v>
      </c>
      <c r="W341" t="str">
        <f>IF(SeismicData[[#This Row],[genergy]]=0,"0","10^"&amp;INT(LOG10(SeismicData[[#This Row],[genergy]])))</f>
        <v>10^5</v>
      </c>
      <c r="X341" t="str">
        <f>IF(OR(SeismicData[[#This Row],[genergy]]&lt;$AA$6,SeismicData[[#This Row],[genergy]]&gt;$AA$5),"Outlier","Normal")</f>
        <v>Outlier</v>
      </c>
    </row>
    <row r="342" spans="1:24" x14ac:dyDescent="0.15">
      <c r="A342">
        <v>341</v>
      </c>
      <c r="B342" t="s">
        <v>23</v>
      </c>
      <c r="C342" t="s">
        <v>20</v>
      </c>
      <c r="D342" t="s">
        <v>22</v>
      </c>
      <c r="E342">
        <v>192650</v>
      </c>
      <c r="F342">
        <v>1185</v>
      </c>
      <c r="G342">
        <v>-8</v>
      </c>
      <c r="H342">
        <v>-14</v>
      </c>
      <c r="I342" t="s">
        <v>20</v>
      </c>
      <c r="J342">
        <v>4</v>
      </c>
      <c r="K342">
        <v>2</v>
      </c>
      <c r="L342">
        <v>1</v>
      </c>
      <c r="M342">
        <v>1</v>
      </c>
      <c r="N342">
        <v>0</v>
      </c>
      <c r="O342">
        <v>0</v>
      </c>
      <c r="P342">
        <v>0</v>
      </c>
      <c r="Q342">
        <v>0</v>
      </c>
      <c r="R342">
        <v>27100</v>
      </c>
      <c r="S342">
        <v>20000</v>
      </c>
      <c r="T342">
        <v>1</v>
      </c>
      <c r="U342" t="str">
        <f>IF(SeismicData[[#This Row],[class]]=1,"Dangerous","Safe")</f>
        <v>Dangerous</v>
      </c>
      <c r="V342" t="str">
        <f>IF(SeismicData[[#This Row],[shift]]="W","Production","Non-Production")</f>
        <v>Production</v>
      </c>
      <c r="W342" t="str">
        <f>IF(SeismicData[[#This Row],[genergy]]=0,"0","10^"&amp;INT(LOG10(SeismicData[[#This Row],[genergy]])))</f>
        <v>10^5</v>
      </c>
      <c r="X342" t="str">
        <f>IF(OR(SeismicData[[#This Row],[genergy]]&lt;$AA$6,SeismicData[[#This Row],[genergy]]&gt;$AA$5),"Outlier","Normal")</f>
        <v>Outlier</v>
      </c>
    </row>
    <row r="343" spans="1:24" x14ac:dyDescent="0.15">
      <c r="A343">
        <v>342</v>
      </c>
      <c r="B343" t="s">
        <v>23</v>
      </c>
      <c r="C343" t="s">
        <v>20</v>
      </c>
      <c r="D343" t="s">
        <v>22</v>
      </c>
      <c r="E343">
        <v>320110</v>
      </c>
      <c r="F343">
        <v>1844</v>
      </c>
      <c r="G343">
        <v>54</v>
      </c>
      <c r="H343">
        <v>35</v>
      </c>
      <c r="I343" t="s">
        <v>20</v>
      </c>
      <c r="J343">
        <v>2</v>
      </c>
      <c r="K343">
        <v>1</v>
      </c>
      <c r="L343">
        <v>0</v>
      </c>
      <c r="M343">
        <v>1</v>
      </c>
      <c r="N343">
        <v>0</v>
      </c>
      <c r="O343">
        <v>0</v>
      </c>
      <c r="P343">
        <v>0</v>
      </c>
      <c r="Q343">
        <v>0</v>
      </c>
      <c r="R343">
        <v>20600</v>
      </c>
      <c r="S343">
        <v>20000</v>
      </c>
      <c r="T343">
        <v>1</v>
      </c>
      <c r="U343" t="str">
        <f>IF(SeismicData[[#This Row],[class]]=1,"Dangerous","Safe")</f>
        <v>Dangerous</v>
      </c>
      <c r="V343" t="str">
        <f>IF(SeismicData[[#This Row],[shift]]="W","Production","Non-Production")</f>
        <v>Production</v>
      </c>
      <c r="W343" t="str">
        <f>IF(SeismicData[[#This Row],[genergy]]=0,"0","10^"&amp;INT(LOG10(SeismicData[[#This Row],[genergy]])))</f>
        <v>10^5</v>
      </c>
      <c r="X343" t="str">
        <f>IF(OR(SeismicData[[#This Row],[genergy]]&lt;$AA$6,SeismicData[[#This Row],[genergy]]&gt;$AA$5),"Outlier","Normal")</f>
        <v>Outlier</v>
      </c>
    </row>
    <row r="344" spans="1:24" x14ac:dyDescent="0.15">
      <c r="A344">
        <v>343</v>
      </c>
      <c r="B344" t="s">
        <v>23</v>
      </c>
      <c r="C344" t="s">
        <v>20</v>
      </c>
      <c r="D344" t="s">
        <v>22</v>
      </c>
      <c r="E344">
        <v>233800</v>
      </c>
      <c r="F344">
        <v>1315</v>
      </c>
      <c r="G344">
        <v>7</v>
      </c>
      <c r="H344">
        <v>-7</v>
      </c>
      <c r="I344" t="s">
        <v>20</v>
      </c>
      <c r="J344">
        <v>3</v>
      </c>
      <c r="K344">
        <v>2</v>
      </c>
      <c r="L344">
        <v>0</v>
      </c>
      <c r="M344">
        <v>1</v>
      </c>
      <c r="N344">
        <v>0</v>
      </c>
      <c r="O344">
        <v>0</v>
      </c>
      <c r="P344">
        <v>0</v>
      </c>
      <c r="Q344">
        <v>0</v>
      </c>
      <c r="R344">
        <v>20700</v>
      </c>
      <c r="S344">
        <v>20000</v>
      </c>
      <c r="T344">
        <v>0</v>
      </c>
      <c r="U344" t="str">
        <f>IF(SeismicData[[#This Row],[class]]=1,"Dangerous","Safe")</f>
        <v>Safe</v>
      </c>
      <c r="V344" t="str">
        <f>IF(SeismicData[[#This Row],[shift]]="W","Production","Non-Production")</f>
        <v>Production</v>
      </c>
      <c r="W344" t="str">
        <f>IF(SeismicData[[#This Row],[genergy]]=0,"0","10^"&amp;INT(LOG10(SeismicData[[#This Row],[genergy]])))</f>
        <v>10^5</v>
      </c>
      <c r="X344" t="str">
        <f>IF(OR(SeismicData[[#This Row],[genergy]]&lt;$AA$6,SeismicData[[#This Row],[genergy]]&gt;$AA$5),"Outlier","Normal")</f>
        <v>Outlier</v>
      </c>
    </row>
    <row r="345" spans="1:24" x14ac:dyDescent="0.15">
      <c r="A345">
        <v>344</v>
      </c>
      <c r="B345" t="s">
        <v>23</v>
      </c>
      <c r="C345" t="s">
        <v>20</v>
      </c>
      <c r="D345" t="s">
        <v>22</v>
      </c>
      <c r="E345">
        <v>206610</v>
      </c>
      <c r="F345">
        <v>1421</v>
      </c>
      <c r="G345">
        <v>-7</v>
      </c>
      <c r="H345">
        <v>1</v>
      </c>
      <c r="I345" t="s">
        <v>20</v>
      </c>
      <c r="J345">
        <v>2</v>
      </c>
      <c r="K345">
        <v>1</v>
      </c>
      <c r="L345">
        <v>1</v>
      </c>
      <c r="M345">
        <v>0</v>
      </c>
      <c r="N345">
        <v>0</v>
      </c>
      <c r="O345">
        <v>0</v>
      </c>
      <c r="P345">
        <v>0</v>
      </c>
      <c r="Q345">
        <v>0</v>
      </c>
      <c r="R345">
        <v>4200</v>
      </c>
      <c r="S345">
        <v>4000</v>
      </c>
      <c r="T345">
        <v>1</v>
      </c>
      <c r="U345" t="str">
        <f>IF(SeismicData[[#This Row],[class]]=1,"Dangerous","Safe")</f>
        <v>Dangerous</v>
      </c>
      <c r="V345" t="str">
        <f>IF(SeismicData[[#This Row],[shift]]="W","Production","Non-Production")</f>
        <v>Production</v>
      </c>
      <c r="W345" t="str">
        <f>IF(SeismicData[[#This Row],[genergy]]=0,"0","10^"&amp;INT(LOG10(SeismicData[[#This Row],[genergy]])))</f>
        <v>10^5</v>
      </c>
      <c r="X345" t="str">
        <f>IF(OR(SeismicData[[#This Row],[genergy]]&lt;$AA$6,SeismicData[[#This Row],[genergy]]&gt;$AA$5),"Outlier","Normal")</f>
        <v>Outlier</v>
      </c>
    </row>
    <row r="346" spans="1:24" x14ac:dyDescent="0.15">
      <c r="A346">
        <v>345</v>
      </c>
      <c r="B346" t="s">
        <v>23</v>
      </c>
      <c r="C346" t="s">
        <v>20</v>
      </c>
      <c r="D346" t="s">
        <v>22</v>
      </c>
      <c r="E346">
        <v>244480</v>
      </c>
      <c r="F346">
        <v>1576</v>
      </c>
      <c r="G346">
        <v>11</v>
      </c>
      <c r="H346">
        <v>12</v>
      </c>
      <c r="I346" t="s">
        <v>20</v>
      </c>
      <c r="J346">
        <v>3</v>
      </c>
      <c r="K346">
        <v>2</v>
      </c>
      <c r="L346">
        <v>0</v>
      </c>
      <c r="M346">
        <v>1</v>
      </c>
      <c r="N346">
        <v>0</v>
      </c>
      <c r="O346">
        <v>0</v>
      </c>
      <c r="P346">
        <v>0</v>
      </c>
      <c r="Q346">
        <v>0</v>
      </c>
      <c r="R346">
        <v>51200</v>
      </c>
      <c r="S346">
        <v>50000</v>
      </c>
      <c r="T346">
        <v>0</v>
      </c>
      <c r="U346" t="str">
        <f>IF(SeismicData[[#This Row],[class]]=1,"Dangerous","Safe")</f>
        <v>Safe</v>
      </c>
      <c r="V346" t="str">
        <f>IF(SeismicData[[#This Row],[shift]]="W","Production","Non-Production")</f>
        <v>Production</v>
      </c>
      <c r="W346" t="str">
        <f>IF(SeismicData[[#This Row],[genergy]]=0,"0","10^"&amp;INT(LOG10(SeismicData[[#This Row],[genergy]])))</f>
        <v>10^5</v>
      </c>
      <c r="X346" t="str">
        <f>IF(OR(SeismicData[[#This Row],[genergy]]&lt;$AA$6,SeismicData[[#This Row],[genergy]]&gt;$AA$5),"Outlier","Normal")</f>
        <v>Outlier</v>
      </c>
    </row>
    <row r="347" spans="1:24" x14ac:dyDescent="0.15">
      <c r="A347">
        <v>346</v>
      </c>
      <c r="B347" t="s">
        <v>23</v>
      </c>
      <c r="C347" t="s">
        <v>20</v>
      </c>
      <c r="D347" t="s">
        <v>22</v>
      </c>
      <c r="E347">
        <v>430310</v>
      </c>
      <c r="F347">
        <v>1955</v>
      </c>
      <c r="G347">
        <v>92</v>
      </c>
      <c r="H347">
        <v>37</v>
      </c>
      <c r="I347" t="s">
        <v>20</v>
      </c>
      <c r="J347">
        <v>2</v>
      </c>
      <c r="K347">
        <v>1</v>
      </c>
      <c r="L347">
        <v>1</v>
      </c>
      <c r="M347">
        <v>0</v>
      </c>
      <c r="N347">
        <v>0</v>
      </c>
      <c r="O347">
        <v>0</v>
      </c>
      <c r="P347">
        <v>0</v>
      </c>
      <c r="Q347">
        <v>0</v>
      </c>
      <c r="R347">
        <v>1200</v>
      </c>
      <c r="S347">
        <v>1000</v>
      </c>
      <c r="T347">
        <v>0</v>
      </c>
      <c r="U347" t="str">
        <f>IF(SeismicData[[#This Row],[class]]=1,"Dangerous","Safe")</f>
        <v>Safe</v>
      </c>
      <c r="V347" t="str">
        <f>IF(SeismicData[[#This Row],[shift]]="W","Production","Non-Production")</f>
        <v>Production</v>
      </c>
      <c r="W347" t="str">
        <f>IF(SeismicData[[#This Row],[genergy]]=0,"0","10^"&amp;INT(LOG10(SeismicData[[#This Row],[genergy]])))</f>
        <v>10^5</v>
      </c>
      <c r="X347" t="str">
        <f>IF(OR(SeismicData[[#This Row],[genergy]]&lt;$AA$6,SeismicData[[#This Row],[genergy]]&gt;$AA$5),"Outlier","Normal")</f>
        <v>Outlier</v>
      </c>
    </row>
    <row r="348" spans="1:24" x14ac:dyDescent="0.15">
      <c r="A348">
        <v>347</v>
      </c>
      <c r="B348" t="s">
        <v>23</v>
      </c>
      <c r="C348" t="s">
        <v>20</v>
      </c>
      <c r="D348" t="s">
        <v>22</v>
      </c>
      <c r="E348">
        <v>311200</v>
      </c>
      <c r="F348">
        <v>1147</v>
      </c>
      <c r="G348">
        <v>-38</v>
      </c>
      <c r="H348">
        <v>-62</v>
      </c>
      <c r="I348" t="s">
        <v>20</v>
      </c>
      <c r="J348">
        <v>3</v>
      </c>
      <c r="K348">
        <v>1</v>
      </c>
      <c r="L348">
        <v>2</v>
      </c>
      <c r="M348">
        <v>0</v>
      </c>
      <c r="N348">
        <v>0</v>
      </c>
      <c r="O348">
        <v>0</v>
      </c>
      <c r="P348">
        <v>0</v>
      </c>
      <c r="Q348">
        <v>0</v>
      </c>
      <c r="R348">
        <v>14400</v>
      </c>
      <c r="S348">
        <v>9000</v>
      </c>
      <c r="T348">
        <v>0</v>
      </c>
      <c r="U348" t="str">
        <f>IF(SeismicData[[#This Row],[class]]=1,"Dangerous","Safe")</f>
        <v>Safe</v>
      </c>
      <c r="V348" t="str">
        <f>IF(SeismicData[[#This Row],[shift]]="W","Production","Non-Production")</f>
        <v>Production</v>
      </c>
      <c r="W348" t="str">
        <f>IF(SeismicData[[#This Row],[genergy]]=0,"0","10^"&amp;INT(LOG10(SeismicData[[#This Row],[genergy]])))</f>
        <v>10^5</v>
      </c>
      <c r="X348" t="str">
        <f>IF(OR(SeismicData[[#This Row],[genergy]]&lt;$AA$6,SeismicData[[#This Row],[genergy]]&gt;$AA$5),"Outlier","Normal")</f>
        <v>Outlier</v>
      </c>
    </row>
    <row r="349" spans="1:24" x14ac:dyDescent="0.15">
      <c r="A349">
        <v>348</v>
      </c>
      <c r="B349" t="s">
        <v>20</v>
      </c>
      <c r="C349" t="s">
        <v>20</v>
      </c>
      <c r="D349" t="s">
        <v>22</v>
      </c>
      <c r="E349">
        <v>478520</v>
      </c>
      <c r="F349">
        <v>1493</v>
      </c>
      <c r="G349">
        <v>-1</v>
      </c>
      <c r="H349">
        <v>-47</v>
      </c>
      <c r="I349" t="s">
        <v>20</v>
      </c>
      <c r="J349">
        <v>4</v>
      </c>
      <c r="K349">
        <v>3</v>
      </c>
      <c r="L349">
        <v>1</v>
      </c>
      <c r="M349">
        <v>0</v>
      </c>
      <c r="N349">
        <v>0</v>
      </c>
      <c r="O349">
        <v>0</v>
      </c>
      <c r="P349">
        <v>0</v>
      </c>
      <c r="Q349">
        <v>0</v>
      </c>
      <c r="R349">
        <v>4300</v>
      </c>
      <c r="S349">
        <v>3000</v>
      </c>
      <c r="T349">
        <v>0</v>
      </c>
      <c r="U349" t="str">
        <f>IF(SeismicData[[#This Row],[class]]=1,"Dangerous","Safe")</f>
        <v>Safe</v>
      </c>
      <c r="V349" t="str">
        <f>IF(SeismicData[[#This Row],[shift]]="W","Production","Non-Production")</f>
        <v>Production</v>
      </c>
      <c r="W349" t="str">
        <f>IF(SeismicData[[#This Row],[genergy]]=0,"0","10^"&amp;INT(LOG10(SeismicData[[#This Row],[genergy]])))</f>
        <v>10^5</v>
      </c>
      <c r="X349" t="str">
        <f>IF(OR(SeismicData[[#This Row],[genergy]]&lt;$AA$6,SeismicData[[#This Row],[genergy]]&gt;$AA$5),"Outlier","Normal")</f>
        <v>Outlier</v>
      </c>
    </row>
    <row r="350" spans="1:24" x14ac:dyDescent="0.15">
      <c r="A350">
        <v>349</v>
      </c>
      <c r="B350" t="s">
        <v>20</v>
      </c>
      <c r="C350" t="s">
        <v>20</v>
      </c>
      <c r="D350" t="s">
        <v>21</v>
      </c>
      <c r="E350">
        <v>65250</v>
      </c>
      <c r="F350">
        <v>450</v>
      </c>
      <c r="G350">
        <v>-74</v>
      </c>
      <c r="H350">
        <v>-70</v>
      </c>
      <c r="I350" t="s">
        <v>20</v>
      </c>
      <c r="J350">
        <v>0</v>
      </c>
      <c r="K350">
        <v>0</v>
      </c>
      <c r="L350">
        <v>0</v>
      </c>
      <c r="M350">
        <v>0</v>
      </c>
      <c r="N350">
        <v>0</v>
      </c>
      <c r="O350">
        <v>0</v>
      </c>
      <c r="P350">
        <v>0</v>
      </c>
      <c r="Q350">
        <v>0</v>
      </c>
      <c r="R350">
        <v>0</v>
      </c>
      <c r="S350">
        <v>0</v>
      </c>
      <c r="T350">
        <v>1</v>
      </c>
      <c r="U350" t="str">
        <f>IF(SeismicData[[#This Row],[class]]=1,"Dangerous","Safe")</f>
        <v>Dangerous</v>
      </c>
      <c r="V350" t="str">
        <f>IF(SeismicData[[#This Row],[shift]]="W","Production","Non-Production")</f>
        <v>Non-Production</v>
      </c>
      <c r="W350" t="str">
        <f>IF(SeismicData[[#This Row],[genergy]]=0,"0","10^"&amp;INT(LOG10(SeismicData[[#This Row],[genergy]])))</f>
        <v>10^4</v>
      </c>
      <c r="X350" t="str">
        <f>IF(OR(SeismicData[[#This Row],[genergy]]&lt;$AA$6,SeismicData[[#This Row],[genergy]]&gt;$AA$5),"Outlier","Normal")</f>
        <v>Normal</v>
      </c>
    </row>
    <row r="351" spans="1:24" x14ac:dyDescent="0.15">
      <c r="A351">
        <v>350</v>
      </c>
      <c r="B351" t="s">
        <v>23</v>
      </c>
      <c r="C351" t="s">
        <v>20</v>
      </c>
      <c r="D351" t="s">
        <v>22</v>
      </c>
      <c r="E351">
        <v>379670</v>
      </c>
      <c r="F351">
        <v>1456</v>
      </c>
      <c r="G351">
        <v>-21</v>
      </c>
      <c r="H351">
        <v>-45</v>
      </c>
      <c r="I351" t="s">
        <v>20</v>
      </c>
      <c r="J351">
        <v>2</v>
      </c>
      <c r="K351">
        <v>0</v>
      </c>
      <c r="L351">
        <v>0</v>
      </c>
      <c r="M351">
        <v>2</v>
      </c>
      <c r="N351">
        <v>0</v>
      </c>
      <c r="O351">
        <v>0</v>
      </c>
      <c r="P351">
        <v>0</v>
      </c>
      <c r="Q351">
        <v>0</v>
      </c>
      <c r="R351">
        <v>40000</v>
      </c>
      <c r="S351">
        <v>20000</v>
      </c>
      <c r="T351">
        <v>0</v>
      </c>
      <c r="U351" t="str">
        <f>IF(SeismicData[[#This Row],[class]]=1,"Dangerous","Safe")</f>
        <v>Safe</v>
      </c>
      <c r="V351" t="str">
        <f>IF(SeismicData[[#This Row],[shift]]="W","Production","Non-Production")</f>
        <v>Production</v>
      </c>
      <c r="W351" t="str">
        <f>IF(SeismicData[[#This Row],[genergy]]=0,"0","10^"&amp;INT(LOG10(SeismicData[[#This Row],[genergy]])))</f>
        <v>10^5</v>
      </c>
      <c r="X351" t="str">
        <f>IF(OR(SeismicData[[#This Row],[genergy]]&lt;$AA$6,SeismicData[[#This Row],[genergy]]&gt;$AA$5),"Outlier","Normal")</f>
        <v>Outlier</v>
      </c>
    </row>
    <row r="352" spans="1:24" x14ac:dyDescent="0.15">
      <c r="A352">
        <v>351</v>
      </c>
      <c r="B352" t="s">
        <v>23</v>
      </c>
      <c r="C352" t="s">
        <v>23</v>
      </c>
      <c r="D352" t="s">
        <v>22</v>
      </c>
      <c r="E352">
        <v>887140</v>
      </c>
      <c r="F352">
        <v>3327</v>
      </c>
      <c r="G352">
        <v>128</v>
      </c>
      <c r="H352">
        <v>144</v>
      </c>
      <c r="I352" t="s">
        <v>23</v>
      </c>
      <c r="J352">
        <v>5</v>
      </c>
      <c r="K352">
        <v>3</v>
      </c>
      <c r="L352">
        <v>2</v>
      </c>
      <c r="M352">
        <v>0</v>
      </c>
      <c r="N352">
        <v>0</v>
      </c>
      <c r="O352">
        <v>0</v>
      </c>
      <c r="P352">
        <v>0</v>
      </c>
      <c r="Q352">
        <v>0</v>
      </c>
      <c r="R352">
        <v>6200</v>
      </c>
      <c r="S352">
        <v>2000</v>
      </c>
      <c r="T352">
        <v>1</v>
      </c>
      <c r="U352" t="str">
        <f>IF(SeismicData[[#This Row],[class]]=1,"Dangerous","Safe")</f>
        <v>Dangerous</v>
      </c>
      <c r="V352" t="str">
        <f>IF(SeismicData[[#This Row],[shift]]="W","Production","Non-Production")</f>
        <v>Production</v>
      </c>
      <c r="W352" t="str">
        <f>IF(SeismicData[[#This Row],[genergy]]=0,"0","10^"&amp;INT(LOG10(SeismicData[[#This Row],[genergy]])))</f>
        <v>10^5</v>
      </c>
      <c r="X352" t="str">
        <f>IF(OR(SeismicData[[#This Row],[genergy]]&lt;$AA$6,SeismicData[[#This Row],[genergy]]&gt;$AA$5),"Outlier","Normal")</f>
        <v>Outlier</v>
      </c>
    </row>
    <row r="353" spans="1:24" x14ac:dyDescent="0.15">
      <c r="A353">
        <v>352</v>
      </c>
      <c r="B353" t="s">
        <v>23</v>
      </c>
      <c r="C353" t="s">
        <v>23</v>
      </c>
      <c r="D353" t="s">
        <v>22</v>
      </c>
      <c r="E353">
        <v>690550</v>
      </c>
      <c r="F353">
        <v>3915</v>
      </c>
      <c r="G353">
        <v>28</v>
      </c>
      <c r="H353">
        <v>29</v>
      </c>
      <c r="I353" t="s">
        <v>20</v>
      </c>
      <c r="J353">
        <v>3</v>
      </c>
      <c r="K353">
        <v>1</v>
      </c>
      <c r="L353">
        <v>1</v>
      </c>
      <c r="M353">
        <v>1</v>
      </c>
      <c r="N353">
        <v>0</v>
      </c>
      <c r="O353">
        <v>0</v>
      </c>
      <c r="P353">
        <v>0</v>
      </c>
      <c r="Q353">
        <v>0</v>
      </c>
      <c r="R353">
        <v>34400</v>
      </c>
      <c r="S353">
        <v>30000</v>
      </c>
      <c r="T353">
        <v>1</v>
      </c>
      <c r="U353" t="str">
        <f>IF(SeismicData[[#This Row],[class]]=1,"Dangerous","Safe")</f>
        <v>Dangerous</v>
      </c>
      <c r="V353" t="str">
        <f>IF(SeismicData[[#This Row],[shift]]="W","Production","Non-Production")</f>
        <v>Production</v>
      </c>
      <c r="W353" t="str">
        <f>IF(SeismicData[[#This Row],[genergy]]=0,"0","10^"&amp;INT(LOG10(SeismicData[[#This Row],[genergy]])))</f>
        <v>10^5</v>
      </c>
      <c r="X353" t="str">
        <f>IF(OR(SeismicData[[#This Row],[genergy]]&lt;$AA$6,SeismicData[[#This Row],[genergy]]&gt;$AA$5),"Outlier","Normal")</f>
        <v>Outlier</v>
      </c>
    </row>
    <row r="354" spans="1:24" x14ac:dyDescent="0.15">
      <c r="A354">
        <v>353</v>
      </c>
      <c r="B354" t="s">
        <v>23</v>
      </c>
      <c r="C354" t="s">
        <v>23</v>
      </c>
      <c r="D354" t="s">
        <v>22</v>
      </c>
      <c r="E354">
        <v>397280</v>
      </c>
      <c r="F354">
        <v>1630</v>
      </c>
      <c r="G354">
        <v>-29</v>
      </c>
      <c r="H354">
        <v>-48</v>
      </c>
      <c r="I354" t="s">
        <v>20</v>
      </c>
      <c r="J354">
        <v>3</v>
      </c>
      <c r="K354">
        <v>1</v>
      </c>
      <c r="L354">
        <v>1</v>
      </c>
      <c r="M354">
        <v>1</v>
      </c>
      <c r="N354">
        <v>0</v>
      </c>
      <c r="O354">
        <v>0</v>
      </c>
      <c r="P354">
        <v>0</v>
      </c>
      <c r="Q354">
        <v>0</v>
      </c>
      <c r="R354">
        <v>31300</v>
      </c>
      <c r="S354">
        <v>30000</v>
      </c>
      <c r="T354">
        <v>0</v>
      </c>
      <c r="U354" t="str">
        <f>IF(SeismicData[[#This Row],[class]]=1,"Dangerous","Safe")</f>
        <v>Safe</v>
      </c>
      <c r="V354" t="str">
        <f>IF(SeismicData[[#This Row],[shift]]="W","Production","Non-Production")</f>
        <v>Production</v>
      </c>
      <c r="W354" t="str">
        <f>IF(SeismicData[[#This Row],[genergy]]=0,"0","10^"&amp;INT(LOG10(SeismicData[[#This Row],[genergy]])))</f>
        <v>10^5</v>
      </c>
      <c r="X354" t="str">
        <f>IF(OR(SeismicData[[#This Row],[genergy]]&lt;$AA$6,SeismicData[[#This Row],[genergy]]&gt;$AA$5),"Outlier","Normal")</f>
        <v>Outlier</v>
      </c>
    </row>
    <row r="355" spans="1:24" x14ac:dyDescent="0.15">
      <c r="A355">
        <v>354</v>
      </c>
      <c r="B355" t="s">
        <v>23</v>
      </c>
      <c r="C355" t="s">
        <v>20</v>
      </c>
      <c r="D355" t="s">
        <v>22</v>
      </c>
      <c r="E355">
        <v>609620</v>
      </c>
      <c r="F355">
        <v>2344</v>
      </c>
      <c r="G355">
        <v>11</v>
      </c>
      <c r="H355">
        <v>-22</v>
      </c>
      <c r="I355" t="s">
        <v>20</v>
      </c>
      <c r="J355">
        <v>2</v>
      </c>
      <c r="K355">
        <v>2</v>
      </c>
      <c r="L355">
        <v>0</v>
      </c>
      <c r="M355">
        <v>0</v>
      </c>
      <c r="N355">
        <v>0</v>
      </c>
      <c r="O355">
        <v>0</v>
      </c>
      <c r="P355">
        <v>0</v>
      </c>
      <c r="Q355">
        <v>0</v>
      </c>
      <c r="R355">
        <v>900</v>
      </c>
      <c r="S355">
        <v>500</v>
      </c>
      <c r="T355">
        <v>1</v>
      </c>
      <c r="U355" t="str">
        <f>IF(SeismicData[[#This Row],[class]]=1,"Dangerous","Safe")</f>
        <v>Dangerous</v>
      </c>
      <c r="V355" t="str">
        <f>IF(SeismicData[[#This Row],[shift]]="W","Production","Non-Production")</f>
        <v>Production</v>
      </c>
      <c r="W355" t="str">
        <f>IF(SeismicData[[#This Row],[genergy]]=0,"0","10^"&amp;INT(LOG10(SeismicData[[#This Row],[genergy]])))</f>
        <v>10^5</v>
      </c>
      <c r="X355" t="str">
        <f>IF(OR(SeismicData[[#This Row],[genergy]]&lt;$AA$6,SeismicData[[#This Row],[genergy]]&gt;$AA$5),"Outlier","Normal")</f>
        <v>Outlier</v>
      </c>
    </row>
    <row r="356" spans="1:24" x14ac:dyDescent="0.15">
      <c r="A356">
        <v>355</v>
      </c>
      <c r="B356" t="s">
        <v>23</v>
      </c>
      <c r="C356" t="s">
        <v>20</v>
      </c>
      <c r="D356" t="s">
        <v>21</v>
      </c>
      <c r="E356">
        <v>136810</v>
      </c>
      <c r="F356">
        <v>746</v>
      </c>
      <c r="G356">
        <v>-41</v>
      </c>
      <c r="H356">
        <v>-47</v>
      </c>
      <c r="I356" t="s">
        <v>20</v>
      </c>
      <c r="J356">
        <v>1</v>
      </c>
      <c r="K356">
        <v>0</v>
      </c>
      <c r="L356">
        <v>0</v>
      </c>
      <c r="M356">
        <v>1</v>
      </c>
      <c r="N356">
        <v>0</v>
      </c>
      <c r="O356">
        <v>0</v>
      </c>
      <c r="P356">
        <v>0</v>
      </c>
      <c r="Q356">
        <v>0</v>
      </c>
      <c r="R356">
        <v>40000</v>
      </c>
      <c r="S356">
        <v>40000</v>
      </c>
      <c r="T356">
        <v>0</v>
      </c>
      <c r="U356" t="str">
        <f>IF(SeismicData[[#This Row],[class]]=1,"Dangerous","Safe")</f>
        <v>Safe</v>
      </c>
      <c r="V356" t="str">
        <f>IF(SeismicData[[#This Row],[shift]]="W","Production","Non-Production")</f>
        <v>Non-Production</v>
      </c>
      <c r="W356" t="str">
        <f>IF(SeismicData[[#This Row],[genergy]]=0,"0","10^"&amp;INT(LOG10(SeismicData[[#This Row],[genergy]])))</f>
        <v>10^5</v>
      </c>
      <c r="X356" t="str">
        <f>IF(OR(SeismicData[[#This Row],[genergy]]&lt;$AA$6,SeismicData[[#This Row],[genergy]]&gt;$AA$5),"Outlier","Normal")</f>
        <v>Outlier</v>
      </c>
    </row>
    <row r="357" spans="1:24" x14ac:dyDescent="0.15">
      <c r="A357">
        <v>356</v>
      </c>
      <c r="B357" t="s">
        <v>23</v>
      </c>
      <c r="C357" t="s">
        <v>20</v>
      </c>
      <c r="D357" t="s">
        <v>22</v>
      </c>
      <c r="E357">
        <v>358490</v>
      </c>
      <c r="F357">
        <v>1231</v>
      </c>
      <c r="G357">
        <v>-36</v>
      </c>
      <c r="H357">
        <v>-58</v>
      </c>
      <c r="I357" t="s">
        <v>20</v>
      </c>
      <c r="J357">
        <v>1</v>
      </c>
      <c r="K357">
        <v>1</v>
      </c>
      <c r="L357">
        <v>0</v>
      </c>
      <c r="M357">
        <v>0</v>
      </c>
      <c r="N357">
        <v>0</v>
      </c>
      <c r="O357">
        <v>0</v>
      </c>
      <c r="P357">
        <v>0</v>
      </c>
      <c r="Q357">
        <v>0</v>
      </c>
      <c r="R357">
        <v>400</v>
      </c>
      <c r="S357">
        <v>400</v>
      </c>
      <c r="T357">
        <v>0</v>
      </c>
      <c r="U357" t="str">
        <f>IF(SeismicData[[#This Row],[class]]=1,"Dangerous","Safe")</f>
        <v>Safe</v>
      </c>
      <c r="V357" t="str">
        <f>IF(SeismicData[[#This Row],[shift]]="W","Production","Non-Production")</f>
        <v>Production</v>
      </c>
      <c r="W357" t="str">
        <f>IF(SeismicData[[#This Row],[genergy]]=0,"0","10^"&amp;INT(LOG10(SeismicData[[#This Row],[genergy]])))</f>
        <v>10^5</v>
      </c>
      <c r="X357" t="str">
        <f>IF(OR(SeismicData[[#This Row],[genergy]]&lt;$AA$6,SeismicData[[#This Row],[genergy]]&gt;$AA$5),"Outlier","Normal")</f>
        <v>Outlier</v>
      </c>
    </row>
    <row r="358" spans="1:24" x14ac:dyDescent="0.15">
      <c r="A358">
        <v>357</v>
      </c>
      <c r="B358" t="s">
        <v>23</v>
      </c>
      <c r="C358" t="s">
        <v>20</v>
      </c>
      <c r="D358" t="s">
        <v>22</v>
      </c>
      <c r="E358">
        <v>581540</v>
      </c>
      <c r="F358">
        <v>2102</v>
      </c>
      <c r="G358">
        <v>7</v>
      </c>
      <c r="H358">
        <v>-23</v>
      </c>
      <c r="I358" t="s">
        <v>20</v>
      </c>
      <c r="J358">
        <v>2</v>
      </c>
      <c r="K358">
        <v>1</v>
      </c>
      <c r="L358">
        <v>1</v>
      </c>
      <c r="M358">
        <v>0</v>
      </c>
      <c r="N358">
        <v>0</v>
      </c>
      <c r="O358">
        <v>0</v>
      </c>
      <c r="P358">
        <v>0</v>
      </c>
      <c r="Q358">
        <v>0</v>
      </c>
      <c r="R358">
        <v>6500</v>
      </c>
      <c r="S358">
        <v>6000</v>
      </c>
      <c r="T358">
        <v>1</v>
      </c>
      <c r="U358" t="str">
        <f>IF(SeismicData[[#This Row],[class]]=1,"Dangerous","Safe")</f>
        <v>Dangerous</v>
      </c>
      <c r="V358" t="str">
        <f>IF(SeismicData[[#This Row],[shift]]="W","Production","Non-Production")</f>
        <v>Production</v>
      </c>
      <c r="W358" t="str">
        <f>IF(SeismicData[[#This Row],[genergy]]=0,"0","10^"&amp;INT(LOG10(SeismicData[[#This Row],[genergy]])))</f>
        <v>10^5</v>
      </c>
      <c r="X358" t="str">
        <f>IF(OR(SeismicData[[#This Row],[genergy]]&lt;$AA$6,SeismicData[[#This Row],[genergy]]&gt;$AA$5),"Outlier","Normal")</f>
        <v>Outlier</v>
      </c>
    </row>
    <row r="359" spans="1:24" x14ac:dyDescent="0.15">
      <c r="A359">
        <v>358</v>
      </c>
      <c r="B359" t="s">
        <v>23</v>
      </c>
      <c r="C359" t="s">
        <v>20</v>
      </c>
      <c r="D359" t="s">
        <v>22</v>
      </c>
      <c r="E359">
        <v>545470</v>
      </c>
      <c r="F359">
        <v>1894</v>
      </c>
      <c r="G359">
        <v>-1</v>
      </c>
      <c r="H359">
        <v>-29</v>
      </c>
      <c r="I359" t="s">
        <v>20</v>
      </c>
      <c r="J359">
        <v>4</v>
      </c>
      <c r="K359">
        <v>1</v>
      </c>
      <c r="L359">
        <v>1</v>
      </c>
      <c r="M359">
        <v>2</v>
      </c>
      <c r="N359">
        <v>0</v>
      </c>
      <c r="O359">
        <v>0</v>
      </c>
      <c r="P359">
        <v>0</v>
      </c>
      <c r="Q359">
        <v>0</v>
      </c>
      <c r="R359">
        <v>53600</v>
      </c>
      <c r="S359">
        <v>30000</v>
      </c>
      <c r="T359">
        <v>0</v>
      </c>
      <c r="U359" t="str">
        <f>IF(SeismicData[[#This Row],[class]]=1,"Dangerous","Safe")</f>
        <v>Safe</v>
      </c>
      <c r="V359" t="str">
        <f>IF(SeismicData[[#This Row],[shift]]="W","Production","Non-Production")</f>
        <v>Production</v>
      </c>
      <c r="W359" t="str">
        <f>IF(SeismicData[[#This Row],[genergy]]=0,"0","10^"&amp;INT(LOG10(SeismicData[[#This Row],[genergy]])))</f>
        <v>10^5</v>
      </c>
      <c r="X359" t="str">
        <f>IF(OR(SeismicData[[#This Row],[genergy]]&lt;$AA$6,SeismicData[[#This Row],[genergy]]&gt;$AA$5),"Outlier","Normal")</f>
        <v>Outlier</v>
      </c>
    </row>
    <row r="360" spans="1:24" x14ac:dyDescent="0.15">
      <c r="A360">
        <v>359</v>
      </c>
      <c r="B360" t="s">
        <v>23</v>
      </c>
      <c r="C360" t="s">
        <v>20</v>
      </c>
      <c r="D360" t="s">
        <v>21</v>
      </c>
      <c r="E360">
        <v>102550</v>
      </c>
      <c r="F360">
        <v>731</v>
      </c>
      <c r="G360">
        <v>-53</v>
      </c>
      <c r="H360">
        <v>-45</v>
      </c>
      <c r="I360" t="s">
        <v>20</v>
      </c>
      <c r="J360">
        <v>0</v>
      </c>
      <c r="K360">
        <v>0</v>
      </c>
      <c r="L360">
        <v>0</v>
      </c>
      <c r="M360">
        <v>0</v>
      </c>
      <c r="N360">
        <v>0</v>
      </c>
      <c r="O360">
        <v>0</v>
      </c>
      <c r="P360">
        <v>0</v>
      </c>
      <c r="Q360">
        <v>0</v>
      </c>
      <c r="R360">
        <v>0</v>
      </c>
      <c r="S360">
        <v>0</v>
      </c>
      <c r="T360">
        <v>0</v>
      </c>
      <c r="U360" t="str">
        <f>IF(SeismicData[[#This Row],[class]]=1,"Dangerous","Safe")</f>
        <v>Safe</v>
      </c>
      <c r="V360" t="str">
        <f>IF(SeismicData[[#This Row],[shift]]="W","Production","Non-Production")</f>
        <v>Non-Production</v>
      </c>
      <c r="W360" t="str">
        <f>IF(SeismicData[[#This Row],[genergy]]=0,"0","10^"&amp;INT(LOG10(SeismicData[[#This Row],[genergy]])))</f>
        <v>10^5</v>
      </c>
      <c r="X360" t="str">
        <f>IF(OR(SeismicData[[#This Row],[genergy]]&lt;$AA$6,SeismicData[[#This Row],[genergy]]&gt;$AA$5),"Outlier","Normal")</f>
        <v>Normal</v>
      </c>
    </row>
    <row r="361" spans="1:24" x14ac:dyDescent="0.15">
      <c r="A361">
        <v>360</v>
      </c>
      <c r="B361" t="s">
        <v>23</v>
      </c>
      <c r="C361" t="s">
        <v>23</v>
      </c>
      <c r="D361" t="s">
        <v>21</v>
      </c>
      <c r="E361">
        <v>66800</v>
      </c>
      <c r="F361">
        <v>441</v>
      </c>
      <c r="G361">
        <v>-34</v>
      </c>
      <c r="H361">
        <v>-31</v>
      </c>
      <c r="I361" t="s">
        <v>20</v>
      </c>
      <c r="J361">
        <v>0</v>
      </c>
      <c r="K361">
        <v>0</v>
      </c>
      <c r="L361">
        <v>0</v>
      </c>
      <c r="M361">
        <v>0</v>
      </c>
      <c r="N361">
        <v>0</v>
      </c>
      <c r="O361">
        <v>0</v>
      </c>
      <c r="P361">
        <v>0</v>
      </c>
      <c r="Q361">
        <v>0</v>
      </c>
      <c r="R361">
        <v>0</v>
      </c>
      <c r="S361">
        <v>0</v>
      </c>
      <c r="T361">
        <v>0</v>
      </c>
      <c r="U361" t="str">
        <f>IF(SeismicData[[#This Row],[class]]=1,"Dangerous","Safe")</f>
        <v>Safe</v>
      </c>
      <c r="V361" t="str">
        <f>IF(SeismicData[[#This Row],[shift]]="W","Production","Non-Production")</f>
        <v>Non-Production</v>
      </c>
      <c r="W361" t="str">
        <f>IF(SeismicData[[#This Row],[genergy]]=0,"0","10^"&amp;INT(LOG10(SeismicData[[#This Row],[genergy]])))</f>
        <v>10^4</v>
      </c>
      <c r="X361" t="str">
        <f>IF(OR(SeismicData[[#This Row],[genergy]]&lt;$AA$6,SeismicData[[#This Row],[genergy]]&gt;$AA$5),"Outlier","Normal")</f>
        <v>Normal</v>
      </c>
    </row>
    <row r="362" spans="1:24" x14ac:dyDescent="0.15">
      <c r="A362">
        <v>361</v>
      </c>
      <c r="B362" t="s">
        <v>20</v>
      </c>
      <c r="C362" t="s">
        <v>23</v>
      </c>
      <c r="D362" t="s">
        <v>21</v>
      </c>
      <c r="E362">
        <v>67210</v>
      </c>
      <c r="F362">
        <v>420</v>
      </c>
      <c r="G362">
        <v>-31</v>
      </c>
      <c r="H362">
        <v>-32</v>
      </c>
      <c r="I362" t="s">
        <v>20</v>
      </c>
      <c r="J362">
        <v>1</v>
      </c>
      <c r="K362">
        <v>0</v>
      </c>
      <c r="L362">
        <v>1</v>
      </c>
      <c r="M362">
        <v>0</v>
      </c>
      <c r="N362">
        <v>0</v>
      </c>
      <c r="O362">
        <v>0</v>
      </c>
      <c r="P362">
        <v>0</v>
      </c>
      <c r="Q362">
        <v>0</v>
      </c>
      <c r="R362">
        <v>4000</v>
      </c>
      <c r="S362">
        <v>4000</v>
      </c>
      <c r="T362">
        <v>0</v>
      </c>
      <c r="U362" t="str">
        <f>IF(SeismicData[[#This Row],[class]]=1,"Dangerous","Safe")</f>
        <v>Safe</v>
      </c>
      <c r="V362" t="str">
        <f>IF(SeismicData[[#This Row],[shift]]="W","Production","Non-Production")</f>
        <v>Non-Production</v>
      </c>
      <c r="W362" t="str">
        <f>IF(SeismicData[[#This Row],[genergy]]=0,"0","10^"&amp;INT(LOG10(SeismicData[[#This Row],[genergy]])))</f>
        <v>10^4</v>
      </c>
      <c r="X362" t="str">
        <f>IF(OR(SeismicData[[#This Row],[genergy]]&lt;$AA$6,SeismicData[[#This Row],[genergy]]&gt;$AA$5),"Outlier","Normal")</f>
        <v>Normal</v>
      </c>
    </row>
    <row r="363" spans="1:24" x14ac:dyDescent="0.15">
      <c r="A363">
        <v>362</v>
      </c>
      <c r="B363" t="s">
        <v>20</v>
      </c>
      <c r="C363" t="s">
        <v>23</v>
      </c>
      <c r="D363" t="s">
        <v>22</v>
      </c>
      <c r="E363">
        <v>532290</v>
      </c>
      <c r="F363">
        <v>2055</v>
      </c>
      <c r="G363">
        <v>-4</v>
      </c>
      <c r="H363">
        <v>-19</v>
      </c>
      <c r="I363" t="s">
        <v>20</v>
      </c>
      <c r="J363">
        <v>2</v>
      </c>
      <c r="K363">
        <v>0</v>
      </c>
      <c r="L363">
        <v>2</v>
      </c>
      <c r="M363">
        <v>0</v>
      </c>
      <c r="N363">
        <v>0</v>
      </c>
      <c r="O363">
        <v>0</v>
      </c>
      <c r="P363">
        <v>0</v>
      </c>
      <c r="Q363">
        <v>0</v>
      </c>
      <c r="R363">
        <v>4000</v>
      </c>
      <c r="S363">
        <v>2000</v>
      </c>
      <c r="T363">
        <v>0</v>
      </c>
      <c r="U363" t="str">
        <f>IF(SeismicData[[#This Row],[class]]=1,"Dangerous","Safe")</f>
        <v>Safe</v>
      </c>
      <c r="V363" t="str">
        <f>IF(SeismicData[[#This Row],[shift]]="W","Production","Non-Production")</f>
        <v>Production</v>
      </c>
      <c r="W363" t="str">
        <f>IF(SeismicData[[#This Row],[genergy]]=0,"0","10^"&amp;INT(LOG10(SeismicData[[#This Row],[genergy]])))</f>
        <v>10^5</v>
      </c>
      <c r="X363" t="str">
        <f>IF(OR(SeismicData[[#This Row],[genergy]]&lt;$AA$6,SeismicData[[#This Row],[genergy]]&gt;$AA$5),"Outlier","Normal")</f>
        <v>Outlier</v>
      </c>
    </row>
    <row r="364" spans="1:24" x14ac:dyDescent="0.15">
      <c r="A364">
        <v>363</v>
      </c>
      <c r="B364" t="s">
        <v>20</v>
      </c>
      <c r="C364" t="s">
        <v>23</v>
      </c>
      <c r="D364" t="s">
        <v>22</v>
      </c>
      <c r="E364">
        <v>511560</v>
      </c>
      <c r="F364">
        <v>2205</v>
      </c>
      <c r="G364">
        <v>-9</v>
      </c>
      <c r="H364">
        <v>-10</v>
      </c>
      <c r="I364" t="s">
        <v>20</v>
      </c>
      <c r="J364">
        <v>5</v>
      </c>
      <c r="K364">
        <v>2</v>
      </c>
      <c r="L364">
        <v>3</v>
      </c>
      <c r="M364">
        <v>0</v>
      </c>
      <c r="N364">
        <v>0</v>
      </c>
      <c r="O364">
        <v>0</v>
      </c>
      <c r="P364">
        <v>0</v>
      </c>
      <c r="Q364">
        <v>0</v>
      </c>
      <c r="R364">
        <v>9700</v>
      </c>
      <c r="S364">
        <v>5000</v>
      </c>
      <c r="T364">
        <v>0</v>
      </c>
      <c r="U364" t="str">
        <f>IF(SeismicData[[#This Row],[class]]=1,"Dangerous","Safe")</f>
        <v>Safe</v>
      </c>
      <c r="V364" t="str">
        <f>IF(SeismicData[[#This Row],[shift]]="W","Production","Non-Production")</f>
        <v>Production</v>
      </c>
      <c r="W364" t="str">
        <f>IF(SeismicData[[#This Row],[genergy]]=0,"0","10^"&amp;INT(LOG10(SeismicData[[#This Row],[genergy]])))</f>
        <v>10^5</v>
      </c>
      <c r="X364" t="str">
        <f>IF(OR(SeismicData[[#This Row],[genergy]]&lt;$AA$6,SeismicData[[#This Row],[genergy]]&gt;$AA$5),"Outlier","Normal")</f>
        <v>Outlier</v>
      </c>
    </row>
    <row r="365" spans="1:24" x14ac:dyDescent="0.15">
      <c r="A365">
        <v>364</v>
      </c>
      <c r="B365" t="s">
        <v>20</v>
      </c>
      <c r="C365" t="s">
        <v>23</v>
      </c>
      <c r="D365" t="s">
        <v>22</v>
      </c>
      <c r="E365">
        <v>546980</v>
      </c>
      <c r="F365">
        <v>2212</v>
      </c>
      <c r="G365">
        <v>-3</v>
      </c>
      <c r="H365">
        <v>-7</v>
      </c>
      <c r="I365" t="s">
        <v>20</v>
      </c>
      <c r="J365">
        <v>1</v>
      </c>
      <c r="K365">
        <v>1</v>
      </c>
      <c r="L365">
        <v>0</v>
      </c>
      <c r="M365">
        <v>0</v>
      </c>
      <c r="N365">
        <v>0</v>
      </c>
      <c r="O365">
        <v>0</v>
      </c>
      <c r="P365">
        <v>0</v>
      </c>
      <c r="Q365">
        <v>0</v>
      </c>
      <c r="R365">
        <v>100</v>
      </c>
      <c r="S365">
        <v>100</v>
      </c>
      <c r="T365">
        <v>1</v>
      </c>
      <c r="U365" t="str">
        <f>IF(SeismicData[[#This Row],[class]]=1,"Dangerous","Safe")</f>
        <v>Dangerous</v>
      </c>
      <c r="V365" t="str">
        <f>IF(SeismicData[[#This Row],[shift]]="W","Production","Non-Production")</f>
        <v>Production</v>
      </c>
      <c r="W365" t="str">
        <f>IF(SeismicData[[#This Row],[genergy]]=0,"0","10^"&amp;INT(LOG10(SeismicData[[#This Row],[genergy]])))</f>
        <v>10^5</v>
      </c>
      <c r="X365" t="str">
        <f>IF(OR(SeismicData[[#This Row],[genergy]]&lt;$AA$6,SeismicData[[#This Row],[genergy]]&gt;$AA$5),"Outlier","Normal")</f>
        <v>Outlier</v>
      </c>
    </row>
    <row r="366" spans="1:24" x14ac:dyDescent="0.15">
      <c r="A366">
        <v>365</v>
      </c>
      <c r="B366" t="s">
        <v>23</v>
      </c>
      <c r="C366" t="s">
        <v>20</v>
      </c>
      <c r="D366" t="s">
        <v>21</v>
      </c>
      <c r="E366">
        <v>155980</v>
      </c>
      <c r="F366">
        <v>742</v>
      </c>
      <c r="G366">
        <v>65</v>
      </c>
      <c r="H366">
        <v>24</v>
      </c>
      <c r="I366" t="s">
        <v>20</v>
      </c>
      <c r="J366">
        <v>1</v>
      </c>
      <c r="K366">
        <v>0</v>
      </c>
      <c r="L366">
        <v>0</v>
      </c>
      <c r="M366">
        <v>1</v>
      </c>
      <c r="N366">
        <v>0</v>
      </c>
      <c r="O366">
        <v>0</v>
      </c>
      <c r="P366">
        <v>0</v>
      </c>
      <c r="Q366">
        <v>0</v>
      </c>
      <c r="R366">
        <v>20000</v>
      </c>
      <c r="S366">
        <v>20000</v>
      </c>
      <c r="T366">
        <v>0</v>
      </c>
      <c r="U366" t="str">
        <f>IF(SeismicData[[#This Row],[class]]=1,"Dangerous","Safe")</f>
        <v>Safe</v>
      </c>
      <c r="V366" t="str">
        <f>IF(SeismicData[[#This Row],[shift]]="W","Production","Non-Production")</f>
        <v>Non-Production</v>
      </c>
      <c r="W366" t="str">
        <f>IF(SeismicData[[#This Row],[genergy]]=0,"0","10^"&amp;INT(LOG10(SeismicData[[#This Row],[genergy]])))</f>
        <v>10^5</v>
      </c>
      <c r="X366" t="str">
        <f>IF(OR(SeismicData[[#This Row],[genergy]]&lt;$AA$6,SeismicData[[#This Row],[genergy]]&gt;$AA$5),"Outlier","Normal")</f>
        <v>Outlier</v>
      </c>
    </row>
    <row r="367" spans="1:24" x14ac:dyDescent="0.15">
      <c r="A367">
        <v>366</v>
      </c>
      <c r="B367" t="s">
        <v>23</v>
      </c>
      <c r="C367" t="s">
        <v>20</v>
      </c>
      <c r="D367" t="s">
        <v>21</v>
      </c>
      <c r="E367">
        <v>12340</v>
      </c>
      <c r="F367">
        <v>125</v>
      </c>
      <c r="G367">
        <v>-88</v>
      </c>
      <c r="H367">
        <v>-79</v>
      </c>
      <c r="I367" t="s">
        <v>20</v>
      </c>
      <c r="J367">
        <v>1</v>
      </c>
      <c r="K367">
        <v>1</v>
      </c>
      <c r="L367">
        <v>0</v>
      </c>
      <c r="M367">
        <v>0</v>
      </c>
      <c r="N367">
        <v>0</v>
      </c>
      <c r="O367">
        <v>0</v>
      </c>
      <c r="P367">
        <v>0</v>
      </c>
      <c r="Q367">
        <v>0</v>
      </c>
      <c r="R367">
        <v>400</v>
      </c>
      <c r="S367">
        <v>400</v>
      </c>
      <c r="T367">
        <v>0</v>
      </c>
      <c r="U367" t="str">
        <f>IF(SeismicData[[#This Row],[class]]=1,"Dangerous","Safe")</f>
        <v>Safe</v>
      </c>
      <c r="V367" t="str">
        <f>IF(SeismicData[[#This Row],[shift]]="W","Production","Non-Production")</f>
        <v>Non-Production</v>
      </c>
      <c r="W367" t="str">
        <f>IF(SeismicData[[#This Row],[genergy]]=0,"0","10^"&amp;INT(LOG10(SeismicData[[#This Row],[genergy]])))</f>
        <v>10^4</v>
      </c>
      <c r="X367" t="str">
        <f>IF(OR(SeismicData[[#This Row],[genergy]]&lt;$AA$6,SeismicData[[#This Row],[genergy]]&gt;$AA$5),"Outlier","Normal")</f>
        <v>Normal</v>
      </c>
    </row>
    <row r="368" spans="1:24" x14ac:dyDescent="0.15">
      <c r="A368">
        <v>367</v>
      </c>
      <c r="B368" t="s">
        <v>23</v>
      </c>
      <c r="C368" t="s">
        <v>20</v>
      </c>
      <c r="D368" t="s">
        <v>21</v>
      </c>
      <c r="E368">
        <v>5920</v>
      </c>
      <c r="F368">
        <v>82</v>
      </c>
      <c r="G368">
        <v>-94</v>
      </c>
      <c r="H368">
        <v>-85</v>
      </c>
      <c r="I368" t="s">
        <v>20</v>
      </c>
      <c r="J368">
        <v>0</v>
      </c>
      <c r="K368">
        <v>0</v>
      </c>
      <c r="L368">
        <v>0</v>
      </c>
      <c r="M368">
        <v>0</v>
      </c>
      <c r="N368">
        <v>0</v>
      </c>
      <c r="O368">
        <v>0</v>
      </c>
      <c r="P368">
        <v>0</v>
      </c>
      <c r="Q368">
        <v>0</v>
      </c>
      <c r="R368">
        <v>0</v>
      </c>
      <c r="S368">
        <v>0</v>
      </c>
      <c r="T368">
        <v>0</v>
      </c>
      <c r="U368" t="str">
        <f>IF(SeismicData[[#This Row],[class]]=1,"Dangerous","Safe")</f>
        <v>Safe</v>
      </c>
      <c r="V368" t="str">
        <f>IF(SeismicData[[#This Row],[shift]]="W","Production","Non-Production")</f>
        <v>Non-Production</v>
      </c>
      <c r="W368" t="str">
        <f>IF(SeismicData[[#This Row],[genergy]]=0,"0","10^"&amp;INT(LOG10(SeismicData[[#This Row],[genergy]])))</f>
        <v>10^3</v>
      </c>
      <c r="X368" t="str">
        <f>IF(OR(SeismicData[[#This Row],[genergy]]&lt;$AA$6,SeismicData[[#This Row],[genergy]]&gt;$AA$5),"Outlier","Normal")</f>
        <v>Normal</v>
      </c>
    </row>
    <row r="369" spans="1:24" x14ac:dyDescent="0.15">
      <c r="A369">
        <v>368</v>
      </c>
      <c r="B369" t="s">
        <v>20</v>
      </c>
      <c r="C369" t="s">
        <v>20</v>
      </c>
      <c r="D369" t="s">
        <v>21</v>
      </c>
      <c r="E369">
        <v>4150</v>
      </c>
      <c r="F369">
        <v>67</v>
      </c>
      <c r="G369">
        <v>-95</v>
      </c>
      <c r="H369">
        <v>-87</v>
      </c>
      <c r="I369" t="s">
        <v>20</v>
      </c>
      <c r="J369">
        <v>0</v>
      </c>
      <c r="K369">
        <v>0</v>
      </c>
      <c r="L369">
        <v>0</v>
      </c>
      <c r="M369">
        <v>0</v>
      </c>
      <c r="N369">
        <v>0</v>
      </c>
      <c r="O369">
        <v>0</v>
      </c>
      <c r="P369">
        <v>0</v>
      </c>
      <c r="Q369">
        <v>0</v>
      </c>
      <c r="R369">
        <v>0</v>
      </c>
      <c r="S369">
        <v>0</v>
      </c>
      <c r="T369">
        <v>0</v>
      </c>
      <c r="U369" t="str">
        <f>IF(SeismicData[[#This Row],[class]]=1,"Dangerous","Safe")</f>
        <v>Safe</v>
      </c>
      <c r="V369" t="str">
        <f>IF(SeismicData[[#This Row],[shift]]="W","Production","Non-Production")</f>
        <v>Non-Production</v>
      </c>
      <c r="W369" t="str">
        <f>IF(SeismicData[[#This Row],[genergy]]=0,"0","10^"&amp;INT(LOG10(SeismicData[[#This Row],[genergy]])))</f>
        <v>10^3</v>
      </c>
      <c r="X369" t="str">
        <f>IF(OR(SeismicData[[#This Row],[genergy]]&lt;$AA$6,SeismicData[[#This Row],[genergy]]&gt;$AA$5),"Outlier","Normal")</f>
        <v>Normal</v>
      </c>
    </row>
    <row r="370" spans="1:24" x14ac:dyDescent="0.15">
      <c r="A370">
        <v>369</v>
      </c>
      <c r="B370" t="s">
        <v>20</v>
      </c>
      <c r="C370" t="s">
        <v>20</v>
      </c>
      <c r="D370" t="s">
        <v>21</v>
      </c>
      <c r="E370">
        <v>10420</v>
      </c>
      <c r="F370">
        <v>62</v>
      </c>
      <c r="G370">
        <v>-85</v>
      </c>
      <c r="H370">
        <v>-86</v>
      </c>
      <c r="I370" t="s">
        <v>20</v>
      </c>
      <c r="J370">
        <v>1</v>
      </c>
      <c r="K370">
        <v>0</v>
      </c>
      <c r="L370">
        <v>1</v>
      </c>
      <c r="M370">
        <v>0</v>
      </c>
      <c r="N370">
        <v>0</v>
      </c>
      <c r="O370">
        <v>0</v>
      </c>
      <c r="P370">
        <v>0</v>
      </c>
      <c r="Q370">
        <v>0</v>
      </c>
      <c r="R370">
        <v>1000</v>
      </c>
      <c r="S370">
        <v>1000</v>
      </c>
      <c r="T370">
        <v>0</v>
      </c>
      <c r="U370" t="str">
        <f>IF(SeismicData[[#This Row],[class]]=1,"Dangerous","Safe")</f>
        <v>Safe</v>
      </c>
      <c r="V370" t="str">
        <f>IF(SeismicData[[#This Row],[shift]]="W","Production","Non-Production")</f>
        <v>Non-Production</v>
      </c>
      <c r="W370" t="str">
        <f>IF(SeismicData[[#This Row],[genergy]]=0,"0","10^"&amp;INT(LOG10(SeismicData[[#This Row],[genergy]])))</f>
        <v>10^4</v>
      </c>
      <c r="X370" t="str">
        <f>IF(OR(SeismicData[[#This Row],[genergy]]&lt;$AA$6,SeismicData[[#This Row],[genergy]]&gt;$AA$5),"Outlier","Normal")</f>
        <v>Normal</v>
      </c>
    </row>
    <row r="371" spans="1:24" x14ac:dyDescent="0.15">
      <c r="A371">
        <v>370</v>
      </c>
      <c r="B371" t="s">
        <v>20</v>
      </c>
      <c r="C371" t="s">
        <v>20</v>
      </c>
      <c r="D371" t="s">
        <v>21</v>
      </c>
      <c r="E371">
        <v>2970</v>
      </c>
      <c r="F371">
        <v>50</v>
      </c>
      <c r="G371">
        <v>-95</v>
      </c>
      <c r="H371">
        <v>-87</v>
      </c>
      <c r="I371" t="s">
        <v>20</v>
      </c>
      <c r="J371">
        <v>0</v>
      </c>
      <c r="K371">
        <v>0</v>
      </c>
      <c r="L371">
        <v>0</v>
      </c>
      <c r="M371">
        <v>0</v>
      </c>
      <c r="N371">
        <v>0</v>
      </c>
      <c r="O371">
        <v>0</v>
      </c>
      <c r="P371">
        <v>0</v>
      </c>
      <c r="Q371">
        <v>0</v>
      </c>
      <c r="R371">
        <v>0</v>
      </c>
      <c r="S371">
        <v>0</v>
      </c>
      <c r="T371">
        <v>0</v>
      </c>
      <c r="U371" t="str">
        <f>IF(SeismicData[[#This Row],[class]]=1,"Dangerous","Safe")</f>
        <v>Safe</v>
      </c>
      <c r="V371" t="str">
        <f>IF(SeismicData[[#This Row],[shift]]="W","Production","Non-Production")</f>
        <v>Non-Production</v>
      </c>
      <c r="W371" t="str">
        <f>IF(SeismicData[[#This Row],[genergy]]=0,"0","10^"&amp;INT(LOG10(SeismicData[[#This Row],[genergy]])))</f>
        <v>10^3</v>
      </c>
      <c r="X371" t="str">
        <f>IF(OR(SeismicData[[#This Row],[genergy]]&lt;$AA$6,SeismicData[[#This Row],[genergy]]&gt;$AA$5),"Outlier","Normal")</f>
        <v>Normal</v>
      </c>
    </row>
    <row r="372" spans="1:24" x14ac:dyDescent="0.15">
      <c r="A372">
        <v>371</v>
      </c>
      <c r="B372" t="s">
        <v>20</v>
      </c>
      <c r="C372" t="s">
        <v>20</v>
      </c>
      <c r="D372" t="s">
        <v>21</v>
      </c>
      <c r="E372">
        <v>4230</v>
      </c>
      <c r="F372">
        <v>48</v>
      </c>
      <c r="G372">
        <v>-92</v>
      </c>
      <c r="H372">
        <v>-85</v>
      </c>
      <c r="I372" t="s">
        <v>20</v>
      </c>
      <c r="J372">
        <v>0</v>
      </c>
      <c r="K372">
        <v>0</v>
      </c>
      <c r="L372">
        <v>0</v>
      </c>
      <c r="M372">
        <v>0</v>
      </c>
      <c r="N372">
        <v>0</v>
      </c>
      <c r="O372">
        <v>0</v>
      </c>
      <c r="P372">
        <v>0</v>
      </c>
      <c r="Q372">
        <v>0</v>
      </c>
      <c r="R372">
        <v>0</v>
      </c>
      <c r="S372">
        <v>0</v>
      </c>
      <c r="T372">
        <v>0</v>
      </c>
      <c r="U372" t="str">
        <f>IF(SeismicData[[#This Row],[class]]=1,"Dangerous","Safe")</f>
        <v>Safe</v>
      </c>
      <c r="V372" t="str">
        <f>IF(SeismicData[[#This Row],[shift]]="W","Production","Non-Production")</f>
        <v>Non-Production</v>
      </c>
      <c r="W372" t="str">
        <f>IF(SeismicData[[#This Row],[genergy]]=0,"0","10^"&amp;INT(LOG10(SeismicData[[#This Row],[genergy]])))</f>
        <v>10^3</v>
      </c>
      <c r="X372" t="str">
        <f>IF(OR(SeismicData[[#This Row],[genergy]]&lt;$AA$6,SeismicData[[#This Row],[genergy]]&gt;$AA$5),"Outlier","Normal")</f>
        <v>Normal</v>
      </c>
    </row>
    <row r="373" spans="1:24" x14ac:dyDescent="0.15">
      <c r="A373">
        <v>372</v>
      </c>
      <c r="B373" t="s">
        <v>20</v>
      </c>
      <c r="C373" t="s">
        <v>20</v>
      </c>
      <c r="D373" t="s">
        <v>21</v>
      </c>
      <c r="E373">
        <v>3210</v>
      </c>
      <c r="F373">
        <v>47</v>
      </c>
      <c r="G373">
        <v>-93</v>
      </c>
      <c r="H373">
        <v>-82</v>
      </c>
      <c r="I373" t="s">
        <v>20</v>
      </c>
      <c r="J373">
        <v>0</v>
      </c>
      <c r="K373">
        <v>0</v>
      </c>
      <c r="L373">
        <v>0</v>
      </c>
      <c r="M373">
        <v>0</v>
      </c>
      <c r="N373">
        <v>0</v>
      </c>
      <c r="O373">
        <v>0</v>
      </c>
      <c r="P373">
        <v>0</v>
      </c>
      <c r="Q373">
        <v>0</v>
      </c>
      <c r="R373">
        <v>0</v>
      </c>
      <c r="S373">
        <v>0</v>
      </c>
      <c r="T373">
        <v>0</v>
      </c>
      <c r="U373" t="str">
        <f>IF(SeismicData[[#This Row],[class]]=1,"Dangerous","Safe")</f>
        <v>Safe</v>
      </c>
      <c r="V373" t="str">
        <f>IF(SeismicData[[#This Row],[shift]]="W","Production","Non-Production")</f>
        <v>Non-Production</v>
      </c>
      <c r="W373" t="str">
        <f>IF(SeismicData[[#This Row],[genergy]]=0,"0","10^"&amp;INT(LOG10(SeismicData[[#This Row],[genergy]])))</f>
        <v>10^3</v>
      </c>
      <c r="X373" t="str">
        <f>IF(OR(SeismicData[[#This Row],[genergy]]&lt;$AA$6,SeismicData[[#This Row],[genergy]]&gt;$AA$5),"Outlier","Normal")</f>
        <v>Normal</v>
      </c>
    </row>
    <row r="374" spans="1:24" x14ac:dyDescent="0.15">
      <c r="A374">
        <v>373</v>
      </c>
      <c r="B374" t="s">
        <v>20</v>
      </c>
      <c r="C374" t="s">
        <v>20</v>
      </c>
      <c r="D374" t="s">
        <v>21</v>
      </c>
      <c r="E374">
        <v>3550</v>
      </c>
      <c r="F374">
        <v>38</v>
      </c>
      <c r="G374">
        <v>-89</v>
      </c>
      <c r="H374">
        <v>-82</v>
      </c>
      <c r="I374" t="s">
        <v>20</v>
      </c>
      <c r="J374">
        <v>0</v>
      </c>
      <c r="K374">
        <v>0</v>
      </c>
      <c r="L374">
        <v>0</v>
      </c>
      <c r="M374">
        <v>0</v>
      </c>
      <c r="N374">
        <v>0</v>
      </c>
      <c r="O374">
        <v>0</v>
      </c>
      <c r="P374">
        <v>0</v>
      </c>
      <c r="Q374">
        <v>0</v>
      </c>
      <c r="R374">
        <v>0</v>
      </c>
      <c r="S374">
        <v>0</v>
      </c>
      <c r="T374">
        <v>0</v>
      </c>
      <c r="U374" t="str">
        <f>IF(SeismicData[[#This Row],[class]]=1,"Dangerous","Safe")</f>
        <v>Safe</v>
      </c>
      <c r="V374" t="str">
        <f>IF(SeismicData[[#This Row],[shift]]="W","Production","Non-Production")</f>
        <v>Non-Production</v>
      </c>
      <c r="W374" t="str">
        <f>IF(SeismicData[[#This Row],[genergy]]=0,"0","10^"&amp;INT(LOG10(SeismicData[[#This Row],[genergy]])))</f>
        <v>10^3</v>
      </c>
      <c r="X374" t="str">
        <f>IF(OR(SeismicData[[#This Row],[genergy]]&lt;$AA$6,SeismicData[[#This Row],[genergy]]&gt;$AA$5),"Outlier","Normal")</f>
        <v>Normal</v>
      </c>
    </row>
    <row r="375" spans="1:24" x14ac:dyDescent="0.15">
      <c r="A375">
        <v>374</v>
      </c>
      <c r="B375" t="s">
        <v>20</v>
      </c>
      <c r="C375" t="s">
        <v>20</v>
      </c>
      <c r="D375" t="s">
        <v>21</v>
      </c>
      <c r="E375">
        <v>3170</v>
      </c>
      <c r="F375">
        <v>36</v>
      </c>
      <c r="G375">
        <v>-88</v>
      </c>
      <c r="H375">
        <v>-79</v>
      </c>
      <c r="I375" t="s">
        <v>20</v>
      </c>
      <c r="J375">
        <v>0</v>
      </c>
      <c r="K375">
        <v>0</v>
      </c>
      <c r="L375">
        <v>0</v>
      </c>
      <c r="M375">
        <v>0</v>
      </c>
      <c r="N375">
        <v>0</v>
      </c>
      <c r="O375">
        <v>0</v>
      </c>
      <c r="P375">
        <v>0</v>
      </c>
      <c r="Q375">
        <v>0</v>
      </c>
      <c r="R375">
        <v>0</v>
      </c>
      <c r="S375">
        <v>0</v>
      </c>
      <c r="T375">
        <v>0</v>
      </c>
      <c r="U375" t="str">
        <f>IF(SeismicData[[#This Row],[class]]=1,"Dangerous","Safe")</f>
        <v>Safe</v>
      </c>
      <c r="V375" t="str">
        <f>IF(SeismicData[[#This Row],[shift]]="W","Production","Non-Production")</f>
        <v>Non-Production</v>
      </c>
      <c r="W375" t="str">
        <f>IF(SeismicData[[#This Row],[genergy]]=0,"0","10^"&amp;INT(LOG10(SeismicData[[#This Row],[genergy]])))</f>
        <v>10^3</v>
      </c>
      <c r="X375" t="str">
        <f>IF(OR(SeismicData[[#This Row],[genergy]]&lt;$AA$6,SeismicData[[#This Row],[genergy]]&gt;$AA$5),"Outlier","Normal")</f>
        <v>Normal</v>
      </c>
    </row>
    <row r="376" spans="1:24" x14ac:dyDescent="0.15">
      <c r="A376">
        <v>375</v>
      </c>
      <c r="B376" t="s">
        <v>20</v>
      </c>
      <c r="C376" t="s">
        <v>20</v>
      </c>
      <c r="D376" t="s">
        <v>21</v>
      </c>
      <c r="E376">
        <v>4490</v>
      </c>
      <c r="F376">
        <v>35</v>
      </c>
      <c r="G376">
        <v>-78</v>
      </c>
      <c r="H376">
        <v>-73</v>
      </c>
      <c r="I376" t="s">
        <v>20</v>
      </c>
      <c r="J376">
        <v>0</v>
      </c>
      <c r="K376">
        <v>0</v>
      </c>
      <c r="L376">
        <v>0</v>
      </c>
      <c r="M376">
        <v>0</v>
      </c>
      <c r="N376">
        <v>0</v>
      </c>
      <c r="O376">
        <v>0</v>
      </c>
      <c r="P376">
        <v>0</v>
      </c>
      <c r="Q376">
        <v>0</v>
      </c>
      <c r="R376">
        <v>0</v>
      </c>
      <c r="S376">
        <v>0</v>
      </c>
      <c r="T376">
        <v>0</v>
      </c>
      <c r="U376" t="str">
        <f>IF(SeismicData[[#This Row],[class]]=1,"Dangerous","Safe")</f>
        <v>Safe</v>
      </c>
      <c r="V376" t="str">
        <f>IF(SeismicData[[#This Row],[shift]]="W","Production","Non-Production")</f>
        <v>Non-Production</v>
      </c>
      <c r="W376" t="str">
        <f>IF(SeismicData[[#This Row],[genergy]]=0,"0","10^"&amp;INT(LOG10(SeismicData[[#This Row],[genergy]])))</f>
        <v>10^3</v>
      </c>
      <c r="X376" t="str">
        <f>IF(OR(SeismicData[[#This Row],[genergy]]&lt;$AA$6,SeismicData[[#This Row],[genergy]]&gt;$AA$5),"Outlier","Normal")</f>
        <v>Normal</v>
      </c>
    </row>
    <row r="377" spans="1:24" x14ac:dyDescent="0.15">
      <c r="A377">
        <v>376</v>
      </c>
      <c r="B377" t="s">
        <v>20</v>
      </c>
      <c r="C377" t="s">
        <v>20</v>
      </c>
      <c r="D377" t="s">
        <v>21</v>
      </c>
      <c r="E377">
        <v>8790</v>
      </c>
      <c r="F377">
        <v>53</v>
      </c>
      <c r="G377">
        <v>-91</v>
      </c>
      <c r="H377">
        <v>-91</v>
      </c>
      <c r="I377" t="s">
        <v>20</v>
      </c>
      <c r="J377">
        <v>1</v>
      </c>
      <c r="K377">
        <v>0</v>
      </c>
      <c r="L377">
        <v>1</v>
      </c>
      <c r="M377">
        <v>0</v>
      </c>
      <c r="N377">
        <v>0</v>
      </c>
      <c r="O377">
        <v>0</v>
      </c>
      <c r="P377">
        <v>0</v>
      </c>
      <c r="Q377">
        <v>0</v>
      </c>
      <c r="R377">
        <v>3000</v>
      </c>
      <c r="S377">
        <v>3000</v>
      </c>
      <c r="T377">
        <v>0</v>
      </c>
      <c r="U377" t="str">
        <f>IF(SeismicData[[#This Row],[class]]=1,"Dangerous","Safe")</f>
        <v>Safe</v>
      </c>
      <c r="V377" t="str">
        <f>IF(SeismicData[[#This Row],[shift]]="W","Production","Non-Production")</f>
        <v>Non-Production</v>
      </c>
      <c r="W377" t="str">
        <f>IF(SeismicData[[#This Row],[genergy]]=0,"0","10^"&amp;INT(LOG10(SeismicData[[#This Row],[genergy]])))</f>
        <v>10^3</v>
      </c>
      <c r="X377" t="str">
        <f>IF(OR(SeismicData[[#This Row],[genergy]]&lt;$AA$6,SeismicData[[#This Row],[genergy]]&gt;$AA$5),"Outlier","Normal")</f>
        <v>Normal</v>
      </c>
    </row>
    <row r="378" spans="1:24" x14ac:dyDescent="0.15">
      <c r="A378">
        <v>377</v>
      </c>
      <c r="B378" t="s">
        <v>20</v>
      </c>
      <c r="C378" t="s">
        <v>20</v>
      </c>
      <c r="D378" t="s">
        <v>22</v>
      </c>
      <c r="E378">
        <v>55730</v>
      </c>
      <c r="F378">
        <v>387</v>
      </c>
      <c r="G378">
        <v>-89</v>
      </c>
      <c r="H378">
        <v>-87</v>
      </c>
      <c r="I378" t="s">
        <v>20</v>
      </c>
      <c r="J378">
        <v>3</v>
      </c>
      <c r="K378">
        <v>2</v>
      </c>
      <c r="L378">
        <v>1</v>
      </c>
      <c r="M378">
        <v>0</v>
      </c>
      <c r="N378">
        <v>0</v>
      </c>
      <c r="O378">
        <v>0</v>
      </c>
      <c r="P378">
        <v>0</v>
      </c>
      <c r="Q378">
        <v>0</v>
      </c>
      <c r="R378">
        <v>9600</v>
      </c>
      <c r="S378">
        <v>8000</v>
      </c>
      <c r="T378">
        <v>1</v>
      </c>
      <c r="U378" t="str">
        <f>IF(SeismicData[[#This Row],[class]]=1,"Dangerous","Safe")</f>
        <v>Dangerous</v>
      </c>
      <c r="V378" t="str">
        <f>IF(SeismicData[[#This Row],[shift]]="W","Production","Non-Production")</f>
        <v>Production</v>
      </c>
      <c r="W378" t="str">
        <f>IF(SeismicData[[#This Row],[genergy]]=0,"0","10^"&amp;INT(LOG10(SeismicData[[#This Row],[genergy]])))</f>
        <v>10^4</v>
      </c>
      <c r="X378" t="str">
        <f>IF(OR(SeismicData[[#This Row],[genergy]]&lt;$AA$6,SeismicData[[#This Row],[genergy]]&gt;$AA$5),"Outlier","Normal")</f>
        <v>Normal</v>
      </c>
    </row>
    <row r="379" spans="1:24" x14ac:dyDescent="0.15">
      <c r="A379">
        <v>378</v>
      </c>
      <c r="B379" t="s">
        <v>23</v>
      </c>
      <c r="C379" t="s">
        <v>20</v>
      </c>
      <c r="D379" t="s">
        <v>22</v>
      </c>
      <c r="E379">
        <v>94740</v>
      </c>
      <c r="F379">
        <v>732</v>
      </c>
      <c r="G379">
        <v>-79</v>
      </c>
      <c r="H379">
        <v>-73</v>
      </c>
      <c r="I379" t="s">
        <v>20</v>
      </c>
      <c r="J379">
        <v>3</v>
      </c>
      <c r="K379">
        <v>2</v>
      </c>
      <c r="L379">
        <v>0</v>
      </c>
      <c r="M379">
        <v>1</v>
      </c>
      <c r="N379">
        <v>0</v>
      </c>
      <c r="O379">
        <v>0</v>
      </c>
      <c r="P379">
        <v>0</v>
      </c>
      <c r="Q379">
        <v>0</v>
      </c>
      <c r="R379">
        <v>21000</v>
      </c>
      <c r="S379">
        <v>20000</v>
      </c>
      <c r="T379">
        <v>0</v>
      </c>
      <c r="U379" t="str">
        <f>IF(SeismicData[[#This Row],[class]]=1,"Dangerous","Safe")</f>
        <v>Safe</v>
      </c>
      <c r="V379" t="str">
        <f>IF(SeismicData[[#This Row],[shift]]="W","Production","Non-Production")</f>
        <v>Production</v>
      </c>
      <c r="W379" t="str">
        <f>IF(SeismicData[[#This Row],[genergy]]=0,"0","10^"&amp;INT(LOG10(SeismicData[[#This Row],[genergy]])))</f>
        <v>10^4</v>
      </c>
      <c r="X379" t="str">
        <f>IF(OR(SeismicData[[#This Row],[genergy]]&lt;$AA$6,SeismicData[[#This Row],[genergy]]&gt;$AA$5),"Outlier","Normal")</f>
        <v>Normal</v>
      </c>
    </row>
    <row r="380" spans="1:24" x14ac:dyDescent="0.15">
      <c r="A380">
        <v>379</v>
      </c>
      <c r="B380" t="s">
        <v>23</v>
      </c>
      <c r="C380" t="s">
        <v>20</v>
      </c>
      <c r="D380" t="s">
        <v>22</v>
      </c>
      <c r="E380">
        <v>91510</v>
      </c>
      <c r="F380">
        <v>768</v>
      </c>
      <c r="G380">
        <v>-78</v>
      </c>
      <c r="H380">
        <v>-69</v>
      </c>
      <c r="I380" t="s">
        <v>20</v>
      </c>
      <c r="J380">
        <v>3</v>
      </c>
      <c r="K380">
        <v>2</v>
      </c>
      <c r="L380">
        <v>1</v>
      </c>
      <c r="M380">
        <v>0</v>
      </c>
      <c r="N380">
        <v>0</v>
      </c>
      <c r="O380">
        <v>0</v>
      </c>
      <c r="P380">
        <v>0</v>
      </c>
      <c r="Q380">
        <v>0</v>
      </c>
      <c r="R380">
        <v>5900</v>
      </c>
      <c r="S380">
        <v>5000</v>
      </c>
      <c r="T380">
        <v>1</v>
      </c>
      <c r="U380" t="str">
        <f>IF(SeismicData[[#This Row],[class]]=1,"Dangerous","Safe")</f>
        <v>Dangerous</v>
      </c>
      <c r="V380" t="str">
        <f>IF(SeismicData[[#This Row],[shift]]="W","Production","Non-Production")</f>
        <v>Production</v>
      </c>
      <c r="W380" t="str">
        <f>IF(SeismicData[[#This Row],[genergy]]=0,"0","10^"&amp;INT(LOG10(SeismicData[[#This Row],[genergy]])))</f>
        <v>10^4</v>
      </c>
      <c r="X380" t="str">
        <f>IF(OR(SeismicData[[#This Row],[genergy]]&lt;$AA$6,SeismicData[[#This Row],[genergy]]&gt;$AA$5),"Outlier","Normal")</f>
        <v>Normal</v>
      </c>
    </row>
    <row r="381" spans="1:24" x14ac:dyDescent="0.15">
      <c r="A381">
        <v>380</v>
      </c>
      <c r="B381" t="s">
        <v>23</v>
      </c>
      <c r="C381" t="s">
        <v>20</v>
      </c>
      <c r="D381" t="s">
        <v>22</v>
      </c>
      <c r="E381">
        <v>92450</v>
      </c>
      <c r="F381">
        <v>777</v>
      </c>
      <c r="G381">
        <v>15</v>
      </c>
      <c r="H381">
        <v>24</v>
      </c>
      <c r="I381" t="s">
        <v>20</v>
      </c>
      <c r="J381">
        <v>4</v>
      </c>
      <c r="K381">
        <v>1</v>
      </c>
      <c r="L381">
        <v>2</v>
      </c>
      <c r="M381">
        <v>1</v>
      </c>
      <c r="N381">
        <v>0</v>
      </c>
      <c r="O381">
        <v>0</v>
      </c>
      <c r="P381">
        <v>0</v>
      </c>
      <c r="Q381">
        <v>0</v>
      </c>
      <c r="R381">
        <v>27600</v>
      </c>
      <c r="S381">
        <v>10000</v>
      </c>
      <c r="T381">
        <v>0</v>
      </c>
      <c r="U381" t="str">
        <f>IF(SeismicData[[#This Row],[class]]=1,"Dangerous","Safe")</f>
        <v>Safe</v>
      </c>
      <c r="V381" t="str">
        <f>IF(SeismicData[[#This Row],[shift]]="W","Production","Non-Production")</f>
        <v>Production</v>
      </c>
      <c r="W381" t="str">
        <f>IF(SeismicData[[#This Row],[genergy]]=0,"0","10^"&amp;INT(LOG10(SeismicData[[#This Row],[genergy]])))</f>
        <v>10^4</v>
      </c>
      <c r="X381" t="str">
        <f>IF(OR(SeismicData[[#This Row],[genergy]]&lt;$AA$6,SeismicData[[#This Row],[genergy]]&gt;$AA$5),"Outlier","Normal")</f>
        <v>Normal</v>
      </c>
    </row>
    <row r="382" spans="1:24" x14ac:dyDescent="0.15">
      <c r="A382">
        <v>381</v>
      </c>
      <c r="B382" t="s">
        <v>20</v>
      </c>
      <c r="C382" t="s">
        <v>20</v>
      </c>
      <c r="D382" t="s">
        <v>22</v>
      </c>
      <c r="E382">
        <v>189840</v>
      </c>
      <c r="F382">
        <v>1276</v>
      </c>
      <c r="G382">
        <v>-50</v>
      </c>
      <c r="H382">
        <v>-45</v>
      </c>
      <c r="I382" t="s">
        <v>20</v>
      </c>
      <c r="J382">
        <v>6</v>
      </c>
      <c r="K382">
        <v>1</v>
      </c>
      <c r="L382">
        <v>5</v>
      </c>
      <c r="M382">
        <v>0</v>
      </c>
      <c r="N382">
        <v>0</v>
      </c>
      <c r="O382">
        <v>0</v>
      </c>
      <c r="P382">
        <v>0</v>
      </c>
      <c r="Q382">
        <v>0</v>
      </c>
      <c r="R382">
        <v>17900</v>
      </c>
      <c r="S382">
        <v>7000</v>
      </c>
      <c r="T382">
        <v>1</v>
      </c>
      <c r="U382" t="str">
        <f>IF(SeismicData[[#This Row],[class]]=1,"Dangerous","Safe")</f>
        <v>Dangerous</v>
      </c>
      <c r="V382" t="str">
        <f>IF(SeismicData[[#This Row],[shift]]="W","Production","Non-Production")</f>
        <v>Production</v>
      </c>
      <c r="W382" t="str">
        <f>IF(SeismicData[[#This Row],[genergy]]=0,"0","10^"&amp;INT(LOG10(SeismicData[[#This Row],[genergy]])))</f>
        <v>10^5</v>
      </c>
      <c r="X382" t="str">
        <f>IF(OR(SeismicData[[#This Row],[genergy]]&lt;$AA$6,SeismicData[[#This Row],[genergy]]&gt;$AA$5),"Outlier","Normal")</f>
        <v>Outlier</v>
      </c>
    </row>
    <row r="383" spans="1:24" x14ac:dyDescent="0.15">
      <c r="A383">
        <v>382</v>
      </c>
      <c r="B383" t="s">
        <v>23</v>
      </c>
      <c r="C383" t="s">
        <v>20</v>
      </c>
      <c r="D383" t="s">
        <v>22</v>
      </c>
      <c r="E383">
        <v>108010</v>
      </c>
      <c r="F383">
        <v>889</v>
      </c>
      <c r="G383">
        <v>-70</v>
      </c>
      <c r="H383">
        <v>-60</v>
      </c>
      <c r="I383" t="s">
        <v>20</v>
      </c>
      <c r="J383">
        <v>4</v>
      </c>
      <c r="K383">
        <v>1</v>
      </c>
      <c r="L383">
        <v>2</v>
      </c>
      <c r="M383">
        <v>1</v>
      </c>
      <c r="N383">
        <v>0</v>
      </c>
      <c r="O383">
        <v>0</v>
      </c>
      <c r="P383">
        <v>0</v>
      </c>
      <c r="Q383">
        <v>0</v>
      </c>
      <c r="R383">
        <v>41200</v>
      </c>
      <c r="S383">
        <v>30000</v>
      </c>
      <c r="T383">
        <v>0</v>
      </c>
      <c r="U383" t="str">
        <f>IF(SeismicData[[#This Row],[class]]=1,"Dangerous","Safe")</f>
        <v>Safe</v>
      </c>
      <c r="V383" t="str">
        <f>IF(SeismicData[[#This Row],[shift]]="W","Production","Non-Production")</f>
        <v>Production</v>
      </c>
      <c r="W383" t="str">
        <f>IF(SeismicData[[#This Row],[genergy]]=0,"0","10^"&amp;INT(LOG10(SeismicData[[#This Row],[genergy]])))</f>
        <v>10^5</v>
      </c>
      <c r="X383" t="str">
        <f>IF(OR(SeismicData[[#This Row],[genergy]]&lt;$AA$6,SeismicData[[#This Row],[genergy]]&gt;$AA$5),"Outlier","Normal")</f>
        <v>Normal</v>
      </c>
    </row>
    <row r="384" spans="1:24" x14ac:dyDescent="0.15">
      <c r="A384">
        <v>383</v>
      </c>
      <c r="B384" t="s">
        <v>23</v>
      </c>
      <c r="C384" t="s">
        <v>20</v>
      </c>
      <c r="D384" t="s">
        <v>22</v>
      </c>
      <c r="E384">
        <v>71660</v>
      </c>
      <c r="F384">
        <v>532</v>
      </c>
      <c r="G384">
        <v>-78</v>
      </c>
      <c r="H384">
        <v>-74</v>
      </c>
      <c r="I384" t="s">
        <v>20</v>
      </c>
      <c r="J384">
        <v>2</v>
      </c>
      <c r="K384">
        <v>1</v>
      </c>
      <c r="L384">
        <v>1</v>
      </c>
      <c r="M384">
        <v>0</v>
      </c>
      <c r="N384">
        <v>0</v>
      </c>
      <c r="O384">
        <v>0</v>
      </c>
      <c r="P384">
        <v>0</v>
      </c>
      <c r="Q384">
        <v>0</v>
      </c>
      <c r="R384">
        <v>2800</v>
      </c>
      <c r="S384">
        <v>2000</v>
      </c>
      <c r="T384">
        <v>0</v>
      </c>
      <c r="U384" t="str">
        <f>IF(SeismicData[[#This Row],[class]]=1,"Dangerous","Safe")</f>
        <v>Safe</v>
      </c>
      <c r="V384" t="str">
        <f>IF(SeismicData[[#This Row],[shift]]="W","Production","Non-Production")</f>
        <v>Production</v>
      </c>
      <c r="W384" t="str">
        <f>IF(SeismicData[[#This Row],[genergy]]=0,"0","10^"&amp;INT(LOG10(SeismicData[[#This Row],[genergy]])))</f>
        <v>10^4</v>
      </c>
      <c r="X384" t="str">
        <f>IF(OR(SeismicData[[#This Row],[genergy]]&lt;$AA$6,SeismicData[[#This Row],[genergy]]&gt;$AA$5),"Outlier","Normal")</f>
        <v>Normal</v>
      </c>
    </row>
    <row r="385" spans="1:24" x14ac:dyDescent="0.15">
      <c r="A385">
        <v>384</v>
      </c>
      <c r="B385" t="s">
        <v>23</v>
      </c>
      <c r="C385" t="s">
        <v>20</v>
      </c>
      <c r="D385" t="s">
        <v>22</v>
      </c>
      <c r="E385">
        <v>122850</v>
      </c>
      <c r="F385">
        <v>886</v>
      </c>
      <c r="G385">
        <v>-58</v>
      </c>
      <c r="H385">
        <v>-52</v>
      </c>
      <c r="I385" t="s">
        <v>20</v>
      </c>
      <c r="J385">
        <v>3</v>
      </c>
      <c r="K385">
        <v>2</v>
      </c>
      <c r="L385">
        <v>1</v>
      </c>
      <c r="M385">
        <v>0</v>
      </c>
      <c r="N385">
        <v>0</v>
      </c>
      <c r="O385">
        <v>0</v>
      </c>
      <c r="P385">
        <v>0</v>
      </c>
      <c r="Q385">
        <v>0</v>
      </c>
      <c r="R385">
        <v>6900</v>
      </c>
      <c r="S385">
        <v>6000</v>
      </c>
      <c r="T385">
        <v>1</v>
      </c>
      <c r="U385" t="str">
        <f>IF(SeismicData[[#This Row],[class]]=1,"Dangerous","Safe")</f>
        <v>Dangerous</v>
      </c>
      <c r="V385" t="str">
        <f>IF(SeismicData[[#This Row],[shift]]="W","Production","Non-Production")</f>
        <v>Production</v>
      </c>
      <c r="W385" t="str">
        <f>IF(SeismicData[[#This Row],[genergy]]=0,"0","10^"&amp;INT(LOG10(SeismicData[[#This Row],[genergy]])))</f>
        <v>10^5</v>
      </c>
      <c r="X385" t="str">
        <f>IF(OR(SeismicData[[#This Row],[genergy]]&lt;$AA$6,SeismicData[[#This Row],[genergy]]&gt;$AA$5),"Outlier","Normal")</f>
        <v>Outlier</v>
      </c>
    </row>
    <row r="386" spans="1:24" x14ac:dyDescent="0.15">
      <c r="A386">
        <v>385</v>
      </c>
      <c r="B386" t="s">
        <v>23</v>
      </c>
      <c r="C386" t="s">
        <v>20</v>
      </c>
      <c r="D386" t="s">
        <v>22</v>
      </c>
      <c r="E386">
        <v>110510</v>
      </c>
      <c r="F386">
        <v>708</v>
      </c>
      <c r="G386">
        <v>-58</v>
      </c>
      <c r="H386">
        <v>-58</v>
      </c>
      <c r="I386" t="s">
        <v>20</v>
      </c>
      <c r="J386">
        <v>4</v>
      </c>
      <c r="K386">
        <v>2</v>
      </c>
      <c r="L386">
        <v>1</v>
      </c>
      <c r="M386">
        <v>1</v>
      </c>
      <c r="N386">
        <v>0</v>
      </c>
      <c r="O386">
        <v>0</v>
      </c>
      <c r="P386">
        <v>0</v>
      </c>
      <c r="Q386">
        <v>0</v>
      </c>
      <c r="R386">
        <v>44200</v>
      </c>
      <c r="S386">
        <v>40000</v>
      </c>
      <c r="T386">
        <v>0</v>
      </c>
      <c r="U386" t="str">
        <f>IF(SeismicData[[#This Row],[class]]=1,"Dangerous","Safe")</f>
        <v>Safe</v>
      </c>
      <c r="V386" t="str">
        <f>IF(SeismicData[[#This Row],[shift]]="W","Production","Non-Production")</f>
        <v>Production</v>
      </c>
      <c r="W386" t="str">
        <f>IF(SeismicData[[#This Row],[genergy]]=0,"0","10^"&amp;INT(LOG10(SeismicData[[#This Row],[genergy]])))</f>
        <v>10^5</v>
      </c>
      <c r="X386" t="str">
        <f>IF(OR(SeismicData[[#This Row],[genergy]]&lt;$AA$6,SeismicData[[#This Row],[genergy]]&gt;$AA$5),"Outlier","Normal")</f>
        <v>Normal</v>
      </c>
    </row>
    <row r="387" spans="1:24" x14ac:dyDescent="0.15">
      <c r="A387">
        <v>386</v>
      </c>
      <c r="B387" t="s">
        <v>23</v>
      </c>
      <c r="C387" t="s">
        <v>20</v>
      </c>
      <c r="D387" t="s">
        <v>22</v>
      </c>
      <c r="E387">
        <v>91420</v>
      </c>
      <c r="F387">
        <v>774</v>
      </c>
      <c r="G387">
        <v>-61</v>
      </c>
      <c r="H387">
        <v>-49</v>
      </c>
      <c r="I387" t="s">
        <v>20</v>
      </c>
      <c r="J387">
        <v>4</v>
      </c>
      <c r="K387">
        <v>1</v>
      </c>
      <c r="L387">
        <v>3</v>
      </c>
      <c r="M387">
        <v>0</v>
      </c>
      <c r="N387">
        <v>0</v>
      </c>
      <c r="O387">
        <v>0</v>
      </c>
      <c r="P387">
        <v>0</v>
      </c>
      <c r="Q387">
        <v>0</v>
      </c>
      <c r="R387">
        <v>12700</v>
      </c>
      <c r="S387">
        <v>9000</v>
      </c>
      <c r="T387">
        <v>1</v>
      </c>
      <c r="U387" t="str">
        <f>IF(SeismicData[[#This Row],[class]]=1,"Dangerous","Safe")</f>
        <v>Dangerous</v>
      </c>
      <c r="V387" t="str">
        <f>IF(SeismicData[[#This Row],[shift]]="W","Production","Non-Production")</f>
        <v>Production</v>
      </c>
      <c r="W387" t="str">
        <f>IF(SeismicData[[#This Row],[genergy]]=0,"0","10^"&amp;INT(LOG10(SeismicData[[#This Row],[genergy]])))</f>
        <v>10^4</v>
      </c>
      <c r="X387" t="str">
        <f>IF(OR(SeismicData[[#This Row],[genergy]]&lt;$AA$6,SeismicData[[#This Row],[genergy]]&gt;$AA$5),"Outlier","Normal")</f>
        <v>Normal</v>
      </c>
    </row>
    <row r="388" spans="1:24" x14ac:dyDescent="0.15">
      <c r="A388">
        <v>387</v>
      </c>
      <c r="B388" t="s">
        <v>23</v>
      </c>
      <c r="C388" t="s">
        <v>20</v>
      </c>
      <c r="D388" t="s">
        <v>22</v>
      </c>
      <c r="E388">
        <v>151660</v>
      </c>
      <c r="F388">
        <v>900</v>
      </c>
      <c r="G388">
        <v>-25</v>
      </c>
      <c r="H388">
        <v>-33</v>
      </c>
      <c r="I388" t="s">
        <v>20</v>
      </c>
      <c r="J388">
        <v>7</v>
      </c>
      <c r="K388">
        <v>2</v>
      </c>
      <c r="L388">
        <v>3</v>
      </c>
      <c r="M388">
        <v>2</v>
      </c>
      <c r="N388">
        <v>0</v>
      </c>
      <c r="O388">
        <v>0</v>
      </c>
      <c r="P388">
        <v>0</v>
      </c>
      <c r="Q388">
        <v>0</v>
      </c>
      <c r="R388">
        <v>67700</v>
      </c>
      <c r="S388">
        <v>30000</v>
      </c>
      <c r="T388">
        <v>0</v>
      </c>
      <c r="U388" t="str">
        <f>IF(SeismicData[[#This Row],[class]]=1,"Dangerous","Safe")</f>
        <v>Safe</v>
      </c>
      <c r="V388" t="str">
        <f>IF(SeismicData[[#This Row],[shift]]="W","Production","Non-Production")</f>
        <v>Production</v>
      </c>
      <c r="W388" t="str">
        <f>IF(SeismicData[[#This Row],[genergy]]=0,"0","10^"&amp;INT(LOG10(SeismicData[[#This Row],[genergy]])))</f>
        <v>10^5</v>
      </c>
      <c r="X388" t="str">
        <f>IF(OR(SeismicData[[#This Row],[genergy]]&lt;$AA$6,SeismicData[[#This Row],[genergy]]&gt;$AA$5),"Outlier","Normal")</f>
        <v>Outlier</v>
      </c>
    </row>
    <row r="389" spans="1:24" x14ac:dyDescent="0.15">
      <c r="A389">
        <v>388</v>
      </c>
      <c r="B389" t="s">
        <v>23</v>
      </c>
      <c r="C389" t="s">
        <v>20</v>
      </c>
      <c r="D389" t="s">
        <v>22</v>
      </c>
      <c r="E389">
        <v>103140</v>
      </c>
      <c r="F389">
        <v>762</v>
      </c>
      <c r="G389">
        <v>-42</v>
      </c>
      <c r="H389">
        <v>-35</v>
      </c>
      <c r="I389" t="s">
        <v>20</v>
      </c>
      <c r="J389">
        <v>3</v>
      </c>
      <c r="K389">
        <v>1</v>
      </c>
      <c r="L389">
        <v>2</v>
      </c>
      <c r="M389">
        <v>0</v>
      </c>
      <c r="N389">
        <v>0</v>
      </c>
      <c r="O389">
        <v>0</v>
      </c>
      <c r="P389">
        <v>0</v>
      </c>
      <c r="Q389">
        <v>0</v>
      </c>
      <c r="R389">
        <v>7500</v>
      </c>
      <c r="S389">
        <v>5000</v>
      </c>
      <c r="T389">
        <v>0</v>
      </c>
      <c r="U389" t="str">
        <f>IF(SeismicData[[#This Row],[class]]=1,"Dangerous","Safe")</f>
        <v>Safe</v>
      </c>
      <c r="V389" t="str">
        <f>IF(SeismicData[[#This Row],[shift]]="W","Production","Non-Production")</f>
        <v>Production</v>
      </c>
      <c r="W389" t="str">
        <f>IF(SeismicData[[#This Row],[genergy]]=0,"0","10^"&amp;INT(LOG10(SeismicData[[#This Row],[genergy]])))</f>
        <v>10^5</v>
      </c>
      <c r="X389" t="str">
        <f>IF(OR(SeismicData[[#This Row],[genergy]]&lt;$AA$6,SeismicData[[#This Row],[genergy]]&gt;$AA$5),"Outlier","Normal")</f>
        <v>Normal</v>
      </c>
    </row>
    <row r="390" spans="1:24" x14ac:dyDescent="0.15">
      <c r="A390">
        <v>389</v>
      </c>
      <c r="B390" t="s">
        <v>23</v>
      </c>
      <c r="C390" t="s">
        <v>20</v>
      </c>
      <c r="D390" t="s">
        <v>22</v>
      </c>
      <c r="E390">
        <v>76560</v>
      </c>
      <c r="F390">
        <v>586</v>
      </c>
      <c r="G390">
        <v>-47</v>
      </c>
      <c r="H390">
        <v>-41</v>
      </c>
      <c r="I390" t="s">
        <v>20</v>
      </c>
      <c r="J390">
        <v>5</v>
      </c>
      <c r="K390">
        <v>1</v>
      </c>
      <c r="L390">
        <v>4</v>
      </c>
      <c r="M390">
        <v>0</v>
      </c>
      <c r="N390">
        <v>0</v>
      </c>
      <c r="O390">
        <v>0</v>
      </c>
      <c r="P390">
        <v>0</v>
      </c>
      <c r="Q390">
        <v>0</v>
      </c>
      <c r="R390">
        <v>9500</v>
      </c>
      <c r="S390">
        <v>4000</v>
      </c>
      <c r="T390">
        <v>0</v>
      </c>
      <c r="U390" t="str">
        <f>IF(SeismicData[[#This Row],[class]]=1,"Dangerous","Safe")</f>
        <v>Safe</v>
      </c>
      <c r="V390" t="str">
        <f>IF(SeismicData[[#This Row],[shift]]="W","Production","Non-Production")</f>
        <v>Production</v>
      </c>
      <c r="W390" t="str">
        <f>IF(SeismicData[[#This Row],[genergy]]=0,"0","10^"&amp;INT(LOG10(SeismicData[[#This Row],[genergy]])))</f>
        <v>10^4</v>
      </c>
      <c r="X390" t="str">
        <f>IF(OR(SeismicData[[#This Row],[genergy]]&lt;$AA$6,SeismicData[[#This Row],[genergy]]&gt;$AA$5),"Outlier","Normal")</f>
        <v>Normal</v>
      </c>
    </row>
    <row r="391" spans="1:24" x14ac:dyDescent="0.15">
      <c r="A391">
        <v>390</v>
      </c>
      <c r="B391" t="s">
        <v>20</v>
      </c>
      <c r="C391" t="s">
        <v>20</v>
      </c>
      <c r="D391" t="s">
        <v>22</v>
      </c>
      <c r="E391">
        <v>122640</v>
      </c>
      <c r="F391">
        <v>979</v>
      </c>
      <c r="G391">
        <v>10</v>
      </c>
      <c r="H391">
        <v>21</v>
      </c>
      <c r="I391" t="s">
        <v>20</v>
      </c>
      <c r="J391">
        <v>6</v>
      </c>
      <c r="K391">
        <v>4</v>
      </c>
      <c r="L391">
        <v>2</v>
      </c>
      <c r="M391">
        <v>0</v>
      </c>
      <c r="N391">
        <v>0</v>
      </c>
      <c r="O391">
        <v>0</v>
      </c>
      <c r="P391">
        <v>0</v>
      </c>
      <c r="Q391">
        <v>0</v>
      </c>
      <c r="R391">
        <v>9200</v>
      </c>
      <c r="S391">
        <v>6000</v>
      </c>
      <c r="T391">
        <v>1</v>
      </c>
      <c r="U391" t="str">
        <f>IF(SeismicData[[#This Row],[class]]=1,"Dangerous","Safe")</f>
        <v>Dangerous</v>
      </c>
      <c r="V391" t="str">
        <f>IF(SeismicData[[#This Row],[shift]]="W","Production","Non-Production")</f>
        <v>Production</v>
      </c>
      <c r="W391" t="str">
        <f>IF(SeismicData[[#This Row],[genergy]]=0,"0","10^"&amp;INT(LOG10(SeismicData[[#This Row],[genergy]])))</f>
        <v>10^5</v>
      </c>
      <c r="X391" t="str">
        <f>IF(OR(SeismicData[[#This Row],[genergy]]&lt;$AA$6,SeismicData[[#This Row],[genergy]]&gt;$AA$5),"Outlier","Normal")</f>
        <v>Outlier</v>
      </c>
    </row>
    <row r="392" spans="1:24" x14ac:dyDescent="0.15">
      <c r="A392">
        <v>391</v>
      </c>
      <c r="B392" t="s">
        <v>23</v>
      </c>
      <c r="C392" t="s">
        <v>23</v>
      </c>
      <c r="D392" t="s">
        <v>22</v>
      </c>
      <c r="E392">
        <v>176830</v>
      </c>
      <c r="F392">
        <v>1297</v>
      </c>
      <c r="G392">
        <v>54</v>
      </c>
      <c r="H392">
        <v>56</v>
      </c>
      <c r="I392" t="s">
        <v>20</v>
      </c>
      <c r="J392">
        <v>5</v>
      </c>
      <c r="K392">
        <v>2</v>
      </c>
      <c r="L392">
        <v>2</v>
      </c>
      <c r="M392">
        <v>1</v>
      </c>
      <c r="N392">
        <v>0</v>
      </c>
      <c r="O392">
        <v>0</v>
      </c>
      <c r="P392">
        <v>0</v>
      </c>
      <c r="Q392">
        <v>0</v>
      </c>
      <c r="R392">
        <v>36200</v>
      </c>
      <c r="S392">
        <v>30000</v>
      </c>
      <c r="T392">
        <v>0</v>
      </c>
      <c r="U392" t="str">
        <f>IF(SeismicData[[#This Row],[class]]=1,"Dangerous","Safe")</f>
        <v>Safe</v>
      </c>
      <c r="V392" t="str">
        <f>IF(SeismicData[[#This Row],[shift]]="W","Production","Non-Production")</f>
        <v>Production</v>
      </c>
      <c r="W392" t="str">
        <f>IF(SeismicData[[#This Row],[genergy]]=0,"0","10^"&amp;INT(LOG10(SeismicData[[#This Row],[genergy]])))</f>
        <v>10^5</v>
      </c>
      <c r="X392" t="str">
        <f>IF(OR(SeismicData[[#This Row],[genergy]]&lt;$AA$6,SeismicData[[#This Row],[genergy]]&gt;$AA$5),"Outlier","Normal")</f>
        <v>Outlier</v>
      </c>
    </row>
    <row r="393" spans="1:24" x14ac:dyDescent="0.15">
      <c r="A393">
        <v>392</v>
      </c>
      <c r="B393" t="s">
        <v>23</v>
      </c>
      <c r="C393" t="s">
        <v>23</v>
      </c>
      <c r="D393" t="s">
        <v>22</v>
      </c>
      <c r="E393">
        <v>122410</v>
      </c>
      <c r="F393">
        <v>902</v>
      </c>
      <c r="G393">
        <v>8</v>
      </c>
      <c r="H393">
        <v>9</v>
      </c>
      <c r="I393" t="s">
        <v>20</v>
      </c>
      <c r="J393">
        <v>3</v>
      </c>
      <c r="K393">
        <v>2</v>
      </c>
      <c r="L393">
        <v>1</v>
      </c>
      <c r="M393">
        <v>0</v>
      </c>
      <c r="N393">
        <v>0</v>
      </c>
      <c r="O393">
        <v>0</v>
      </c>
      <c r="P393">
        <v>0</v>
      </c>
      <c r="Q393">
        <v>0</v>
      </c>
      <c r="R393">
        <v>3600</v>
      </c>
      <c r="S393">
        <v>3000</v>
      </c>
      <c r="T393">
        <v>1</v>
      </c>
      <c r="U393" t="str">
        <f>IF(SeismicData[[#This Row],[class]]=1,"Dangerous","Safe")</f>
        <v>Dangerous</v>
      </c>
      <c r="V393" t="str">
        <f>IF(SeismicData[[#This Row],[shift]]="W","Production","Non-Production")</f>
        <v>Production</v>
      </c>
      <c r="W393" t="str">
        <f>IF(SeismicData[[#This Row],[genergy]]=0,"0","10^"&amp;INT(LOG10(SeismicData[[#This Row],[genergy]])))</f>
        <v>10^5</v>
      </c>
      <c r="X393" t="str">
        <f>IF(OR(SeismicData[[#This Row],[genergy]]&lt;$AA$6,SeismicData[[#This Row],[genergy]]&gt;$AA$5),"Outlier","Normal")</f>
        <v>Outlier</v>
      </c>
    </row>
    <row r="394" spans="1:24" x14ac:dyDescent="0.15">
      <c r="A394">
        <v>393</v>
      </c>
      <c r="B394" t="s">
        <v>23</v>
      </c>
      <c r="C394" t="s">
        <v>23</v>
      </c>
      <c r="D394" t="s">
        <v>22</v>
      </c>
      <c r="E394">
        <v>184710</v>
      </c>
      <c r="F394">
        <v>1482</v>
      </c>
      <c r="G394">
        <v>61</v>
      </c>
      <c r="H394">
        <v>78</v>
      </c>
      <c r="I394" t="s">
        <v>20</v>
      </c>
      <c r="J394">
        <v>9</v>
      </c>
      <c r="K394">
        <v>1</v>
      </c>
      <c r="L394">
        <v>7</v>
      </c>
      <c r="M394">
        <v>1</v>
      </c>
      <c r="N394">
        <v>0</v>
      </c>
      <c r="O394">
        <v>0</v>
      </c>
      <c r="P394">
        <v>0</v>
      </c>
      <c r="Q394">
        <v>0</v>
      </c>
      <c r="R394">
        <v>49800</v>
      </c>
      <c r="S394">
        <v>30000</v>
      </c>
      <c r="T394">
        <v>0</v>
      </c>
      <c r="U394" t="str">
        <f>IF(SeismicData[[#This Row],[class]]=1,"Dangerous","Safe")</f>
        <v>Safe</v>
      </c>
      <c r="V394" t="str">
        <f>IF(SeismicData[[#This Row],[shift]]="W","Production","Non-Production")</f>
        <v>Production</v>
      </c>
      <c r="W394" t="str">
        <f>IF(SeismicData[[#This Row],[genergy]]=0,"0","10^"&amp;INT(LOG10(SeismicData[[#This Row],[genergy]])))</f>
        <v>10^5</v>
      </c>
      <c r="X394" t="str">
        <f>IF(OR(SeismicData[[#This Row],[genergy]]&lt;$AA$6,SeismicData[[#This Row],[genergy]]&gt;$AA$5),"Outlier","Normal")</f>
        <v>Outlier</v>
      </c>
    </row>
    <row r="395" spans="1:24" x14ac:dyDescent="0.15">
      <c r="A395">
        <v>394</v>
      </c>
      <c r="B395" t="s">
        <v>23</v>
      </c>
      <c r="C395" t="s">
        <v>23</v>
      </c>
      <c r="D395" t="s">
        <v>22</v>
      </c>
      <c r="E395">
        <v>80040</v>
      </c>
      <c r="F395">
        <v>751</v>
      </c>
      <c r="G395">
        <v>-37</v>
      </c>
      <c r="H395">
        <v>-19</v>
      </c>
      <c r="I395" t="s">
        <v>20</v>
      </c>
      <c r="J395">
        <v>2</v>
      </c>
      <c r="K395">
        <v>1</v>
      </c>
      <c r="L395">
        <v>1</v>
      </c>
      <c r="M395">
        <v>0</v>
      </c>
      <c r="N395">
        <v>0</v>
      </c>
      <c r="O395">
        <v>0</v>
      </c>
      <c r="P395">
        <v>0</v>
      </c>
      <c r="Q395">
        <v>0</v>
      </c>
      <c r="R395">
        <v>1600</v>
      </c>
      <c r="S395">
        <v>1000</v>
      </c>
      <c r="T395">
        <v>0</v>
      </c>
      <c r="U395" t="str">
        <f>IF(SeismicData[[#This Row],[class]]=1,"Dangerous","Safe")</f>
        <v>Safe</v>
      </c>
      <c r="V395" t="str">
        <f>IF(SeismicData[[#This Row],[shift]]="W","Production","Non-Production")</f>
        <v>Production</v>
      </c>
      <c r="W395" t="str">
        <f>IF(SeismicData[[#This Row],[genergy]]=0,"0","10^"&amp;INT(LOG10(SeismicData[[#This Row],[genergy]])))</f>
        <v>10^4</v>
      </c>
      <c r="X395" t="str">
        <f>IF(OR(SeismicData[[#This Row],[genergy]]&lt;$AA$6,SeismicData[[#This Row],[genergy]]&gt;$AA$5),"Outlier","Normal")</f>
        <v>Normal</v>
      </c>
    </row>
    <row r="396" spans="1:24" x14ac:dyDescent="0.15">
      <c r="A396">
        <v>395</v>
      </c>
      <c r="B396" t="s">
        <v>23</v>
      </c>
      <c r="C396" t="s">
        <v>24</v>
      </c>
      <c r="D396" t="s">
        <v>21</v>
      </c>
      <c r="E396">
        <v>18900</v>
      </c>
      <c r="F396">
        <v>208</v>
      </c>
      <c r="G396">
        <v>-81</v>
      </c>
      <c r="H396">
        <v>-67</v>
      </c>
      <c r="I396" t="s">
        <v>20</v>
      </c>
      <c r="J396">
        <v>1</v>
      </c>
      <c r="K396">
        <v>0</v>
      </c>
      <c r="L396">
        <v>1</v>
      </c>
      <c r="M396">
        <v>0</v>
      </c>
      <c r="N396">
        <v>0</v>
      </c>
      <c r="O396">
        <v>0</v>
      </c>
      <c r="P396">
        <v>0</v>
      </c>
      <c r="Q396">
        <v>0</v>
      </c>
      <c r="R396">
        <v>3000</v>
      </c>
      <c r="S396">
        <v>3000</v>
      </c>
      <c r="T396">
        <v>0</v>
      </c>
      <c r="U396" t="str">
        <f>IF(SeismicData[[#This Row],[class]]=1,"Dangerous","Safe")</f>
        <v>Safe</v>
      </c>
      <c r="V396" t="str">
        <f>IF(SeismicData[[#This Row],[shift]]="W","Production","Non-Production")</f>
        <v>Non-Production</v>
      </c>
      <c r="W396" t="str">
        <f>IF(SeismicData[[#This Row],[genergy]]=0,"0","10^"&amp;INT(LOG10(SeismicData[[#This Row],[genergy]])))</f>
        <v>10^4</v>
      </c>
      <c r="X396" t="str">
        <f>IF(OR(SeismicData[[#This Row],[genergy]]&lt;$AA$6,SeismicData[[#This Row],[genergy]]&gt;$AA$5),"Outlier","Normal")</f>
        <v>Normal</v>
      </c>
    </row>
    <row r="397" spans="1:24" x14ac:dyDescent="0.15">
      <c r="A397">
        <v>396</v>
      </c>
      <c r="B397" t="s">
        <v>20</v>
      </c>
      <c r="C397" t="s">
        <v>24</v>
      </c>
      <c r="D397" t="s">
        <v>21</v>
      </c>
      <c r="E397">
        <v>11350</v>
      </c>
      <c r="F397">
        <v>94</v>
      </c>
      <c r="G397">
        <v>-87</v>
      </c>
      <c r="H397">
        <v>-84</v>
      </c>
      <c r="I397" t="s">
        <v>20</v>
      </c>
      <c r="J397">
        <v>0</v>
      </c>
      <c r="K397">
        <v>0</v>
      </c>
      <c r="L397">
        <v>0</v>
      </c>
      <c r="M397">
        <v>0</v>
      </c>
      <c r="N397">
        <v>0</v>
      </c>
      <c r="O397">
        <v>0</v>
      </c>
      <c r="P397">
        <v>0</v>
      </c>
      <c r="Q397">
        <v>0</v>
      </c>
      <c r="R397">
        <v>0</v>
      </c>
      <c r="S397">
        <v>0</v>
      </c>
      <c r="T397">
        <v>0</v>
      </c>
      <c r="U397" t="str">
        <f>IF(SeismicData[[#This Row],[class]]=1,"Dangerous","Safe")</f>
        <v>Safe</v>
      </c>
      <c r="V397" t="str">
        <f>IF(SeismicData[[#This Row],[shift]]="W","Production","Non-Production")</f>
        <v>Non-Production</v>
      </c>
      <c r="W397" t="str">
        <f>IF(SeismicData[[#This Row],[genergy]]=0,"0","10^"&amp;INT(LOG10(SeismicData[[#This Row],[genergy]])))</f>
        <v>10^4</v>
      </c>
      <c r="X397" t="str">
        <f>IF(OR(SeismicData[[#This Row],[genergy]]&lt;$AA$6,SeismicData[[#This Row],[genergy]]&gt;$AA$5),"Outlier","Normal")</f>
        <v>Normal</v>
      </c>
    </row>
    <row r="398" spans="1:24" x14ac:dyDescent="0.15">
      <c r="A398">
        <v>397</v>
      </c>
      <c r="B398" t="s">
        <v>20</v>
      </c>
      <c r="C398" t="s">
        <v>24</v>
      </c>
      <c r="D398" t="s">
        <v>21</v>
      </c>
      <c r="E398">
        <v>10490</v>
      </c>
      <c r="F398">
        <v>93</v>
      </c>
      <c r="G398">
        <v>-87</v>
      </c>
      <c r="H398">
        <v>-82</v>
      </c>
      <c r="I398" t="s">
        <v>20</v>
      </c>
      <c r="J398">
        <v>1</v>
      </c>
      <c r="K398">
        <v>0</v>
      </c>
      <c r="L398">
        <v>1</v>
      </c>
      <c r="M398">
        <v>0</v>
      </c>
      <c r="N398">
        <v>0</v>
      </c>
      <c r="O398">
        <v>0</v>
      </c>
      <c r="P398">
        <v>0</v>
      </c>
      <c r="Q398">
        <v>0</v>
      </c>
      <c r="R398">
        <v>3000</v>
      </c>
      <c r="S398">
        <v>3000</v>
      </c>
      <c r="T398">
        <v>0</v>
      </c>
      <c r="U398" t="str">
        <f>IF(SeismicData[[#This Row],[class]]=1,"Dangerous","Safe")</f>
        <v>Safe</v>
      </c>
      <c r="V398" t="str">
        <f>IF(SeismicData[[#This Row],[shift]]="W","Production","Non-Production")</f>
        <v>Non-Production</v>
      </c>
      <c r="W398" t="str">
        <f>IF(SeismicData[[#This Row],[genergy]]=0,"0","10^"&amp;INT(LOG10(SeismicData[[#This Row],[genergy]])))</f>
        <v>10^4</v>
      </c>
      <c r="X398" t="str">
        <f>IF(OR(SeismicData[[#This Row],[genergy]]&lt;$AA$6,SeismicData[[#This Row],[genergy]]&gt;$AA$5),"Outlier","Normal")</f>
        <v>Normal</v>
      </c>
    </row>
    <row r="399" spans="1:24" x14ac:dyDescent="0.15">
      <c r="A399">
        <v>398</v>
      </c>
      <c r="B399" t="s">
        <v>20</v>
      </c>
      <c r="C399" t="s">
        <v>24</v>
      </c>
      <c r="D399" t="s">
        <v>22</v>
      </c>
      <c r="E399">
        <v>83180</v>
      </c>
      <c r="F399">
        <v>744</v>
      </c>
      <c r="G399">
        <v>-32</v>
      </c>
      <c r="H399">
        <v>-19</v>
      </c>
      <c r="I399" t="s">
        <v>20</v>
      </c>
      <c r="J399">
        <v>3</v>
      </c>
      <c r="K399">
        <v>1</v>
      </c>
      <c r="L399">
        <v>2</v>
      </c>
      <c r="M399">
        <v>0</v>
      </c>
      <c r="N399">
        <v>0</v>
      </c>
      <c r="O399">
        <v>0</v>
      </c>
      <c r="P399">
        <v>0</v>
      </c>
      <c r="Q399">
        <v>0</v>
      </c>
      <c r="R399">
        <v>14600</v>
      </c>
      <c r="S399">
        <v>9000</v>
      </c>
      <c r="T399">
        <v>1</v>
      </c>
      <c r="U399" t="str">
        <f>IF(SeismicData[[#This Row],[class]]=1,"Dangerous","Safe")</f>
        <v>Dangerous</v>
      </c>
      <c r="V399" t="str">
        <f>IF(SeismicData[[#This Row],[shift]]="W","Production","Non-Production")</f>
        <v>Production</v>
      </c>
      <c r="W399" t="str">
        <f>IF(SeismicData[[#This Row],[genergy]]=0,"0","10^"&amp;INT(LOG10(SeismicData[[#This Row],[genergy]])))</f>
        <v>10^4</v>
      </c>
      <c r="X399" t="str">
        <f>IF(OR(SeismicData[[#This Row],[genergy]]&lt;$AA$6,SeismicData[[#This Row],[genergy]]&gt;$AA$5),"Outlier","Normal")</f>
        <v>Normal</v>
      </c>
    </row>
    <row r="400" spans="1:24" x14ac:dyDescent="0.15">
      <c r="A400">
        <v>399</v>
      </c>
      <c r="B400" t="s">
        <v>23</v>
      </c>
      <c r="C400" t="s">
        <v>23</v>
      </c>
      <c r="D400" t="s">
        <v>22</v>
      </c>
      <c r="E400">
        <v>127770</v>
      </c>
      <c r="F400">
        <v>1141</v>
      </c>
      <c r="G400">
        <v>7</v>
      </c>
      <c r="H400">
        <v>24</v>
      </c>
      <c r="I400" t="s">
        <v>20</v>
      </c>
      <c r="J400">
        <v>4</v>
      </c>
      <c r="K400">
        <v>2</v>
      </c>
      <c r="L400">
        <v>1</v>
      </c>
      <c r="M400">
        <v>1</v>
      </c>
      <c r="N400">
        <v>0</v>
      </c>
      <c r="O400">
        <v>0</v>
      </c>
      <c r="P400">
        <v>0</v>
      </c>
      <c r="Q400">
        <v>0</v>
      </c>
      <c r="R400">
        <v>44400</v>
      </c>
      <c r="S400">
        <v>40000</v>
      </c>
      <c r="T400">
        <v>0</v>
      </c>
      <c r="U400" t="str">
        <f>IF(SeismicData[[#This Row],[class]]=1,"Dangerous","Safe")</f>
        <v>Safe</v>
      </c>
      <c r="V400" t="str">
        <f>IF(SeismicData[[#This Row],[shift]]="W","Production","Non-Production")</f>
        <v>Production</v>
      </c>
      <c r="W400" t="str">
        <f>IF(SeismicData[[#This Row],[genergy]]=0,"0","10^"&amp;INT(LOG10(SeismicData[[#This Row],[genergy]])))</f>
        <v>10^5</v>
      </c>
      <c r="X400" t="str">
        <f>IF(OR(SeismicData[[#This Row],[genergy]]&lt;$AA$6,SeismicData[[#This Row],[genergy]]&gt;$AA$5),"Outlier","Normal")</f>
        <v>Outlier</v>
      </c>
    </row>
    <row r="401" spans="1:24" x14ac:dyDescent="0.15">
      <c r="A401">
        <v>400</v>
      </c>
      <c r="B401" t="s">
        <v>23</v>
      </c>
      <c r="C401" t="s">
        <v>23</v>
      </c>
      <c r="D401" t="s">
        <v>22</v>
      </c>
      <c r="E401">
        <v>108260</v>
      </c>
      <c r="F401">
        <v>891</v>
      </c>
      <c r="G401">
        <v>-12</v>
      </c>
      <c r="H401">
        <v>-7</v>
      </c>
      <c r="I401" t="s">
        <v>20</v>
      </c>
      <c r="J401">
        <v>5</v>
      </c>
      <c r="K401">
        <v>3</v>
      </c>
      <c r="L401">
        <v>2</v>
      </c>
      <c r="M401">
        <v>0</v>
      </c>
      <c r="N401">
        <v>0</v>
      </c>
      <c r="O401">
        <v>0</v>
      </c>
      <c r="P401">
        <v>0</v>
      </c>
      <c r="Q401">
        <v>0</v>
      </c>
      <c r="R401">
        <v>6000</v>
      </c>
      <c r="S401">
        <v>3000</v>
      </c>
      <c r="T401">
        <v>0</v>
      </c>
      <c r="U401" t="str">
        <f>IF(SeismicData[[#This Row],[class]]=1,"Dangerous","Safe")</f>
        <v>Safe</v>
      </c>
      <c r="V401" t="str">
        <f>IF(SeismicData[[#This Row],[shift]]="W","Production","Non-Production")</f>
        <v>Production</v>
      </c>
      <c r="W401" t="str">
        <f>IF(SeismicData[[#This Row],[genergy]]=0,"0","10^"&amp;INT(LOG10(SeismicData[[#This Row],[genergy]])))</f>
        <v>10^5</v>
      </c>
      <c r="X401" t="str">
        <f>IF(OR(SeismicData[[#This Row],[genergy]]&lt;$AA$6,SeismicData[[#This Row],[genergy]]&gt;$AA$5),"Outlier","Normal")</f>
        <v>Normal</v>
      </c>
    </row>
    <row r="402" spans="1:24" x14ac:dyDescent="0.15">
      <c r="A402">
        <v>401</v>
      </c>
      <c r="B402" t="s">
        <v>23</v>
      </c>
      <c r="C402" t="s">
        <v>20</v>
      </c>
      <c r="D402" t="s">
        <v>22</v>
      </c>
      <c r="E402">
        <v>19520</v>
      </c>
      <c r="F402">
        <v>211</v>
      </c>
      <c r="G402">
        <v>-2</v>
      </c>
      <c r="H402">
        <v>6</v>
      </c>
      <c r="I402" t="s">
        <v>20</v>
      </c>
      <c r="J402">
        <v>2</v>
      </c>
      <c r="K402">
        <v>1</v>
      </c>
      <c r="L402">
        <v>1</v>
      </c>
      <c r="M402">
        <v>0</v>
      </c>
      <c r="N402">
        <v>0</v>
      </c>
      <c r="O402">
        <v>0</v>
      </c>
      <c r="P402">
        <v>0</v>
      </c>
      <c r="Q402">
        <v>0</v>
      </c>
      <c r="R402">
        <v>3200</v>
      </c>
      <c r="S402">
        <v>3000</v>
      </c>
      <c r="T402">
        <v>1</v>
      </c>
      <c r="U402" t="str">
        <f>IF(SeismicData[[#This Row],[class]]=1,"Dangerous","Safe")</f>
        <v>Dangerous</v>
      </c>
      <c r="V402" t="str">
        <f>IF(SeismicData[[#This Row],[shift]]="W","Production","Non-Production")</f>
        <v>Production</v>
      </c>
      <c r="W402" t="str">
        <f>IF(SeismicData[[#This Row],[genergy]]=0,"0","10^"&amp;INT(LOG10(SeismicData[[#This Row],[genergy]])))</f>
        <v>10^4</v>
      </c>
      <c r="X402" t="str">
        <f>IF(OR(SeismicData[[#This Row],[genergy]]&lt;$AA$6,SeismicData[[#This Row],[genergy]]&gt;$AA$5),"Outlier","Normal")</f>
        <v>Normal</v>
      </c>
    </row>
    <row r="403" spans="1:24" x14ac:dyDescent="0.15">
      <c r="A403">
        <v>402</v>
      </c>
      <c r="B403" t="s">
        <v>23</v>
      </c>
      <c r="C403" t="s">
        <v>20</v>
      </c>
      <c r="D403" t="s">
        <v>22</v>
      </c>
      <c r="E403">
        <v>47980</v>
      </c>
      <c r="F403">
        <v>382</v>
      </c>
      <c r="G403">
        <v>-26</v>
      </c>
      <c r="H403">
        <v>-32</v>
      </c>
      <c r="I403" t="s">
        <v>20</v>
      </c>
      <c r="J403">
        <v>3</v>
      </c>
      <c r="K403">
        <v>1</v>
      </c>
      <c r="L403">
        <v>1</v>
      </c>
      <c r="M403">
        <v>1</v>
      </c>
      <c r="N403">
        <v>0</v>
      </c>
      <c r="O403">
        <v>0</v>
      </c>
      <c r="P403">
        <v>0</v>
      </c>
      <c r="Q403">
        <v>0</v>
      </c>
      <c r="R403">
        <v>38600</v>
      </c>
      <c r="S403">
        <v>30000</v>
      </c>
      <c r="T403">
        <v>0</v>
      </c>
      <c r="U403" t="str">
        <f>IF(SeismicData[[#This Row],[class]]=1,"Dangerous","Safe")</f>
        <v>Safe</v>
      </c>
      <c r="V403" t="str">
        <f>IF(SeismicData[[#This Row],[shift]]="W","Production","Non-Production")</f>
        <v>Production</v>
      </c>
      <c r="W403" t="str">
        <f>IF(SeismicData[[#This Row],[genergy]]=0,"0","10^"&amp;INT(LOG10(SeismicData[[#This Row],[genergy]])))</f>
        <v>10^4</v>
      </c>
      <c r="X403" t="str">
        <f>IF(OR(SeismicData[[#This Row],[genergy]]&lt;$AA$6,SeismicData[[#This Row],[genergy]]&gt;$AA$5),"Outlier","Normal")</f>
        <v>Normal</v>
      </c>
    </row>
    <row r="404" spans="1:24" x14ac:dyDescent="0.15">
      <c r="A404">
        <v>403</v>
      </c>
      <c r="B404" t="s">
        <v>23</v>
      </c>
      <c r="C404" t="s">
        <v>20</v>
      </c>
      <c r="D404" t="s">
        <v>22</v>
      </c>
      <c r="E404">
        <v>54050</v>
      </c>
      <c r="F404">
        <v>373</v>
      </c>
      <c r="G404">
        <v>-14</v>
      </c>
      <c r="H404">
        <v>-31</v>
      </c>
      <c r="I404" t="s">
        <v>20</v>
      </c>
      <c r="J404">
        <v>3</v>
      </c>
      <c r="K404">
        <v>1</v>
      </c>
      <c r="L404">
        <v>2</v>
      </c>
      <c r="M404">
        <v>0</v>
      </c>
      <c r="N404">
        <v>0</v>
      </c>
      <c r="O404">
        <v>0</v>
      </c>
      <c r="P404">
        <v>0</v>
      </c>
      <c r="Q404">
        <v>0</v>
      </c>
      <c r="R404">
        <v>9400</v>
      </c>
      <c r="S404">
        <v>6000</v>
      </c>
      <c r="T404">
        <v>0</v>
      </c>
      <c r="U404" t="str">
        <f>IF(SeismicData[[#This Row],[class]]=1,"Dangerous","Safe")</f>
        <v>Safe</v>
      </c>
      <c r="V404" t="str">
        <f>IF(SeismicData[[#This Row],[shift]]="W","Production","Non-Production")</f>
        <v>Production</v>
      </c>
      <c r="W404" t="str">
        <f>IF(SeismicData[[#This Row],[genergy]]=0,"0","10^"&amp;INT(LOG10(SeismicData[[#This Row],[genergy]])))</f>
        <v>10^4</v>
      </c>
      <c r="X404" t="str">
        <f>IF(OR(SeismicData[[#This Row],[genergy]]&lt;$AA$6,SeismicData[[#This Row],[genergy]]&gt;$AA$5),"Outlier","Normal")</f>
        <v>Normal</v>
      </c>
    </row>
    <row r="405" spans="1:24" x14ac:dyDescent="0.15">
      <c r="A405">
        <v>404</v>
      </c>
      <c r="B405" t="s">
        <v>23</v>
      </c>
      <c r="C405" t="s">
        <v>20</v>
      </c>
      <c r="D405" t="s">
        <v>22</v>
      </c>
      <c r="E405">
        <v>38180</v>
      </c>
      <c r="F405">
        <v>322</v>
      </c>
      <c r="G405">
        <v>-6</v>
      </c>
      <c r="H405">
        <v>0</v>
      </c>
      <c r="I405" t="s">
        <v>20</v>
      </c>
      <c r="J405">
        <v>3</v>
      </c>
      <c r="K405">
        <v>1</v>
      </c>
      <c r="L405">
        <v>2</v>
      </c>
      <c r="M405">
        <v>0</v>
      </c>
      <c r="N405">
        <v>0</v>
      </c>
      <c r="O405">
        <v>0</v>
      </c>
      <c r="P405">
        <v>0</v>
      </c>
      <c r="Q405">
        <v>0</v>
      </c>
      <c r="R405">
        <v>11500</v>
      </c>
      <c r="S405">
        <v>8000</v>
      </c>
      <c r="T405">
        <v>1</v>
      </c>
      <c r="U405" t="str">
        <f>IF(SeismicData[[#This Row],[class]]=1,"Dangerous","Safe")</f>
        <v>Dangerous</v>
      </c>
      <c r="V405" t="str">
        <f>IF(SeismicData[[#This Row],[shift]]="W","Production","Non-Production")</f>
        <v>Production</v>
      </c>
      <c r="W405" t="str">
        <f>IF(SeismicData[[#This Row],[genergy]]=0,"0","10^"&amp;INT(LOG10(SeismicData[[#This Row],[genergy]])))</f>
        <v>10^4</v>
      </c>
      <c r="X405" t="str">
        <f>IF(OR(SeismicData[[#This Row],[genergy]]&lt;$AA$6,SeismicData[[#This Row],[genergy]]&gt;$AA$5),"Outlier","Normal")</f>
        <v>Normal</v>
      </c>
    </row>
    <row r="406" spans="1:24" x14ac:dyDescent="0.15">
      <c r="A406">
        <v>405</v>
      </c>
      <c r="B406" t="s">
        <v>23</v>
      </c>
      <c r="C406" t="s">
        <v>23</v>
      </c>
      <c r="D406" t="s">
        <v>22</v>
      </c>
      <c r="E406">
        <v>68970</v>
      </c>
      <c r="F406">
        <v>624</v>
      </c>
      <c r="G406">
        <v>71</v>
      </c>
      <c r="H406">
        <v>94</v>
      </c>
      <c r="I406" t="s">
        <v>20</v>
      </c>
      <c r="J406">
        <v>5</v>
      </c>
      <c r="K406">
        <v>2</v>
      </c>
      <c r="L406">
        <v>2</v>
      </c>
      <c r="M406">
        <v>1</v>
      </c>
      <c r="N406">
        <v>0</v>
      </c>
      <c r="O406">
        <v>0</v>
      </c>
      <c r="P406">
        <v>0</v>
      </c>
      <c r="Q406">
        <v>0</v>
      </c>
      <c r="R406">
        <v>34400</v>
      </c>
      <c r="S406">
        <v>20000</v>
      </c>
      <c r="T406">
        <v>1</v>
      </c>
      <c r="U406" t="str">
        <f>IF(SeismicData[[#This Row],[class]]=1,"Dangerous","Safe")</f>
        <v>Dangerous</v>
      </c>
      <c r="V406" t="str">
        <f>IF(SeismicData[[#This Row],[shift]]="W","Production","Non-Production")</f>
        <v>Production</v>
      </c>
      <c r="W406" t="str">
        <f>IF(SeismicData[[#This Row],[genergy]]=0,"0","10^"&amp;INT(LOG10(SeismicData[[#This Row],[genergy]])))</f>
        <v>10^4</v>
      </c>
      <c r="X406" t="str">
        <f>IF(OR(SeismicData[[#This Row],[genergy]]&lt;$AA$6,SeismicData[[#This Row],[genergy]]&gt;$AA$5),"Outlier","Normal")</f>
        <v>Normal</v>
      </c>
    </row>
    <row r="407" spans="1:24" x14ac:dyDescent="0.15">
      <c r="A407">
        <v>406</v>
      </c>
      <c r="B407" t="s">
        <v>23</v>
      </c>
      <c r="C407" t="s">
        <v>23</v>
      </c>
      <c r="D407" t="s">
        <v>22</v>
      </c>
      <c r="E407">
        <v>29400</v>
      </c>
      <c r="F407">
        <v>331</v>
      </c>
      <c r="G407">
        <v>-32</v>
      </c>
      <c r="H407">
        <v>-6</v>
      </c>
      <c r="I407" t="s">
        <v>20</v>
      </c>
      <c r="J407">
        <v>2</v>
      </c>
      <c r="K407">
        <v>0</v>
      </c>
      <c r="L407">
        <v>1</v>
      </c>
      <c r="M407">
        <v>1</v>
      </c>
      <c r="N407">
        <v>0</v>
      </c>
      <c r="O407">
        <v>0</v>
      </c>
      <c r="P407">
        <v>0</v>
      </c>
      <c r="Q407">
        <v>0</v>
      </c>
      <c r="R407">
        <v>22000</v>
      </c>
      <c r="S407">
        <v>20000</v>
      </c>
      <c r="T407">
        <v>0</v>
      </c>
      <c r="U407" t="str">
        <f>IF(SeismicData[[#This Row],[class]]=1,"Dangerous","Safe")</f>
        <v>Safe</v>
      </c>
      <c r="V407" t="str">
        <f>IF(SeismicData[[#This Row],[shift]]="W","Production","Non-Production")</f>
        <v>Production</v>
      </c>
      <c r="W407" t="str">
        <f>IF(SeismicData[[#This Row],[genergy]]=0,"0","10^"&amp;INT(LOG10(SeismicData[[#This Row],[genergy]])))</f>
        <v>10^4</v>
      </c>
      <c r="X407" t="str">
        <f>IF(OR(SeismicData[[#This Row],[genergy]]&lt;$AA$6,SeismicData[[#This Row],[genergy]]&gt;$AA$5),"Outlier","Normal")</f>
        <v>Normal</v>
      </c>
    </row>
    <row r="408" spans="1:24" x14ac:dyDescent="0.15">
      <c r="A408">
        <v>407</v>
      </c>
      <c r="B408" t="s">
        <v>23</v>
      </c>
      <c r="C408" t="s">
        <v>23</v>
      </c>
      <c r="D408" t="s">
        <v>22</v>
      </c>
      <c r="E408">
        <v>36100</v>
      </c>
      <c r="F408">
        <v>285</v>
      </c>
      <c r="G408">
        <v>-14</v>
      </c>
      <c r="H408">
        <v>-19</v>
      </c>
      <c r="I408" t="s">
        <v>20</v>
      </c>
      <c r="J408">
        <v>6</v>
      </c>
      <c r="K408">
        <v>3</v>
      </c>
      <c r="L408">
        <v>3</v>
      </c>
      <c r="M408">
        <v>0</v>
      </c>
      <c r="N408">
        <v>0</v>
      </c>
      <c r="O408">
        <v>0</v>
      </c>
      <c r="P408">
        <v>0</v>
      </c>
      <c r="Q408">
        <v>0</v>
      </c>
      <c r="R408">
        <v>14300</v>
      </c>
      <c r="S408">
        <v>9000</v>
      </c>
      <c r="T408">
        <v>1</v>
      </c>
      <c r="U408" t="str">
        <f>IF(SeismicData[[#This Row],[class]]=1,"Dangerous","Safe")</f>
        <v>Dangerous</v>
      </c>
      <c r="V408" t="str">
        <f>IF(SeismicData[[#This Row],[shift]]="W","Production","Non-Production")</f>
        <v>Production</v>
      </c>
      <c r="W408" t="str">
        <f>IF(SeismicData[[#This Row],[genergy]]=0,"0","10^"&amp;INT(LOG10(SeismicData[[#This Row],[genergy]])))</f>
        <v>10^4</v>
      </c>
      <c r="X408" t="str">
        <f>IF(OR(SeismicData[[#This Row],[genergy]]&lt;$AA$6,SeismicData[[#This Row],[genergy]]&gt;$AA$5),"Outlier","Normal")</f>
        <v>Normal</v>
      </c>
    </row>
    <row r="409" spans="1:24" x14ac:dyDescent="0.15">
      <c r="A409">
        <v>408</v>
      </c>
      <c r="B409" t="s">
        <v>23</v>
      </c>
      <c r="C409" t="s">
        <v>20</v>
      </c>
      <c r="D409" t="s">
        <v>22</v>
      </c>
      <c r="E409">
        <v>45170</v>
      </c>
      <c r="F409">
        <v>557</v>
      </c>
      <c r="G409">
        <v>9</v>
      </c>
      <c r="H409">
        <v>59</v>
      </c>
      <c r="I409" t="s">
        <v>20</v>
      </c>
      <c r="J409">
        <v>3</v>
      </c>
      <c r="K409">
        <v>2</v>
      </c>
      <c r="L409">
        <v>0</v>
      </c>
      <c r="M409">
        <v>1</v>
      </c>
      <c r="N409">
        <v>0</v>
      </c>
      <c r="O409">
        <v>0</v>
      </c>
      <c r="P409">
        <v>0</v>
      </c>
      <c r="Q409">
        <v>0</v>
      </c>
      <c r="R409">
        <v>70700</v>
      </c>
      <c r="S409">
        <v>70000</v>
      </c>
      <c r="T409">
        <v>0</v>
      </c>
      <c r="U409" t="str">
        <f>IF(SeismicData[[#This Row],[class]]=1,"Dangerous","Safe")</f>
        <v>Safe</v>
      </c>
      <c r="V409" t="str">
        <f>IF(SeismicData[[#This Row],[shift]]="W","Production","Non-Production")</f>
        <v>Production</v>
      </c>
      <c r="W409" t="str">
        <f>IF(SeismicData[[#This Row],[genergy]]=0,"0","10^"&amp;INT(LOG10(SeismicData[[#This Row],[genergy]])))</f>
        <v>10^4</v>
      </c>
      <c r="X409" t="str">
        <f>IF(OR(SeismicData[[#This Row],[genergy]]&lt;$AA$6,SeismicData[[#This Row],[genergy]]&gt;$AA$5),"Outlier","Normal")</f>
        <v>Normal</v>
      </c>
    </row>
    <row r="410" spans="1:24" x14ac:dyDescent="0.15">
      <c r="A410">
        <v>409</v>
      </c>
      <c r="B410" t="s">
        <v>23</v>
      </c>
      <c r="C410" t="s">
        <v>20</v>
      </c>
      <c r="D410" t="s">
        <v>22</v>
      </c>
      <c r="E410">
        <v>38010</v>
      </c>
      <c r="F410">
        <v>410</v>
      </c>
      <c r="G410">
        <v>-10</v>
      </c>
      <c r="H410">
        <v>10</v>
      </c>
      <c r="I410" t="s">
        <v>20</v>
      </c>
      <c r="J410">
        <v>1</v>
      </c>
      <c r="K410">
        <v>0</v>
      </c>
      <c r="L410">
        <v>1</v>
      </c>
      <c r="M410">
        <v>0</v>
      </c>
      <c r="N410">
        <v>0</v>
      </c>
      <c r="O410">
        <v>0</v>
      </c>
      <c r="P410">
        <v>0</v>
      </c>
      <c r="Q410">
        <v>0</v>
      </c>
      <c r="R410">
        <v>1000</v>
      </c>
      <c r="S410">
        <v>1000</v>
      </c>
      <c r="T410">
        <v>0</v>
      </c>
      <c r="U410" t="str">
        <f>IF(SeismicData[[#This Row],[class]]=1,"Dangerous","Safe")</f>
        <v>Safe</v>
      </c>
      <c r="V410" t="str">
        <f>IF(SeismicData[[#This Row],[shift]]="W","Production","Non-Production")</f>
        <v>Production</v>
      </c>
      <c r="W410" t="str">
        <f>IF(SeismicData[[#This Row],[genergy]]=0,"0","10^"&amp;INT(LOG10(SeismicData[[#This Row],[genergy]])))</f>
        <v>10^4</v>
      </c>
      <c r="X410" t="str">
        <f>IF(OR(SeismicData[[#This Row],[genergy]]&lt;$AA$6,SeismicData[[#This Row],[genergy]]&gt;$AA$5),"Outlier","Normal")</f>
        <v>Normal</v>
      </c>
    </row>
    <row r="411" spans="1:24" x14ac:dyDescent="0.15">
      <c r="A411">
        <v>410</v>
      </c>
      <c r="B411" t="s">
        <v>23</v>
      </c>
      <c r="C411" t="s">
        <v>20</v>
      </c>
      <c r="D411" t="s">
        <v>22</v>
      </c>
      <c r="E411">
        <v>22090</v>
      </c>
      <c r="F411">
        <v>174</v>
      </c>
      <c r="G411">
        <v>-47</v>
      </c>
      <c r="H411">
        <v>-54</v>
      </c>
      <c r="I411" t="s">
        <v>20</v>
      </c>
      <c r="J411">
        <v>4</v>
      </c>
      <c r="K411">
        <v>1</v>
      </c>
      <c r="L411">
        <v>3</v>
      </c>
      <c r="M411">
        <v>0</v>
      </c>
      <c r="N411">
        <v>0</v>
      </c>
      <c r="O411">
        <v>0</v>
      </c>
      <c r="P411">
        <v>0</v>
      </c>
      <c r="Q411">
        <v>0</v>
      </c>
      <c r="R411">
        <v>8800</v>
      </c>
      <c r="S411">
        <v>5000</v>
      </c>
      <c r="T411">
        <v>0</v>
      </c>
      <c r="U411" t="str">
        <f>IF(SeismicData[[#This Row],[class]]=1,"Dangerous","Safe")</f>
        <v>Safe</v>
      </c>
      <c r="V411" t="str">
        <f>IF(SeismicData[[#This Row],[shift]]="W","Production","Non-Production")</f>
        <v>Production</v>
      </c>
      <c r="W411" t="str">
        <f>IF(SeismicData[[#This Row],[genergy]]=0,"0","10^"&amp;INT(LOG10(SeismicData[[#This Row],[genergy]])))</f>
        <v>10^4</v>
      </c>
      <c r="X411" t="str">
        <f>IF(OR(SeismicData[[#This Row],[genergy]]&lt;$AA$6,SeismicData[[#This Row],[genergy]]&gt;$AA$5),"Outlier","Normal")</f>
        <v>Normal</v>
      </c>
    </row>
    <row r="412" spans="1:24" x14ac:dyDescent="0.15">
      <c r="A412">
        <v>411</v>
      </c>
      <c r="B412" t="s">
        <v>20</v>
      </c>
      <c r="C412" t="s">
        <v>20</v>
      </c>
      <c r="D412" t="s">
        <v>22</v>
      </c>
      <c r="E412">
        <v>34600</v>
      </c>
      <c r="F412">
        <v>389</v>
      </c>
      <c r="G412">
        <v>-13</v>
      </c>
      <c r="H412">
        <v>6</v>
      </c>
      <c r="I412" t="s">
        <v>20</v>
      </c>
      <c r="J412">
        <v>4</v>
      </c>
      <c r="K412">
        <v>0</v>
      </c>
      <c r="L412">
        <v>4</v>
      </c>
      <c r="M412">
        <v>0</v>
      </c>
      <c r="N412">
        <v>0</v>
      </c>
      <c r="O412">
        <v>0</v>
      </c>
      <c r="P412">
        <v>0</v>
      </c>
      <c r="Q412">
        <v>0</v>
      </c>
      <c r="R412">
        <v>15000</v>
      </c>
      <c r="S412">
        <v>8000</v>
      </c>
      <c r="T412">
        <v>1</v>
      </c>
      <c r="U412" t="str">
        <f>IF(SeismicData[[#This Row],[class]]=1,"Dangerous","Safe")</f>
        <v>Dangerous</v>
      </c>
      <c r="V412" t="str">
        <f>IF(SeismicData[[#This Row],[shift]]="W","Production","Non-Production")</f>
        <v>Production</v>
      </c>
      <c r="W412" t="str">
        <f>IF(SeismicData[[#This Row],[genergy]]=0,"0","10^"&amp;INT(LOG10(SeismicData[[#This Row],[genergy]])))</f>
        <v>10^4</v>
      </c>
      <c r="X412" t="str">
        <f>IF(OR(SeismicData[[#This Row],[genergy]]&lt;$AA$6,SeismicData[[#This Row],[genergy]]&gt;$AA$5),"Outlier","Normal")</f>
        <v>Normal</v>
      </c>
    </row>
    <row r="413" spans="1:24" x14ac:dyDescent="0.15">
      <c r="A413">
        <v>412</v>
      </c>
      <c r="B413" t="s">
        <v>23</v>
      </c>
      <c r="C413" t="s">
        <v>20</v>
      </c>
      <c r="D413" t="s">
        <v>22</v>
      </c>
      <c r="E413">
        <v>22860</v>
      </c>
      <c r="F413">
        <v>313</v>
      </c>
      <c r="G413">
        <v>-42</v>
      </c>
      <c r="H413">
        <v>-16</v>
      </c>
      <c r="I413" t="s">
        <v>20</v>
      </c>
      <c r="J413">
        <v>6</v>
      </c>
      <c r="K413">
        <v>1</v>
      </c>
      <c r="L413">
        <v>3</v>
      </c>
      <c r="M413">
        <v>2</v>
      </c>
      <c r="N413">
        <v>0</v>
      </c>
      <c r="O413">
        <v>0</v>
      </c>
      <c r="P413">
        <v>0</v>
      </c>
      <c r="Q413">
        <v>0</v>
      </c>
      <c r="R413">
        <v>70500</v>
      </c>
      <c r="S413">
        <v>50000</v>
      </c>
      <c r="T413">
        <v>0</v>
      </c>
      <c r="U413" t="str">
        <f>IF(SeismicData[[#This Row],[class]]=1,"Dangerous","Safe")</f>
        <v>Safe</v>
      </c>
      <c r="V413" t="str">
        <f>IF(SeismicData[[#This Row],[shift]]="W","Production","Non-Production")</f>
        <v>Production</v>
      </c>
      <c r="W413" t="str">
        <f>IF(SeismicData[[#This Row],[genergy]]=0,"0","10^"&amp;INT(LOG10(SeismicData[[#This Row],[genergy]])))</f>
        <v>10^4</v>
      </c>
      <c r="X413" t="str">
        <f>IF(OR(SeismicData[[#This Row],[genergy]]&lt;$AA$6,SeismicData[[#This Row],[genergy]]&gt;$AA$5),"Outlier","Normal")</f>
        <v>Normal</v>
      </c>
    </row>
    <row r="414" spans="1:24" x14ac:dyDescent="0.15">
      <c r="A414">
        <v>413</v>
      </c>
      <c r="B414" t="s">
        <v>23</v>
      </c>
      <c r="C414" t="s">
        <v>20</v>
      </c>
      <c r="D414" t="s">
        <v>22</v>
      </c>
      <c r="E414">
        <v>25940</v>
      </c>
      <c r="F414">
        <v>233</v>
      </c>
      <c r="G414">
        <v>-31</v>
      </c>
      <c r="H414">
        <v>-37</v>
      </c>
      <c r="I414" t="s">
        <v>20</v>
      </c>
      <c r="J414">
        <v>5</v>
      </c>
      <c r="K414">
        <v>1</v>
      </c>
      <c r="L414">
        <v>4</v>
      </c>
      <c r="M414">
        <v>0</v>
      </c>
      <c r="N414">
        <v>0</v>
      </c>
      <c r="O414">
        <v>0</v>
      </c>
      <c r="P414">
        <v>0</v>
      </c>
      <c r="Q414">
        <v>0</v>
      </c>
      <c r="R414">
        <v>15400</v>
      </c>
      <c r="S414">
        <v>7000</v>
      </c>
      <c r="T414">
        <v>0</v>
      </c>
      <c r="U414" t="str">
        <f>IF(SeismicData[[#This Row],[class]]=1,"Dangerous","Safe")</f>
        <v>Safe</v>
      </c>
      <c r="V414" t="str">
        <f>IF(SeismicData[[#This Row],[shift]]="W","Production","Non-Production")</f>
        <v>Production</v>
      </c>
      <c r="W414" t="str">
        <f>IF(SeismicData[[#This Row],[genergy]]=0,"0","10^"&amp;INT(LOG10(SeismicData[[#This Row],[genergy]])))</f>
        <v>10^4</v>
      </c>
      <c r="X414" t="str">
        <f>IF(OR(SeismicData[[#This Row],[genergy]]&lt;$AA$6,SeismicData[[#This Row],[genergy]]&gt;$AA$5),"Outlier","Normal")</f>
        <v>Normal</v>
      </c>
    </row>
    <row r="415" spans="1:24" x14ac:dyDescent="0.15">
      <c r="A415">
        <v>414</v>
      </c>
      <c r="B415" t="s">
        <v>23</v>
      </c>
      <c r="C415" t="s">
        <v>20</v>
      </c>
      <c r="D415" t="s">
        <v>22</v>
      </c>
      <c r="E415">
        <v>45670</v>
      </c>
      <c r="F415">
        <v>382</v>
      </c>
      <c r="G415">
        <v>26</v>
      </c>
      <c r="H415">
        <v>5</v>
      </c>
      <c r="I415" t="s">
        <v>20</v>
      </c>
      <c r="J415">
        <v>5</v>
      </c>
      <c r="K415">
        <v>1</v>
      </c>
      <c r="L415">
        <v>4</v>
      </c>
      <c r="M415">
        <v>0</v>
      </c>
      <c r="N415">
        <v>0</v>
      </c>
      <c r="O415">
        <v>0</v>
      </c>
      <c r="P415">
        <v>0</v>
      </c>
      <c r="Q415">
        <v>0</v>
      </c>
      <c r="R415">
        <v>10800</v>
      </c>
      <c r="S415">
        <v>5000</v>
      </c>
      <c r="T415">
        <v>1</v>
      </c>
      <c r="U415" t="str">
        <f>IF(SeismicData[[#This Row],[class]]=1,"Dangerous","Safe")</f>
        <v>Dangerous</v>
      </c>
      <c r="V415" t="str">
        <f>IF(SeismicData[[#This Row],[shift]]="W","Production","Non-Production")</f>
        <v>Production</v>
      </c>
      <c r="W415" t="str">
        <f>IF(SeismicData[[#This Row],[genergy]]=0,"0","10^"&amp;INT(LOG10(SeismicData[[#This Row],[genergy]])))</f>
        <v>10^4</v>
      </c>
      <c r="X415" t="str">
        <f>IF(OR(SeismicData[[#This Row],[genergy]]&lt;$AA$6,SeismicData[[#This Row],[genergy]]&gt;$AA$5),"Outlier","Normal")</f>
        <v>Normal</v>
      </c>
    </row>
    <row r="416" spans="1:24" x14ac:dyDescent="0.15">
      <c r="A416">
        <v>415</v>
      </c>
      <c r="B416" t="s">
        <v>23</v>
      </c>
      <c r="C416" t="s">
        <v>20</v>
      </c>
      <c r="D416" t="s">
        <v>22</v>
      </c>
      <c r="E416">
        <v>26190</v>
      </c>
      <c r="F416">
        <v>246</v>
      </c>
      <c r="G416">
        <v>-29</v>
      </c>
      <c r="H416">
        <v>-33</v>
      </c>
      <c r="I416" t="s">
        <v>20</v>
      </c>
      <c r="J416">
        <v>3</v>
      </c>
      <c r="K416">
        <v>2</v>
      </c>
      <c r="L416">
        <v>0</v>
      </c>
      <c r="M416">
        <v>1</v>
      </c>
      <c r="N416">
        <v>0</v>
      </c>
      <c r="O416">
        <v>0</v>
      </c>
      <c r="P416">
        <v>0</v>
      </c>
      <c r="Q416">
        <v>0</v>
      </c>
      <c r="R416">
        <v>20500</v>
      </c>
      <c r="S416">
        <v>20000</v>
      </c>
      <c r="T416">
        <v>0</v>
      </c>
      <c r="U416" t="str">
        <f>IF(SeismicData[[#This Row],[class]]=1,"Dangerous","Safe")</f>
        <v>Safe</v>
      </c>
      <c r="V416" t="str">
        <f>IF(SeismicData[[#This Row],[shift]]="W","Production","Non-Production")</f>
        <v>Production</v>
      </c>
      <c r="W416" t="str">
        <f>IF(SeismicData[[#This Row],[genergy]]=0,"0","10^"&amp;INT(LOG10(SeismicData[[#This Row],[genergy]])))</f>
        <v>10^4</v>
      </c>
      <c r="X416" t="str">
        <f>IF(OR(SeismicData[[#This Row],[genergy]]&lt;$AA$6,SeismicData[[#This Row],[genergy]]&gt;$AA$5),"Outlier","Normal")</f>
        <v>Normal</v>
      </c>
    </row>
    <row r="417" spans="1:24" x14ac:dyDescent="0.15">
      <c r="A417">
        <v>416</v>
      </c>
      <c r="B417" t="s">
        <v>23</v>
      </c>
      <c r="C417" t="s">
        <v>20</v>
      </c>
      <c r="D417" t="s">
        <v>22</v>
      </c>
      <c r="E417">
        <v>21970</v>
      </c>
      <c r="F417">
        <v>183</v>
      </c>
      <c r="G417">
        <v>-33</v>
      </c>
      <c r="H417">
        <v>-45</v>
      </c>
      <c r="I417" t="s">
        <v>20</v>
      </c>
      <c r="J417">
        <v>5</v>
      </c>
      <c r="K417">
        <v>3</v>
      </c>
      <c r="L417">
        <v>2</v>
      </c>
      <c r="M417">
        <v>0</v>
      </c>
      <c r="N417">
        <v>0</v>
      </c>
      <c r="O417">
        <v>0</v>
      </c>
      <c r="P417">
        <v>0</v>
      </c>
      <c r="Q417">
        <v>0</v>
      </c>
      <c r="R417">
        <v>11500</v>
      </c>
      <c r="S417">
        <v>9000</v>
      </c>
      <c r="T417">
        <v>0</v>
      </c>
      <c r="U417" t="str">
        <f>IF(SeismicData[[#This Row],[class]]=1,"Dangerous","Safe")</f>
        <v>Safe</v>
      </c>
      <c r="V417" t="str">
        <f>IF(SeismicData[[#This Row],[shift]]="W","Production","Non-Production")</f>
        <v>Production</v>
      </c>
      <c r="W417" t="str">
        <f>IF(SeismicData[[#This Row],[genergy]]=0,"0","10^"&amp;INT(LOG10(SeismicData[[#This Row],[genergy]])))</f>
        <v>10^4</v>
      </c>
      <c r="X417" t="str">
        <f>IF(OR(SeismicData[[#This Row],[genergy]]&lt;$AA$6,SeismicData[[#This Row],[genergy]]&gt;$AA$5),"Outlier","Normal")</f>
        <v>Normal</v>
      </c>
    </row>
    <row r="418" spans="1:24" x14ac:dyDescent="0.15">
      <c r="A418">
        <v>417</v>
      </c>
      <c r="B418" t="s">
        <v>23</v>
      </c>
      <c r="C418" t="s">
        <v>20</v>
      </c>
      <c r="D418" t="s">
        <v>22</v>
      </c>
      <c r="E418">
        <v>19120</v>
      </c>
      <c r="F418">
        <v>194</v>
      </c>
      <c r="G418">
        <v>-40</v>
      </c>
      <c r="H418">
        <v>-39</v>
      </c>
      <c r="I418" t="s">
        <v>20</v>
      </c>
      <c r="J418">
        <v>3</v>
      </c>
      <c r="K418">
        <v>1</v>
      </c>
      <c r="L418">
        <v>2</v>
      </c>
      <c r="M418">
        <v>0</v>
      </c>
      <c r="N418">
        <v>0</v>
      </c>
      <c r="O418">
        <v>0</v>
      </c>
      <c r="P418">
        <v>0</v>
      </c>
      <c r="Q418">
        <v>0</v>
      </c>
      <c r="R418">
        <v>9300</v>
      </c>
      <c r="S418">
        <v>6000</v>
      </c>
      <c r="T418">
        <v>0</v>
      </c>
      <c r="U418" t="str">
        <f>IF(SeismicData[[#This Row],[class]]=1,"Dangerous","Safe")</f>
        <v>Safe</v>
      </c>
      <c r="V418" t="str">
        <f>IF(SeismicData[[#This Row],[shift]]="W","Production","Non-Production")</f>
        <v>Production</v>
      </c>
      <c r="W418" t="str">
        <f>IF(SeismicData[[#This Row],[genergy]]=0,"0","10^"&amp;INT(LOG10(SeismicData[[#This Row],[genergy]])))</f>
        <v>10^4</v>
      </c>
      <c r="X418" t="str">
        <f>IF(OR(SeismicData[[#This Row],[genergy]]&lt;$AA$6,SeismicData[[#This Row],[genergy]]&gt;$AA$5),"Outlier","Normal")</f>
        <v>Normal</v>
      </c>
    </row>
    <row r="419" spans="1:24" x14ac:dyDescent="0.15">
      <c r="A419">
        <v>418</v>
      </c>
      <c r="B419" t="s">
        <v>20</v>
      </c>
      <c r="C419" t="s">
        <v>20</v>
      </c>
      <c r="D419" t="s">
        <v>21</v>
      </c>
      <c r="E419">
        <v>5180</v>
      </c>
      <c r="F419">
        <v>73</v>
      </c>
      <c r="G419">
        <v>-74</v>
      </c>
      <c r="H419">
        <v>-51</v>
      </c>
      <c r="I419" t="s">
        <v>20</v>
      </c>
      <c r="J419">
        <v>1</v>
      </c>
      <c r="K419">
        <v>1</v>
      </c>
      <c r="L419">
        <v>0</v>
      </c>
      <c r="M419">
        <v>0</v>
      </c>
      <c r="N419">
        <v>0</v>
      </c>
      <c r="O419">
        <v>0</v>
      </c>
      <c r="P419">
        <v>0</v>
      </c>
      <c r="Q419">
        <v>0</v>
      </c>
      <c r="R419">
        <v>400</v>
      </c>
      <c r="S419">
        <v>400</v>
      </c>
      <c r="T419">
        <v>0</v>
      </c>
      <c r="U419" t="str">
        <f>IF(SeismicData[[#This Row],[class]]=1,"Dangerous","Safe")</f>
        <v>Safe</v>
      </c>
      <c r="V419" t="str">
        <f>IF(SeismicData[[#This Row],[shift]]="W","Production","Non-Production")</f>
        <v>Non-Production</v>
      </c>
      <c r="W419" t="str">
        <f>IF(SeismicData[[#This Row],[genergy]]=0,"0","10^"&amp;INT(LOG10(SeismicData[[#This Row],[genergy]])))</f>
        <v>10^3</v>
      </c>
      <c r="X419" t="str">
        <f>IF(OR(SeismicData[[#This Row],[genergy]]&lt;$AA$6,SeismicData[[#This Row],[genergy]]&gt;$AA$5),"Outlier","Normal")</f>
        <v>Normal</v>
      </c>
    </row>
    <row r="420" spans="1:24" x14ac:dyDescent="0.15">
      <c r="A420">
        <v>419</v>
      </c>
      <c r="B420" t="s">
        <v>20</v>
      </c>
      <c r="C420" t="s">
        <v>23</v>
      </c>
      <c r="D420" t="s">
        <v>22</v>
      </c>
      <c r="E420">
        <v>17660</v>
      </c>
      <c r="F420">
        <v>224</v>
      </c>
      <c r="G420">
        <v>-41</v>
      </c>
      <c r="H420">
        <v>-27</v>
      </c>
      <c r="I420" t="s">
        <v>20</v>
      </c>
      <c r="J420">
        <v>5</v>
      </c>
      <c r="K420">
        <v>2</v>
      </c>
      <c r="L420">
        <v>3</v>
      </c>
      <c r="M420">
        <v>0</v>
      </c>
      <c r="N420">
        <v>0</v>
      </c>
      <c r="O420">
        <v>0</v>
      </c>
      <c r="P420">
        <v>0</v>
      </c>
      <c r="Q420">
        <v>0</v>
      </c>
      <c r="R420">
        <v>9900</v>
      </c>
      <c r="S420">
        <v>4000</v>
      </c>
      <c r="T420">
        <v>1</v>
      </c>
      <c r="U420" t="str">
        <f>IF(SeismicData[[#This Row],[class]]=1,"Dangerous","Safe")</f>
        <v>Dangerous</v>
      </c>
      <c r="V420" t="str">
        <f>IF(SeismicData[[#This Row],[shift]]="W","Production","Non-Production")</f>
        <v>Production</v>
      </c>
      <c r="W420" t="str">
        <f>IF(SeismicData[[#This Row],[genergy]]=0,"0","10^"&amp;INT(LOG10(SeismicData[[#This Row],[genergy]])))</f>
        <v>10^4</v>
      </c>
      <c r="X420" t="str">
        <f>IF(OR(SeismicData[[#This Row],[genergy]]&lt;$AA$6,SeismicData[[#This Row],[genergy]]&gt;$AA$5),"Outlier","Normal")</f>
        <v>Normal</v>
      </c>
    </row>
    <row r="421" spans="1:24" x14ac:dyDescent="0.15">
      <c r="A421">
        <v>420</v>
      </c>
      <c r="B421" t="s">
        <v>23</v>
      </c>
      <c r="C421" t="s">
        <v>23</v>
      </c>
      <c r="D421" t="s">
        <v>22</v>
      </c>
      <c r="E421">
        <v>44020</v>
      </c>
      <c r="F421">
        <v>528</v>
      </c>
      <c r="G421">
        <v>61</v>
      </c>
      <c r="H421">
        <v>92</v>
      </c>
      <c r="I421" t="s">
        <v>20</v>
      </c>
      <c r="J421">
        <v>7</v>
      </c>
      <c r="K421">
        <v>3</v>
      </c>
      <c r="L421">
        <v>3</v>
      </c>
      <c r="M421">
        <v>1</v>
      </c>
      <c r="N421">
        <v>0</v>
      </c>
      <c r="O421">
        <v>0</v>
      </c>
      <c r="P421">
        <v>0</v>
      </c>
      <c r="Q421">
        <v>0</v>
      </c>
      <c r="R421">
        <v>25100</v>
      </c>
      <c r="S421">
        <v>20000</v>
      </c>
      <c r="T421">
        <v>0</v>
      </c>
      <c r="U421" t="str">
        <f>IF(SeismicData[[#This Row],[class]]=1,"Dangerous","Safe")</f>
        <v>Safe</v>
      </c>
      <c r="V421" t="str">
        <f>IF(SeismicData[[#This Row],[shift]]="W","Production","Non-Production")</f>
        <v>Production</v>
      </c>
      <c r="W421" t="str">
        <f>IF(SeismicData[[#This Row],[genergy]]=0,"0","10^"&amp;INT(LOG10(SeismicData[[#This Row],[genergy]])))</f>
        <v>10^4</v>
      </c>
      <c r="X421" t="str">
        <f>IF(OR(SeismicData[[#This Row],[genergy]]&lt;$AA$6,SeismicData[[#This Row],[genergy]]&gt;$AA$5),"Outlier","Normal")</f>
        <v>Normal</v>
      </c>
    </row>
    <row r="422" spans="1:24" x14ac:dyDescent="0.15">
      <c r="A422">
        <v>421</v>
      </c>
      <c r="B422" t="s">
        <v>23</v>
      </c>
      <c r="C422" t="s">
        <v>23</v>
      </c>
      <c r="D422" t="s">
        <v>22</v>
      </c>
      <c r="E422">
        <v>54610</v>
      </c>
      <c r="F422">
        <v>527</v>
      </c>
      <c r="G422">
        <v>95</v>
      </c>
      <c r="H422">
        <v>84</v>
      </c>
      <c r="I422" t="s">
        <v>20</v>
      </c>
      <c r="J422">
        <v>6</v>
      </c>
      <c r="K422">
        <v>1</v>
      </c>
      <c r="L422">
        <v>5</v>
      </c>
      <c r="M422">
        <v>0</v>
      </c>
      <c r="N422">
        <v>0</v>
      </c>
      <c r="O422">
        <v>0</v>
      </c>
      <c r="P422">
        <v>0</v>
      </c>
      <c r="Q422">
        <v>0</v>
      </c>
      <c r="R422">
        <v>14700</v>
      </c>
      <c r="S422">
        <v>4000</v>
      </c>
      <c r="T422">
        <v>1</v>
      </c>
      <c r="U422" t="str">
        <f>IF(SeismicData[[#This Row],[class]]=1,"Dangerous","Safe")</f>
        <v>Dangerous</v>
      </c>
      <c r="V422" t="str">
        <f>IF(SeismicData[[#This Row],[shift]]="W","Production","Non-Production")</f>
        <v>Production</v>
      </c>
      <c r="W422" t="str">
        <f>IF(SeismicData[[#This Row],[genergy]]=0,"0","10^"&amp;INT(LOG10(SeismicData[[#This Row],[genergy]])))</f>
        <v>10^4</v>
      </c>
      <c r="X422" t="str">
        <f>IF(OR(SeismicData[[#This Row],[genergy]]&lt;$AA$6,SeismicData[[#This Row],[genergy]]&gt;$AA$5),"Outlier","Normal")</f>
        <v>Normal</v>
      </c>
    </row>
    <row r="423" spans="1:24" x14ac:dyDescent="0.15">
      <c r="A423">
        <v>422</v>
      </c>
      <c r="B423" t="s">
        <v>23</v>
      </c>
      <c r="C423" t="s">
        <v>23</v>
      </c>
      <c r="D423" t="s">
        <v>22</v>
      </c>
      <c r="E423">
        <v>29410</v>
      </c>
      <c r="F423">
        <v>345</v>
      </c>
      <c r="G423">
        <v>-6</v>
      </c>
      <c r="H423">
        <v>7</v>
      </c>
      <c r="I423" t="s">
        <v>20</v>
      </c>
      <c r="J423">
        <v>7</v>
      </c>
      <c r="K423">
        <v>1</v>
      </c>
      <c r="L423">
        <v>3</v>
      </c>
      <c r="M423">
        <v>3</v>
      </c>
      <c r="N423">
        <v>0</v>
      </c>
      <c r="O423">
        <v>0</v>
      </c>
      <c r="P423">
        <v>0</v>
      </c>
      <c r="Q423">
        <v>0</v>
      </c>
      <c r="R423">
        <v>114400</v>
      </c>
      <c r="S423">
        <v>70000</v>
      </c>
      <c r="T423">
        <v>1</v>
      </c>
      <c r="U423" t="str">
        <f>IF(SeismicData[[#This Row],[class]]=1,"Dangerous","Safe")</f>
        <v>Dangerous</v>
      </c>
      <c r="V423" t="str">
        <f>IF(SeismicData[[#This Row],[shift]]="W","Production","Non-Production")</f>
        <v>Production</v>
      </c>
      <c r="W423" t="str">
        <f>IF(SeismicData[[#This Row],[genergy]]=0,"0","10^"&amp;INT(LOG10(SeismicData[[#This Row],[genergy]])))</f>
        <v>10^4</v>
      </c>
      <c r="X423" t="str">
        <f>IF(OR(SeismicData[[#This Row],[genergy]]&lt;$AA$6,SeismicData[[#This Row],[genergy]]&gt;$AA$5),"Outlier","Normal")</f>
        <v>Normal</v>
      </c>
    </row>
    <row r="424" spans="1:24" x14ac:dyDescent="0.15">
      <c r="A424">
        <v>423</v>
      </c>
      <c r="B424" t="s">
        <v>23</v>
      </c>
      <c r="C424" t="s">
        <v>23</v>
      </c>
      <c r="D424" t="s">
        <v>22</v>
      </c>
      <c r="E424">
        <v>60390</v>
      </c>
      <c r="F424">
        <v>622</v>
      </c>
      <c r="G424">
        <v>96</v>
      </c>
      <c r="H424">
        <v>96</v>
      </c>
      <c r="I424" t="s">
        <v>20</v>
      </c>
      <c r="J424">
        <v>9</v>
      </c>
      <c r="K424">
        <v>4</v>
      </c>
      <c r="L424">
        <v>4</v>
      </c>
      <c r="M424">
        <v>1</v>
      </c>
      <c r="N424">
        <v>0</v>
      </c>
      <c r="O424">
        <v>0</v>
      </c>
      <c r="P424">
        <v>0</v>
      </c>
      <c r="Q424">
        <v>0</v>
      </c>
      <c r="R424">
        <v>40600</v>
      </c>
      <c r="S424">
        <v>20000</v>
      </c>
      <c r="T424">
        <v>1</v>
      </c>
      <c r="U424" t="str">
        <f>IF(SeismicData[[#This Row],[class]]=1,"Dangerous","Safe")</f>
        <v>Dangerous</v>
      </c>
      <c r="V424" t="str">
        <f>IF(SeismicData[[#This Row],[shift]]="W","Production","Non-Production")</f>
        <v>Production</v>
      </c>
      <c r="W424" t="str">
        <f>IF(SeismicData[[#This Row],[genergy]]=0,"0","10^"&amp;INT(LOG10(SeismicData[[#This Row],[genergy]])))</f>
        <v>10^4</v>
      </c>
      <c r="X424" t="str">
        <f>IF(OR(SeismicData[[#This Row],[genergy]]&lt;$AA$6,SeismicData[[#This Row],[genergy]]&gt;$AA$5),"Outlier","Normal")</f>
        <v>Normal</v>
      </c>
    </row>
    <row r="425" spans="1:24" x14ac:dyDescent="0.15">
      <c r="A425">
        <v>424</v>
      </c>
      <c r="B425" t="s">
        <v>23</v>
      </c>
      <c r="C425" t="s">
        <v>20</v>
      </c>
      <c r="D425" t="s">
        <v>22</v>
      </c>
      <c r="E425">
        <v>52990</v>
      </c>
      <c r="F425">
        <v>483</v>
      </c>
      <c r="G425">
        <v>54</v>
      </c>
      <c r="H425">
        <v>39</v>
      </c>
      <c r="I425" t="s">
        <v>20</v>
      </c>
      <c r="J425">
        <v>5</v>
      </c>
      <c r="K425">
        <v>3</v>
      </c>
      <c r="L425">
        <v>0</v>
      </c>
      <c r="M425">
        <v>2</v>
      </c>
      <c r="N425">
        <v>0</v>
      </c>
      <c r="O425">
        <v>0</v>
      </c>
      <c r="P425">
        <v>0</v>
      </c>
      <c r="Q425">
        <v>0</v>
      </c>
      <c r="R425">
        <v>71300</v>
      </c>
      <c r="S425">
        <v>50000</v>
      </c>
      <c r="T425">
        <v>0</v>
      </c>
      <c r="U425" t="str">
        <f>IF(SeismicData[[#This Row],[class]]=1,"Dangerous","Safe")</f>
        <v>Safe</v>
      </c>
      <c r="V425" t="str">
        <f>IF(SeismicData[[#This Row],[shift]]="W","Production","Non-Production")</f>
        <v>Production</v>
      </c>
      <c r="W425" t="str">
        <f>IF(SeismicData[[#This Row],[genergy]]=0,"0","10^"&amp;INT(LOG10(SeismicData[[#This Row],[genergy]])))</f>
        <v>10^4</v>
      </c>
      <c r="X425" t="str">
        <f>IF(OR(SeismicData[[#This Row],[genergy]]&lt;$AA$6,SeismicData[[#This Row],[genergy]]&gt;$AA$5),"Outlier","Normal")</f>
        <v>Normal</v>
      </c>
    </row>
    <row r="426" spans="1:24" x14ac:dyDescent="0.15">
      <c r="A426">
        <v>425</v>
      </c>
      <c r="B426" t="s">
        <v>23</v>
      </c>
      <c r="C426" t="s">
        <v>23</v>
      </c>
      <c r="D426" t="s">
        <v>22</v>
      </c>
      <c r="E426">
        <v>39330</v>
      </c>
      <c r="F426">
        <v>409</v>
      </c>
      <c r="G426">
        <v>6</v>
      </c>
      <c r="H426">
        <v>10</v>
      </c>
      <c r="I426" t="s">
        <v>20</v>
      </c>
      <c r="J426">
        <v>6</v>
      </c>
      <c r="K426">
        <v>4</v>
      </c>
      <c r="L426">
        <v>2</v>
      </c>
      <c r="M426">
        <v>0</v>
      </c>
      <c r="N426">
        <v>0</v>
      </c>
      <c r="O426">
        <v>0</v>
      </c>
      <c r="P426">
        <v>0</v>
      </c>
      <c r="Q426">
        <v>0</v>
      </c>
      <c r="R426">
        <v>8200</v>
      </c>
      <c r="S426">
        <v>6000</v>
      </c>
      <c r="T426">
        <v>1</v>
      </c>
      <c r="U426" t="str">
        <f>IF(SeismicData[[#This Row],[class]]=1,"Dangerous","Safe")</f>
        <v>Dangerous</v>
      </c>
      <c r="V426" t="str">
        <f>IF(SeismicData[[#This Row],[shift]]="W","Production","Non-Production")</f>
        <v>Production</v>
      </c>
      <c r="W426" t="str">
        <f>IF(SeismicData[[#This Row],[genergy]]=0,"0","10^"&amp;INT(LOG10(SeismicData[[#This Row],[genergy]])))</f>
        <v>10^4</v>
      </c>
      <c r="X426" t="str">
        <f>IF(OR(SeismicData[[#This Row],[genergy]]&lt;$AA$6,SeismicData[[#This Row],[genergy]]&gt;$AA$5),"Outlier","Normal")</f>
        <v>Normal</v>
      </c>
    </row>
    <row r="427" spans="1:24" x14ac:dyDescent="0.15">
      <c r="A427">
        <v>426</v>
      </c>
      <c r="B427" t="s">
        <v>23</v>
      </c>
      <c r="C427" t="s">
        <v>23</v>
      </c>
      <c r="D427" t="s">
        <v>22</v>
      </c>
      <c r="E427">
        <v>46810</v>
      </c>
      <c r="F427">
        <v>552</v>
      </c>
      <c r="G427">
        <v>28</v>
      </c>
      <c r="H427">
        <v>47</v>
      </c>
      <c r="I427" t="s">
        <v>20</v>
      </c>
      <c r="J427">
        <v>3</v>
      </c>
      <c r="K427">
        <v>1</v>
      </c>
      <c r="L427">
        <v>1</v>
      </c>
      <c r="M427">
        <v>1</v>
      </c>
      <c r="N427">
        <v>0</v>
      </c>
      <c r="O427">
        <v>0</v>
      </c>
      <c r="P427">
        <v>0</v>
      </c>
      <c r="Q427">
        <v>0</v>
      </c>
      <c r="R427">
        <v>27500</v>
      </c>
      <c r="S427">
        <v>20000</v>
      </c>
      <c r="T427">
        <v>0</v>
      </c>
      <c r="U427" t="str">
        <f>IF(SeismicData[[#This Row],[class]]=1,"Dangerous","Safe")</f>
        <v>Safe</v>
      </c>
      <c r="V427" t="str">
        <f>IF(SeismicData[[#This Row],[shift]]="W","Production","Non-Production")</f>
        <v>Production</v>
      </c>
      <c r="W427" t="str">
        <f>IF(SeismicData[[#This Row],[genergy]]=0,"0","10^"&amp;INT(LOG10(SeismicData[[#This Row],[genergy]])))</f>
        <v>10^4</v>
      </c>
      <c r="X427" t="str">
        <f>IF(OR(SeismicData[[#This Row],[genergy]]&lt;$AA$6,SeismicData[[#This Row],[genergy]]&gt;$AA$5),"Outlier","Normal")</f>
        <v>Normal</v>
      </c>
    </row>
    <row r="428" spans="1:24" x14ac:dyDescent="0.15">
      <c r="A428">
        <v>427</v>
      </c>
      <c r="B428" t="s">
        <v>23</v>
      </c>
      <c r="C428" t="s">
        <v>23</v>
      </c>
      <c r="D428" t="s">
        <v>22</v>
      </c>
      <c r="E428">
        <v>59300</v>
      </c>
      <c r="F428">
        <v>690</v>
      </c>
      <c r="G428">
        <v>53</v>
      </c>
      <c r="H428">
        <v>70</v>
      </c>
      <c r="I428" t="s">
        <v>20</v>
      </c>
      <c r="J428">
        <v>6</v>
      </c>
      <c r="K428">
        <v>1</v>
      </c>
      <c r="L428">
        <v>5</v>
      </c>
      <c r="M428">
        <v>0</v>
      </c>
      <c r="N428">
        <v>0</v>
      </c>
      <c r="O428">
        <v>0</v>
      </c>
      <c r="P428">
        <v>0</v>
      </c>
      <c r="Q428">
        <v>0</v>
      </c>
      <c r="R428">
        <v>25700</v>
      </c>
      <c r="S428">
        <v>8000</v>
      </c>
      <c r="T428">
        <v>0</v>
      </c>
      <c r="U428" t="str">
        <f>IF(SeismicData[[#This Row],[class]]=1,"Dangerous","Safe")</f>
        <v>Safe</v>
      </c>
      <c r="V428" t="str">
        <f>IF(SeismicData[[#This Row],[shift]]="W","Production","Non-Production")</f>
        <v>Production</v>
      </c>
      <c r="W428" t="str">
        <f>IF(SeismicData[[#This Row],[genergy]]=0,"0","10^"&amp;INT(LOG10(SeismicData[[#This Row],[genergy]])))</f>
        <v>10^4</v>
      </c>
      <c r="X428" t="str">
        <f>IF(OR(SeismicData[[#This Row],[genergy]]&lt;$AA$6,SeismicData[[#This Row],[genergy]]&gt;$AA$5),"Outlier","Normal")</f>
        <v>Normal</v>
      </c>
    </row>
    <row r="429" spans="1:24" x14ac:dyDescent="0.15">
      <c r="A429">
        <v>428</v>
      </c>
      <c r="B429" t="s">
        <v>23</v>
      </c>
      <c r="C429" t="s">
        <v>23</v>
      </c>
      <c r="D429" t="s">
        <v>21</v>
      </c>
      <c r="E429">
        <v>10370</v>
      </c>
      <c r="F429">
        <v>134</v>
      </c>
      <c r="G429">
        <v>-44</v>
      </c>
      <c r="H429">
        <v>-6</v>
      </c>
      <c r="I429" t="s">
        <v>20</v>
      </c>
      <c r="J429">
        <v>3</v>
      </c>
      <c r="K429">
        <v>1</v>
      </c>
      <c r="L429">
        <v>2</v>
      </c>
      <c r="M429">
        <v>0</v>
      </c>
      <c r="N429">
        <v>0</v>
      </c>
      <c r="O429">
        <v>0</v>
      </c>
      <c r="P429">
        <v>0</v>
      </c>
      <c r="Q429">
        <v>0</v>
      </c>
      <c r="R429">
        <v>6300</v>
      </c>
      <c r="S429">
        <v>4000</v>
      </c>
      <c r="T429">
        <v>1</v>
      </c>
      <c r="U429" t="str">
        <f>IF(SeismicData[[#This Row],[class]]=1,"Dangerous","Safe")</f>
        <v>Dangerous</v>
      </c>
      <c r="V429" t="str">
        <f>IF(SeismicData[[#This Row],[shift]]="W","Production","Non-Production")</f>
        <v>Non-Production</v>
      </c>
      <c r="W429" t="str">
        <f>IF(SeismicData[[#This Row],[genergy]]=0,"0","10^"&amp;INT(LOG10(SeismicData[[#This Row],[genergy]])))</f>
        <v>10^4</v>
      </c>
      <c r="X429" t="str">
        <f>IF(OR(SeismicData[[#This Row],[genergy]]&lt;$AA$6,SeismicData[[#This Row],[genergy]]&gt;$AA$5),"Outlier","Normal")</f>
        <v>Normal</v>
      </c>
    </row>
    <row r="430" spans="1:24" x14ac:dyDescent="0.15">
      <c r="A430">
        <v>429</v>
      </c>
      <c r="B430" t="s">
        <v>23</v>
      </c>
      <c r="C430" t="s">
        <v>23</v>
      </c>
      <c r="D430" t="s">
        <v>22</v>
      </c>
      <c r="E430">
        <v>47500</v>
      </c>
      <c r="F430">
        <v>668</v>
      </c>
      <c r="G430">
        <v>12</v>
      </c>
      <c r="H430">
        <v>46</v>
      </c>
      <c r="I430" t="s">
        <v>20</v>
      </c>
      <c r="J430">
        <v>8</v>
      </c>
      <c r="K430">
        <v>4</v>
      </c>
      <c r="L430">
        <v>2</v>
      </c>
      <c r="M430">
        <v>2</v>
      </c>
      <c r="N430">
        <v>0</v>
      </c>
      <c r="O430">
        <v>0</v>
      </c>
      <c r="P430">
        <v>0</v>
      </c>
      <c r="Q430">
        <v>0</v>
      </c>
      <c r="R430">
        <v>97100</v>
      </c>
      <c r="S430">
        <v>50000</v>
      </c>
      <c r="T430">
        <v>0</v>
      </c>
      <c r="U430" t="str">
        <f>IF(SeismicData[[#This Row],[class]]=1,"Dangerous","Safe")</f>
        <v>Safe</v>
      </c>
      <c r="V430" t="str">
        <f>IF(SeismicData[[#This Row],[shift]]="W","Production","Non-Production")</f>
        <v>Production</v>
      </c>
      <c r="W430" t="str">
        <f>IF(SeismicData[[#This Row],[genergy]]=0,"0","10^"&amp;INT(LOG10(SeismicData[[#This Row],[genergy]])))</f>
        <v>10^4</v>
      </c>
      <c r="X430" t="str">
        <f>IF(OR(SeismicData[[#This Row],[genergy]]&lt;$AA$6,SeismicData[[#This Row],[genergy]]&gt;$AA$5),"Outlier","Normal")</f>
        <v>Normal</v>
      </c>
    </row>
    <row r="431" spans="1:24" x14ac:dyDescent="0.15">
      <c r="A431">
        <v>430</v>
      </c>
      <c r="B431" t="s">
        <v>23</v>
      </c>
      <c r="C431" t="s">
        <v>23</v>
      </c>
      <c r="D431" t="s">
        <v>22</v>
      </c>
      <c r="E431">
        <v>46430</v>
      </c>
      <c r="F431">
        <v>737</v>
      </c>
      <c r="G431">
        <v>3</v>
      </c>
      <c r="H431">
        <v>46</v>
      </c>
      <c r="I431" t="s">
        <v>20</v>
      </c>
      <c r="J431">
        <v>4</v>
      </c>
      <c r="K431">
        <v>2</v>
      </c>
      <c r="L431">
        <v>2</v>
      </c>
      <c r="M431">
        <v>0</v>
      </c>
      <c r="N431">
        <v>0</v>
      </c>
      <c r="O431">
        <v>0</v>
      </c>
      <c r="P431">
        <v>0</v>
      </c>
      <c r="Q431">
        <v>0</v>
      </c>
      <c r="R431">
        <v>15000</v>
      </c>
      <c r="S431">
        <v>9000</v>
      </c>
      <c r="T431">
        <v>0</v>
      </c>
      <c r="U431" t="str">
        <f>IF(SeismicData[[#This Row],[class]]=1,"Dangerous","Safe")</f>
        <v>Safe</v>
      </c>
      <c r="V431" t="str">
        <f>IF(SeismicData[[#This Row],[shift]]="W","Production","Non-Production")</f>
        <v>Production</v>
      </c>
      <c r="W431" t="str">
        <f>IF(SeismicData[[#This Row],[genergy]]=0,"0","10^"&amp;INT(LOG10(SeismicData[[#This Row],[genergy]])))</f>
        <v>10^4</v>
      </c>
      <c r="X431" t="str">
        <f>IF(OR(SeismicData[[#This Row],[genergy]]&lt;$AA$6,SeismicData[[#This Row],[genergy]]&gt;$AA$5),"Outlier","Normal")</f>
        <v>Normal</v>
      </c>
    </row>
    <row r="432" spans="1:24" x14ac:dyDescent="0.15">
      <c r="A432">
        <v>431</v>
      </c>
      <c r="B432" t="s">
        <v>23</v>
      </c>
      <c r="C432" t="s">
        <v>23</v>
      </c>
      <c r="D432" t="s">
        <v>22</v>
      </c>
      <c r="E432">
        <v>34960</v>
      </c>
      <c r="F432">
        <v>565</v>
      </c>
      <c r="G432">
        <v>-27</v>
      </c>
      <c r="H432">
        <v>2</v>
      </c>
      <c r="I432" t="s">
        <v>20</v>
      </c>
      <c r="J432">
        <v>5</v>
      </c>
      <c r="K432">
        <v>1</v>
      </c>
      <c r="L432">
        <v>4</v>
      </c>
      <c r="M432">
        <v>0</v>
      </c>
      <c r="N432">
        <v>0</v>
      </c>
      <c r="O432">
        <v>0</v>
      </c>
      <c r="P432">
        <v>0</v>
      </c>
      <c r="Q432">
        <v>0</v>
      </c>
      <c r="R432">
        <v>14200</v>
      </c>
      <c r="S432">
        <v>7000</v>
      </c>
      <c r="T432">
        <v>1</v>
      </c>
      <c r="U432" t="str">
        <f>IF(SeismicData[[#This Row],[class]]=1,"Dangerous","Safe")</f>
        <v>Dangerous</v>
      </c>
      <c r="V432" t="str">
        <f>IF(SeismicData[[#This Row],[shift]]="W","Production","Non-Production")</f>
        <v>Production</v>
      </c>
      <c r="W432" t="str">
        <f>IF(SeismicData[[#This Row],[genergy]]=0,"0","10^"&amp;INT(LOG10(SeismicData[[#This Row],[genergy]])))</f>
        <v>10^4</v>
      </c>
      <c r="X432" t="str">
        <f>IF(OR(SeismicData[[#This Row],[genergy]]&lt;$AA$6,SeismicData[[#This Row],[genergy]]&gt;$AA$5),"Outlier","Normal")</f>
        <v>Normal</v>
      </c>
    </row>
    <row r="433" spans="1:24" x14ac:dyDescent="0.15">
      <c r="A433">
        <v>432</v>
      </c>
      <c r="B433" t="s">
        <v>23</v>
      </c>
      <c r="C433" t="s">
        <v>23</v>
      </c>
      <c r="D433" t="s">
        <v>21</v>
      </c>
      <c r="E433">
        <v>20340</v>
      </c>
      <c r="F433">
        <v>271</v>
      </c>
      <c r="G433">
        <v>16</v>
      </c>
      <c r="H433">
        <v>93</v>
      </c>
      <c r="I433" t="s">
        <v>20</v>
      </c>
      <c r="J433">
        <v>2</v>
      </c>
      <c r="K433">
        <v>0</v>
      </c>
      <c r="L433">
        <v>1</v>
      </c>
      <c r="M433">
        <v>0</v>
      </c>
      <c r="N433">
        <v>1</v>
      </c>
      <c r="O433">
        <v>0</v>
      </c>
      <c r="P433">
        <v>0</v>
      </c>
      <c r="Q433">
        <v>0</v>
      </c>
      <c r="R433">
        <v>202000</v>
      </c>
      <c r="S433">
        <v>200000</v>
      </c>
      <c r="T433">
        <v>0</v>
      </c>
      <c r="U433" t="str">
        <f>IF(SeismicData[[#This Row],[class]]=1,"Dangerous","Safe")</f>
        <v>Safe</v>
      </c>
      <c r="V433" t="str">
        <f>IF(SeismicData[[#This Row],[shift]]="W","Production","Non-Production")</f>
        <v>Non-Production</v>
      </c>
      <c r="W433" t="str">
        <f>IF(SeismicData[[#This Row],[genergy]]=0,"0","10^"&amp;INT(LOG10(SeismicData[[#This Row],[genergy]])))</f>
        <v>10^4</v>
      </c>
      <c r="X433" t="str">
        <f>IF(OR(SeismicData[[#This Row],[genergy]]&lt;$AA$6,SeismicData[[#This Row],[genergy]]&gt;$AA$5),"Outlier","Normal")</f>
        <v>Normal</v>
      </c>
    </row>
    <row r="434" spans="1:24" x14ac:dyDescent="0.15">
      <c r="A434">
        <v>433</v>
      </c>
      <c r="B434" t="s">
        <v>20</v>
      </c>
      <c r="C434" t="s">
        <v>23</v>
      </c>
      <c r="D434" t="s">
        <v>21</v>
      </c>
      <c r="E434">
        <v>4930</v>
      </c>
      <c r="F434">
        <v>109</v>
      </c>
      <c r="G434">
        <v>-59</v>
      </c>
      <c r="H434">
        <v>-31</v>
      </c>
      <c r="I434" t="s">
        <v>20</v>
      </c>
      <c r="J434">
        <v>1</v>
      </c>
      <c r="K434">
        <v>0</v>
      </c>
      <c r="L434">
        <v>1</v>
      </c>
      <c r="M434">
        <v>0</v>
      </c>
      <c r="N434">
        <v>0</v>
      </c>
      <c r="O434">
        <v>0</v>
      </c>
      <c r="P434">
        <v>0</v>
      </c>
      <c r="Q434">
        <v>0</v>
      </c>
      <c r="R434">
        <v>5000</v>
      </c>
      <c r="S434">
        <v>5000</v>
      </c>
      <c r="T434">
        <v>0</v>
      </c>
      <c r="U434" t="str">
        <f>IF(SeismicData[[#This Row],[class]]=1,"Dangerous","Safe")</f>
        <v>Safe</v>
      </c>
      <c r="V434" t="str">
        <f>IF(SeismicData[[#This Row],[shift]]="W","Production","Non-Production")</f>
        <v>Non-Production</v>
      </c>
      <c r="W434" t="str">
        <f>IF(SeismicData[[#This Row],[genergy]]=0,"0","10^"&amp;INT(LOG10(SeismicData[[#This Row],[genergy]])))</f>
        <v>10^3</v>
      </c>
      <c r="X434" t="str">
        <f>IF(OR(SeismicData[[#This Row],[genergy]]&lt;$AA$6,SeismicData[[#This Row],[genergy]]&gt;$AA$5),"Outlier","Normal")</f>
        <v>Normal</v>
      </c>
    </row>
    <row r="435" spans="1:24" x14ac:dyDescent="0.15">
      <c r="A435">
        <v>434</v>
      </c>
      <c r="B435" t="s">
        <v>20</v>
      </c>
      <c r="C435" t="s">
        <v>23</v>
      </c>
      <c r="D435" t="s">
        <v>22</v>
      </c>
      <c r="E435">
        <v>61770</v>
      </c>
      <c r="F435">
        <v>1062</v>
      </c>
      <c r="G435">
        <v>31</v>
      </c>
      <c r="H435">
        <v>90</v>
      </c>
      <c r="I435" t="s">
        <v>20</v>
      </c>
      <c r="J435">
        <v>6</v>
      </c>
      <c r="K435">
        <v>2</v>
      </c>
      <c r="L435">
        <v>4</v>
      </c>
      <c r="M435">
        <v>0</v>
      </c>
      <c r="N435">
        <v>0</v>
      </c>
      <c r="O435">
        <v>0</v>
      </c>
      <c r="P435">
        <v>0</v>
      </c>
      <c r="Q435">
        <v>0</v>
      </c>
      <c r="R435">
        <v>10800</v>
      </c>
      <c r="S435">
        <v>6000</v>
      </c>
      <c r="T435">
        <v>1</v>
      </c>
      <c r="U435" t="str">
        <f>IF(SeismicData[[#This Row],[class]]=1,"Dangerous","Safe")</f>
        <v>Dangerous</v>
      </c>
      <c r="V435" t="str">
        <f>IF(SeismicData[[#This Row],[shift]]="W","Production","Non-Production")</f>
        <v>Production</v>
      </c>
      <c r="W435" t="str">
        <f>IF(SeismicData[[#This Row],[genergy]]=0,"0","10^"&amp;INT(LOG10(SeismicData[[#This Row],[genergy]])))</f>
        <v>10^4</v>
      </c>
      <c r="X435" t="str">
        <f>IF(OR(SeismicData[[#This Row],[genergy]]&lt;$AA$6,SeismicData[[#This Row],[genergy]]&gt;$AA$5),"Outlier","Normal")</f>
        <v>Normal</v>
      </c>
    </row>
    <row r="436" spans="1:24" x14ac:dyDescent="0.15">
      <c r="A436">
        <v>435</v>
      </c>
      <c r="B436" t="s">
        <v>23</v>
      </c>
      <c r="C436" t="s">
        <v>20</v>
      </c>
      <c r="D436" t="s">
        <v>22</v>
      </c>
      <c r="E436">
        <v>73420</v>
      </c>
      <c r="F436">
        <v>1202</v>
      </c>
      <c r="G436">
        <v>53</v>
      </c>
      <c r="H436">
        <v>96</v>
      </c>
      <c r="I436" t="s">
        <v>20</v>
      </c>
      <c r="J436">
        <v>5</v>
      </c>
      <c r="K436">
        <v>2</v>
      </c>
      <c r="L436">
        <v>2</v>
      </c>
      <c r="M436">
        <v>1</v>
      </c>
      <c r="N436">
        <v>0</v>
      </c>
      <c r="O436">
        <v>0</v>
      </c>
      <c r="P436">
        <v>0</v>
      </c>
      <c r="Q436">
        <v>0</v>
      </c>
      <c r="R436">
        <v>30200</v>
      </c>
      <c r="S436">
        <v>20000</v>
      </c>
      <c r="T436">
        <v>0</v>
      </c>
      <c r="U436" t="str">
        <f>IF(SeismicData[[#This Row],[class]]=1,"Dangerous","Safe")</f>
        <v>Safe</v>
      </c>
      <c r="V436" t="str">
        <f>IF(SeismicData[[#This Row],[shift]]="W","Production","Non-Production")</f>
        <v>Production</v>
      </c>
      <c r="W436" t="str">
        <f>IF(SeismicData[[#This Row],[genergy]]=0,"0","10^"&amp;INT(LOG10(SeismicData[[#This Row],[genergy]])))</f>
        <v>10^4</v>
      </c>
      <c r="X436" t="str">
        <f>IF(OR(SeismicData[[#This Row],[genergy]]&lt;$AA$6,SeismicData[[#This Row],[genergy]]&gt;$AA$5),"Outlier","Normal")</f>
        <v>Normal</v>
      </c>
    </row>
    <row r="437" spans="1:24" x14ac:dyDescent="0.15">
      <c r="A437">
        <v>436</v>
      </c>
      <c r="B437" t="s">
        <v>23</v>
      </c>
      <c r="C437" t="s">
        <v>20</v>
      </c>
      <c r="D437" t="s">
        <v>22</v>
      </c>
      <c r="E437">
        <v>38170</v>
      </c>
      <c r="F437">
        <v>784</v>
      </c>
      <c r="G437">
        <v>-27</v>
      </c>
      <c r="H437">
        <v>12</v>
      </c>
      <c r="I437" t="s">
        <v>20</v>
      </c>
      <c r="J437">
        <v>3</v>
      </c>
      <c r="K437">
        <v>1</v>
      </c>
      <c r="L437">
        <v>2</v>
      </c>
      <c r="M437">
        <v>0</v>
      </c>
      <c r="N437">
        <v>0</v>
      </c>
      <c r="O437">
        <v>0</v>
      </c>
      <c r="P437">
        <v>0</v>
      </c>
      <c r="Q437">
        <v>0</v>
      </c>
      <c r="R437">
        <v>3500</v>
      </c>
      <c r="S437">
        <v>2000</v>
      </c>
      <c r="T437">
        <v>0</v>
      </c>
      <c r="U437" t="str">
        <f>IF(SeismicData[[#This Row],[class]]=1,"Dangerous","Safe")</f>
        <v>Safe</v>
      </c>
      <c r="V437" t="str">
        <f>IF(SeismicData[[#This Row],[shift]]="W","Production","Non-Production")</f>
        <v>Production</v>
      </c>
      <c r="W437" t="str">
        <f>IF(SeismicData[[#This Row],[genergy]]=0,"0","10^"&amp;INT(LOG10(SeismicData[[#This Row],[genergy]])))</f>
        <v>10^4</v>
      </c>
      <c r="X437" t="str">
        <f>IF(OR(SeismicData[[#This Row],[genergy]]&lt;$AA$6,SeismicData[[#This Row],[genergy]]&gt;$AA$5),"Outlier","Normal")</f>
        <v>Normal</v>
      </c>
    </row>
    <row r="438" spans="1:24" x14ac:dyDescent="0.15">
      <c r="A438">
        <v>437</v>
      </c>
      <c r="B438" t="s">
        <v>23</v>
      </c>
      <c r="C438" t="s">
        <v>20</v>
      </c>
      <c r="D438" t="s">
        <v>21</v>
      </c>
      <c r="E438">
        <v>5500</v>
      </c>
      <c r="F438">
        <v>152</v>
      </c>
      <c r="G438">
        <v>-51</v>
      </c>
      <c r="H438">
        <v>-1</v>
      </c>
      <c r="I438" t="s">
        <v>20</v>
      </c>
      <c r="J438">
        <v>2</v>
      </c>
      <c r="K438">
        <v>1</v>
      </c>
      <c r="L438">
        <v>0</v>
      </c>
      <c r="M438">
        <v>0</v>
      </c>
      <c r="N438">
        <v>0</v>
      </c>
      <c r="O438">
        <v>0</v>
      </c>
      <c r="P438">
        <v>0</v>
      </c>
      <c r="Q438">
        <v>0</v>
      </c>
      <c r="R438">
        <v>250</v>
      </c>
      <c r="S438">
        <v>200</v>
      </c>
      <c r="T438">
        <v>0</v>
      </c>
      <c r="U438" t="str">
        <f>IF(SeismicData[[#This Row],[class]]=1,"Dangerous","Safe")</f>
        <v>Safe</v>
      </c>
      <c r="V438" t="str">
        <f>IF(SeismicData[[#This Row],[shift]]="W","Production","Non-Production")</f>
        <v>Non-Production</v>
      </c>
      <c r="W438" t="str">
        <f>IF(SeismicData[[#This Row],[genergy]]=0,"0","10^"&amp;INT(LOG10(SeismicData[[#This Row],[genergy]])))</f>
        <v>10^3</v>
      </c>
      <c r="X438" t="str">
        <f>IF(OR(SeismicData[[#This Row],[genergy]]&lt;$AA$6,SeismicData[[#This Row],[genergy]]&gt;$AA$5),"Outlier","Normal")</f>
        <v>Normal</v>
      </c>
    </row>
    <row r="439" spans="1:24" x14ac:dyDescent="0.15">
      <c r="A439">
        <v>438</v>
      </c>
      <c r="B439" t="s">
        <v>20</v>
      </c>
      <c r="C439" t="s">
        <v>20</v>
      </c>
      <c r="D439" t="s">
        <v>21</v>
      </c>
      <c r="E439">
        <v>4630</v>
      </c>
      <c r="F439">
        <v>89</v>
      </c>
      <c r="G439">
        <v>-56</v>
      </c>
      <c r="H439">
        <v>-42</v>
      </c>
      <c r="I439" t="s">
        <v>20</v>
      </c>
      <c r="J439">
        <v>1</v>
      </c>
      <c r="K439">
        <v>0</v>
      </c>
      <c r="L439">
        <v>0</v>
      </c>
      <c r="M439">
        <v>0</v>
      </c>
      <c r="N439">
        <v>0</v>
      </c>
      <c r="O439">
        <v>0</v>
      </c>
      <c r="P439">
        <v>0</v>
      </c>
      <c r="Q439">
        <v>0</v>
      </c>
      <c r="R439">
        <v>50</v>
      </c>
      <c r="S439">
        <v>50</v>
      </c>
      <c r="T439">
        <v>1</v>
      </c>
      <c r="U439" t="str">
        <f>IF(SeismicData[[#This Row],[class]]=1,"Dangerous","Safe")</f>
        <v>Dangerous</v>
      </c>
      <c r="V439" t="str">
        <f>IF(SeismicData[[#This Row],[shift]]="W","Production","Non-Production")</f>
        <v>Non-Production</v>
      </c>
      <c r="W439" t="str">
        <f>IF(SeismicData[[#This Row],[genergy]]=0,"0","10^"&amp;INT(LOG10(SeismicData[[#This Row],[genergy]])))</f>
        <v>10^3</v>
      </c>
      <c r="X439" t="str">
        <f>IF(OR(SeismicData[[#This Row],[genergy]]&lt;$AA$6,SeismicData[[#This Row],[genergy]]&gt;$AA$5),"Outlier","Normal")</f>
        <v>Normal</v>
      </c>
    </row>
    <row r="440" spans="1:24" x14ac:dyDescent="0.15">
      <c r="A440">
        <v>439</v>
      </c>
      <c r="B440" t="s">
        <v>23</v>
      </c>
      <c r="C440" t="s">
        <v>20</v>
      </c>
      <c r="D440" t="s">
        <v>21</v>
      </c>
      <c r="E440">
        <v>3250</v>
      </c>
      <c r="F440">
        <v>68</v>
      </c>
      <c r="G440">
        <v>-67</v>
      </c>
      <c r="H440">
        <v>-54</v>
      </c>
      <c r="I440" t="s">
        <v>20</v>
      </c>
      <c r="J440">
        <v>1</v>
      </c>
      <c r="K440">
        <v>0</v>
      </c>
      <c r="L440">
        <v>0</v>
      </c>
      <c r="M440">
        <v>1</v>
      </c>
      <c r="N440">
        <v>0</v>
      </c>
      <c r="O440">
        <v>0</v>
      </c>
      <c r="P440">
        <v>0</v>
      </c>
      <c r="Q440">
        <v>0</v>
      </c>
      <c r="R440">
        <v>30000</v>
      </c>
      <c r="S440">
        <v>30000</v>
      </c>
      <c r="T440">
        <v>1</v>
      </c>
      <c r="U440" t="str">
        <f>IF(SeismicData[[#This Row],[class]]=1,"Dangerous","Safe")</f>
        <v>Dangerous</v>
      </c>
      <c r="V440" t="str">
        <f>IF(SeismicData[[#This Row],[shift]]="W","Production","Non-Production")</f>
        <v>Non-Production</v>
      </c>
      <c r="W440" t="str">
        <f>IF(SeismicData[[#This Row],[genergy]]=0,"0","10^"&amp;INT(LOG10(SeismicData[[#This Row],[genergy]])))</f>
        <v>10^3</v>
      </c>
      <c r="X440" t="str">
        <f>IF(OR(SeismicData[[#This Row],[genergy]]&lt;$AA$6,SeismicData[[#This Row],[genergy]]&gt;$AA$5),"Outlier","Normal")</f>
        <v>Normal</v>
      </c>
    </row>
    <row r="441" spans="1:24" x14ac:dyDescent="0.15">
      <c r="A441">
        <v>440</v>
      </c>
      <c r="B441" t="s">
        <v>23</v>
      </c>
      <c r="C441" t="s">
        <v>20</v>
      </c>
      <c r="D441" t="s">
        <v>22</v>
      </c>
      <c r="E441">
        <v>30460</v>
      </c>
      <c r="F441">
        <v>457</v>
      </c>
      <c r="G441">
        <v>-39</v>
      </c>
      <c r="H441">
        <v>-36</v>
      </c>
      <c r="I441" t="s">
        <v>20</v>
      </c>
      <c r="J441">
        <v>3</v>
      </c>
      <c r="K441">
        <v>2</v>
      </c>
      <c r="L441">
        <v>0</v>
      </c>
      <c r="M441">
        <v>1</v>
      </c>
      <c r="N441">
        <v>0</v>
      </c>
      <c r="O441">
        <v>0</v>
      </c>
      <c r="P441">
        <v>0</v>
      </c>
      <c r="Q441">
        <v>0</v>
      </c>
      <c r="R441">
        <v>70600</v>
      </c>
      <c r="S441">
        <v>70000</v>
      </c>
      <c r="T441">
        <v>0</v>
      </c>
      <c r="U441" t="str">
        <f>IF(SeismicData[[#This Row],[class]]=1,"Dangerous","Safe")</f>
        <v>Safe</v>
      </c>
      <c r="V441" t="str">
        <f>IF(SeismicData[[#This Row],[shift]]="W","Production","Non-Production")</f>
        <v>Production</v>
      </c>
      <c r="W441" t="str">
        <f>IF(SeismicData[[#This Row],[genergy]]=0,"0","10^"&amp;INT(LOG10(SeismicData[[#This Row],[genergy]])))</f>
        <v>10^4</v>
      </c>
      <c r="X441" t="str">
        <f>IF(OR(SeismicData[[#This Row],[genergy]]&lt;$AA$6,SeismicData[[#This Row],[genergy]]&gt;$AA$5),"Outlier","Normal")</f>
        <v>Normal</v>
      </c>
    </row>
    <row r="442" spans="1:24" x14ac:dyDescent="0.15">
      <c r="A442">
        <v>441</v>
      </c>
      <c r="B442" t="s">
        <v>23</v>
      </c>
      <c r="C442" t="s">
        <v>20</v>
      </c>
      <c r="D442" t="s">
        <v>22</v>
      </c>
      <c r="E442">
        <v>28300</v>
      </c>
      <c r="F442">
        <v>569</v>
      </c>
      <c r="G442">
        <v>-41</v>
      </c>
      <c r="H442">
        <v>-20</v>
      </c>
      <c r="I442" t="s">
        <v>20</v>
      </c>
      <c r="J442">
        <v>1</v>
      </c>
      <c r="K442">
        <v>0</v>
      </c>
      <c r="L442">
        <v>1</v>
      </c>
      <c r="M442">
        <v>0</v>
      </c>
      <c r="N442">
        <v>0</v>
      </c>
      <c r="O442">
        <v>0</v>
      </c>
      <c r="P442">
        <v>0</v>
      </c>
      <c r="Q442">
        <v>0</v>
      </c>
      <c r="R442">
        <v>8000</v>
      </c>
      <c r="S442">
        <v>8000</v>
      </c>
      <c r="T442">
        <v>0</v>
      </c>
      <c r="U442" t="str">
        <f>IF(SeismicData[[#This Row],[class]]=1,"Dangerous","Safe")</f>
        <v>Safe</v>
      </c>
      <c r="V442" t="str">
        <f>IF(SeismicData[[#This Row],[shift]]="W","Production","Non-Production")</f>
        <v>Production</v>
      </c>
      <c r="W442" t="str">
        <f>IF(SeismicData[[#This Row],[genergy]]=0,"0","10^"&amp;INT(LOG10(SeismicData[[#This Row],[genergy]])))</f>
        <v>10^4</v>
      </c>
      <c r="X442" t="str">
        <f>IF(OR(SeismicData[[#This Row],[genergy]]&lt;$AA$6,SeismicData[[#This Row],[genergy]]&gt;$AA$5),"Outlier","Normal")</f>
        <v>Normal</v>
      </c>
    </row>
    <row r="443" spans="1:24" x14ac:dyDescent="0.15">
      <c r="A443">
        <v>442</v>
      </c>
      <c r="B443" t="s">
        <v>23</v>
      </c>
      <c r="C443" t="s">
        <v>23</v>
      </c>
      <c r="D443" t="s">
        <v>21</v>
      </c>
      <c r="E443">
        <v>15500</v>
      </c>
      <c r="F443">
        <v>255</v>
      </c>
      <c r="G443">
        <v>72</v>
      </c>
      <c r="H443">
        <v>86</v>
      </c>
      <c r="I443" t="s">
        <v>20</v>
      </c>
      <c r="J443">
        <v>1</v>
      </c>
      <c r="K443">
        <v>0</v>
      </c>
      <c r="L443">
        <v>1</v>
      </c>
      <c r="M443">
        <v>0</v>
      </c>
      <c r="N443">
        <v>0</v>
      </c>
      <c r="O443">
        <v>0</v>
      </c>
      <c r="P443">
        <v>0</v>
      </c>
      <c r="Q443">
        <v>0</v>
      </c>
      <c r="R443">
        <v>2000</v>
      </c>
      <c r="S443">
        <v>2000</v>
      </c>
      <c r="T443">
        <v>0</v>
      </c>
      <c r="U443" t="str">
        <f>IF(SeismicData[[#This Row],[class]]=1,"Dangerous","Safe")</f>
        <v>Safe</v>
      </c>
      <c r="V443" t="str">
        <f>IF(SeismicData[[#This Row],[shift]]="W","Production","Non-Production")</f>
        <v>Non-Production</v>
      </c>
      <c r="W443" t="str">
        <f>IF(SeismicData[[#This Row],[genergy]]=0,"0","10^"&amp;INT(LOG10(SeismicData[[#This Row],[genergy]])))</f>
        <v>10^4</v>
      </c>
      <c r="X443" t="str">
        <f>IF(OR(SeismicData[[#This Row],[genergy]]&lt;$AA$6,SeismicData[[#This Row],[genergy]]&gt;$AA$5),"Outlier","Normal")</f>
        <v>Normal</v>
      </c>
    </row>
    <row r="444" spans="1:24" x14ac:dyDescent="0.15">
      <c r="A444">
        <v>443</v>
      </c>
      <c r="B444" t="s">
        <v>20</v>
      </c>
      <c r="C444" t="s">
        <v>23</v>
      </c>
      <c r="D444" t="s">
        <v>21</v>
      </c>
      <c r="E444">
        <v>19320</v>
      </c>
      <c r="F444">
        <v>320</v>
      </c>
      <c r="G444">
        <v>106</v>
      </c>
      <c r="H444">
        <v>118</v>
      </c>
      <c r="I444" t="s">
        <v>23</v>
      </c>
      <c r="J444">
        <v>2</v>
      </c>
      <c r="K444">
        <v>1</v>
      </c>
      <c r="L444">
        <v>1</v>
      </c>
      <c r="M444">
        <v>0</v>
      </c>
      <c r="N444">
        <v>0</v>
      </c>
      <c r="O444">
        <v>0</v>
      </c>
      <c r="P444">
        <v>0</v>
      </c>
      <c r="Q444">
        <v>0</v>
      </c>
      <c r="R444">
        <v>2300</v>
      </c>
      <c r="S444">
        <v>2000</v>
      </c>
      <c r="T444">
        <v>1</v>
      </c>
      <c r="U444" t="str">
        <f>IF(SeismicData[[#This Row],[class]]=1,"Dangerous","Safe")</f>
        <v>Dangerous</v>
      </c>
      <c r="V444" t="str">
        <f>IF(SeismicData[[#This Row],[shift]]="W","Production","Non-Production")</f>
        <v>Non-Production</v>
      </c>
      <c r="W444" t="str">
        <f>IF(SeismicData[[#This Row],[genergy]]=0,"0","10^"&amp;INT(LOG10(SeismicData[[#This Row],[genergy]])))</f>
        <v>10^4</v>
      </c>
      <c r="X444" t="str">
        <f>IF(OR(SeismicData[[#This Row],[genergy]]&lt;$AA$6,SeismicData[[#This Row],[genergy]]&gt;$AA$5),"Outlier","Normal")</f>
        <v>Normal</v>
      </c>
    </row>
    <row r="445" spans="1:24" x14ac:dyDescent="0.15">
      <c r="A445">
        <v>444</v>
      </c>
      <c r="B445" t="s">
        <v>23</v>
      </c>
      <c r="C445" t="s">
        <v>23</v>
      </c>
      <c r="D445" t="s">
        <v>22</v>
      </c>
      <c r="E445">
        <v>59380</v>
      </c>
      <c r="F445">
        <v>949</v>
      </c>
      <c r="G445">
        <v>27</v>
      </c>
      <c r="H445">
        <v>30</v>
      </c>
      <c r="I445" t="s">
        <v>20</v>
      </c>
      <c r="J445">
        <v>5</v>
      </c>
      <c r="K445">
        <v>2</v>
      </c>
      <c r="L445">
        <v>2</v>
      </c>
      <c r="M445">
        <v>1</v>
      </c>
      <c r="N445">
        <v>0</v>
      </c>
      <c r="O445">
        <v>0</v>
      </c>
      <c r="P445">
        <v>0</v>
      </c>
      <c r="Q445">
        <v>0</v>
      </c>
      <c r="R445">
        <v>26600</v>
      </c>
      <c r="S445">
        <v>20000</v>
      </c>
      <c r="T445">
        <v>0</v>
      </c>
      <c r="U445" t="str">
        <f>IF(SeismicData[[#This Row],[class]]=1,"Dangerous","Safe")</f>
        <v>Safe</v>
      </c>
      <c r="V445" t="str">
        <f>IF(SeismicData[[#This Row],[shift]]="W","Production","Non-Production")</f>
        <v>Production</v>
      </c>
      <c r="W445" t="str">
        <f>IF(SeismicData[[#This Row],[genergy]]=0,"0","10^"&amp;INT(LOG10(SeismicData[[#This Row],[genergy]])))</f>
        <v>10^4</v>
      </c>
      <c r="X445" t="str">
        <f>IF(OR(SeismicData[[#This Row],[genergy]]&lt;$AA$6,SeismicData[[#This Row],[genergy]]&gt;$AA$5),"Outlier","Normal")</f>
        <v>Normal</v>
      </c>
    </row>
    <row r="446" spans="1:24" x14ac:dyDescent="0.15">
      <c r="A446">
        <v>445</v>
      </c>
      <c r="B446" t="s">
        <v>23</v>
      </c>
      <c r="C446" t="s">
        <v>23</v>
      </c>
      <c r="D446" t="s">
        <v>22</v>
      </c>
      <c r="E446">
        <v>39700</v>
      </c>
      <c r="F446">
        <v>805</v>
      </c>
      <c r="G446">
        <v>-17</v>
      </c>
      <c r="H446">
        <v>5</v>
      </c>
      <c r="I446" t="s">
        <v>20</v>
      </c>
      <c r="J446">
        <v>3</v>
      </c>
      <c r="K446">
        <v>1</v>
      </c>
      <c r="L446">
        <v>2</v>
      </c>
      <c r="M446">
        <v>0</v>
      </c>
      <c r="N446">
        <v>0</v>
      </c>
      <c r="O446">
        <v>0</v>
      </c>
      <c r="P446">
        <v>0</v>
      </c>
      <c r="Q446">
        <v>0</v>
      </c>
      <c r="R446">
        <v>8700</v>
      </c>
      <c r="S446">
        <v>5000</v>
      </c>
      <c r="T446">
        <v>1</v>
      </c>
      <c r="U446" t="str">
        <f>IF(SeismicData[[#This Row],[class]]=1,"Dangerous","Safe")</f>
        <v>Dangerous</v>
      </c>
      <c r="V446" t="str">
        <f>IF(SeismicData[[#This Row],[shift]]="W","Production","Non-Production")</f>
        <v>Production</v>
      </c>
      <c r="W446" t="str">
        <f>IF(SeismicData[[#This Row],[genergy]]=0,"0","10^"&amp;INT(LOG10(SeismicData[[#This Row],[genergy]])))</f>
        <v>10^4</v>
      </c>
      <c r="X446" t="str">
        <f>IF(OR(SeismicData[[#This Row],[genergy]]&lt;$AA$6,SeismicData[[#This Row],[genergy]]&gt;$AA$5),"Outlier","Normal")</f>
        <v>Normal</v>
      </c>
    </row>
    <row r="447" spans="1:24" x14ac:dyDescent="0.15">
      <c r="A447">
        <v>446</v>
      </c>
      <c r="B447" t="s">
        <v>23</v>
      </c>
      <c r="C447" t="s">
        <v>23</v>
      </c>
      <c r="D447" t="s">
        <v>22</v>
      </c>
      <c r="E447">
        <v>61140</v>
      </c>
      <c r="F447">
        <v>306</v>
      </c>
      <c r="G447">
        <v>22</v>
      </c>
      <c r="H447">
        <v>-69</v>
      </c>
      <c r="I447" t="s">
        <v>20</v>
      </c>
      <c r="J447">
        <v>8</v>
      </c>
      <c r="K447">
        <v>5</v>
      </c>
      <c r="L447">
        <v>2</v>
      </c>
      <c r="M447">
        <v>1</v>
      </c>
      <c r="N447">
        <v>0</v>
      </c>
      <c r="O447">
        <v>0</v>
      </c>
      <c r="P447">
        <v>0</v>
      </c>
      <c r="Q447">
        <v>0</v>
      </c>
      <c r="R447">
        <v>89400</v>
      </c>
      <c r="S447">
        <v>80000</v>
      </c>
      <c r="T447">
        <v>1</v>
      </c>
      <c r="U447" t="str">
        <f>IF(SeismicData[[#This Row],[class]]=1,"Dangerous","Safe")</f>
        <v>Dangerous</v>
      </c>
      <c r="V447" t="str">
        <f>IF(SeismicData[[#This Row],[shift]]="W","Production","Non-Production")</f>
        <v>Production</v>
      </c>
      <c r="W447" t="str">
        <f>IF(SeismicData[[#This Row],[genergy]]=0,"0","10^"&amp;INT(LOG10(SeismicData[[#This Row],[genergy]])))</f>
        <v>10^4</v>
      </c>
      <c r="X447" t="str">
        <f>IF(OR(SeismicData[[#This Row],[genergy]]&lt;$AA$6,SeismicData[[#This Row],[genergy]]&gt;$AA$5),"Outlier","Normal")</f>
        <v>Normal</v>
      </c>
    </row>
    <row r="448" spans="1:24" x14ac:dyDescent="0.15">
      <c r="A448">
        <v>447</v>
      </c>
      <c r="B448" t="s">
        <v>23</v>
      </c>
      <c r="C448" t="s">
        <v>23</v>
      </c>
      <c r="D448" t="s">
        <v>22</v>
      </c>
      <c r="E448">
        <v>93190</v>
      </c>
      <c r="F448">
        <v>439</v>
      </c>
      <c r="G448">
        <v>82</v>
      </c>
      <c r="H448">
        <v>-53</v>
      </c>
      <c r="I448" t="s">
        <v>20</v>
      </c>
      <c r="J448">
        <v>4</v>
      </c>
      <c r="K448">
        <v>1</v>
      </c>
      <c r="L448">
        <v>2</v>
      </c>
      <c r="M448">
        <v>1</v>
      </c>
      <c r="N448">
        <v>0</v>
      </c>
      <c r="O448">
        <v>0</v>
      </c>
      <c r="P448">
        <v>0</v>
      </c>
      <c r="Q448">
        <v>0</v>
      </c>
      <c r="R448">
        <v>81400</v>
      </c>
      <c r="S448">
        <v>70000</v>
      </c>
      <c r="T448">
        <v>0</v>
      </c>
      <c r="U448" t="str">
        <f>IF(SeismicData[[#This Row],[class]]=1,"Dangerous","Safe")</f>
        <v>Safe</v>
      </c>
      <c r="V448" t="str">
        <f>IF(SeismicData[[#This Row],[shift]]="W","Production","Non-Production")</f>
        <v>Production</v>
      </c>
      <c r="W448" t="str">
        <f>IF(SeismicData[[#This Row],[genergy]]=0,"0","10^"&amp;INT(LOG10(SeismicData[[#This Row],[genergy]])))</f>
        <v>10^4</v>
      </c>
      <c r="X448" t="str">
        <f>IF(OR(SeismicData[[#This Row],[genergy]]&lt;$AA$6,SeismicData[[#This Row],[genergy]]&gt;$AA$5),"Outlier","Normal")</f>
        <v>Normal</v>
      </c>
    </row>
    <row r="449" spans="1:24" x14ac:dyDescent="0.15">
      <c r="A449">
        <v>448</v>
      </c>
      <c r="B449" t="s">
        <v>23</v>
      </c>
      <c r="C449" t="s">
        <v>23</v>
      </c>
      <c r="D449" t="s">
        <v>22</v>
      </c>
      <c r="E449">
        <v>108750</v>
      </c>
      <c r="F449">
        <v>384</v>
      </c>
      <c r="G449">
        <v>96</v>
      </c>
      <c r="H449">
        <v>-56</v>
      </c>
      <c r="I449" t="s">
        <v>20</v>
      </c>
      <c r="J449">
        <v>4</v>
      </c>
      <c r="K449">
        <v>2</v>
      </c>
      <c r="L449">
        <v>2</v>
      </c>
      <c r="M449">
        <v>0</v>
      </c>
      <c r="N449">
        <v>0</v>
      </c>
      <c r="O449">
        <v>0</v>
      </c>
      <c r="P449">
        <v>0</v>
      </c>
      <c r="Q449">
        <v>0</v>
      </c>
      <c r="R449">
        <v>6200</v>
      </c>
      <c r="S449">
        <v>3000</v>
      </c>
      <c r="T449">
        <v>1</v>
      </c>
      <c r="U449" t="str">
        <f>IF(SeismicData[[#This Row],[class]]=1,"Dangerous","Safe")</f>
        <v>Dangerous</v>
      </c>
      <c r="V449" t="str">
        <f>IF(SeismicData[[#This Row],[shift]]="W","Production","Non-Production")</f>
        <v>Production</v>
      </c>
      <c r="W449" t="str">
        <f>IF(SeismicData[[#This Row],[genergy]]=0,"0","10^"&amp;INT(LOG10(SeismicData[[#This Row],[genergy]])))</f>
        <v>10^5</v>
      </c>
      <c r="X449" t="str">
        <f>IF(OR(SeismicData[[#This Row],[genergy]]&lt;$AA$6,SeismicData[[#This Row],[genergy]]&gt;$AA$5),"Outlier","Normal")</f>
        <v>Normal</v>
      </c>
    </row>
    <row r="450" spans="1:24" x14ac:dyDescent="0.15">
      <c r="A450">
        <v>449</v>
      </c>
      <c r="B450" t="s">
        <v>23</v>
      </c>
      <c r="C450" t="s">
        <v>23</v>
      </c>
      <c r="D450" t="s">
        <v>22</v>
      </c>
      <c r="E450">
        <v>73820</v>
      </c>
      <c r="F450">
        <v>322</v>
      </c>
      <c r="G450">
        <v>-16</v>
      </c>
      <c r="H450">
        <v>-14</v>
      </c>
      <c r="I450" t="s">
        <v>20</v>
      </c>
      <c r="J450">
        <v>8</v>
      </c>
      <c r="K450">
        <v>3</v>
      </c>
      <c r="L450">
        <v>3</v>
      </c>
      <c r="M450">
        <v>2</v>
      </c>
      <c r="N450">
        <v>0</v>
      </c>
      <c r="O450">
        <v>0</v>
      </c>
      <c r="P450">
        <v>0</v>
      </c>
      <c r="Q450">
        <v>0</v>
      </c>
      <c r="R450">
        <v>52700</v>
      </c>
      <c r="S450">
        <v>30000</v>
      </c>
      <c r="T450">
        <v>0</v>
      </c>
      <c r="U450" t="str">
        <f>IF(SeismicData[[#This Row],[class]]=1,"Dangerous","Safe")</f>
        <v>Safe</v>
      </c>
      <c r="V450" t="str">
        <f>IF(SeismicData[[#This Row],[shift]]="W","Production","Non-Production")</f>
        <v>Production</v>
      </c>
      <c r="W450" t="str">
        <f>IF(SeismicData[[#This Row],[genergy]]=0,"0","10^"&amp;INT(LOG10(SeismicData[[#This Row],[genergy]])))</f>
        <v>10^4</v>
      </c>
      <c r="X450" t="str">
        <f>IF(OR(SeismicData[[#This Row],[genergy]]&lt;$AA$6,SeismicData[[#This Row],[genergy]]&gt;$AA$5),"Outlier","Normal")</f>
        <v>Normal</v>
      </c>
    </row>
    <row r="451" spans="1:24" x14ac:dyDescent="0.15">
      <c r="A451">
        <v>450</v>
      </c>
      <c r="B451" t="s">
        <v>23</v>
      </c>
      <c r="C451" t="s">
        <v>23</v>
      </c>
      <c r="D451" t="s">
        <v>22</v>
      </c>
      <c r="E451">
        <v>102380</v>
      </c>
      <c r="F451">
        <v>508</v>
      </c>
      <c r="G451">
        <v>19</v>
      </c>
      <c r="H451">
        <v>37</v>
      </c>
      <c r="I451" t="s">
        <v>20</v>
      </c>
      <c r="J451">
        <v>8</v>
      </c>
      <c r="K451">
        <v>4</v>
      </c>
      <c r="L451">
        <v>4</v>
      </c>
      <c r="M451">
        <v>0</v>
      </c>
      <c r="N451">
        <v>0</v>
      </c>
      <c r="O451">
        <v>0</v>
      </c>
      <c r="P451">
        <v>0</v>
      </c>
      <c r="Q451">
        <v>0</v>
      </c>
      <c r="R451">
        <v>13400</v>
      </c>
      <c r="S451">
        <v>8000</v>
      </c>
      <c r="T451">
        <v>0</v>
      </c>
      <c r="U451" t="str">
        <f>IF(SeismicData[[#This Row],[class]]=1,"Dangerous","Safe")</f>
        <v>Safe</v>
      </c>
      <c r="V451" t="str">
        <f>IF(SeismicData[[#This Row],[shift]]="W","Production","Non-Production")</f>
        <v>Production</v>
      </c>
      <c r="W451" t="str">
        <f>IF(SeismicData[[#This Row],[genergy]]=0,"0","10^"&amp;INT(LOG10(SeismicData[[#This Row],[genergy]])))</f>
        <v>10^5</v>
      </c>
      <c r="X451" t="str">
        <f>IF(OR(SeismicData[[#This Row],[genergy]]&lt;$AA$6,SeismicData[[#This Row],[genergy]]&gt;$AA$5),"Outlier","Normal")</f>
        <v>Normal</v>
      </c>
    </row>
    <row r="452" spans="1:24" x14ac:dyDescent="0.15">
      <c r="A452">
        <v>451</v>
      </c>
      <c r="B452" t="s">
        <v>23</v>
      </c>
      <c r="C452" t="s">
        <v>23</v>
      </c>
      <c r="D452" t="s">
        <v>22</v>
      </c>
      <c r="E452">
        <v>88360</v>
      </c>
      <c r="F452">
        <v>443</v>
      </c>
      <c r="G452">
        <v>1</v>
      </c>
      <c r="H452">
        <v>15</v>
      </c>
      <c r="I452" t="s">
        <v>20</v>
      </c>
      <c r="J452">
        <v>4</v>
      </c>
      <c r="K452">
        <v>2</v>
      </c>
      <c r="L452">
        <v>2</v>
      </c>
      <c r="M452">
        <v>0</v>
      </c>
      <c r="N452">
        <v>0</v>
      </c>
      <c r="O452">
        <v>0</v>
      </c>
      <c r="P452">
        <v>0</v>
      </c>
      <c r="Q452">
        <v>0</v>
      </c>
      <c r="R452">
        <v>6300</v>
      </c>
      <c r="S452">
        <v>4000</v>
      </c>
      <c r="T452">
        <v>0</v>
      </c>
      <c r="U452" t="str">
        <f>IF(SeismicData[[#This Row],[class]]=1,"Dangerous","Safe")</f>
        <v>Safe</v>
      </c>
      <c r="V452" t="str">
        <f>IF(SeismicData[[#This Row],[shift]]="W","Production","Non-Production")</f>
        <v>Production</v>
      </c>
      <c r="W452" t="str">
        <f>IF(SeismicData[[#This Row],[genergy]]=0,"0","10^"&amp;INT(LOG10(SeismicData[[#This Row],[genergy]])))</f>
        <v>10^4</v>
      </c>
      <c r="X452" t="str">
        <f>IF(OR(SeismicData[[#This Row],[genergy]]&lt;$AA$6,SeismicData[[#This Row],[genergy]]&gt;$AA$5),"Outlier","Normal")</f>
        <v>Normal</v>
      </c>
    </row>
    <row r="453" spans="1:24" x14ac:dyDescent="0.15">
      <c r="A453">
        <v>452</v>
      </c>
      <c r="B453" t="s">
        <v>20</v>
      </c>
      <c r="C453" t="s">
        <v>20</v>
      </c>
      <c r="D453" t="s">
        <v>22</v>
      </c>
      <c r="E453">
        <v>56810</v>
      </c>
      <c r="F453">
        <v>285</v>
      </c>
      <c r="G453">
        <v>-35</v>
      </c>
      <c r="H453">
        <v>-27</v>
      </c>
      <c r="I453" t="s">
        <v>20</v>
      </c>
      <c r="J453">
        <v>5</v>
      </c>
      <c r="K453">
        <v>2</v>
      </c>
      <c r="L453">
        <v>3</v>
      </c>
      <c r="M453">
        <v>0</v>
      </c>
      <c r="N453">
        <v>0</v>
      </c>
      <c r="O453">
        <v>0</v>
      </c>
      <c r="P453">
        <v>0</v>
      </c>
      <c r="Q453">
        <v>0</v>
      </c>
      <c r="R453">
        <v>6100</v>
      </c>
      <c r="S453">
        <v>2000</v>
      </c>
      <c r="T453">
        <v>0</v>
      </c>
      <c r="U453" t="str">
        <f>IF(SeismicData[[#This Row],[class]]=1,"Dangerous","Safe")</f>
        <v>Safe</v>
      </c>
      <c r="V453" t="str">
        <f>IF(SeismicData[[#This Row],[shift]]="W","Production","Non-Production")</f>
        <v>Production</v>
      </c>
      <c r="W453" t="str">
        <f>IF(SeismicData[[#This Row],[genergy]]=0,"0","10^"&amp;INT(LOG10(SeismicData[[#This Row],[genergy]])))</f>
        <v>10^4</v>
      </c>
      <c r="X453" t="str">
        <f>IF(OR(SeismicData[[#This Row],[genergy]]&lt;$AA$6,SeismicData[[#This Row],[genergy]]&gt;$AA$5),"Outlier","Normal")</f>
        <v>Normal</v>
      </c>
    </row>
    <row r="454" spans="1:24" x14ac:dyDescent="0.15">
      <c r="A454">
        <v>453</v>
      </c>
      <c r="B454" t="s">
        <v>20</v>
      </c>
      <c r="C454" t="s">
        <v>20</v>
      </c>
      <c r="D454" t="s">
        <v>22</v>
      </c>
      <c r="E454">
        <v>106610</v>
      </c>
      <c r="F454">
        <v>546</v>
      </c>
      <c r="G454">
        <v>26</v>
      </c>
      <c r="H454">
        <v>43</v>
      </c>
      <c r="I454" t="s">
        <v>20</v>
      </c>
      <c r="J454">
        <v>6</v>
      </c>
      <c r="K454">
        <v>2</v>
      </c>
      <c r="L454">
        <v>4</v>
      </c>
      <c r="M454">
        <v>0</v>
      </c>
      <c r="N454">
        <v>0</v>
      </c>
      <c r="O454">
        <v>0</v>
      </c>
      <c r="P454">
        <v>0</v>
      </c>
      <c r="Q454">
        <v>0</v>
      </c>
      <c r="R454">
        <v>20800</v>
      </c>
      <c r="S454">
        <v>7000</v>
      </c>
      <c r="T454">
        <v>1</v>
      </c>
      <c r="U454" t="str">
        <f>IF(SeismicData[[#This Row],[class]]=1,"Dangerous","Safe")</f>
        <v>Dangerous</v>
      </c>
      <c r="V454" t="str">
        <f>IF(SeismicData[[#This Row],[shift]]="W","Production","Non-Production")</f>
        <v>Production</v>
      </c>
      <c r="W454" t="str">
        <f>IF(SeismicData[[#This Row],[genergy]]=0,"0","10^"&amp;INT(LOG10(SeismicData[[#This Row],[genergy]])))</f>
        <v>10^5</v>
      </c>
      <c r="X454" t="str">
        <f>IF(OR(SeismicData[[#This Row],[genergy]]&lt;$AA$6,SeismicData[[#This Row],[genergy]]&gt;$AA$5),"Outlier","Normal")</f>
        <v>Normal</v>
      </c>
    </row>
    <row r="455" spans="1:24" x14ac:dyDescent="0.15">
      <c r="A455">
        <v>454</v>
      </c>
      <c r="B455" t="s">
        <v>20</v>
      </c>
      <c r="C455" t="s">
        <v>20</v>
      </c>
      <c r="D455" t="s">
        <v>22</v>
      </c>
      <c r="E455">
        <v>61710</v>
      </c>
      <c r="F455">
        <v>376</v>
      </c>
      <c r="G455">
        <v>-29</v>
      </c>
      <c r="H455">
        <v>-6</v>
      </c>
      <c r="I455" t="s">
        <v>20</v>
      </c>
      <c r="J455">
        <v>4</v>
      </c>
      <c r="K455">
        <v>1</v>
      </c>
      <c r="L455">
        <v>2</v>
      </c>
      <c r="M455">
        <v>1</v>
      </c>
      <c r="N455">
        <v>0</v>
      </c>
      <c r="O455">
        <v>0</v>
      </c>
      <c r="P455">
        <v>0</v>
      </c>
      <c r="Q455">
        <v>0</v>
      </c>
      <c r="R455">
        <v>22900</v>
      </c>
      <c r="S455">
        <v>10000</v>
      </c>
      <c r="T455">
        <v>0</v>
      </c>
      <c r="U455" t="str">
        <f>IF(SeismicData[[#This Row],[class]]=1,"Dangerous","Safe")</f>
        <v>Safe</v>
      </c>
      <c r="V455" t="str">
        <f>IF(SeismicData[[#This Row],[shift]]="W","Production","Non-Production")</f>
        <v>Production</v>
      </c>
      <c r="W455" t="str">
        <f>IF(SeismicData[[#This Row],[genergy]]=0,"0","10^"&amp;INT(LOG10(SeismicData[[#This Row],[genergy]])))</f>
        <v>10^4</v>
      </c>
      <c r="X455" t="str">
        <f>IF(OR(SeismicData[[#This Row],[genergy]]&lt;$AA$6,SeismicData[[#This Row],[genergy]]&gt;$AA$5),"Outlier","Normal")</f>
        <v>Normal</v>
      </c>
    </row>
    <row r="456" spans="1:24" x14ac:dyDescent="0.15">
      <c r="A456">
        <v>455</v>
      </c>
      <c r="B456" t="s">
        <v>20</v>
      </c>
      <c r="C456" t="s">
        <v>20</v>
      </c>
      <c r="D456" t="s">
        <v>22</v>
      </c>
      <c r="E456">
        <v>53900</v>
      </c>
      <c r="F456">
        <v>320</v>
      </c>
      <c r="G456">
        <v>-36</v>
      </c>
      <c r="H456">
        <v>-20</v>
      </c>
      <c r="I456" t="s">
        <v>20</v>
      </c>
      <c r="J456">
        <v>2</v>
      </c>
      <c r="K456">
        <v>0</v>
      </c>
      <c r="L456">
        <v>2</v>
      </c>
      <c r="M456">
        <v>0</v>
      </c>
      <c r="N456">
        <v>0</v>
      </c>
      <c r="O456">
        <v>0</v>
      </c>
      <c r="P456">
        <v>0</v>
      </c>
      <c r="Q456">
        <v>0</v>
      </c>
      <c r="R456">
        <v>4000</v>
      </c>
      <c r="S456">
        <v>2000</v>
      </c>
      <c r="T456">
        <v>0</v>
      </c>
      <c r="U456" t="str">
        <f>IF(SeismicData[[#This Row],[class]]=1,"Dangerous","Safe")</f>
        <v>Safe</v>
      </c>
      <c r="V456" t="str">
        <f>IF(SeismicData[[#This Row],[shift]]="W","Production","Non-Production")</f>
        <v>Production</v>
      </c>
      <c r="W456" t="str">
        <f>IF(SeismicData[[#This Row],[genergy]]=0,"0","10^"&amp;INT(LOG10(SeismicData[[#This Row],[genergy]])))</f>
        <v>10^4</v>
      </c>
      <c r="X456" t="str">
        <f>IF(OR(SeismicData[[#This Row],[genergy]]&lt;$AA$6,SeismicData[[#This Row],[genergy]]&gt;$AA$5),"Outlier","Normal")</f>
        <v>Normal</v>
      </c>
    </row>
    <row r="457" spans="1:24" x14ac:dyDescent="0.15">
      <c r="A457">
        <v>456</v>
      </c>
      <c r="B457" t="s">
        <v>20</v>
      </c>
      <c r="C457" t="s">
        <v>20</v>
      </c>
      <c r="D457" t="s">
        <v>22</v>
      </c>
      <c r="E457">
        <v>66680</v>
      </c>
      <c r="F457">
        <v>430</v>
      </c>
      <c r="G457">
        <v>-17</v>
      </c>
      <c r="H457">
        <v>9</v>
      </c>
      <c r="I457" t="s">
        <v>20</v>
      </c>
      <c r="J457">
        <v>2</v>
      </c>
      <c r="K457">
        <v>1</v>
      </c>
      <c r="L457">
        <v>1</v>
      </c>
      <c r="M457">
        <v>0</v>
      </c>
      <c r="N457">
        <v>0</v>
      </c>
      <c r="O457">
        <v>0</v>
      </c>
      <c r="P457">
        <v>0</v>
      </c>
      <c r="Q457">
        <v>0</v>
      </c>
      <c r="R457">
        <v>5400</v>
      </c>
      <c r="S457">
        <v>5000</v>
      </c>
      <c r="T457">
        <v>0</v>
      </c>
      <c r="U457" t="str">
        <f>IF(SeismicData[[#This Row],[class]]=1,"Dangerous","Safe")</f>
        <v>Safe</v>
      </c>
      <c r="V457" t="str">
        <f>IF(SeismicData[[#This Row],[shift]]="W","Production","Non-Production")</f>
        <v>Production</v>
      </c>
      <c r="W457" t="str">
        <f>IF(SeismicData[[#This Row],[genergy]]=0,"0","10^"&amp;INT(LOG10(SeismicData[[#This Row],[genergy]])))</f>
        <v>10^4</v>
      </c>
      <c r="X457" t="str">
        <f>IF(OR(SeismicData[[#This Row],[genergy]]&lt;$AA$6,SeismicData[[#This Row],[genergy]]&gt;$AA$5),"Outlier","Normal")</f>
        <v>Normal</v>
      </c>
    </row>
    <row r="458" spans="1:24" x14ac:dyDescent="0.15">
      <c r="A458">
        <v>457</v>
      </c>
      <c r="B458" t="s">
        <v>20</v>
      </c>
      <c r="C458" t="s">
        <v>20</v>
      </c>
      <c r="D458" t="s">
        <v>22</v>
      </c>
      <c r="E458">
        <v>43660</v>
      </c>
      <c r="F458">
        <v>281</v>
      </c>
      <c r="G458">
        <v>-44</v>
      </c>
      <c r="H458">
        <v>-29</v>
      </c>
      <c r="I458" t="s">
        <v>20</v>
      </c>
      <c r="J458">
        <v>1</v>
      </c>
      <c r="K458">
        <v>1</v>
      </c>
      <c r="L458">
        <v>0</v>
      </c>
      <c r="M458">
        <v>0</v>
      </c>
      <c r="N458">
        <v>0</v>
      </c>
      <c r="O458">
        <v>0</v>
      </c>
      <c r="P458">
        <v>0</v>
      </c>
      <c r="Q458">
        <v>0</v>
      </c>
      <c r="R458">
        <v>700</v>
      </c>
      <c r="S458">
        <v>700</v>
      </c>
      <c r="T458">
        <v>0</v>
      </c>
      <c r="U458" t="str">
        <f>IF(SeismicData[[#This Row],[class]]=1,"Dangerous","Safe")</f>
        <v>Safe</v>
      </c>
      <c r="V458" t="str">
        <f>IF(SeismicData[[#This Row],[shift]]="W","Production","Non-Production")</f>
        <v>Production</v>
      </c>
      <c r="W458" t="str">
        <f>IF(SeismicData[[#This Row],[genergy]]=0,"0","10^"&amp;INT(LOG10(SeismicData[[#This Row],[genergy]])))</f>
        <v>10^4</v>
      </c>
      <c r="X458" t="str">
        <f>IF(OR(SeismicData[[#This Row],[genergy]]&lt;$AA$6,SeismicData[[#This Row],[genergy]]&gt;$AA$5),"Outlier","Normal")</f>
        <v>Normal</v>
      </c>
    </row>
    <row r="459" spans="1:24" x14ac:dyDescent="0.15">
      <c r="A459">
        <v>458</v>
      </c>
      <c r="B459" t="s">
        <v>20</v>
      </c>
      <c r="C459" t="s">
        <v>20</v>
      </c>
      <c r="D459" t="s">
        <v>21</v>
      </c>
      <c r="E459">
        <v>11730</v>
      </c>
      <c r="F459">
        <v>59</v>
      </c>
      <c r="G459">
        <v>-53</v>
      </c>
      <c r="H459">
        <v>-88</v>
      </c>
      <c r="I459" t="s">
        <v>20</v>
      </c>
      <c r="J459">
        <v>1</v>
      </c>
      <c r="K459">
        <v>1</v>
      </c>
      <c r="L459">
        <v>0</v>
      </c>
      <c r="M459">
        <v>0</v>
      </c>
      <c r="N459">
        <v>0</v>
      </c>
      <c r="O459">
        <v>0</v>
      </c>
      <c r="P459">
        <v>0</v>
      </c>
      <c r="Q459">
        <v>0</v>
      </c>
      <c r="R459">
        <v>300</v>
      </c>
      <c r="S459">
        <v>300</v>
      </c>
      <c r="T459">
        <v>0</v>
      </c>
      <c r="U459" t="str">
        <f>IF(SeismicData[[#This Row],[class]]=1,"Dangerous","Safe")</f>
        <v>Safe</v>
      </c>
      <c r="V459" t="str">
        <f>IF(SeismicData[[#This Row],[shift]]="W","Production","Non-Production")</f>
        <v>Non-Production</v>
      </c>
      <c r="W459" t="str">
        <f>IF(SeismicData[[#This Row],[genergy]]=0,"0","10^"&amp;INT(LOG10(SeismicData[[#This Row],[genergy]])))</f>
        <v>10^4</v>
      </c>
      <c r="X459" t="str">
        <f>IF(OR(SeismicData[[#This Row],[genergy]]&lt;$AA$6,SeismicData[[#This Row],[genergy]]&gt;$AA$5),"Outlier","Normal")</f>
        <v>Normal</v>
      </c>
    </row>
    <row r="460" spans="1:24" x14ac:dyDescent="0.15">
      <c r="A460">
        <v>459</v>
      </c>
      <c r="B460" t="s">
        <v>20</v>
      </c>
      <c r="C460" t="s">
        <v>20</v>
      </c>
      <c r="D460" t="s">
        <v>21</v>
      </c>
      <c r="E460">
        <v>6530</v>
      </c>
      <c r="F460">
        <v>38</v>
      </c>
      <c r="G460">
        <v>-72</v>
      </c>
      <c r="H460">
        <v>-92</v>
      </c>
      <c r="I460" t="s">
        <v>20</v>
      </c>
      <c r="J460">
        <v>1</v>
      </c>
      <c r="K460">
        <v>1</v>
      </c>
      <c r="L460">
        <v>0</v>
      </c>
      <c r="M460">
        <v>0</v>
      </c>
      <c r="N460">
        <v>0</v>
      </c>
      <c r="O460">
        <v>0</v>
      </c>
      <c r="P460">
        <v>0</v>
      </c>
      <c r="Q460">
        <v>0</v>
      </c>
      <c r="R460">
        <v>100</v>
      </c>
      <c r="S460">
        <v>100</v>
      </c>
      <c r="T460">
        <v>0</v>
      </c>
      <c r="U460" t="str">
        <f>IF(SeismicData[[#This Row],[class]]=1,"Dangerous","Safe")</f>
        <v>Safe</v>
      </c>
      <c r="V460" t="str">
        <f>IF(SeismicData[[#This Row],[shift]]="W","Production","Non-Production")</f>
        <v>Non-Production</v>
      </c>
      <c r="W460" t="str">
        <f>IF(SeismicData[[#This Row],[genergy]]=0,"0","10^"&amp;INT(LOG10(SeismicData[[#This Row],[genergy]])))</f>
        <v>10^3</v>
      </c>
      <c r="X460" t="str">
        <f>IF(OR(SeismicData[[#This Row],[genergy]]&lt;$AA$6,SeismicData[[#This Row],[genergy]]&gt;$AA$5),"Outlier","Normal")</f>
        <v>Normal</v>
      </c>
    </row>
    <row r="461" spans="1:24" x14ac:dyDescent="0.15">
      <c r="A461">
        <v>460</v>
      </c>
      <c r="B461" t="s">
        <v>20</v>
      </c>
      <c r="C461" t="s">
        <v>20</v>
      </c>
      <c r="D461" t="s">
        <v>21</v>
      </c>
      <c r="E461">
        <v>9280</v>
      </c>
      <c r="F461">
        <v>43</v>
      </c>
      <c r="G461">
        <v>-57</v>
      </c>
      <c r="H461">
        <v>-90</v>
      </c>
      <c r="I461" t="s">
        <v>20</v>
      </c>
      <c r="J461">
        <v>1</v>
      </c>
      <c r="K461">
        <v>0</v>
      </c>
      <c r="L461">
        <v>1</v>
      </c>
      <c r="M461">
        <v>0</v>
      </c>
      <c r="N461">
        <v>0</v>
      </c>
      <c r="O461">
        <v>0</v>
      </c>
      <c r="P461">
        <v>0</v>
      </c>
      <c r="Q461">
        <v>0</v>
      </c>
      <c r="R461">
        <v>2000</v>
      </c>
      <c r="S461">
        <v>2000</v>
      </c>
      <c r="T461">
        <v>0</v>
      </c>
      <c r="U461" t="str">
        <f>IF(SeismicData[[#This Row],[class]]=1,"Dangerous","Safe")</f>
        <v>Safe</v>
      </c>
      <c r="V461" t="str">
        <f>IF(SeismicData[[#This Row],[shift]]="W","Production","Non-Production")</f>
        <v>Non-Production</v>
      </c>
      <c r="W461" t="str">
        <f>IF(SeismicData[[#This Row],[genergy]]=0,"0","10^"&amp;INT(LOG10(SeismicData[[#This Row],[genergy]])))</f>
        <v>10^3</v>
      </c>
      <c r="X461" t="str">
        <f>IF(OR(SeismicData[[#This Row],[genergy]]&lt;$AA$6,SeismicData[[#This Row],[genergy]]&gt;$AA$5),"Outlier","Normal")</f>
        <v>Normal</v>
      </c>
    </row>
    <row r="462" spans="1:24" x14ac:dyDescent="0.15">
      <c r="A462">
        <v>461</v>
      </c>
      <c r="B462" t="s">
        <v>20</v>
      </c>
      <c r="C462" t="s">
        <v>20</v>
      </c>
      <c r="D462" t="s">
        <v>22</v>
      </c>
      <c r="E462">
        <v>86740</v>
      </c>
      <c r="F462">
        <v>486</v>
      </c>
      <c r="G462">
        <v>17</v>
      </c>
      <c r="H462">
        <v>25</v>
      </c>
      <c r="I462" t="s">
        <v>20</v>
      </c>
      <c r="J462">
        <v>2</v>
      </c>
      <c r="K462">
        <v>0</v>
      </c>
      <c r="L462">
        <v>2</v>
      </c>
      <c r="M462">
        <v>0</v>
      </c>
      <c r="N462">
        <v>0</v>
      </c>
      <c r="O462">
        <v>0</v>
      </c>
      <c r="P462">
        <v>0</v>
      </c>
      <c r="Q462">
        <v>0</v>
      </c>
      <c r="R462">
        <v>9000</v>
      </c>
      <c r="S462">
        <v>7000</v>
      </c>
      <c r="T462">
        <v>0</v>
      </c>
      <c r="U462" t="str">
        <f>IF(SeismicData[[#This Row],[class]]=1,"Dangerous","Safe")</f>
        <v>Safe</v>
      </c>
      <c r="V462" t="str">
        <f>IF(SeismicData[[#This Row],[shift]]="W","Production","Non-Production")</f>
        <v>Production</v>
      </c>
      <c r="W462" t="str">
        <f>IF(SeismicData[[#This Row],[genergy]]=0,"0","10^"&amp;INT(LOG10(SeismicData[[#This Row],[genergy]])))</f>
        <v>10^4</v>
      </c>
      <c r="X462" t="str">
        <f>IF(OR(SeismicData[[#This Row],[genergy]]&lt;$AA$6,SeismicData[[#This Row],[genergy]]&gt;$AA$5),"Outlier","Normal")</f>
        <v>Normal</v>
      </c>
    </row>
    <row r="463" spans="1:24" x14ac:dyDescent="0.15">
      <c r="A463">
        <v>462</v>
      </c>
      <c r="B463" t="s">
        <v>20</v>
      </c>
      <c r="C463" t="s">
        <v>20</v>
      </c>
      <c r="D463" t="s">
        <v>22</v>
      </c>
      <c r="E463">
        <v>92380</v>
      </c>
      <c r="F463">
        <v>514</v>
      </c>
      <c r="G463">
        <v>25</v>
      </c>
      <c r="H463">
        <v>29</v>
      </c>
      <c r="I463" t="s">
        <v>20</v>
      </c>
      <c r="J463">
        <v>6</v>
      </c>
      <c r="K463">
        <v>5</v>
      </c>
      <c r="L463">
        <v>1</v>
      </c>
      <c r="M463">
        <v>0</v>
      </c>
      <c r="N463">
        <v>0</v>
      </c>
      <c r="O463">
        <v>0</v>
      </c>
      <c r="P463">
        <v>0</v>
      </c>
      <c r="Q463">
        <v>0</v>
      </c>
      <c r="R463">
        <v>4300</v>
      </c>
      <c r="S463">
        <v>2000</v>
      </c>
      <c r="T463">
        <v>0</v>
      </c>
      <c r="U463" t="str">
        <f>IF(SeismicData[[#This Row],[class]]=1,"Dangerous","Safe")</f>
        <v>Safe</v>
      </c>
      <c r="V463" t="str">
        <f>IF(SeismicData[[#This Row],[shift]]="W","Production","Non-Production")</f>
        <v>Production</v>
      </c>
      <c r="W463" t="str">
        <f>IF(SeismicData[[#This Row],[genergy]]=0,"0","10^"&amp;INT(LOG10(SeismicData[[#This Row],[genergy]])))</f>
        <v>10^4</v>
      </c>
      <c r="X463" t="str">
        <f>IF(OR(SeismicData[[#This Row],[genergy]]&lt;$AA$6,SeismicData[[#This Row],[genergy]]&gt;$AA$5),"Outlier","Normal")</f>
        <v>Normal</v>
      </c>
    </row>
    <row r="464" spans="1:24" x14ac:dyDescent="0.15">
      <c r="A464">
        <v>463</v>
      </c>
      <c r="B464" t="s">
        <v>20</v>
      </c>
      <c r="C464" t="s">
        <v>20</v>
      </c>
      <c r="D464" t="s">
        <v>22</v>
      </c>
      <c r="E464">
        <v>52780</v>
      </c>
      <c r="F464">
        <v>350</v>
      </c>
      <c r="G464">
        <v>-30</v>
      </c>
      <c r="H464">
        <v>-16</v>
      </c>
      <c r="I464" t="s">
        <v>20</v>
      </c>
      <c r="J464">
        <v>1</v>
      </c>
      <c r="K464">
        <v>1</v>
      </c>
      <c r="L464">
        <v>0</v>
      </c>
      <c r="M464">
        <v>0</v>
      </c>
      <c r="N464">
        <v>0</v>
      </c>
      <c r="O464">
        <v>0</v>
      </c>
      <c r="P464">
        <v>0</v>
      </c>
      <c r="Q464">
        <v>0</v>
      </c>
      <c r="R464">
        <v>200</v>
      </c>
      <c r="S464">
        <v>200</v>
      </c>
      <c r="T464">
        <v>0</v>
      </c>
      <c r="U464" t="str">
        <f>IF(SeismicData[[#This Row],[class]]=1,"Dangerous","Safe")</f>
        <v>Safe</v>
      </c>
      <c r="V464" t="str">
        <f>IF(SeismicData[[#This Row],[shift]]="W","Production","Non-Production")</f>
        <v>Production</v>
      </c>
      <c r="W464" t="str">
        <f>IF(SeismicData[[#This Row],[genergy]]=0,"0","10^"&amp;INT(LOG10(SeismicData[[#This Row],[genergy]])))</f>
        <v>10^4</v>
      </c>
      <c r="X464" t="str">
        <f>IF(OR(SeismicData[[#This Row],[genergy]]&lt;$AA$6,SeismicData[[#This Row],[genergy]]&gt;$AA$5),"Outlier","Normal")</f>
        <v>Normal</v>
      </c>
    </row>
    <row r="465" spans="1:24" x14ac:dyDescent="0.15">
      <c r="A465">
        <v>464</v>
      </c>
      <c r="B465" t="s">
        <v>20</v>
      </c>
      <c r="C465" t="s">
        <v>20</v>
      </c>
      <c r="D465" t="s">
        <v>22</v>
      </c>
      <c r="E465">
        <v>56830</v>
      </c>
      <c r="F465">
        <v>394</v>
      </c>
      <c r="G465">
        <v>-20</v>
      </c>
      <c r="H465">
        <v>-2</v>
      </c>
      <c r="I465" t="s">
        <v>20</v>
      </c>
      <c r="J465">
        <v>5</v>
      </c>
      <c r="K465">
        <v>2</v>
      </c>
      <c r="L465">
        <v>3</v>
      </c>
      <c r="M465">
        <v>0</v>
      </c>
      <c r="N465">
        <v>0</v>
      </c>
      <c r="O465">
        <v>0</v>
      </c>
      <c r="P465">
        <v>0</v>
      </c>
      <c r="Q465">
        <v>0</v>
      </c>
      <c r="R465">
        <v>10500</v>
      </c>
      <c r="S465">
        <v>5000</v>
      </c>
      <c r="T465">
        <v>0</v>
      </c>
      <c r="U465" t="str">
        <f>IF(SeismicData[[#This Row],[class]]=1,"Dangerous","Safe")</f>
        <v>Safe</v>
      </c>
      <c r="V465" t="str">
        <f>IF(SeismicData[[#This Row],[shift]]="W","Production","Non-Production")</f>
        <v>Production</v>
      </c>
      <c r="W465" t="str">
        <f>IF(SeismicData[[#This Row],[genergy]]=0,"0","10^"&amp;INT(LOG10(SeismicData[[#This Row],[genergy]])))</f>
        <v>10^4</v>
      </c>
      <c r="X465" t="str">
        <f>IF(OR(SeismicData[[#This Row],[genergy]]&lt;$AA$6,SeismicData[[#This Row],[genergy]]&gt;$AA$5),"Outlier","Normal")</f>
        <v>Normal</v>
      </c>
    </row>
    <row r="466" spans="1:24" x14ac:dyDescent="0.15">
      <c r="A466">
        <v>465</v>
      </c>
      <c r="B466" t="s">
        <v>20</v>
      </c>
      <c r="C466" t="s">
        <v>20</v>
      </c>
      <c r="D466" t="s">
        <v>22</v>
      </c>
      <c r="E466">
        <v>80210</v>
      </c>
      <c r="F466">
        <v>525</v>
      </c>
      <c r="G466">
        <v>18</v>
      </c>
      <c r="H466">
        <v>32</v>
      </c>
      <c r="I466" t="s">
        <v>20</v>
      </c>
      <c r="J466">
        <v>3</v>
      </c>
      <c r="K466">
        <v>1</v>
      </c>
      <c r="L466">
        <v>2</v>
      </c>
      <c r="M466">
        <v>0</v>
      </c>
      <c r="N466">
        <v>0</v>
      </c>
      <c r="O466">
        <v>0</v>
      </c>
      <c r="P466">
        <v>0</v>
      </c>
      <c r="Q466">
        <v>0</v>
      </c>
      <c r="R466">
        <v>2700</v>
      </c>
      <c r="S466">
        <v>1000</v>
      </c>
      <c r="T466">
        <v>1</v>
      </c>
      <c r="U466" t="str">
        <f>IF(SeismicData[[#This Row],[class]]=1,"Dangerous","Safe")</f>
        <v>Dangerous</v>
      </c>
      <c r="V466" t="str">
        <f>IF(SeismicData[[#This Row],[shift]]="W","Production","Non-Production")</f>
        <v>Production</v>
      </c>
      <c r="W466" t="str">
        <f>IF(SeismicData[[#This Row],[genergy]]=0,"0","10^"&amp;INT(LOG10(SeismicData[[#This Row],[genergy]])))</f>
        <v>10^4</v>
      </c>
      <c r="X466" t="str">
        <f>IF(OR(SeismicData[[#This Row],[genergy]]&lt;$AA$6,SeismicData[[#This Row],[genergy]]&gt;$AA$5),"Outlier","Normal")</f>
        <v>Normal</v>
      </c>
    </row>
    <row r="467" spans="1:24" x14ac:dyDescent="0.15">
      <c r="A467">
        <v>466</v>
      </c>
      <c r="B467" t="s">
        <v>20</v>
      </c>
      <c r="C467" t="s">
        <v>20</v>
      </c>
      <c r="D467" t="s">
        <v>22</v>
      </c>
      <c r="E467">
        <v>78430</v>
      </c>
      <c r="F467">
        <v>455</v>
      </c>
      <c r="G467">
        <v>12</v>
      </c>
      <c r="H467">
        <v>8</v>
      </c>
      <c r="I467" t="s">
        <v>20</v>
      </c>
      <c r="J467">
        <v>5</v>
      </c>
      <c r="K467">
        <v>1</v>
      </c>
      <c r="L467">
        <v>3</v>
      </c>
      <c r="M467">
        <v>0</v>
      </c>
      <c r="N467">
        <v>1</v>
      </c>
      <c r="O467">
        <v>0</v>
      </c>
      <c r="P467">
        <v>0</v>
      </c>
      <c r="Q467">
        <v>0</v>
      </c>
      <c r="R467">
        <v>207900</v>
      </c>
      <c r="S467">
        <v>200000</v>
      </c>
      <c r="T467">
        <v>0</v>
      </c>
      <c r="U467" t="str">
        <f>IF(SeismicData[[#This Row],[class]]=1,"Dangerous","Safe")</f>
        <v>Safe</v>
      </c>
      <c r="V467" t="str">
        <f>IF(SeismicData[[#This Row],[shift]]="W","Production","Non-Production")</f>
        <v>Production</v>
      </c>
      <c r="W467" t="str">
        <f>IF(SeismicData[[#This Row],[genergy]]=0,"0","10^"&amp;INT(LOG10(SeismicData[[#This Row],[genergy]])))</f>
        <v>10^4</v>
      </c>
      <c r="X467" t="str">
        <f>IF(OR(SeismicData[[#This Row],[genergy]]&lt;$AA$6,SeismicData[[#This Row],[genergy]]&gt;$AA$5),"Outlier","Normal")</f>
        <v>Normal</v>
      </c>
    </row>
    <row r="468" spans="1:24" x14ac:dyDescent="0.15">
      <c r="A468">
        <v>467</v>
      </c>
      <c r="B468" t="s">
        <v>20</v>
      </c>
      <c r="C468" t="s">
        <v>20</v>
      </c>
      <c r="D468" t="s">
        <v>22</v>
      </c>
      <c r="E468">
        <v>47370</v>
      </c>
      <c r="F468">
        <v>296</v>
      </c>
      <c r="G468">
        <v>-30</v>
      </c>
      <c r="H468">
        <v>-28</v>
      </c>
      <c r="I468" t="s">
        <v>20</v>
      </c>
      <c r="J468">
        <v>4</v>
      </c>
      <c r="K468">
        <v>2</v>
      </c>
      <c r="L468">
        <v>2</v>
      </c>
      <c r="M468">
        <v>0</v>
      </c>
      <c r="N468">
        <v>0</v>
      </c>
      <c r="O468">
        <v>0</v>
      </c>
      <c r="P468">
        <v>0</v>
      </c>
      <c r="Q468">
        <v>0</v>
      </c>
      <c r="R468">
        <v>8800</v>
      </c>
      <c r="S468">
        <v>7000</v>
      </c>
      <c r="T468">
        <v>0</v>
      </c>
      <c r="U468" t="str">
        <f>IF(SeismicData[[#This Row],[class]]=1,"Dangerous","Safe")</f>
        <v>Safe</v>
      </c>
      <c r="V468" t="str">
        <f>IF(SeismicData[[#This Row],[shift]]="W","Production","Non-Production")</f>
        <v>Production</v>
      </c>
      <c r="W468" t="str">
        <f>IF(SeismicData[[#This Row],[genergy]]=0,"0","10^"&amp;INT(LOG10(SeismicData[[#This Row],[genergy]])))</f>
        <v>10^4</v>
      </c>
      <c r="X468" t="str">
        <f>IF(OR(SeismicData[[#This Row],[genergy]]&lt;$AA$6,SeismicData[[#This Row],[genergy]]&gt;$AA$5),"Outlier","Normal")</f>
        <v>Normal</v>
      </c>
    </row>
    <row r="469" spans="1:24" x14ac:dyDescent="0.15">
      <c r="A469">
        <v>468</v>
      </c>
      <c r="B469" t="s">
        <v>20</v>
      </c>
      <c r="C469" t="s">
        <v>23</v>
      </c>
      <c r="D469" t="s">
        <v>22</v>
      </c>
      <c r="E469">
        <v>73180</v>
      </c>
      <c r="F469">
        <v>488</v>
      </c>
      <c r="G469">
        <v>11</v>
      </c>
      <c r="H469">
        <v>20</v>
      </c>
      <c r="I469" t="s">
        <v>20</v>
      </c>
      <c r="J469">
        <v>5</v>
      </c>
      <c r="K469">
        <v>3</v>
      </c>
      <c r="L469">
        <v>2</v>
      </c>
      <c r="M469">
        <v>0</v>
      </c>
      <c r="N469">
        <v>0</v>
      </c>
      <c r="O469">
        <v>0</v>
      </c>
      <c r="P469">
        <v>0</v>
      </c>
      <c r="Q469">
        <v>0</v>
      </c>
      <c r="R469">
        <v>9600</v>
      </c>
      <c r="S469">
        <v>6000</v>
      </c>
      <c r="T469">
        <v>0</v>
      </c>
      <c r="U469" t="str">
        <f>IF(SeismicData[[#This Row],[class]]=1,"Dangerous","Safe")</f>
        <v>Safe</v>
      </c>
      <c r="V469" t="str">
        <f>IF(SeismicData[[#This Row],[shift]]="W","Production","Non-Production")</f>
        <v>Production</v>
      </c>
      <c r="W469" t="str">
        <f>IF(SeismicData[[#This Row],[genergy]]=0,"0","10^"&amp;INT(LOG10(SeismicData[[#This Row],[genergy]])))</f>
        <v>10^4</v>
      </c>
      <c r="X469" t="str">
        <f>IF(OR(SeismicData[[#This Row],[genergy]]&lt;$AA$6,SeismicData[[#This Row],[genergy]]&gt;$AA$5),"Outlier","Normal")</f>
        <v>Normal</v>
      </c>
    </row>
    <row r="470" spans="1:24" x14ac:dyDescent="0.15">
      <c r="A470">
        <v>469</v>
      </c>
      <c r="B470" t="s">
        <v>20</v>
      </c>
      <c r="C470" t="s">
        <v>23</v>
      </c>
      <c r="D470" t="s">
        <v>22</v>
      </c>
      <c r="E470">
        <v>104410</v>
      </c>
      <c r="F470">
        <v>631</v>
      </c>
      <c r="G470">
        <v>54</v>
      </c>
      <c r="H470">
        <v>50</v>
      </c>
      <c r="I470" t="s">
        <v>20</v>
      </c>
      <c r="J470">
        <v>3</v>
      </c>
      <c r="K470">
        <v>2</v>
      </c>
      <c r="L470">
        <v>1</v>
      </c>
      <c r="M470">
        <v>0</v>
      </c>
      <c r="N470">
        <v>0</v>
      </c>
      <c r="O470">
        <v>0</v>
      </c>
      <c r="P470">
        <v>0</v>
      </c>
      <c r="Q470">
        <v>0</v>
      </c>
      <c r="R470">
        <v>1600</v>
      </c>
      <c r="S470">
        <v>1000</v>
      </c>
      <c r="T470">
        <v>0</v>
      </c>
      <c r="U470" t="str">
        <f>IF(SeismicData[[#This Row],[class]]=1,"Dangerous","Safe")</f>
        <v>Safe</v>
      </c>
      <c r="V470" t="str">
        <f>IF(SeismicData[[#This Row],[shift]]="W","Production","Non-Production")</f>
        <v>Production</v>
      </c>
      <c r="W470" t="str">
        <f>IF(SeismicData[[#This Row],[genergy]]=0,"0","10^"&amp;INT(LOG10(SeismicData[[#This Row],[genergy]])))</f>
        <v>10^5</v>
      </c>
      <c r="X470" t="str">
        <f>IF(OR(SeismicData[[#This Row],[genergy]]&lt;$AA$6,SeismicData[[#This Row],[genergy]]&gt;$AA$5),"Outlier","Normal")</f>
        <v>Normal</v>
      </c>
    </row>
    <row r="471" spans="1:24" x14ac:dyDescent="0.15">
      <c r="A471">
        <v>470</v>
      </c>
      <c r="B471" t="s">
        <v>20</v>
      </c>
      <c r="C471" t="s">
        <v>23</v>
      </c>
      <c r="D471" t="s">
        <v>21</v>
      </c>
      <c r="E471">
        <v>8190</v>
      </c>
      <c r="F471">
        <v>64</v>
      </c>
      <c r="G471">
        <v>-11</v>
      </c>
      <c r="H471">
        <v>36</v>
      </c>
      <c r="I471" t="s">
        <v>20</v>
      </c>
      <c r="J471">
        <v>0</v>
      </c>
      <c r="K471">
        <v>0</v>
      </c>
      <c r="L471">
        <v>0</v>
      </c>
      <c r="M471">
        <v>0</v>
      </c>
      <c r="N471">
        <v>0</v>
      </c>
      <c r="O471">
        <v>0</v>
      </c>
      <c r="P471">
        <v>0</v>
      </c>
      <c r="Q471">
        <v>0</v>
      </c>
      <c r="R471">
        <v>0</v>
      </c>
      <c r="S471">
        <v>0</v>
      </c>
      <c r="T471">
        <v>0</v>
      </c>
      <c r="U471" t="str">
        <f>IF(SeismicData[[#This Row],[class]]=1,"Dangerous","Safe")</f>
        <v>Safe</v>
      </c>
      <c r="V471" t="str">
        <f>IF(SeismicData[[#This Row],[shift]]="W","Production","Non-Production")</f>
        <v>Non-Production</v>
      </c>
      <c r="W471" t="str">
        <f>IF(SeismicData[[#This Row],[genergy]]=0,"0","10^"&amp;INT(LOG10(SeismicData[[#This Row],[genergy]])))</f>
        <v>10^3</v>
      </c>
      <c r="X471" t="str">
        <f>IF(OR(SeismicData[[#This Row],[genergy]]&lt;$AA$6,SeismicData[[#This Row],[genergy]]&gt;$AA$5),"Outlier","Normal")</f>
        <v>Normal</v>
      </c>
    </row>
    <row r="472" spans="1:24" x14ac:dyDescent="0.15">
      <c r="A472">
        <v>471</v>
      </c>
      <c r="B472" t="s">
        <v>20</v>
      </c>
      <c r="C472" t="s">
        <v>23</v>
      </c>
      <c r="D472" t="s">
        <v>21</v>
      </c>
      <c r="E472">
        <v>3410</v>
      </c>
      <c r="F472">
        <v>33</v>
      </c>
      <c r="G472">
        <v>-62</v>
      </c>
      <c r="H472">
        <v>-32</v>
      </c>
      <c r="I472" t="s">
        <v>20</v>
      </c>
      <c r="J472">
        <v>0</v>
      </c>
      <c r="K472">
        <v>0</v>
      </c>
      <c r="L472">
        <v>0</v>
      </c>
      <c r="M472">
        <v>0</v>
      </c>
      <c r="N472">
        <v>0</v>
      </c>
      <c r="O472">
        <v>0</v>
      </c>
      <c r="P472">
        <v>0</v>
      </c>
      <c r="Q472">
        <v>0</v>
      </c>
      <c r="R472">
        <v>0</v>
      </c>
      <c r="S472">
        <v>0</v>
      </c>
      <c r="T472">
        <v>0</v>
      </c>
      <c r="U472" t="str">
        <f>IF(SeismicData[[#This Row],[class]]=1,"Dangerous","Safe")</f>
        <v>Safe</v>
      </c>
      <c r="V472" t="str">
        <f>IF(SeismicData[[#This Row],[shift]]="W","Production","Non-Production")</f>
        <v>Non-Production</v>
      </c>
      <c r="W472" t="str">
        <f>IF(SeismicData[[#This Row],[genergy]]=0,"0","10^"&amp;INT(LOG10(SeismicData[[#This Row],[genergy]])))</f>
        <v>10^3</v>
      </c>
      <c r="X472" t="str">
        <f>IF(OR(SeismicData[[#This Row],[genergy]]&lt;$AA$6,SeismicData[[#This Row],[genergy]]&gt;$AA$5),"Outlier","Normal")</f>
        <v>Normal</v>
      </c>
    </row>
    <row r="473" spans="1:24" x14ac:dyDescent="0.15">
      <c r="A473">
        <v>472</v>
      </c>
      <c r="B473" t="s">
        <v>20</v>
      </c>
      <c r="C473" t="s">
        <v>23</v>
      </c>
      <c r="D473" t="s">
        <v>21</v>
      </c>
      <c r="E473">
        <v>1860</v>
      </c>
      <c r="F473">
        <v>33</v>
      </c>
      <c r="G473">
        <v>-78</v>
      </c>
      <c r="H473">
        <v>-30</v>
      </c>
      <c r="I473" t="s">
        <v>20</v>
      </c>
      <c r="J473">
        <v>1</v>
      </c>
      <c r="K473">
        <v>0</v>
      </c>
      <c r="L473">
        <v>1</v>
      </c>
      <c r="M473">
        <v>0</v>
      </c>
      <c r="N473">
        <v>0</v>
      </c>
      <c r="O473">
        <v>0</v>
      </c>
      <c r="P473">
        <v>0</v>
      </c>
      <c r="Q473">
        <v>0</v>
      </c>
      <c r="R473">
        <v>4000</v>
      </c>
      <c r="S473">
        <v>4000</v>
      </c>
      <c r="T473">
        <v>1</v>
      </c>
      <c r="U473" t="str">
        <f>IF(SeismicData[[#This Row],[class]]=1,"Dangerous","Safe")</f>
        <v>Dangerous</v>
      </c>
      <c r="V473" t="str">
        <f>IF(SeismicData[[#This Row],[shift]]="W","Production","Non-Production")</f>
        <v>Non-Production</v>
      </c>
      <c r="W473" t="str">
        <f>IF(SeismicData[[#This Row],[genergy]]=0,"0","10^"&amp;INT(LOG10(SeismicData[[#This Row],[genergy]])))</f>
        <v>10^3</v>
      </c>
      <c r="X473" t="str">
        <f>IF(OR(SeismicData[[#This Row],[genergy]]&lt;$AA$6,SeismicData[[#This Row],[genergy]]&gt;$AA$5),"Outlier","Normal")</f>
        <v>Normal</v>
      </c>
    </row>
    <row r="474" spans="1:24" x14ac:dyDescent="0.15">
      <c r="A474">
        <v>473</v>
      </c>
      <c r="B474" t="s">
        <v>23</v>
      </c>
      <c r="C474" t="s">
        <v>23</v>
      </c>
      <c r="D474" t="s">
        <v>22</v>
      </c>
      <c r="E474">
        <v>31620</v>
      </c>
      <c r="F474">
        <v>208</v>
      </c>
      <c r="G474">
        <v>-64</v>
      </c>
      <c r="H474">
        <v>-45</v>
      </c>
      <c r="I474" t="s">
        <v>20</v>
      </c>
      <c r="J474">
        <v>2</v>
      </c>
      <c r="K474">
        <v>1</v>
      </c>
      <c r="L474">
        <v>0</v>
      </c>
      <c r="M474">
        <v>1</v>
      </c>
      <c r="N474">
        <v>0</v>
      </c>
      <c r="O474">
        <v>0</v>
      </c>
      <c r="P474">
        <v>0</v>
      </c>
      <c r="Q474">
        <v>0</v>
      </c>
      <c r="R474">
        <v>40400</v>
      </c>
      <c r="S474">
        <v>40000</v>
      </c>
      <c r="T474">
        <v>1</v>
      </c>
      <c r="U474" t="str">
        <f>IF(SeismicData[[#This Row],[class]]=1,"Dangerous","Safe")</f>
        <v>Dangerous</v>
      </c>
      <c r="V474" t="str">
        <f>IF(SeismicData[[#This Row],[shift]]="W","Production","Non-Production")</f>
        <v>Production</v>
      </c>
      <c r="W474" t="str">
        <f>IF(SeismicData[[#This Row],[genergy]]=0,"0","10^"&amp;INT(LOG10(SeismicData[[#This Row],[genergy]])))</f>
        <v>10^4</v>
      </c>
      <c r="X474" t="str">
        <f>IF(OR(SeismicData[[#This Row],[genergy]]&lt;$AA$6,SeismicData[[#This Row],[genergy]]&gt;$AA$5),"Outlier","Normal")</f>
        <v>Normal</v>
      </c>
    </row>
    <row r="475" spans="1:24" x14ac:dyDescent="0.15">
      <c r="A475">
        <v>474</v>
      </c>
      <c r="B475" t="s">
        <v>23</v>
      </c>
      <c r="C475" t="s">
        <v>23</v>
      </c>
      <c r="D475" t="s">
        <v>22</v>
      </c>
      <c r="E475">
        <v>81600</v>
      </c>
      <c r="F475">
        <v>628</v>
      </c>
      <c r="G475">
        <v>-1</v>
      </c>
      <c r="H475">
        <v>75</v>
      </c>
      <c r="I475" t="s">
        <v>20</v>
      </c>
      <c r="J475">
        <v>6</v>
      </c>
      <c r="K475">
        <v>3</v>
      </c>
      <c r="L475">
        <v>2</v>
      </c>
      <c r="M475">
        <v>1</v>
      </c>
      <c r="N475">
        <v>0</v>
      </c>
      <c r="O475">
        <v>0</v>
      </c>
      <c r="P475">
        <v>0</v>
      </c>
      <c r="Q475">
        <v>0</v>
      </c>
      <c r="R475">
        <v>44000</v>
      </c>
      <c r="S475">
        <v>40000</v>
      </c>
      <c r="T475">
        <v>0</v>
      </c>
      <c r="U475" t="str">
        <f>IF(SeismicData[[#This Row],[class]]=1,"Dangerous","Safe")</f>
        <v>Safe</v>
      </c>
      <c r="V475" t="str">
        <f>IF(SeismicData[[#This Row],[shift]]="W","Production","Non-Production")</f>
        <v>Production</v>
      </c>
      <c r="W475" t="str">
        <f>IF(SeismicData[[#This Row],[genergy]]=0,"0","10^"&amp;INT(LOG10(SeismicData[[#This Row],[genergy]])))</f>
        <v>10^4</v>
      </c>
      <c r="X475" t="str">
        <f>IF(OR(SeismicData[[#This Row],[genergy]]&lt;$AA$6,SeismicData[[#This Row],[genergy]]&gt;$AA$5),"Outlier","Normal")</f>
        <v>Normal</v>
      </c>
    </row>
    <row r="476" spans="1:24" x14ac:dyDescent="0.15">
      <c r="A476">
        <v>475</v>
      </c>
      <c r="B476" t="s">
        <v>23</v>
      </c>
      <c r="C476" t="s">
        <v>23</v>
      </c>
      <c r="D476" t="s">
        <v>22</v>
      </c>
      <c r="E476">
        <v>42390</v>
      </c>
      <c r="F476">
        <v>356</v>
      </c>
      <c r="G476">
        <v>-48</v>
      </c>
      <c r="H476">
        <v>-7</v>
      </c>
      <c r="I476" t="s">
        <v>20</v>
      </c>
      <c r="J476">
        <v>3</v>
      </c>
      <c r="K476">
        <v>1</v>
      </c>
      <c r="L476">
        <v>2</v>
      </c>
      <c r="M476">
        <v>0</v>
      </c>
      <c r="N476">
        <v>0</v>
      </c>
      <c r="O476">
        <v>0</v>
      </c>
      <c r="P476">
        <v>0</v>
      </c>
      <c r="Q476">
        <v>0</v>
      </c>
      <c r="R476">
        <v>6600</v>
      </c>
      <c r="S476">
        <v>3000</v>
      </c>
      <c r="T476">
        <v>0</v>
      </c>
      <c r="U476" t="str">
        <f>IF(SeismicData[[#This Row],[class]]=1,"Dangerous","Safe")</f>
        <v>Safe</v>
      </c>
      <c r="V476" t="str">
        <f>IF(SeismicData[[#This Row],[shift]]="W","Production","Non-Production")</f>
        <v>Production</v>
      </c>
      <c r="W476" t="str">
        <f>IF(SeismicData[[#This Row],[genergy]]=0,"0","10^"&amp;INT(LOG10(SeismicData[[#This Row],[genergy]])))</f>
        <v>10^4</v>
      </c>
      <c r="X476" t="str">
        <f>IF(OR(SeismicData[[#This Row],[genergy]]&lt;$AA$6,SeismicData[[#This Row],[genergy]]&gt;$AA$5),"Outlier","Normal")</f>
        <v>Normal</v>
      </c>
    </row>
    <row r="477" spans="1:24" x14ac:dyDescent="0.15">
      <c r="A477">
        <v>476</v>
      </c>
      <c r="B477" t="s">
        <v>23</v>
      </c>
      <c r="C477" t="s">
        <v>20</v>
      </c>
      <c r="D477" t="s">
        <v>22</v>
      </c>
      <c r="E477">
        <v>36400</v>
      </c>
      <c r="F477">
        <v>303</v>
      </c>
      <c r="G477">
        <v>-53</v>
      </c>
      <c r="H477">
        <v>-21</v>
      </c>
      <c r="I477" t="s">
        <v>20</v>
      </c>
      <c r="J477">
        <v>2</v>
      </c>
      <c r="K477">
        <v>1</v>
      </c>
      <c r="L477">
        <v>1</v>
      </c>
      <c r="M477">
        <v>0</v>
      </c>
      <c r="N477">
        <v>0</v>
      </c>
      <c r="O477">
        <v>0</v>
      </c>
      <c r="P477">
        <v>0</v>
      </c>
      <c r="Q477">
        <v>0</v>
      </c>
      <c r="R477">
        <v>1400</v>
      </c>
      <c r="S477">
        <v>1000</v>
      </c>
      <c r="T477">
        <v>0</v>
      </c>
      <c r="U477" t="str">
        <f>IF(SeismicData[[#This Row],[class]]=1,"Dangerous","Safe")</f>
        <v>Safe</v>
      </c>
      <c r="V477" t="str">
        <f>IF(SeismicData[[#This Row],[shift]]="W","Production","Non-Production")</f>
        <v>Production</v>
      </c>
      <c r="W477" t="str">
        <f>IF(SeismicData[[#This Row],[genergy]]=0,"0","10^"&amp;INT(LOG10(SeismicData[[#This Row],[genergy]])))</f>
        <v>10^4</v>
      </c>
      <c r="X477" t="str">
        <f>IF(OR(SeismicData[[#This Row],[genergy]]&lt;$AA$6,SeismicData[[#This Row],[genergy]]&gt;$AA$5),"Outlier","Normal")</f>
        <v>Normal</v>
      </c>
    </row>
    <row r="478" spans="1:24" x14ac:dyDescent="0.15">
      <c r="A478">
        <v>477</v>
      </c>
      <c r="B478" t="s">
        <v>20</v>
      </c>
      <c r="C478" t="s">
        <v>20</v>
      </c>
      <c r="D478" t="s">
        <v>22</v>
      </c>
      <c r="E478">
        <v>69070</v>
      </c>
      <c r="F478">
        <v>505</v>
      </c>
      <c r="G478">
        <v>-4</v>
      </c>
      <c r="H478">
        <v>35</v>
      </c>
      <c r="I478" t="s">
        <v>20</v>
      </c>
      <c r="J478">
        <v>5</v>
      </c>
      <c r="K478">
        <v>3</v>
      </c>
      <c r="L478">
        <v>2</v>
      </c>
      <c r="M478">
        <v>0</v>
      </c>
      <c r="N478">
        <v>0</v>
      </c>
      <c r="O478">
        <v>0</v>
      </c>
      <c r="P478">
        <v>0</v>
      </c>
      <c r="Q478">
        <v>0</v>
      </c>
      <c r="R478">
        <v>5700</v>
      </c>
      <c r="S478">
        <v>2000</v>
      </c>
      <c r="T478">
        <v>0</v>
      </c>
      <c r="U478" t="str">
        <f>IF(SeismicData[[#This Row],[class]]=1,"Dangerous","Safe")</f>
        <v>Safe</v>
      </c>
      <c r="V478" t="str">
        <f>IF(SeismicData[[#This Row],[shift]]="W","Production","Non-Production")</f>
        <v>Production</v>
      </c>
      <c r="W478" t="str">
        <f>IF(SeismicData[[#This Row],[genergy]]=0,"0","10^"&amp;INT(LOG10(SeismicData[[#This Row],[genergy]])))</f>
        <v>10^4</v>
      </c>
      <c r="X478" t="str">
        <f>IF(OR(SeismicData[[#This Row],[genergy]]&lt;$AA$6,SeismicData[[#This Row],[genergy]]&gt;$AA$5),"Outlier","Normal")</f>
        <v>Normal</v>
      </c>
    </row>
    <row r="479" spans="1:24" x14ac:dyDescent="0.15">
      <c r="A479">
        <v>478</v>
      </c>
      <c r="B479" t="s">
        <v>20</v>
      </c>
      <c r="C479" t="s">
        <v>20</v>
      </c>
      <c r="D479" t="s">
        <v>22</v>
      </c>
      <c r="E479">
        <v>40420</v>
      </c>
      <c r="F479">
        <v>269</v>
      </c>
      <c r="G479">
        <v>-42</v>
      </c>
      <c r="H479">
        <v>-31</v>
      </c>
      <c r="I479" t="s">
        <v>20</v>
      </c>
      <c r="J479">
        <v>0</v>
      </c>
      <c r="K479">
        <v>0</v>
      </c>
      <c r="L479">
        <v>0</v>
      </c>
      <c r="M479">
        <v>0</v>
      </c>
      <c r="N479">
        <v>0</v>
      </c>
      <c r="O479">
        <v>0</v>
      </c>
      <c r="P479">
        <v>0</v>
      </c>
      <c r="Q479">
        <v>0</v>
      </c>
      <c r="R479">
        <v>0</v>
      </c>
      <c r="S479">
        <v>0</v>
      </c>
      <c r="T479">
        <v>0</v>
      </c>
      <c r="U479" t="str">
        <f>IF(SeismicData[[#This Row],[class]]=1,"Dangerous","Safe")</f>
        <v>Safe</v>
      </c>
      <c r="V479" t="str">
        <f>IF(SeismicData[[#This Row],[shift]]="W","Production","Non-Production")</f>
        <v>Production</v>
      </c>
      <c r="W479" t="str">
        <f>IF(SeismicData[[#This Row],[genergy]]=0,"0","10^"&amp;INT(LOG10(SeismicData[[#This Row],[genergy]])))</f>
        <v>10^4</v>
      </c>
      <c r="X479" t="str">
        <f>IF(OR(SeismicData[[#This Row],[genergy]]&lt;$AA$6,SeismicData[[#This Row],[genergy]]&gt;$AA$5),"Outlier","Normal")</f>
        <v>Normal</v>
      </c>
    </row>
    <row r="480" spans="1:24" x14ac:dyDescent="0.15">
      <c r="A480">
        <v>479</v>
      </c>
      <c r="B480" t="s">
        <v>20</v>
      </c>
      <c r="C480" t="s">
        <v>20</v>
      </c>
      <c r="D480" t="s">
        <v>21</v>
      </c>
      <c r="E480">
        <v>11390</v>
      </c>
      <c r="F480">
        <v>89</v>
      </c>
      <c r="G480">
        <v>47</v>
      </c>
      <c r="H480">
        <v>94</v>
      </c>
      <c r="I480" t="s">
        <v>20</v>
      </c>
      <c r="J480">
        <v>1</v>
      </c>
      <c r="K480">
        <v>1</v>
      </c>
      <c r="L480">
        <v>0</v>
      </c>
      <c r="M480">
        <v>0</v>
      </c>
      <c r="N480">
        <v>0</v>
      </c>
      <c r="O480">
        <v>0</v>
      </c>
      <c r="P480">
        <v>0</v>
      </c>
      <c r="Q480">
        <v>0</v>
      </c>
      <c r="R480">
        <v>300</v>
      </c>
      <c r="S480">
        <v>300</v>
      </c>
      <c r="T480">
        <v>0</v>
      </c>
      <c r="U480" t="str">
        <f>IF(SeismicData[[#This Row],[class]]=1,"Dangerous","Safe")</f>
        <v>Safe</v>
      </c>
      <c r="V480" t="str">
        <f>IF(SeismicData[[#This Row],[shift]]="W","Production","Non-Production")</f>
        <v>Non-Production</v>
      </c>
      <c r="W480" t="str">
        <f>IF(SeismicData[[#This Row],[genergy]]=0,"0","10^"&amp;INT(LOG10(SeismicData[[#This Row],[genergy]])))</f>
        <v>10^4</v>
      </c>
      <c r="X480" t="str">
        <f>IF(OR(SeismicData[[#This Row],[genergy]]&lt;$AA$6,SeismicData[[#This Row],[genergy]]&gt;$AA$5),"Outlier","Normal")</f>
        <v>Normal</v>
      </c>
    </row>
    <row r="481" spans="1:24" x14ac:dyDescent="0.15">
      <c r="A481">
        <v>480</v>
      </c>
      <c r="B481" t="s">
        <v>20</v>
      </c>
      <c r="C481" t="s">
        <v>20</v>
      </c>
      <c r="D481" t="s">
        <v>21</v>
      </c>
      <c r="E481">
        <v>5550</v>
      </c>
      <c r="F481">
        <v>44</v>
      </c>
      <c r="G481">
        <v>-31</v>
      </c>
      <c r="H481">
        <v>-12</v>
      </c>
      <c r="I481" t="s">
        <v>20</v>
      </c>
      <c r="J481">
        <v>2</v>
      </c>
      <c r="K481">
        <v>1</v>
      </c>
      <c r="L481">
        <v>1</v>
      </c>
      <c r="M481">
        <v>0</v>
      </c>
      <c r="N481">
        <v>0</v>
      </c>
      <c r="O481">
        <v>0</v>
      </c>
      <c r="P481">
        <v>0</v>
      </c>
      <c r="Q481">
        <v>0</v>
      </c>
      <c r="R481">
        <v>4300</v>
      </c>
      <c r="S481">
        <v>4000</v>
      </c>
      <c r="T481">
        <v>0</v>
      </c>
      <c r="U481" t="str">
        <f>IF(SeismicData[[#This Row],[class]]=1,"Dangerous","Safe")</f>
        <v>Safe</v>
      </c>
      <c r="V481" t="str">
        <f>IF(SeismicData[[#This Row],[shift]]="W","Production","Non-Production")</f>
        <v>Non-Production</v>
      </c>
      <c r="W481" t="str">
        <f>IF(SeismicData[[#This Row],[genergy]]=0,"0","10^"&amp;INT(LOG10(SeismicData[[#This Row],[genergy]])))</f>
        <v>10^3</v>
      </c>
      <c r="X481" t="str">
        <f>IF(OR(SeismicData[[#This Row],[genergy]]&lt;$AA$6,SeismicData[[#This Row],[genergy]]&gt;$AA$5),"Outlier","Normal")</f>
        <v>Normal</v>
      </c>
    </row>
    <row r="482" spans="1:24" x14ac:dyDescent="0.15">
      <c r="A482">
        <v>481</v>
      </c>
      <c r="B482" t="s">
        <v>20</v>
      </c>
      <c r="C482" t="s">
        <v>20</v>
      </c>
      <c r="D482" t="s">
        <v>21</v>
      </c>
      <c r="E482">
        <v>7040</v>
      </c>
      <c r="F482">
        <v>37</v>
      </c>
      <c r="G482">
        <v>-8</v>
      </c>
      <c r="H482">
        <v>-26</v>
      </c>
      <c r="I482" t="s">
        <v>20</v>
      </c>
      <c r="J482">
        <v>2</v>
      </c>
      <c r="K482">
        <v>1</v>
      </c>
      <c r="L482">
        <v>1</v>
      </c>
      <c r="M482">
        <v>0</v>
      </c>
      <c r="N482">
        <v>0</v>
      </c>
      <c r="O482">
        <v>0</v>
      </c>
      <c r="P482">
        <v>0</v>
      </c>
      <c r="Q482">
        <v>0</v>
      </c>
      <c r="R482">
        <v>5500</v>
      </c>
      <c r="S482">
        <v>5000</v>
      </c>
      <c r="T482">
        <v>0</v>
      </c>
      <c r="U482" t="str">
        <f>IF(SeismicData[[#This Row],[class]]=1,"Dangerous","Safe")</f>
        <v>Safe</v>
      </c>
      <c r="V482" t="str">
        <f>IF(SeismicData[[#This Row],[shift]]="W","Production","Non-Production")</f>
        <v>Non-Production</v>
      </c>
      <c r="W482" t="str">
        <f>IF(SeismicData[[#This Row],[genergy]]=0,"0","10^"&amp;INT(LOG10(SeismicData[[#This Row],[genergy]])))</f>
        <v>10^3</v>
      </c>
      <c r="X482" t="str">
        <f>IF(OR(SeismicData[[#This Row],[genergy]]&lt;$AA$6,SeismicData[[#This Row],[genergy]]&gt;$AA$5),"Outlier","Normal")</f>
        <v>Normal</v>
      </c>
    </row>
    <row r="483" spans="1:24" x14ac:dyDescent="0.15">
      <c r="A483">
        <v>482</v>
      </c>
      <c r="B483" t="s">
        <v>20</v>
      </c>
      <c r="C483" t="s">
        <v>20</v>
      </c>
      <c r="D483" t="s">
        <v>22</v>
      </c>
      <c r="E483">
        <v>39050</v>
      </c>
      <c r="F483">
        <v>305</v>
      </c>
      <c r="G483">
        <v>-40</v>
      </c>
      <c r="H483">
        <v>-19</v>
      </c>
      <c r="I483" t="s">
        <v>20</v>
      </c>
      <c r="J483">
        <v>3</v>
      </c>
      <c r="K483">
        <v>3</v>
      </c>
      <c r="L483">
        <v>0</v>
      </c>
      <c r="M483">
        <v>0</v>
      </c>
      <c r="N483">
        <v>0</v>
      </c>
      <c r="O483">
        <v>0</v>
      </c>
      <c r="P483">
        <v>0</v>
      </c>
      <c r="Q483">
        <v>0</v>
      </c>
      <c r="R483">
        <v>2000</v>
      </c>
      <c r="S483">
        <v>700</v>
      </c>
      <c r="T483">
        <v>0</v>
      </c>
      <c r="U483" t="str">
        <f>IF(SeismicData[[#This Row],[class]]=1,"Dangerous","Safe")</f>
        <v>Safe</v>
      </c>
      <c r="V483" t="str">
        <f>IF(SeismicData[[#This Row],[shift]]="W","Production","Non-Production")</f>
        <v>Production</v>
      </c>
      <c r="W483" t="str">
        <f>IF(SeismicData[[#This Row],[genergy]]=0,"0","10^"&amp;INT(LOG10(SeismicData[[#This Row],[genergy]])))</f>
        <v>10^4</v>
      </c>
      <c r="X483" t="str">
        <f>IF(OR(SeismicData[[#This Row],[genergy]]&lt;$AA$6,SeismicData[[#This Row],[genergy]]&gt;$AA$5),"Outlier","Normal")</f>
        <v>Normal</v>
      </c>
    </row>
    <row r="484" spans="1:24" x14ac:dyDescent="0.15">
      <c r="A484">
        <v>483</v>
      </c>
      <c r="B484" t="s">
        <v>20</v>
      </c>
      <c r="C484" t="s">
        <v>20</v>
      </c>
      <c r="D484" t="s">
        <v>22</v>
      </c>
      <c r="E484">
        <v>55530</v>
      </c>
      <c r="F484">
        <v>438</v>
      </c>
      <c r="G484">
        <v>-8</v>
      </c>
      <c r="H484">
        <v>18</v>
      </c>
      <c r="I484" t="s">
        <v>20</v>
      </c>
      <c r="J484">
        <v>1</v>
      </c>
      <c r="K484">
        <v>0</v>
      </c>
      <c r="L484">
        <v>1</v>
      </c>
      <c r="M484">
        <v>0</v>
      </c>
      <c r="N484">
        <v>0</v>
      </c>
      <c r="O484">
        <v>0</v>
      </c>
      <c r="P484">
        <v>0</v>
      </c>
      <c r="Q484">
        <v>0</v>
      </c>
      <c r="R484">
        <v>2000</v>
      </c>
      <c r="S484">
        <v>2000</v>
      </c>
      <c r="T484">
        <v>0</v>
      </c>
      <c r="U484" t="str">
        <f>IF(SeismicData[[#This Row],[class]]=1,"Dangerous","Safe")</f>
        <v>Safe</v>
      </c>
      <c r="V484" t="str">
        <f>IF(SeismicData[[#This Row],[shift]]="W","Production","Non-Production")</f>
        <v>Production</v>
      </c>
      <c r="W484" t="str">
        <f>IF(SeismicData[[#This Row],[genergy]]=0,"0","10^"&amp;INT(LOG10(SeismicData[[#This Row],[genergy]])))</f>
        <v>10^4</v>
      </c>
      <c r="X484" t="str">
        <f>IF(OR(SeismicData[[#This Row],[genergy]]&lt;$AA$6,SeismicData[[#This Row],[genergy]]&gt;$AA$5),"Outlier","Normal")</f>
        <v>Normal</v>
      </c>
    </row>
    <row r="485" spans="1:24" x14ac:dyDescent="0.15">
      <c r="A485">
        <v>484</v>
      </c>
      <c r="B485" t="s">
        <v>20</v>
      </c>
      <c r="C485" t="s">
        <v>20</v>
      </c>
      <c r="D485" t="s">
        <v>22</v>
      </c>
      <c r="E485">
        <v>53390</v>
      </c>
      <c r="F485">
        <v>432</v>
      </c>
      <c r="G485">
        <v>-7</v>
      </c>
      <c r="H485">
        <v>15</v>
      </c>
      <c r="I485" t="s">
        <v>20</v>
      </c>
      <c r="J485">
        <v>2</v>
      </c>
      <c r="K485">
        <v>1</v>
      </c>
      <c r="L485">
        <v>1</v>
      </c>
      <c r="M485">
        <v>0</v>
      </c>
      <c r="N485">
        <v>0</v>
      </c>
      <c r="O485">
        <v>0</v>
      </c>
      <c r="P485">
        <v>0</v>
      </c>
      <c r="Q485">
        <v>0</v>
      </c>
      <c r="R485">
        <v>3200</v>
      </c>
      <c r="S485">
        <v>3000</v>
      </c>
      <c r="T485">
        <v>0</v>
      </c>
      <c r="U485" t="str">
        <f>IF(SeismicData[[#This Row],[class]]=1,"Dangerous","Safe")</f>
        <v>Safe</v>
      </c>
      <c r="V485" t="str">
        <f>IF(SeismicData[[#This Row],[shift]]="W","Production","Non-Production")</f>
        <v>Production</v>
      </c>
      <c r="W485" t="str">
        <f>IF(SeismicData[[#This Row],[genergy]]=0,"0","10^"&amp;INT(LOG10(SeismicData[[#This Row],[genergy]])))</f>
        <v>10^4</v>
      </c>
      <c r="X485" t="str">
        <f>IF(OR(SeismicData[[#This Row],[genergy]]&lt;$AA$6,SeismicData[[#This Row],[genergy]]&gt;$AA$5),"Outlier","Normal")</f>
        <v>Normal</v>
      </c>
    </row>
    <row r="486" spans="1:24" x14ac:dyDescent="0.15">
      <c r="A486">
        <v>485</v>
      </c>
      <c r="B486" t="s">
        <v>20</v>
      </c>
      <c r="C486" t="s">
        <v>20</v>
      </c>
      <c r="D486" t="s">
        <v>22</v>
      </c>
      <c r="E486">
        <v>37270</v>
      </c>
      <c r="F486">
        <v>293</v>
      </c>
      <c r="G486">
        <v>-31</v>
      </c>
      <c r="H486">
        <v>-23</v>
      </c>
      <c r="I486" t="s">
        <v>20</v>
      </c>
      <c r="J486">
        <v>3</v>
      </c>
      <c r="K486">
        <v>1</v>
      </c>
      <c r="L486">
        <v>2</v>
      </c>
      <c r="M486">
        <v>0</v>
      </c>
      <c r="N486">
        <v>0</v>
      </c>
      <c r="O486">
        <v>0</v>
      </c>
      <c r="P486">
        <v>0</v>
      </c>
      <c r="Q486">
        <v>0</v>
      </c>
      <c r="R486">
        <v>6200</v>
      </c>
      <c r="S486">
        <v>4000</v>
      </c>
      <c r="T486">
        <v>0</v>
      </c>
      <c r="U486" t="str">
        <f>IF(SeismicData[[#This Row],[class]]=1,"Dangerous","Safe")</f>
        <v>Safe</v>
      </c>
      <c r="V486" t="str">
        <f>IF(SeismicData[[#This Row],[shift]]="W","Production","Non-Production")</f>
        <v>Production</v>
      </c>
      <c r="W486" t="str">
        <f>IF(SeismicData[[#This Row],[genergy]]=0,"0","10^"&amp;INT(LOG10(SeismicData[[#This Row],[genergy]])))</f>
        <v>10^4</v>
      </c>
      <c r="X486" t="str">
        <f>IF(OR(SeismicData[[#This Row],[genergy]]&lt;$AA$6,SeismicData[[#This Row],[genergy]]&gt;$AA$5),"Outlier","Normal")</f>
        <v>Normal</v>
      </c>
    </row>
    <row r="487" spans="1:24" x14ac:dyDescent="0.15">
      <c r="A487">
        <v>486</v>
      </c>
      <c r="B487" t="s">
        <v>20</v>
      </c>
      <c r="C487" t="s">
        <v>20</v>
      </c>
      <c r="D487" t="s">
        <v>22</v>
      </c>
      <c r="E487">
        <v>53170</v>
      </c>
      <c r="F487">
        <v>461</v>
      </c>
      <c r="G487">
        <v>9</v>
      </c>
      <c r="H487">
        <v>23</v>
      </c>
      <c r="I487" t="s">
        <v>20</v>
      </c>
      <c r="J487">
        <v>5</v>
      </c>
      <c r="K487">
        <v>2</v>
      </c>
      <c r="L487">
        <v>3</v>
      </c>
      <c r="M487">
        <v>0</v>
      </c>
      <c r="N487">
        <v>0</v>
      </c>
      <c r="O487">
        <v>0</v>
      </c>
      <c r="P487">
        <v>0</v>
      </c>
      <c r="Q487">
        <v>0</v>
      </c>
      <c r="R487">
        <v>4800</v>
      </c>
      <c r="S487">
        <v>2000</v>
      </c>
      <c r="T487">
        <v>0</v>
      </c>
      <c r="U487" t="str">
        <f>IF(SeismicData[[#This Row],[class]]=1,"Dangerous","Safe")</f>
        <v>Safe</v>
      </c>
      <c r="V487" t="str">
        <f>IF(SeismicData[[#This Row],[shift]]="W","Production","Non-Production")</f>
        <v>Production</v>
      </c>
      <c r="W487" t="str">
        <f>IF(SeismicData[[#This Row],[genergy]]=0,"0","10^"&amp;INT(LOG10(SeismicData[[#This Row],[genergy]])))</f>
        <v>10^4</v>
      </c>
      <c r="X487" t="str">
        <f>IF(OR(SeismicData[[#This Row],[genergy]]&lt;$AA$6,SeismicData[[#This Row],[genergy]]&gt;$AA$5),"Outlier","Normal")</f>
        <v>Normal</v>
      </c>
    </row>
    <row r="488" spans="1:24" x14ac:dyDescent="0.15">
      <c r="A488">
        <v>487</v>
      </c>
      <c r="B488" t="s">
        <v>20</v>
      </c>
      <c r="C488" t="s">
        <v>20</v>
      </c>
      <c r="D488" t="s">
        <v>22</v>
      </c>
      <c r="E488">
        <v>42280</v>
      </c>
      <c r="F488">
        <v>375</v>
      </c>
      <c r="G488">
        <v>-17</v>
      </c>
      <c r="H488">
        <v>-6</v>
      </c>
      <c r="I488" t="s">
        <v>20</v>
      </c>
      <c r="J488">
        <v>5</v>
      </c>
      <c r="K488">
        <v>3</v>
      </c>
      <c r="L488">
        <v>2</v>
      </c>
      <c r="M488">
        <v>0</v>
      </c>
      <c r="N488">
        <v>0</v>
      </c>
      <c r="O488">
        <v>0</v>
      </c>
      <c r="P488">
        <v>0</v>
      </c>
      <c r="Q488">
        <v>0</v>
      </c>
      <c r="R488">
        <v>12100</v>
      </c>
      <c r="S488">
        <v>7000</v>
      </c>
      <c r="T488">
        <v>0</v>
      </c>
      <c r="U488" t="str">
        <f>IF(SeismicData[[#This Row],[class]]=1,"Dangerous","Safe")</f>
        <v>Safe</v>
      </c>
      <c r="V488" t="str">
        <f>IF(SeismicData[[#This Row],[shift]]="W","Production","Non-Production")</f>
        <v>Production</v>
      </c>
      <c r="W488" t="str">
        <f>IF(SeismicData[[#This Row],[genergy]]=0,"0","10^"&amp;INT(LOG10(SeismicData[[#This Row],[genergy]])))</f>
        <v>10^4</v>
      </c>
      <c r="X488" t="str">
        <f>IF(OR(SeismicData[[#This Row],[genergy]]&lt;$AA$6,SeismicData[[#This Row],[genergy]]&gt;$AA$5),"Outlier","Normal")</f>
        <v>Normal</v>
      </c>
    </row>
    <row r="489" spans="1:24" x14ac:dyDescent="0.15">
      <c r="A489">
        <v>488</v>
      </c>
      <c r="B489" t="s">
        <v>20</v>
      </c>
      <c r="C489" t="s">
        <v>20</v>
      </c>
      <c r="D489" t="s">
        <v>22</v>
      </c>
      <c r="E489">
        <v>27980</v>
      </c>
      <c r="F489">
        <v>243</v>
      </c>
      <c r="G489">
        <v>-40</v>
      </c>
      <c r="H489">
        <v>-35</v>
      </c>
      <c r="I489" t="s">
        <v>20</v>
      </c>
      <c r="J489">
        <v>6</v>
      </c>
      <c r="K489">
        <v>3</v>
      </c>
      <c r="L489">
        <v>3</v>
      </c>
      <c r="M489">
        <v>0</v>
      </c>
      <c r="N489">
        <v>0</v>
      </c>
      <c r="O489">
        <v>0</v>
      </c>
      <c r="P489">
        <v>0</v>
      </c>
      <c r="Q489">
        <v>0</v>
      </c>
      <c r="R489">
        <v>7000</v>
      </c>
      <c r="S489">
        <v>3000</v>
      </c>
      <c r="T489">
        <v>0</v>
      </c>
      <c r="U489" t="str">
        <f>IF(SeismicData[[#This Row],[class]]=1,"Dangerous","Safe")</f>
        <v>Safe</v>
      </c>
      <c r="V489" t="str">
        <f>IF(SeismicData[[#This Row],[shift]]="W","Production","Non-Production")</f>
        <v>Production</v>
      </c>
      <c r="W489" t="str">
        <f>IF(SeismicData[[#This Row],[genergy]]=0,"0","10^"&amp;INT(LOG10(SeismicData[[#This Row],[genergy]])))</f>
        <v>10^4</v>
      </c>
      <c r="X489" t="str">
        <f>IF(OR(SeismicData[[#This Row],[genergy]]&lt;$AA$6,SeismicData[[#This Row],[genergy]]&gt;$AA$5),"Outlier","Normal")</f>
        <v>Normal</v>
      </c>
    </row>
    <row r="490" spans="1:24" x14ac:dyDescent="0.15">
      <c r="A490">
        <v>489</v>
      </c>
      <c r="B490" t="s">
        <v>20</v>
      </c>
      <c r="C490" t="s">
        <v>20</v>
      </c>
      <c r="D490" t="s">
        <v>22</v>
      </c>
      <c r="E490">
        <v>60200</v>
      </c>
      <c r="F490">
        <v>449</v>
      </c>
      <c r="G490">
        <v>32</v>
      </c>
      <c r="H490">
        <v>24</v>
      </c>
      <c r="I490" t="s">
        <v>20</v>
      </c>
      <c r="J490">
        <v>5</v>
      </c>
      <c r="K490">
        <v>3</v>
      </c>
      <c r="L490">
        <v>2</v>
      </c>
      <c r="M490">
        <v>0</v>
      </c>
      <c r="N490">
        <v>0</v>
      </c>
      <c r="O490">
        <v>0</v>
      </c>
      <c r="P490">
        <v>0</v>
      </c>
      <c r="Q490">
        <v>0</v>
      </c>
      <c r="R490">
        <v>9200</v>
      </c>
      <c r="S490">
        <v>5000</v>
      </c>
      <c r="T490">
        <v>0</v>
      </c>
      <c r="U490" t="str">
        <f>IF(SeismicData[[#This Row],[class]]=1,"Dangerous","Safe")</f>
        <v>Safe</v>
      </c>
      <c r="V490" t="str">
        <f>IF(SeismicData[[#This Row],[shift]]="W","Production","Non-Production")</f>
        <v>Production</v>
      </c>
      <c r="W490" t="str">
        <f>IF(SeismicData[[#This Row],[genergy]]=0,"0","10^"&amp;INT(LOG10(SeismicData[[#This Row],[genergy]])))</f>
        <v>10^4</v>
      </c>
      <c r="X490" t="str">
        <f>IF(OR(SeismicData[[#This Row],[genergy]]&lt;$AA$6,SeismicData[[#This Row],[genergy]]&gt;$AA$5),"Outlier","Normal")</f>
        <v>Normal</v>
      </c>
    </row>
    <row r="491" spans="1:24" x14ac:dyDescent="0.15">
      <c r="A491">
        <v>490</v>
      </c>
      <c r="B491" t="s">
        <v>20</v>
      </c>
      <c r="C491" t="s">
        <v>20</v>
      </c>
      <c r="D491" t="s">
        <v>22</v>
      </c>
      <c r="E491">
        <v>64290</v>
      </c>
      <c r="F491">
        <v>495</v>
      </c>
      <c r="G491">
        <v>34</v>
      </c>
      <c r="H491">
        <v>31</v>
      </c>
      <c r="I491" t="s">
        <v>20</v>
      </c>
      <c r="J491">
        <v>3</v>
      </c>
      <c r="K491">
        <v>1</v>
      </c>
      <c r="L491">
        <v>2</v>
      </c>
      <c r="M491">
        <v>0</v>
      </c>
      <c r="N491">
        <v>0</v>
      </c>
      <c r="O491">
        <v>0</v>
      </c>
      <c r="P491">
        <v>0</v>
      </c>
      <c r="Q491">
        <v>0</v>
      </c>
      <c r="R491">
        <v>5100</v>
      </c>
      <c r="S491">
        <v>4000</v>
      </c>
      <c r="T491">
        <v>0</v>
      </c>
      <c r="U491" t="str">
        <f>IF(SeismicData[[#This Row],[class]]=1,"Dangerous","Safe")</f>
        <v>Safe</v>
      </c>
      <c r="V491" t="str">
        <f>IF(SeismicData[[#This Row],[shift]]="W","Production","Non-Production")</f>
        <v>Production</v>
      </c>
      <c r="W491" t="str">
        <f>IF(SeismicData[[#This Row],[genergy]]=0,"0","10^"&amp;INT(LOG10(SeismicData[[#This Row],[genergy]])))</f>
        <v>10^4</v>
      </c>
      <c r="X491" t="str">
        <f>IF(OR(SeismicData[[#This Row],[genergy]]&lt;$AA$6,SeismicData[[#This Row],[genergy]]&gt;$AA$5),"Outlier","Normal")</f>
        <v>Normal</v>
      </c>
    </row>
    <row r="492" spans="1:24" x14ac:dyDescent="0.15">
      <c r="A492">
        <v>491</v>
      </c>
      <c r="B492" t="s">
        <v>20</v>
      </c>
      <c r="C492" t="s">
        <v>20</v>
      </c>
      <c r="D492" t="s">
        <v>22</v>
      </c>
      <c r="E492">
        <v>33310</v>
      </c>
      <c r="F492">
        <v>274</v>
      </c>
      <c r="G492">
        <v>-30</v>
      </c>
      <c r="H492">
        <v>-27</v>
      </c>
      <c r="I492" t="s">
        <v>20</v>
      </c>
      <c r="J492">
        <v>6</v>
      </c>
      <c r="K492">
        <v>3</v>
      </c>
      <c r="L492">
        <v>3</v>
      </c>
      <c r="M492">
        <v>0</v>
      </c>
      <c r="N492">
        <v>0</v>
      </c>
      <c r="O492">
        <v>0</v>
      </c>
      <c r="P492">
        <v>0</v>
      </c>
      <c r="Q492">
        <v>0</v>
      </c>
      <c r="R492">
        <v>6800</v>
      </c>
      <c r="S492">
        <v>3000</v>
      </c>
      <c r="T492">
        <v>0</v>
      </c>
      <c r="U492" t="str">
        <f>IF(SeismicData[[#This Row],[class]]=1,"Dangerous","Safe")</f>
        <v>Safe</v>
      </c>
      <c r="V492" t="str">
        <f>IF(SeismicData[[#This Row],[shift]]="W","Production","Non-Production")</f>
        <v>Production</v>
      </c>
      <c r="W492" t="str">
        <f>IF(SeismicData[[#This Row],[genergy]]=0,"0","10^"&amp;INT(LOG10(SeismicData[[#This Row],[genergy]])))</f>
        <v>10^4</v>
      </c>
      <c r="X492" t="str">
        <f>IF(OR(SeismicData[[#This Row],[genergy]]&lt;$AA$6,SeismicData[[#This Row],[genergy]]&gt;$AA$5),"Outlier","Normal")</f>
        <v>Normal</v>
      </c>
    </row>
    <row r="493" spans="1:24" x14ac:dyDescent="0.15">
      <c r="A493">
        <v>492</v>
      </c>
      <c r="B493" t="s">
        <v>20</v>
      </c>
      <c r="C493" t="s">
        <v>20</v>
      </c>
      <c r="D493" t="s">
        <v>22</v>
      </c>
      <c r="E493">
        <v>60420</v>
      </c>
      <c r="F493">
        <v>537</v>
      </c>
      <c r="G493">
        <v>30</v>
      </c>
      <c r="H493">
        <v>43</v>
      </c>
      <c r="I493" t="s">
        <v>20</v>
      </c>
      <c r="J493">
        <v>2</v>
      </c>
      <c r="K493">
        <v>1</v>
      </c>
      <c r="L493">
        <v>1</v>
      </c>
      <c r="M493">
        <v>0</v>
      </c>
      <c r="N493">
        <v>0</v>
      </c>
      <c r="O493">
        <v>0</v>
      </c>
      <c r="P493">
        <v>0</v>
      </c>
      <c r="Q493">
        <v>0</v>
      </c>
      <c r="R493">
        <v>4500</v>
      </c>
      <c r="S493">
        <v>4000</v>
      </c>
      <c r="T493">
        <v>0</v>
      </c>
      <c r="U493" t="str">
        <f>IF(SeismicData[[#This Row],[class]]=1,"Dangerous","Safe")</f>
        <v>Safe</v>
      </c>
      <c r="V493" t="str">
        <f>IF(SeismicData[[#This Row],[shift]]="W","Production","Non-Production")</f>
        <v>Production</v>
      </c>
      <c r="W493" t="str">
        <f>IF(SeismicData[[#This Row],[genergy]]=0,"0","10^"&amp;INT(LOG10(SeismicData[[#This Row],[genergy]])))</f>
        <v>10^4</v>
      </c>
      <c r="X493" t="str">
        <f>IF(OR(SeismicData[[#This Row],[genergy]]&lt;$AA$6,SeismicData[[#This Row],[genergy]]&gt;$AA$5),"Outlier","Normal")</f>
        <v>Normal</v>
      </c>
    </row>
    <row r="494" spans="1:24" x14ac:dyDescent="0.15">
      <c r="A494">
        <v>493</v>
      </c>
      <c r="B494" t="s">
        <v>20</v>
      </c>
      <c r="C494" t="s">
        <v>20</v>
      </c>
      <c r="D494" t="s">
        <v>22</v>
      </c>
      <c r="E494">
        <v>49430</v>
      </c>
      <c r="F494">
        <v>434</v>
      </c>
      <c r="G494">
        <v>1</v>
      </c>
      <c r="H494">
        <v>9</v>
      </c>
      <c r="I494" t="s">
        <v>20</v>
      </c>
      <c r="J494">
        <v>2</v>
      </c>
      <c r="K494">
        <v>2</v>
      </c>
      <c r="L494">
        <v>0</v>
      </c>
      <c r="M494">
        <v>0</v>
      </c>
      <c r="N494">
        <v>0</v>
      </c>
      <c r="O494">
        <v>0</v>
      </c>
      <c r="P494">
        <v>0</v>
      </c>
      <c r="Q494">
        <v>0</v>
      </c>
      <c r="R494">
        <v>1500</v>
      </c>
      <c r="S494">
        <v>800</v>
      </c>
      <c r="T494">
        <v>0</v>
      </c>
      <c r="U494" t="str">
        <f>IF(SeismicData[[#This Row],[class]]=1,"Dangerous","Safe")</f>
        <v>Safe</v>
      </c>
      <c r="V494" t="str">
        <f>IF(SeismicData[[#This Row],[shift]]="W","Production","Non-Production")</f>
        <v>Production</v>
      </c>
      <c r="W494" t="str">
        <f>IF(SeismicData[[#This Row],[genergy]]=0,"0","10^"&amp;INT(LOG10(SeismicData[[#This Row],[genergy]])))</f>
        <v>10^4</v>
      </c>
      <c r="X494" t="str">
        <f>IF(OR(SeismicData[[#This Row],[genergy]]&lt;$AA$6,SeismicData[[#This Row],[genergy]]&gt;$AA$5),"Outlier","Normal")</f>
        <v>Normal</v>
      </c>
    </row>
    <row r="495" spans="1:24" x14ac:dyDescent="0.15">
      <c r="A495">
        <v>494</v>
      </c>
      <c r="B495" t="s">
        <v>20</v>
      </c>
      <c r="C495" t="s">
        <v>20</v>
      </c>
      <c r="D495" t="s">
        <v>22</v>
      </c>
      <c r="E495">
        <v>20380</v>
      </c>
      <c r="F495">
        <v>162</v>
      </c>
      <c r="G495">
        <v>-58</v>
      </c>
      <c r="H495">
        <v>-59</v>
      </c>
      <c r="I495" t="s">
        <v>20</v>
      </c>
      <c r="J495">
        <v>2</v>
      </c>
      <c r="K495">
        <v>1</v>
      </c>
      <c r="L495">
        <v>1</v>
      </c>
      <c r="M495">
        <v>0</v>
      </c>
      <c r="N495">
        <v>0</v>
      </c>
      <c r="O495">
        <v>0</v>
      </c>
      <c r="P495">
        <v>0</v>
      </c>
      <c r="Q495">
        <v>0</v>
      </c>
      <c r="R495">
        <v>4700</v>
      </c>
      <c r="S495">
        <v>4000</v>
      </c>
      <c r="T495">
        <v>1</v>
      </c>
      <c r="U495" t="str">
        <f>IF(SeismicData[[#This Row],[class]]=1,"Dangerous","Safe")</f>
        <v>Dangerous</v>
      </c>
      <c r="V495" t="str">
        <f>IF(SeismicData[[#This Row],[shift]]="W","Production","Non-Production")</f>
        <v>Production</v>
      </c>
      <c r="W495" t="str">
        <f>IF(SeismicData[[#This Row],[genergy]]=0,"0","10^"&amp;INT(LOG10(SeismicData[[#This Row],[genergy]])))</f>
        <v>10^4</v>
      </c>
      <c r="X495" t="str">
        <f>IF(OR(SeismicData[[#This Row],[genergy]]&lt;$AA$6,SeismicData[[#This Row],[genergy]]&gt;$AA$5),"Outlier","Normal")</f>
        <v>Normal</v>
      </c>
    </row>
    <row r="496" spans="1:24" x14ac:dyDescent="0.15">
      <c r="A496">
        <v>495</v>
      </c>
      <c r="B496" t="s">
        <v>23</v>
      </c>
      <c r="C496" t="s">
        <v>20</v>
      </c>
      <c r="D496" t="s">
        <v>22</v>
      </c>
      <c r="E496">
        <v>87140</v>
      </c>
      <c r="F496">
        <v>680</v>
      </c>
      <c r="G496">
        <v>94</v>
      </c>
      <c r="H496">
        <v>83</v>
      </c>
      <c r="I496" t="s">
        <v>20</v>
      </c>
      <c r="J496">
        <v>4</v>
      </c>
      <c r="K496">
        <v>2</v>
      </c>
      <c r="L496">
        <v>1</v>
      </c>
      <c r="M496">
        <v>1</v>
      </c>
      <c r="N496">
        <v>0</v>
      </c>
      <c r="O496">
        <v>0</v>
      </c>
      <c r="P496">
        <v>0</v>
      </c>
      <c r="Q496">
        <v>0</v>
      </c>
      <c r="R496">
        <v>27100</v>
      </c>
      <c r="S496">
        <v>20000</v>
      </c>
      <c r="T496">
        <v>0</v>
      </c>
      <c r="U496" t="str">
        <f>IF(SeismicData[[#This Row],[class]]=1,"Dangerous","Safe")</f>
        <v>Safe</v>
      </c>
      <c r="V496" t="str">
        <f>IF(SeismicData[[#This Row],[shift]]="W","Production","Non-Production")</f>
        <v>Production</v>
      </c>
      <c r="W496" t="str">
        <f>IF(SeismicData[[#This Row],[genergy]]=0,"0","10^"&amp;INT(LOG10(SeismicData[[#This Row],[genergy]])))</f>
        <v>10^4</v>
      </c>
      <c r="X496" t="str">
        <f>IF(OR(SeismicData[[#This Row],[genergy]]&lt;$AA$6,SeismicData[[#This Row],[genergy]]&gt;$AA$5),"Outlier","Normal")</f>
        <v>Normal</v>
      </c>
    </row>
    <row r="497" spans="1:24" x14ac:dyDescent="0.15">
      <c r="A497">
        <v>496</v>
      </c>
      <c r="B497" t="s">
        <v>23</v>
      </c>
      <c r="C497" t="s">
        <v>20</v>
      </c>
      <c r="D497" t="s">
        <v>22</v>
      </c>
      <c r="E497">
        <v>24490</v>
      </c>
      <c r="F497">
        <v>237</v>
      </c>
      <c r="G497">
        <v>-51</v>
      </c>
      <c r="H497">
        <v>-42</v>
      </c>
      <c r="I497" t="s">
        <v>20</v>
      </c>
      <c r="J497">
        <v>3</v>
      </c>
      <c r="K497">
        <v>3</v>
      </c>
      <c r="L497">
        <v>0</v>
      </c>
      <c r="M497">
        <v>0</v>
      </c>
      <c r="N497">
        <v>0</v>
      </c>
      <c r="O497">
        <v>0</v>
      </c>
      <c r="P497">
        <v>0</v>
      </c>
      <c r="Q497">
        <v>0</v>
      </c>
      <c r="R497">
        <v>1000</v>
      </c>
      <c r="S497">
        <v>500</v>
      </c>
      <c r="T497">
        <v>0</v>
      </c>
      <c r="U497" t="str">
        <f>IF(SeismicData[[#This Row],[class]]=1,"Dangerous","Safe")</f>
        <v>Safe</v>
      </c>
      <c r="V497" t="str">
        <f>IF(SeismicData[[#This Row],[shift]]="W","Production","Non-Production")</f>
        <v>Production</v>
      </c>
      <c r="W497" t="str">
        <f>IF(SeismicData[[#This Row],[genergy]]=0,"0","10^"&amp;INT(LOG10(SeismicData[[#This Row],[genergy]])))</f>
        <v>10^4</v>
      </c>
      <c r="X497" t="str">
        <f>IF(OR(SeismicData[[#This Row],[genergy]]&lt;$AA$6,SeismicData[[#This Row],[genergy]]&gt;$AA$5),"Outlier","Normal")</f>
        <v>Normal</v>
      </c>
    </row>
    <row r="498" spans="1:24" x14ac:dyDescent="0.15">
      <c r="A498">
        <v>497</v>
      </c>
      <c r="B498" t="s">
        <v>23</v>
      </c>
      <c r="C498" t="s">
        <v>23</v>
      </c>
      <c r="D498" t="s">
        <v>21</v>
      </c>
      <c r="E498">
        <v>6140</v>
      </c>
      <c r="F498">
        <v>60</v>
      </c>
      <c r="G498">
        <v>-17</v>
      </c>
      <c r="H498">
        <v>23</v>
      </c>
      <c r="I498" t="s">
        <v>20</v>
      </c>
      <c r="J498">
        <v>1</v>
      </c>
      <c r="K498">
        <v>1</v>
      </c>
      <c r="L498">
        <v>0</v>
      </c>
      <c r="M498">
        <v>0</v>
      </c>
      <c r="N498">
        <v>0</v>
      </c>
      <c r="O498">
        <v>0</v>
      </c>
      <c r="P498">
        <v>0</v>
      </c>
      <c r="Q498">
        <v>0</v>
      </c>
      <c r="R498">
        <v>400</v>
      </c>
      <c r="S498">
        <v>400</v>
      </c>
      <c r="T498">
        <v>0</v>
      </c>
      <c r="U498" t="str">
        <f>IF(SeismicData[[#This Row],[class]]=1,"Dangerous","Safe")</f>
        <v>Safe</v>
      </c>
      <c r="V498" t="str">
        <f>IF(SeismicData[[#This Row],[shift]]="W","Production","Non-Production")</f>
        <v>Non-Production</v>
      </c>
      <c r="W498" t="str">
        <f>IF(SeismicData[[#This Row],[genergy]]=0,"0","10^"&amp;INT(LOG10(SeismicData[[#This Row],[genergy]])))</f>
        <v>10^3</v>
      </c>
      <c r="X498" t="str">
        <f>IF(OR(SeismicData[[#This Row],[genergy]]&lt;$AA$6,SeismicData[[#This Row],[genergy]]&gt;$AA$5),"Outlier","Normal")</f>
        <v>Normal</v>
      </c>
    </row>
    <row r="499" spans="1:24" x14ac:dyDescent="0.15">
      <c r="A499">
        <v>498</v>
      </c>
      <c r="B499" t="s">
        <v>20</v>
      </c>
      <c r="C499" t="s">
        <v>23</v>
      </c>
      <c r="D499" t="s">
        <v>21</v>
      </c>
      <c r="E499">
        <v>2190</v>
      </c>
      <c r="F499">
        <v>29</v>
      </c>
      <c r="G499">
        <v>-69</v>
      </c>
      <c r="H499">
        <v>-42</v>
      </c>
      <c r="I499" t="s">
        <v>20</v>
      </c>
      <c r="J499">
        <v>1</v>
      </c>
      <c r="K499">
        <v>1</v>
      </c>
      <c r="L499">
        <v>0</v>
      </c>
      <c r="M499">
        <v>0</v>
      </c>
      <c r="N499">
        <v>0</v>
      </c>
      <c r="O499">
        <v>0</v>
      </c>
      <c r="P499">
        <v>0</v>
      </c>
      <c r="Q499">
        <v>0</v>
      </c>
      <c r="R499">
        <v>200</v>
      </c>
      <c r="S499">
        <v>200</v>
      </c>
      <c r="T499">
        <v>0</v>
      </c>
      <c r="U499" t="str">
        <f>IF(SeismicData[[#This Row],[class]]=1,"Dangerous","Safe")</f>
        <v>Safe</v>
      </c>
      <c r="V499" t="str">
        <f>IF(SeismicData[[#This Row],[shift]]="W","Production","Non-Production")</f>
        <v>Non-Production</v>
      </c>
      <c r="W499" t="str">
        <f>IF(SeismicData[[#This Row],[genergy]]=0,"0","10^"&amp;INT(LOG10(SeismicData[[#This Row],[genergy]])))</f>
        <v>10^3</v>
      </c>
      <c r="X499" t="str">
        <f>IF(OR(SeismicData[[#This Row],[genergy]]&lt;$AA$6,SeismicData[[#This Row],[genergy]]&gt;$AA$5),"Outlier","Normal")</f>
        <v>Normal</v>
      </c>
    </row>
    <row r="500" spans="1:24" x14ac:dyDescent="0.15">
      <c r="A500">
        <v>499</v>
      </c>
      <c r="B500" t="s">
        <v>20</v>
      </c>
      <c r="C500" t="s">
        <v>23</v>
      </c>
      <c r="D500" t="s">
        <v>21</v>
      </c>
      <c r="E500">
        <v>3020</v>
      </c>
      <c r="F500">
        <v>29</v>
      </c>
      <c r="G500">
        <v>-53</v>
      </c>
      <c r="H500">
        <v>-40</v>
      </c>
      <c r="I500" t="s">
        <v>20</v>
      </c>
      <c r="J500">
        <v>0</v>
      </c>
      <c r="K500">
        <v>0</v>
      </c>
      <c r="L500">
        <v>0</v>
      </c>
      <c r="M500">
        <v>0</v>
      </c>
      <c r="N500">
        <v>0</v>
      </c>
      <c r="O500">
        <v>0</v>
      </c>
      <c r="P500">
        <v>0</v>
      </c>
      <c r="Q500">
        <v>0</v>
      </c>
      <c r="R500">
        <v>0</v>
      </c>
      <c r="S500">
        <v>0</v>
      </c>
      <c r="T500">
        <v>0</v>
      </c>
      <c r="U500" t="str">
        <f>IF(SeismicData[[#This Row],[class]]=1,"Dangerous","Safe")</f>
        <v>Safe</v>
      </c>
      <c r="V500" t="str">
        <f>IF(SeismicData[[#This Row],[shift]]="W","Production","Non-Production")</f>
        <v>Non-Production</v>
      </c>
      <c r="W500" t="str">
        <f>IF(SeismicData[[#This Row],[genergy]]=0,"0","10^"&amp;INT(LOG10(SeismicData[[#This Row],[genergy]])))</f>
        <v>10^3</v>
      </c>
      <c r="X500" t="str">
        <f>IF(OR(SeismicData[[#This Row],[genergy]]&lt;$AA$6,SeismicData[[#This Row],[genergy]]&gt;$AA$5),"Outlier","Normal")</f>
        <v>Normal</v>
      </c>
    </row>
    <row r="501" spans="1:24" x14ac:dyDescent="0.15">
      <c r="A501">
        <v>500</v>
      </c>
      <c r="B501" t="s">
        <v>20</v>
      </c>
      <c r="C501" t="s">
        <v>23</v>
      </c>
      <c r="D501" t="s">
        <v>21</v>
      </c>
      <c r="E501">
        <v>1630</v>
      </c>
      <c r="F501">
        <v>26</v>
      </c>
      <c r="G501">
        <v>-72</v>
      </c>
      <c r="H501">
        <v>-44</v>
      </c>
      <c r="I501" t="s">
        <v>20</v>
      </c>
      <c r="J501">
        <v>1</v>
      </c>
      <c r="K501">
        <v>1</v>
      </c>
      <c r="L501">
        <v>0</v>
      </c>
      <c r="M501">
        <v>0</v>
      </c>
      <c r="N501">
        <v>0</v>
      </c>
      <c r="O501">
        <v>0</v>
      </c>
      <c r="P501">
        <v>0</v>
      </c>
      <c r="Q501">
        <v>0</v>
      </c>
      <c r="R501">
        <v>800</v>
      </c>
      <c r="S501">
        <v>800</v>
      </c>
      <c r="T501">
        <v>0</v>
      </c>
      <c r="U501" t="str">
        <f>IF(SeismicData[[#This Row],[class]]=1,"Dangerous","Safe")</f>
        <v>Safe</v>
      </c>
      <c r="V501" t="str">
        <f>IF(SeismicData[[#This Row],[shift]]="W","Production","Non-Production")</f>
        <v>Non-Production</v>
      </c>
      <c r="W501" t="str">
        <f>IF(SeismicData[[#This Row],[genergy]]=0,"0","10^"&amp;INT(LOG10(SeismicData[[#This Row],[genergy]])))</f>
        <v>10^3</v>
      </c>
      <c r="X501" t="str">
        <f>IF(OR(SeismicData[[#This Row],[genergy]]&lt;$AA$6,SeismicData[[#This Row],[genergy]]&gt;$AA$5),"Outlier","Normal")</f>
        <v>Normal</v>
      </c>
    </row>
    <row r="502" spans="1:24" x14ac:dyDescent="0.15">
      <c r="A502">
        <v>501</v>
      </c>
      <c r="B502" t="s">
        <v>20</v>
      </c>
      <c r="C502" t="s">
        <v>23</v>
      </c>
      <c r="D502" t="s">
        <v>21</v>
      </c>
      <c r="E502">
        <v>2560</v>
      </c>
      <c r="F502">
        <v>38</v>
      </c>
      <c r="G502">
        <v>-49</v>
      </c>
      <c r="H502">
        <v>-14</v>
      </c>
      <c r="I502" t="s">
        <v>20</v>
      </c>
      <c r="J502">
        <v>2</v>
      </c>
      <c r="K502">
        <v>1</v>
      </c>
      <c r="L502">
        <v>1</v>
      </c>
      <c r="M502">
        <v>0</v>
      </c>
      <c r="N502">
        <v>0</v>
      </c>
      <c r="O502">
        <v>0</v>
      </c>
      <c r="P502">
        <v>0</v>
      </c>
      <c r="Q502">
        <v>0</v>
      </c>
      <c r="R502">
        <v>1300</v>
      </c>
      <c r="S502">
        <v>1000</v>
      </c>
      <c r="T502">
        <v>0</v>
      </c>
      <c r="U502" t="str">
        <f>IF(SeismicData[[#This Row],[class]]=1,"Dangerous","Safe")</f>
        <v>Safe</v>
      </c>
      <c r="V502" t="str">
        <f>IF(SeismicData[[#This Row],[shift]]="W","Production","Non-Production")</f>
        <v>Non-Production</v>
      </c>
      <c r="W502" t="str">
        <f>IF(SeismicData[[#This Row],[genergy]]=0,"0","10^"&amp;INT(LOG10(SeismicData[[#This Row],[genergy]])))</f>
        <v>10^3</v>
      </c>
      <c r="X502" t="str">
        <f>IF(OR(SeismicData[[#This Row],[genergy]]&lt;$AA$6,SeismicData[[#This Row],[genergy]]&gt;$AA$5),"Outlier","Normal")</f>
        <v>Normal</v>
      </c>
    </row>
    <row r="503" spans="1:24" x14ac:dyDescent="0.15">
      <c r="A503">
        <v>502</v>
      </c>
      <c r="B503" t="s">
        <v>20</v>
      </c>
      <c r="C503" t="s">
        <v>20</v>
      </c>
      <c r="D503" t="s">
        <v>21</v>
      </c>
      <c r="E503">
        <v>3510</v>
      </c>
      <c r="F503">
        <v>27</v>
      </c>
      <c r="G503">
        <v>-22</v>
      </c>
      <c r="H503">
        <v>-35</v>
      </c>
      <c r="I503" t="s">
        <v>20</v>
      </c>
      <c r="J503">
        <v>0</v>
      </c>
      <c r="K503">
        <v>0</v>
      </c>
      <c r="L503">
        <v>0</v>
      </c>
      <c r="M503">
        <v>0</v>
      </c>
      <c r="N503">
        <v>0</v>
      </c>
      <c r="O503">
        <v>0</v>
      </c>
      <c r="P503">
        <v>0</v>
      </c>
      <c r="Q503">
        <v>0</v>
      </c>
      <c r="R503">
        <v>0</v>
      </c>
      <c r="S503">
        <v>0</v>
      </c>
      <c r="T503">
        <v>0</v>
      </c>
      <c r="U503" t="str">
        <f>IF(SeismicData[[#This Row],[class]]=1,"Dangerous","Safe")</f>
        <v>Safe</v>
      </c>
      <c r="V503" t="str">
        <f>IF(SeismicData[[#This Row],[shift]]="W","Production","Non-Production")</f>
        <v>Non-Production</v>
      </c>
      <c r="W503" t="str">
        <f>IF(SeismicData[[#This Row],[genergy]]=0,"0","10^"&amp;INT(LOG10(SeismicData[[#This Row],[genergy]])))</f>
        <v>10^3</v>
      </c>
      <c r="X503" t="str">
        <f>IF(OR(SeismicData[[#This Row],[genergy]]&lt;$AA$6,SeismicData[[#This Row],[genergy]]&gt;$AA$5),"Outlier","Normal")</f>
        <v>Normal</v>
      </c>
    </row>
    <row r="504" spans="1:24" x14ac:dyDescent="0.15">
      <c r="A504">
        <v>503</v>
      </c>
      <c r="B504" t="s">
        <v>20</v>
      </c>
      <c r="C504" t="s">
        <v>20</v>
      </c>
      <c r="D504" t="s">
        <v>21</v>
      </c>
      <c r="E504">
        <v>7570</v>
      </c>
      <c r="F504">
        <v>69</v>
      </c>
      <c r="G504">
        <v>69</v>
      </c>
      <c r="H504">
        <v>67</v>
      </c>
      <c r="I504" t="s">
        <v>20</v>
      </c>
      <c r="J504">
        <v>1</v>
      </c>
      <c r="K504">
        <v>0</v>
      </c>
      <c r="L504">
        <v>1</v>
      </c>
      <c r="M504">
        <v>0</v>
      </c>
      <c r="N504">
        <v>0</v>
      </c>
      <c r="O504">
        <v>0</v>
      </c>
      <c r="P504">
        <v>0</v>
      </c>
      <c r="Q504">
        <v>0</v>
      </c>
      <c r="R504">
        <v>5000</v>
      </c>
      <c r="S504">
        <v>5000</v>
      </c>
      <c r="T504">
        <v>1</v>
      </c>
      <c r="U504" t="str">
        <f>IF(SeismicData[[#This Row],[class]]=1,"Dangerous","Safe")</f>
        <v>Dangerous</v>
      </c>
      <c r="V504" t="str">
        <f>IF(SeismicData[[#This Row],[shift]]="W","Production","Non-Production")</f>
        <v>Non-Production</v>
      </c>
      <c r="W504" t="str">
        <f>IF(SeismicData[[#This Row],[genergy]]=0,"0","10^"&amp;INT(LOG10(SeismicData[[#This Row],[genergy]])))</f>
        <v>10^3</v>
      </c>
      <c r="X504" t="str">
        <f>IF(OR(SeismicData[[#This Row],[genergy]]&lt;$AA$6,SeismicData[[#This Row],[genergy]]&gt;$AA$5),"Outlier","Normal")</f>
        <v>Normal</v>
      </c>
    </row>
    <row r="505" spans="1:24" x14ac:dyDescent="0.15">
      <c r="A505">
        <v>504</v>
      </c>
      <c r="B505" t="s">
        <v>23</v>
      </c>
      <c r="C505" t="s">
        <v>20</v>
      </c>
      <c r="D505" t="s">
        <v>22</v>
      </c>
      <c r="E505">
        <v>45330</v>
      </c>
      <c r="F505">
        <v>485</v>
      </c>
      <c r="G505">
        <v>-4</v>
      </c>
      <c r="H505">
        <v>25</v>
      </c>
      <c r="I505" t="s">
        <v>20</v>
      </c>
      <c r="J505">
        <v>3</v>
      </c>
      <c r="K505">
        <v>0</v>
      </c>
      <c r="L505">
        <v>2</v>
      </c>
      <c r="M505">
        <v>0</v>
      </c>
      <c r="N505">
        <v>1</v>
      </c>
      <c r="O505">
        <v>0</v>
      </c>
      <c r="P505">
        <v>0</v>
      </c>
      <c r="Q505">
        <v>0</v>
      </c>
      <c r="R505">
        <v>402000</v>
      </c>
      <c r="S505">
        <v>400000</v>
      </c>
      <c r="T505">
        <v>0</v>
      </c>
      <c r="U505" t="str">
        <f>IF(SeismicData[[#This Row],[class]]=1,"Dangerous","Safe")</f>
        <v>Safe</v>
      </c>
      <c r="V505" t="str">
        <f>IF(SeismicData[[#This Row],[shift]]="W","Production","Non-Production")</f>
        <v>Production</v>
      </c>
      <c r="W505" t="str">
        <f>IF(SeismicData[[#This Row],[genergy]]=0,"0","10^"&amp;INT(LOG10(SeismicData[[#This Row],[genergy]])))</f>
        <v>10^4</v>
      </c>
      <c r="X505" t="str">
        <f>IF(OR(SeismicData[[#This Row],[genergy]]&lt;$AA$6,SeismicData[[#This Row],[genergy]]&gt;$AA$5),"Outlier","Normal")</f>
        <v>Normal</v>
      </c>
    </row>
    <row r="506" spans="1:24" x14ac:dyDescent="0.15">
      <c r="A506">
        <v>505</v>
      </c>
      <c r="B506" t="s">
        <v>20</v>
      </c>
      <c r="C506" t="s">
        <v>23</v>
      </c>
      <c r="D506" t="s">
        <v>22</v>
      </c>
      <c r="E506">
        <v>32690</v>
      </c>
      <c r="F506">
        <v>380</v>
      </c>
      <c r="G506">
        <v>-31</v>
      </c>
      <c r="H506">
        <v>-5</v>
      </c>
      <c r="I506" t="s">
        <v>20</v>
      </c>
      <c r="J506">
        <v>2</v>
      </c>
      <c r="K506">
        <v>2</v>
      </c>
      <c r="L506">
        <v>0</v>
      </c>
      <c r="M506">
        <v>0</v>
      </c>
      <c r="N506">
        <v>0</v>
      </c>
      <c r="O506">
        <v>0</v>
      </c>
      <c r="P506">
        <v>0</v>
      </c>
      <c r="Q506">
        <v>0</v>
      </c>
      <c r="R506">
        <v>1100</v>
      </c>
      <c r="S506">
        <v>700</v>
      </c>
      <c r="T506">
        <v>1</v>
      </c>
      <c r="U506" t="str">
        <f>IF(SeismicData[[#This Row],[class]]=1,"Dangerous","Safe")</f>
        <v>Dangerous</v>
      </c>
      <c r="V506" t="str">
        <f>IF(SeismicData[[#This Row],[shift]]="W","Production","Non-Production")</f>
        <v>Production</v>
      </c>
      <c r="W506" t="str">
        <f>IF(SeismicData[[#This Row],[genergy]]=0,"0","10^"&amp;INT(LOG10(SeismicData[[#This Row],[genergy]])))</f>
        <v>10^4</v>
      </c>
      <c r="X506" t="str">
        <f>IF(OR(SeismicData[[#This Row],[genergy]]&lt;$AA$6,SeismicData[[#This Row],[genergy]]&gt;$AA$5),"Outlier","Normal")</f>
        <v>Normal</v>
      </c>
    </row>
    <row r="507" spans="1:24" x14ac:dyDescent="0.15">
      <c r="A507">
        <v>506</v>
      </c>
      <c r="B507" t="s">
        <v>20</v>
      </c>
      <c r="C507" t="s">
        <v>23</v>
      </c>
      <c r="D507" t="s">
        <v>22</v>
      </c>
      <c r="E507">
        <v>26800</v>
      </c>
      <c r="F507">
        <v>306</v>
      </c>
      <c r="G507">
        <v>-44</v>
      </c>
      <c r="H507">
        <v>-26</v>
      </c>
      <c r="I507" t="s">
        <v>20</v>
      </c>
      <c r="J507">
        <v>1</v>
      </c>
      <c r="K507">
        <v>0</v>
      </c>
      <c r="L507">
        <v>0</v>
      </c>
      <c r="M507">
        <v>1</v>
      </c>
      <c r="N507">
        <v>0</v>
      </c>
      <c r="O507">
        <v>0</v>
      </c>
      <c r="P507">
        <v>0</v>
      </c>
      <c r="Q507">
        <v>0</v>
      </c>
      <c r="R507">
        <v>10000</v>
      </c>
      <c r="S507">
        <v>10000</v>
      </c>
      <c r="T507">
        <v>0</v>
      </c>
      <c r="U507" t="str">
        <f>IF(SeismicData[[#This Row],[class]]=1,"Dangerous","Safe")</f>
        <v>Safe</v>
      </c>
      <c r="V507" t="str">
        <f>IF(SeismicData[[#This Row],[shift]]="W","Production","Non-Production")</f>
        <v>Production</v>
      </c>
      <c r="W507" t="str">
        <f>IF(SeismicData[[#This Row],[genergy]]=0,"0","10^"&amp;INT(LOG10(SeismicData[[#This Row],[genergy]])))</f>
        <v>10^4</v>
      </c>
      <c r="X507" t="str">
        <f>IF(OR(SeismicData[[#This Row],[genergy]]&lt;$AA$6,SeismicData[[#This Row],[genergy]]&gt;$AA$5),"Outlier","Normal")</f>
        <v>Normal</v>
      </c>
    </row>
    <row r="508" spans="1:24" x14ac:dyDescent="0.15">
      <c r="A508">
        <v>507</v>
      </c>
      <c r="B508" t="s">
        <v>20</v>
      </c>
      <c r="C508" t="s">
        <v>23</v>
      </c>
      <c r="D508" t="s">
        <v>22</v>
      </c>
      <c r="E508">
        <v>48250</v>
      </c>
      <c r="F508">
        <v>573</v>
      </c>
      <c r="G508">
        <v>9</v>
      </c>
      <c r="H508">
        <v>44</v>
      </c>
      <c r="I508" t="s">
        <v>20</v>
      </c>
      <c r="J508">
        <v>3</v>
      </c>
      <c r="K508">
        <v>1</v>
      </c>
      <c r="L508">
        <v>2</v>
      </c>
      <c r="M508">
        <v>0</v>
      </c>
      <c r="N508">
        <v>0</v>
      </c>
      <c r="O508">
        <v>0</v>
      </c>
      <c r="P508">
        <v>0</v>
      </c>
      <c r="Q508">
        <v>0</v>
      </c>
      <c r="R508">
        <v>12600</v>
      </c>
      <c r="S508">
        <v>8000</v>
      </c>
      <c r="T508">
        <v>0</v>
      </c>
      <c r="U508" t="str">
        <f>IF(SeismicData[[#This Row],[class]]=1,"Dangerous","Safe")</f>
        <v>Safe</v>
      </c>
      <c r="V508" t="str">
        <f>IF(SeismicData[[#This Row],[shift]]="W","Production","Non-Production")</f>
        <v>Production</v>
      </c>
      <c r="W508" t="str">
        <f>IF(SeismicData[[#This Row],[genergy]]=0,"0","10^"&amp;INT(LOG10(SeismicData[[#This Row],[genergy]])))</f>
        <v>10^4</v>
      </c>
      <c r="X508" t="str">
        <f>IF(OR(SeismicData[[#This Row],[genergy]]&lt;$AA$6,SeismicData[[#This Row],[genergy]]&gt;$AA$5),"Outlier","Normal")</f>
        <v>Normal</v>
      </c>
    </row>
    <row r="509" spans="1:24" x14ac:dyDescent="0.15">
      <c r="A509">
        <v>508</v>
      </c>
      <c r="B509" t="s">
        <v>20</v>
      </c>
      <c r="C509" t="s">
        <v>23</v>
      </c>
      <c r="D509" t="s">
        <v>21</v>
      </c>
      <c r="E509">
        <v>6790</v>
      </c>
      <c r="F509">
        <v>67</v>
      </c>
      <c r="G509">
        <v>34</v>
      </c>
      <c r="H509">
        <v>50</v>
      </c>
      <c r="I509" t="s">
        <v>20</v>
      </c>
      <c r="J509">
        <v>0</v>
      </c>
      <c r="K509">
        <v>0</v>
      </c>
      <c r="L509">
        <v>0</v>
      </c>
      <c r="M509">
        <v>0</v>
      </c>
      <c r="N509">
        <v>0</v>
      </c>
      <c r="O509">
        <v>0</v>
      </c>
      <c r="P509">
        <v>0</v>
      </c>
      <c r="Q509">
        <v>0</v>
      </c>
      <c r="R509">
        <v>0</v>
      </c>
      <c r="S509">
        <v>0</v>
      </c>
      <c r="T509">
        <v>0</v>
      </c>
      <c r="U509" t="str">
        <f>IF(SeismicData[[#This Row],[class]]=1,"Dangerous","Safe")</f>
        <v>Safe</v>
      </c>
      <c r="V509" t="str">
        <f>IF(SeismicData[[#This Row],[shift]]="W","Production","Non-Production")</f>
        <v>Non-Production</v>
      </c>
      <c r="W509" t="str">
        <f>IF(SeismicData[[#This Row],[genergy]]=0,"0","10^"&amp;INT(LOG10(SeismicData[[#This Row],[genergy]])))</f>
        <v>10^3</v>
      </c>
      <c r="X509" t="str">
        <f>IF(OR(SeismicData[[#This Row],[genergy]]&lt;$AA$6,SeismicData[[#This Row],[genergy]]&gt;$AA$5),"Outlier","Normal")</f>
        <v>Normal</v>
      </c>
    </row>
    <row r="510" spans="1:24" x14ac:dyDescent="0.15">
      <c r="A510">
        <v>509</v>
      </c>
      <c r="B510" t="s">
        <v>20</v>
      </c>
      <c r="C510" t="s">
        <v>23</v>
      </c>
      <c r="D510" t="s">
        <v>22</v>
      </c>
      <c r="E510">
        <v>27890</v>
      </c>
      <c r="F510">
        <v>276</v>
      </c>
      <c r="G510">
        <v>-72</v>
      </c>
      <c r="H510">
        <v>-72</v>
      </c>
      <c r="I510" t="s">
        <v>20</v>
      </c>
      <c r="J510">
        <v>6</v>
      </c>
      <c r="K510">
        <v>3</v>
      </c>
      <c r="L510">
        <v>3</v>
      </c>
      <c r="M510">
        <v>0</v>
      </c>
      <c r="N510">
        <v>0</v>
      </c>
      <c r="O510">
        <v>0</v>
      </c>
      <c r="P510">
        <v>0</v>
      </c>
      <c r="Q510">
        <v>0</v>
      </c>
      <c r="R510">
        <v>9800</v>
      </c>
      <c r="S510">
        <v>6000</v>
      </c>
      <c r="T510">
        <v>0</v>
      </c>
      <c r="U510" t="str">
        <f>IF(SeismicData[[#This Row],[class]]=1,"Dangerous","Safe")</f>
        <v>Safe</v>
      </c>
      <c r="V510" t="str">
        <f>IF(SeismicData[[#This Row],[shift]]="W","Production","Non-Production")</f>
        <v>Production</v>
      </c>
      <c r="W510" t="str">
        <f>IF(SeismicData[[#This Row],[genergy]]=0,"0","10^"&amp;INT(LOG10(SeismicData[[#This Row],[genergy]])))</f>
        <v>10^4</v>
      </c>
      <c r="X510" t="str">
        <f>IF(OR(SeismicData[[#This Row],[genergy]]&lt;$AA$6,SeismicData[[#This Row],[genergy]]&gt;$AA$5),"Outlier","Normal")</f>
        <v>Normal</v>
      </c>
    </row>
    <row r="511" spans="1:24" x14ac:dyDescent="0.15">
      <c r="A511">
        <v>510</v>
      </c>
      <c r="B511" t="s">
        <v>20</v>
      </c>
      <c r="C511" t="s">
        <v>23</v>
      </c>
      <c r="D511" t="s">
        <v>22</v>
      </c>
      <c r="E511">
        <v>54820</v>
      </c>
      <c r="F511">
        <v>585</v>
      </c>
      <c r="G511">
        <v>-41</v>
      </c>
      <c r="H511">
        <v>-37</v>
      </c>
      <c r="I511" t="s">
        <v>20</v>
      </c>
      <c r="J511">
        <v>3</v>
      </c>
      <c r="K511">
        <v>1</v>
      </c>
      <c r="L511">
        <v>2</v>
      </c>
      <c r="M511">
        <v>0</v>
      </c>
      <c r="N511">
        <v>0</v>
      </c>
      <c r="O511">
        <v>0</v>
      </c>
      <c r="P511">
        <v>0</v>
      </c>
      <c r="Q511">
        <v>0</v>
      </c>
      <c r="R511">
        <v>5600</v>
      </c>
      <c r="S511">
        <v>3000</v>
      </c>
      <c r="T511">
        <v>0</v>
      </c>
      <c r="U511" t="str">
        <f>IF(SeismicData[[#This Row],[class]]=1,"Dangerous","Safe")</f>
        <v>Safe</v>
      </c>
      <c r="V511" t="str">
        <f>IF(SeismicData[[#This Row],[shift]]="W","Production","Non-Production")</f>
        <v>Production</v>
      </c>
      <c r="W511" t="str">
        <f>IF(SeismicData[[#This Row],[genergy]]=0,"0","10^"&amp;INT(LOG10(SeismicData[[#This Row],[genergy]])))</f>
        <v>10^4</v>
      </c>
      <c r="X511" t="str">
        <f>IF(OR(SeismicData[[#This Row],[genergy]]&lt;$AA$6,SeismicData[[#This Row],[genergy]]&gt;$AA$5),"Outlier","Normal")</f>
        <v>Normal</v>
      </c>
    </row>
    <row r="512" spans="1:24" x14ac:dyDescent="0.15">
      <c r="A512">
        <v>511</v>
      </c>
      <c r="B512" t="s">
        <v>20</v>
      </c>
      <c r="C512" t="s">
        <v>23</v>
      </c>
      <c r="D512" t="s">
        <v>22</v>
      </c>
      <c r="E512">
        <v>37840</v>
      </c>
      <c r="F512">
        <v>468</v>
      </c>
      <c r="G512">
        <v>-57</v>
      </c>
      <c r="H512">
        <v>-47</v>
      </c>
      <c r="I512" t="s">
        <v>20</v>
      </c>
      <c r="J512">
        <v>2</v>
      </c>
      <c r="K512">
        <v>2</v>
      </c>
      <c r="L512">
        <v>0</v>
      </c>
      <c r="M512">
        <v>0</v>
      </c>
      <c r="N512">
        <v>0</v>
      </c>
      <c r="O512">
        <v>0</v>
      </c>
      <c r="P512">
        <v>0</v>
      </c>
      <c r="Q512">
        <v>0</v>
      </c>
      <c r="R512">
        <v>1200</v>
      </c>
      <c r="S512">
        <v>600</v>
      </c>
      <c r="T512">
        <v>0</v>
      </c>
      <c r="U512" t="str">
        <f>IF(SeismicData[[#This Row],[class]]=1,"Dangerous","Safe")</f>
        <v>Safe</v>
      </c>
      <c r="V512" t="str">
        <f>IF(SeismicData[[#This Row],[shift]]="W","Production","Non-Production")</f>
        <v>Production</v>
      </c>
      <c r="W512" t="str">
        <f>IF(SeismicData[[#This Row],[genergy]]=0,"0","10^"&amp;INT(LOG10(SeismicData[[#This Row],[genergy]])))</f>
        <v>10^4</v>
      </c>
      <c r="X512" t="str">
        <f>IF(OR(SeismicData[[#This Row],[genergy]]&lt;$AA$6,SeismicData[[#This Row],[genergy]]&gt;$AA$5),"Outlier","Normal")</f>
        <v>Normal</v>
      </c>
    </row>
    <row r="513" spans="1:24" x14ac:dyDescent="0.15">
      <c r="A513">
        <v>512</v>
      </c>
      <c r="B513" t="s">
        <v>20</v>
      </c>
      <c r="C513" t="s">
        <v>23</v>
      </c>
      <c r="D513" t="s">
        <v>22</v>
      </c>
      <c r="E513">
        <v>31510</v>
      </c>
      <c r="F513">
        <v>323</v>
      </c>
      <c r="G513">
        <v>-22</v>
      </c>
      <c r="H513">
        <v>-27</v>
      </c>
      <c r="I513" t="s">
        <v>20</v>
      </c>
      <c r="J513">
        <v>4</v>
      </c>
      <c r="K513">
        <v>3</v>
      </c>
      <c r="L513">
        <v>1</v>
      </c>
      <c r="M513">
        <v>0</v>
      </c>
      <c r="N513">
        <v>0</v>
      </c>
      <c r="O513">
        <v>0</v>
      </c>
      <c r="P513">
        <v>0</v>
      </c>
      <c r="Q513">
        <v>0</v>
      </c>
      <c r="R513">
        <v>2700</v>
      </c>
      <c r="S513">
        <v>2000</v>
      </c>
      <c r="T513">
        <v>0</v>
      </c>
      <c r="U513" t="str">
        <f>IF(SeismicData[[#This Row],[class]]=1,"Dangerous","Safe")</f>
        <v>Safe</v>
      </c>
      <c r="V513" t="str">
        <f>IF(SeismicData[[#This Row],[shift]]="W","Production","Non-Production")</f>
        <v>Production</v>
      </c>
      <c r="W513" t="str">
        <f>IF(SeismicData[[#This Row],[genergy]]=0,"0","10^"&amp;INT(LOG10(SeismicData[[#This Row],[genergy]])))</f>
        <v>10^4</v>
      </c>
      <c r="X513" t="str">
        <f>IF(OR(SeismicData[[#This Row],[genergy]]&lt;$AA$6,SeismicData[[#This Row],[genergy]]&gt;$AA$5),"Outlier","Normal")</f>
        <v>Normal</v>
      </c>
    </row>
    <row r="514" spans="1:24" x14ac:dyDescent="0.15">
      <c r="A514">
        <v>513</v>
      </c>
      <c r="B514" t="s">
        <v>20</v>
      </c>
      <c r="C514" t="s">
        <v>20</v>
      </c>
      <c r="D514" t="s">
        <v>22</v>
      </c>
      <c r="E514">
        <v>36400</v>
      </c>
      <c r="F514">
        <v>411</v>
      </c>
      <c r="G514">
        <v>-7</v>
      </c>
      <c r="H514">
        <v>-5</v>
      </c>
      <c r="I514" t="s">
        <v>20</v>
      </c>
      <c r="J514">
        <v>2</v>
      </c>
      <c r="K514">
        <v>1</v>
      </c>
      <c r="L514">
        <v>1</v>
      </c>
      <c r="M514">
        <v>0</v>
      </c>
      <c r="N514">
        <v>0</v>
      </c>
      <c r="O514">
        <v>0</v>
      </c>
      <c r="P514">
        <v>0</v>
      </c>
      <c r="Q514">
        <v>0</v>
      </c>
      <c r="R514">
        <v>8700</v>
      </c>
      <c r="S514">
        <v>8000</v>
      </c>
      <c r="T514">
        <v>0</v>
      </c>
      <c r="U514" t="str">
        <f>IF(SeismicData[[#This Row],[class]]=1,"Dangerous","Safe")</f>
        <v>Safe</v>
      </c>
      <c r="V514" t="str">
        <f>IF(SeismicData[[#This Row],[shift]]="W","Production","Non-Production")</f>
        <v>Production</v>
      </c>
      <c r="W514" t="str">
        <f>IF(SeismicData[[#This Row],[genergy]]=0,"0","10^"&amp;INT(LOG10(SeismicData[[#This Row],[genergy]])))</f>
        <v>10^4</v>
      </c>
      <c r="X514" t="str">
        <f>IF(OR(SeismicData[[#This Row],[genergy]]&lt;$AA$6,SeismicData[[#This Row],[genergy]]&gt;$AA$5),"Outlier","Normal")</f>
        <v>Normal</v>
      </c>
    </row>
    <row r="515" spans="1:24" x14ac:dyDescent="0.15">
      <c r="A515">
        <v>514</v>
      </c>
      <c r="B515" t="s">
        <v>20</v>
      </c>
      <c r="C515" t="s">
        <v>20</v>
      </c>
      <c r="D515" t="s">
        <v>21</v>
      </c>
      <c r="E515">
        <v>9470</v>
      </c>
      <c r="F515">
        <v>79</v>
      </c>
      <c r="G515">
        <v>-81</v>
      </c>
      <c r="H515">
        <v>-84</v>
      </c>
      <c r="I515" t="s">
        <v>20</v>
      </c>
      <c r="J515">
        <v>1</v>
      </c>
      <c r="K515">
        <v>0</v>
      </c>
      <c r="L515">
        <v>1</v>
      </c>
      <c r="M515">
        <v>0</v>
      </c>
      <c r="N515">
        <v>0</v>
      </c>
      <c r="O515">
        <v>0</v>
      </c>
      <c r="P515">
        <v>0</v>
      </c>
      <c r="Q515">
        <v>0</v>
      </c>
      <c r="R515">
        <v>2000</v>
      </c>
      <c r="S515">
        <v>2000</v>
      </c>
      <c r="T515">
        <v>0</v>
      </c>
      <c r="U515" t="str">
        <f>IF(SeismicData[[#This Row],[class]]=1,"Dangerous","Safe")</f>
        <v>Safe</v>
      </c>
      <c r="V515" t="str">
        <f>IF(SeismicData[[#This Row],[shift]]="W","Production","Non-Production")</f>
        <v>Non-Production</v>
      </c>
      <c r="W515" t="str">
        <f>IF(SeismicData[[#This Row],[genergy]]=0,"0","10^"&amp;INT(LOG10(SeismicData[[#This Row],[genergy]])))</f>
        <v>10^3</v>
      </c>
      <c r="X515" t="str">
        <f>IF(OR(SeismicData[[#This Row],[genergy]]&lt;$AA$6,SeismicData[[#This Row],[genergy]]&gt;$AA$5),"Outlier","Normal")</f>
        <v>Normal</v>
      </c>
    </row>
    <row r="516" spans="1:24" x14ac:dyDescent="0.15">
      <c r="A516">
        <v>515</v>
      </c>
      <c r="B516" t="s">
        <v>20</v>
      </c>
      <c r="C516" t="s">
        <v>20</v>
      </c>
      <c r="D516" t="s">
        <v>22</v>
      </c>
      <c r="E516">
        <v>29340</v>
      </c>
      <c r="F516">
        <v>294</v>
      </c>
      <c r="G516">
        <v>-25</v>
      </c>
      <c r="H516">
        <v>-31</v>
      </c>
      <c r="I516" t="s">
        <v>20</v>
      </c>
      <c r="J516">
        <v>3</v>
      </c>
      <c r="K516">
        <v>3</v>
      </c>
      <c r="L516">
        <v>0</v>
      </c>
      <c r="M516">
        <v>0</v>
      </c>
      <c r="N516">
        <v>0</v>
      </c>
      <c r="O516">
        <v>0</v>
      </c>
      <c r="P516">
        <v>0</v>
      </c>
      <c r="Q516">
        <v>0</v>
      </c>
      <c r="R516">
        <v>1400</v>
      </c>
      <c r="S516">
        <v>600</v>
      </c>
      <c r="T516">
        <v>0</v>
      </c>
      <c r="U516" t="str">
        <f>IF(SeismicData[[#This Row],[class]]=1,"Dangerous","Safe")</f>
        <v>Safe</v>
      </c>
      <c r="V516" t="str">
        <f>IF(SeismicData[[#This Row],[shift]]="W","Production","Non-Production")</f>
        <v>Production</v>
      </c>
      <c r="W516" t="str">
        <f>IF(SeismicData[[#This Row],[genergy]]=0,"0","10^"&amp;INT(LOG10(SeismicData[[#This Row],[genergy]])))</f>
        <v>10^4</v>
      </c>
      <c r="X516" t="str">
        <f>IF(OR(SeismicData[[#This Row],[genergy]]&lt;$AA$6,SeismicData[[#This Row],[genergy]]&gt;$AA$5),"Outlier","Normal")</f>
        <v>Normal</v>
      </c>
    </row>
    <row r="517" spans="1:24" x14ac:dyDescent="0.15">
      <c r="A517">
        <v>516</v>
      </c>
      <c r="B517" t="s">
        <v>20</v>
      </c>
      <c r="C517" t="s">
        <v>20</v>
      </c>
      <c r="D517" t="s">
        <v>22</v>
      </c>
      <c r="E517">
        <v>44960</v>
      </c>
      <c r="F517">
        <v>643</v>
      </c>
      <c r="G517">
        <v>19</v>
      </c>
      <c r="H517">
        <v>56</v>
      </c>
      <c r="I517" t="s">
        <v>20</v>
      </c>
      <c r="J517">
        <v>4</v>
      </c>
      <c r="K517">
        <v>1</v>
      </c>
      <c r="L517">
        <v>3</v>
      </c>
      <c r="M517">
        <v>0</v>
      </c>
      <c r="N517">
        <v>0</v>
      </c>
      <c r="O517">
        <v>0</v>
      </c>
      <c r="P517">
        <v>0</v>
      </c>
      <c r="Q517">
        <v>0</v>
      </c>
      <c r="R517">
        <v>14400</v>
      </c>
      <c r="S517">
        <v>9000</v>
      </c>
      <c r="T517">
        <v>0</v>
      </c>
      <c r="U517" t="str">
        <f>IF(SeismicData[[#This Row],[class]]=1,"Dangerous","Safe")</f>
        <v>Safe</v>
      </c>
      <c r="V517" t="str">
        <f>IF(SeismicData[[#This Row],[shift]]="W","Production","Non-Production")</f>
        <v>Production</v>
      </c>
      <c r="W517" t="str">
        <f>IF(SeismicData[[#This Row],[genergy]]=0,"0","10^"&amp;INT(LOG10(SeismicData[[#This Row],[genergy]])))</f>
        <v>10^4</v>
      </c>
      <c r="X517" t="str">
        <f>IF(OR(SeismicData[[#This Row],[genergy]]&lt;$AA$6,SeismicData[[#This Row],[genergy]]&gt;$AA$5),"Outlier","Normal")</f>
        <v>Normal</v>
      </c>
    </row>
    <row r="518" spans="1:24" x14ac:dyDescent="0.15">
      <c r="A518">
        <v>517</v>
      </c>
      <c r="B518" t="s">
        <v>20</v>
      </c>
      <c r="C518" t="s">
        <v>20</v>
      </c>
      <c r="D518" t="s">
        <v>22</v>
      </c>
      <c r="E518">
        <v>28500</v>
      </c>
      <c r="F518">
        <v>337</v>
      </c>
      <c r="G518">
        <v>-26</v>
      </c>
      <c r="H518">
        <v>-22</v>
      </c>
      <c r="I518" t="s">
        <v>20</v>
      </c>
      <c r="J518">
        <v>1</v>
      </c>
      <c r="K518">
        <v>1</v>
      </c>
      <c r="L518">
        <v>0</v>
      </c>
      <c r="M518">
        <v>0</v>
      </c>
      <c r="N518">
        <v>0</v>
      </c>
      <c r="O518">
        <v>0</v>
      </c>
      <c r="P518">
        <v>0</v>
      </c>
      <c r="Q518">
        <v>0</v>
      </c>
      <c r="R518">
        <v>400</v>
      </c>
      <c r="S518">
        <v>400</v>
      </c>
      <c r="T518">
        <v>0</v>
      </c>
      <c r="U518" t="str">
        <f>IF(SeismicData[[#This Row],[class]]=1,"Dangerous","Safe")</f>
        <v>Safe</v>
      </c>
      <c r="V518" t="str">
        <f>IF(SeismicData[[#This Row],[shift]]="W","Production","Non-Production")</f>
        <v>Production</v>
      </c>
      <c r="W518" t="str">
        <f>IF(SeismicData[[#This Row],[genergy]]=0,"0","10^"&amp;INT(LOG10(SeismicData[[#This Row],[genergy]])))</f>
        <v>10^4</v>
      </c>
      <c r="X518" t="str">
        <f>IF(OR(SeismicData[[#This Row],[genergy]]&lt;$AA$6,SeismicData[[#This Row],[genergy]]&gt;$AA$5),"Outlier","Normal")</f>
        <v>Normal</v>
      </c>
    </row>
    <row r="519" spans="1:24" x14ac:dyDescent="0.15">
      <c r="A519">
        <v>518</v>
      </c>
      <c r="B519" t="s">
        <v>20</v>
      </c>
      <c r="C519" t="s">
        <v>20</v>
      </c>
      <c r="D519" t="s">
        <v>22</v>
      </c>
      <c r="E519">
        <v>31250</v>
      </c>
      <c r="F519">
        <v>430</v>
      </c>
      <c r="G519">
        <v>-16</v>
      </c>
      <c r="H519">
        <v>2</v>
      </c>
      <c r="I519" t="s">
        <v>20</v>
      </c>
      <c r="J519">
        <v>3</v>
      </c>
      <c r="K519">
        <v>0</v>
      </c>
      <c r="L519">
        <v>3</v>
      </c>
      <c r="M519">
        <v>0</v>
      </c>
      <c r="N519">
        <v>0</v>
      </c>
      <c r="O519">
        <v>0</v>
      </c>
      <c r="P519">
        <v>0</v>
      </c>
      <c r="Q519">
        <v>0</v>
      </c>
      <c r="R519">
        <v>4000</v>
      </c>
      <c r="S519">
        <v>2000</v>
      </c>
      <c r="T519">
        <v>1</v>
      </c>
      <c r="U519" t="str">
        <f>IF(SeismicData[[#This Row],[class]]=1,"Dangerous","Safe")</f>
        <v>Dangerous</v>
      </c>
      <c r="V519" t="str">
        <f>IF(SeismicData[[#This Row],[shift]]="W","Production","Non-Production")</f>
        <v>Production</v>
      </c>
      <c r="W519" t="str">
        <f>IF(SeismicData[[#This Row],[genergy]]=0,"0","10^"&amp;INT(LOG10(SeismicData[[#This Row],[genergy]])))</f>
        <v>10^4</v>
      </c>
      <c r="X519" t="str">
        <f>IF(OR(SeismicData[[#This Row],[genergy]]&lt;$AA$6,SeismicData[[#This Row],[genergy]]&gt;$AA$5),"Outlier","Normal")</f>
        <v>Normal</v>
      </c>
    </row>
    <row r="520" spans="1:24" x14ac:dyDescent="0.15">
      <c r="A520">
        <v>519</v>
      </c>
      <c r="B520" t="s">
        <v>23</v>
      </c>
      <c r="C520" t="s">
        <v>20</v>
      </c>
      <c r="D520" t="s">
        <v>22</v>
      </c>
      <c r="E520">
        <v>33760</v>
      </c>
      <c r="F520">
        <v>568</v>
      </c>
      <c r="G520">
        <v>-7</v>
      </c>
      <c r="H520">
        <v>35</v>
      </c>
      <c r="I520" t="s">
        <v>20</v>
      </c>
      <c r="J520">
        <v>3</v>
      </c>
      <c r="K520">
        <v>1</v>
      </c>
      <c r="L520">
        <v>1</v>
      </c>
      <c r="M520">
        <v>1</v>
      </c>
      <c r="N520">
        <v>0</v>
      </c>
      <c r="O520">
        <v>0</v>
      </c>
      <c r="P520">
        <v>0</v>
      </c>
      <c r="Q520">
        <v>0</v>
      </c>
      <c r="R520">
        <v>81500</v>
      </c>
      <c r="S520">
        <v>80000</v>
      </c>
      <c r="T520">
        <v>0</v>
      </c>
      <c r="U520" t="str">
        <f>IF(SeismicData[[#This Row],[class]]=1,"Dangerous","Safe")</f>
        <v>Safe</v>
      </c>
      <c r="V520" t="str">
        <f>IF(SeismicData[[#This Row],[shift]]="W","Production","Non-Production")</f>
        <v>Production</v>
      </c>
      <c r="W520" t="str">
        <f>IF(SeismicData[[#This Row],[genergy]]=0,"0","10^"&amp;INT(LOG10(SeismicData[[#This Row],[genergy]])))</f>
        <v>10^4</v>
      </c>
      <c r="X520" t="str">
        <f>IF(OR(SeismicData[[#This Row],[genergy]]&lt;$AA$6,SeismicData[[#This Row],[genergy]]&gt;$AA$5),"Outlier","Normal")</f>
        <v>Normal</v>
      </c>
    </row>
    <row r="521" spans="1:24" x14ac:dyDescent="0.15">
      <c r="A521">
        <v>520</v>
      </c>
      <c r="B521" t="s">
        <v>23</v>
      </c>
      <c r="C521" t="s">
        <v>20</v>
      </c>
      <c r="D521" t="s">
        <v>22</v>
      </c>
      <c r="E521">
        <v>25400</v>
      </c>
      <c r="F521">
        <v>398</v>
      </c>
      <c r="G521">
        <v>-29</v>
      </c>
      <c r="H521">
        <v>-8</v>
      </c>
      <c r="I521" t="s">
        <v>20</v>
      </c>
      <c r="J521">
        <v>2</v>
      </c>
      <c r="K521">
        <v>0</v>
      </c>
      <c r="L521">
        <v>2</v>
      </c>
      <c r="M521">
        <v>0</v>
      </c>
      <c r="N521">
        <v>0</v>
      </c>
      <c r="O521">
        <v>0</v>
      </c>
      <c r="P521">
        <v>0</v>
      </c>
      <c r="Q521">
        <v>0</v>
      </c>
      <c r="R521">
        <v>6000</v>
      </c>
      <c r="S521">
        <v>4000</v>
      </c>
      <c r="T521">
        <v>0</v>
      </c>
      <c r="U521" t="str">
        <f>IF(SeismicData[[#This Row],[class]]=1,"Dangerous","Safe")</f>
        <v>Safe</v>
      </c>
      <c r="V521" t="str">
        <f>IF(SeismicData[[#This Row],[shift]]="W","Production","Non-Production")</f>
        <v>Production</v>
      </c>
      <c r="W521" t="str">
        <f>IF(SeismicData[[#This Row],[genergy]]=0,"0","10^"&amp;INT(LOG10(SeismicData[[#This Row],[genergy]])))</f>
        <v>10^4</v>
      </c>
      <c r="X521" t="str">
        <f>IF(OR(SeismicData[[#This Row],[genergy]]&lt;$AA$6,SeismicData[[#This Row],[genergy]]&gt;$AA$5),"Outlier","Normal")</f>
        <v>Normal</v>
      </c>
    </row>
    <row r="522" spans="1:24" x14ac:dyDescent="0.15">
      <c r="A522">
        <v>521</v>
      </c>
      <c r="B522" t="s">
        <v>23</v>
      </c>
      <c r="C522" t="s">
        <v>20</v>
      </c>
      <c r="D522" t="s">
        <v>22</v>
      </c>
      <c r="E522">
        <v>32500</v>
      </c>
      <c r="F522">
        <v>474</v>
      </c>
      <c r="G522">
        <v>-5</v>
      </c>
      <c r="H522">
        <v>10</v>
      </c>
      <c r="I522" t="s">
        <v>20</v>
      </c>
      <c r="J522">
        <v>1</v>
      </c>
      <c r="K522">
        <v>1</v>
      </c>
      <c r="L522">
        <v>0</v>
      </c>
      <c r="M522">
        <v>0</v>
      </c>
      <c r="N522">
        <v>0</v>
      </c>
      <c r="O522">
        <v>0</v>
      </c>
      <c r="P522">
        <v>0</v>
      </c>
      <c r="Q522">
        <v>0</v>
      </c>
      <c r="R522">
        <v>700</v>
      </c>
      <c r="S522">
        <v>700</v>
      </c>
      <c r="T522">
        <v>0</v>
      </c>
      <c r="U522" t="str">
        <f>IF(SeismicData[[#This Row],[class]]=1,"Dangerous","Safe")</f>
        <v>Safe</v>
      </c>
      <c r="V522" t="str">
        <f>IF(SeismicData[[#This Row],[shift]]="W","Production","Non-Production")</f>
        <v>Production</v>
      </c>
      <c r="W522" t="str">
        <f>IF(SeismicData[[#This Row],[genergy]]=0,"0","10^"&amp;INT(LOG10(SeismicData[[#This Row],[genergy]])))</f>
        <v>10^4</v>
      </c>
      <c r="X522" t="str">
        <f>IF(OR(SeismicData[[#This Row],[genergy]]&lt;$AA$6,SeismicData[[#This Row],[genergy]]&gt;$AA$5),"Outlier","Normal")</f>
        <v>Normal</v>
      </c>
    </row>
    <row r="523" spans="1:24" x14ac:dyDescent="0.15">
      <c r="A523">
        <v>522</v>
      </c>
      <c r="B523" t="s">
        <v>20</v>
      </c>
      <c r="C523" t="s">
        <v>23</v>
      </c>
      <c r="D523" t="s">
        <v>21</v>
      </c>
      <c r="E523">
        <v>12580</v>
      </c>
      <c r="F523">
        <v>120</v>
      </c>
      <c r="G523">
        <v>-73</v>
      </c>
      <c r="H523">
        <v>-74</v>
      </c>
      <c r="I523" t="s">
        <v>20</v>
      </c>
      <c r="J523">
        <v>1</v>
      </c>
      <c r="K523">
        <v>1</v>
      </c>
      <c r="L523">
        <v>0</v>
      </c>
      <c r="M523">
        <v>0</v>
      </c>
      <c r="N523">
        <v>0</v>
      </c>
      <c r="O523">
        <v>0</v>
      </c>
      <c r="P523">
        <v>0</v>
      </c>
      <c r="Q523">
        <v>0</v>
      </c>
      <c r="R523">
        <v>600</v>
      </c>
      <c r="S523">
        <v>600</v>
      </c>
      <c r="T523">
        <v>0</v>
      </c>
      <c r="U523" t="str">
        <f>IF(SeismicData[[#This Row],[class]]=1,"Dangerous","Safe")</f>
        <v>Safe</v>
      </c>
      <c r="V523" t="str">
        <f>IF(SeismicData[[#This Row],[shift]]="W","Production","Non-Production")</f>
        <v>Non-Production</v>
      </c>
      <c r="W523" t="str">
        <f>IF(SeismicData[[#This Row],[genergy]]=0,"0","10^"&amp;INT(LOG10(SeismicData[[#This Row],[genergy]])))</f>
        <v>10^4</v>
      </c>
      <c r="X523" t="str">
        <f>IF(OR(SeismicData[[#This Row],[genergy]]&lt;$AA$6,SeismicData[[#This Row],[genergy]]&gt;$AA$5),"Outlier","Normal")</f>
        <v>Normal</v>
      </c>
    </row>
    <row r="524" spans="1:24" x14ac:dyDescent="0.15">
      <c r="A524">
        <v>523</v>
      </c>
      <c r="B524" t="s">
        <v>20</v>
      </c>
      <c r="C524" t="s">
        <v>23</v>
      </c>
      <c r="D524" t="s">
        <v>21</v>
      </c>
      <c r="E524">
        <v>8060</v>
      </c>
      <c r="F524">
        <v>57</v>
      </c>
      <c r="G524">
        <v>-81</v>
      </c>
      <c r="H524">
        <v>-86</v>
      </c>
      <c r="I524" t="s">
        <v>20</v>
      </c>
      <c r="J524">
        <v>1</v>
      </c>
      <c r="K524">
        <v>0</v>
      </c>
      <c r="L524">
        <v>1</v>
      </c>
      <c r="M524">
        <v>0</v>
      </c>
      <c r="N524">
        <v>0</v>
      </c>
      <c r="O524">
        <v>0</v>
      </c>
      <c r="P524">
        <v>0</v>
      </c>
      <c r="Q524">
        <v>0</v>
      </c>
      <c r="R524">
        <v>3000</v>
      </c>
      <c r="S524">
        <v>3000</v>
      </c>
      <c r="T524">
        <v>0</v>
      </c>
      <c r="U524" t="str">
        <f>IF(SeismicData[[#This Row],[class]]=1,"Dangerous","Safe")</f>
        <v>Safe</v>
      </c>
      <c r="V524" t="str">
        <f>IF(SeismicData[[#This Row],[shift]]="W","Production","Non-Production")</f>
        <v>Non-Production</v>
      </c>
      <c r="W524" t="str">
        <f>IF(SeismicData[[#This Row],[genergy]]=0,"0","10^"&amp;INT(LOG10(SeismicData[[#This Row],[genergy]])))</f>
        <v>10^3</v>
      </c>
      <c r="X524" t="str">
        <f>IF(OR(SeismicData[[#This Row],[genergy]]&lt;$AA$6,SeismicData[[#This Row],[genergy]]&gt;$AA$5),"Outlier","Normal")</f>
        <v>Normal</v>
      </c>
    </row>
    <row r="525" spans="1:24" x14ac:dyDescent="0.15">
      <c r="A525">
        <v>524</v>
      </c>
      <c r="B525" t="s">
        <v>20</v>
      </c>
      <c r="C525" t="s">
        <v>23</v>
      </c>
      <c r="D525" t="s">
        <v>22</v>
      </c>
      <c r="E525">
        <v>20160</v>
      </c>
      <c r="F525">
        <v>262</v>
      </c>
      <c r="G525">
        <v>-40</v>
      </c>
      <c r="H525">
        <v>-39</v>
      </c>
      <c r="I525" t="s">
        <v>20</v>
      </c>
      <c r="J525">
        <v>3</v>
      </c>
      <c r="K525">
        <v>3</v>
      </c>
      <c r="L525">
        <v>0</v>
      </c>
      <c r="M525">
        <v>0</v>
      </c>
      <c r="N525">
        <v>0</v>
      </c>
      <c r="O525">
        <v>0</v>
      </c>
      <c r="P525">
        <v>0</v>
      </c>
      <c r="Q525">
        <v>0</v>
      </c>
      <c r="R525">
        <v>1600</v>
      </c>
      <c r="S525">
        <v>800</v>
      </c>
      <c r="T525">
        <v>0</v>
      </c>
      <c r="U525" t="str">
        <f>IF(SeismicData[[#This Row],[class]]=1,"Dangerous","Safe")</f>
        <v>Safe</v>
      </c>
      <c r="V525" t="str">
        <f>IF(SeismicData[[#This Row],[shift]]="W","Production","Non-Production")</f>
        <v>Production</v>
      </c>
      <c r="W525" t="str">
        <f>IF(SeismicData[[#This Row],[genergy]]=0,"0","10^"&amp;INT(LOG10(SeismicData[[#This Row],[genergy]])))</f>
        <v>10^4</v>
      </c>
      <c r="X525" t="str">
        <f>IF(OR(SeismicData[[#This Row],[genergy]]&lt;$AA$6,SeismicData[[#This Row],[genergy]]&gt;$AA$5),"Outlier","Normal")</f>
        <v>Normal</v>
      </c>
    </row>
    <row r="526" spans="1:24" x14ac:dyDescent="0.15">
      <c r="A526">
        <v>525</v>
      </c>
      <c r="B526" t="s">
        <v>20</v>
      </c>
      <c r="C526" t="s">
        <v>20</v>
      </c>
      <c r="D526" t="s">
        <v>22</v>
      </c>
      <c r="E526">
        <v>36020</v>
      </c>
      <c r="F526">
        <v>487</v>
      </c>
      <c r="G526">
        <v>15</v>
      </c>
      <c r="H526">
        <v>18</v>
      </c>
      <c r="I526" t="s">
        <v>20</v>
      </c>
      <c r="J526">
        <v>1</v>
      </c>
      <c r="K526">
        <v>1</v>
      </c>
      <c r="L526">
        <v>0</v>
      </c>
      <c r="M526">
        <v>0</v>
      </c>
      <c r="N526">
        <v>0</v>
      </c>
      <c r="O526">
        <v>0</v>
      </c>
      <c r="P526">
        <v>0</v>
      </c>
      <c r="Q526">
        <v>0</v>
      </c>
      <c r="R526">
        <v>400</v>
      </c>
      <c r="S526">
        <v>400</v>
      </c>
      <c r="T526">
        <v>0</v>
      </c>
      <c r="U526" t="str">
        <f>IF(SeismicData[[#This Row],[class]]=1,"Dangerous","Safe")</f>
        <v>Safe</v>
      </c>
      <c r="V526" t="str">
        <f>IF(SeismicData[[#This Row],[shift]]="W","Production","Non-Production")</f>
        <v>Production</v>
      </c>
      <c r="W526" t="str">
        <f>IF(SeismicData[[#This Row],[genergy]]=0,"0","10^"&amp;INT(LOG10(SeismicData[[#This Row],[genergy]])))</f>
        <v>10^4</v>
      </c>
      <c r="X526" t="str">
        <f>IF(OR(SeismicData[[#This Row],[genergy]]&lt;$AA$6,SeismicData[[#This Row],[genergy]]&gt;$AA$5),"Outlier","Normal")</f>
        <v>Normal</v>
      </c>
    </row>
    <row r="527" spans="1:24" x14ac:dyDescent="0.15">
      <c r="A527">
        <v>526</v>
      </c>
      <c r="B527" t="s">
        <v>20</v>
      </c>
      <c r="C527" t="s">
        <v>20</v>
      </c>
      <c r="D527" t="s">
        <v>22</v>
      </c>
      <c r="E527">
        <v>26550</v>
      </c>
      <c r="F527">
        <v>330</v>
      </c>
      <c r="G527">
        <v>-17</v>
      </c>
      <c r="H527">
        <v>-23</v>
      </c>
      <c r="I527" t="s">
        <v>20</v>
      </c>
      <c r="J527">
        <v>2</v>
      </c>
      <c r="K527">
        <v>1</v>
      </c>
      <c r="L527">
        <v>1</v>
      </c>
      <c r="M527">
        <v>0</v>
      </c>
      <c r="N527">
        <v>0</v>
      </c>
      <c r="O527">
        <v>0</v>
      </c>
      <c r="P527">
        <v>0</v>
      </c>
      <c r="Q527">
        <v>0</v>
      </c>
      <c r="R527">
        <v>1700</v>
      </c>
      <c r="S527">
        <v>1000</v>
      </c>
      <c r="T527">
        <v>0</v>
      </c>
      <c r="U527" t="str">
        <f>IF(SeismicData[[#This Row],[class]]=1,"Dangerous","Safe")</f>
        <v>Safe</v>
      </c>
      <c r="V527" t="str">
        <f>IF(SeismicData[[#This Row],[shift]]="W","Production","Non-Production")</f>
        <v>Production</v>
      </c>
      <c r="W527" t="str">
        <f>IF(SeismicData[[#This Row],[genergy]]=0,"0","10^"&amp;INT(LOG10(SeismicData[[#This Row],[genergy]])))</f>
        <v>10^4</v>
      </c>
      <c r="X527" t="str">
        <f>IF(OR(SeismicData[[#This Row],[genergy]]&lt;$AA$6,SeismicData[[#This Row],[genergy]]&gt;$AA$5),"Outlier","Normal")</f>
        <v>Normal</v>
      </c>
    </row>
    <row r="528" spans="1:24" x14ac:dyDescent="0.15">
      <c r="A528">
        <v>527</v>
      </c>
      <c r="B528" t="s">
        <v>20</v>
      </c>
      <c r="C528" t="s">
        <v>20</v>
      </c>
      <c r="D528" t="s">
        <v>22</v>
      </c>
      <c r="E528">
        <v>15460</v>
      </c>
      <c r="F528">
        <v>208</v>
      </c>
      <c r="G528">
        <v>-50</v>
      </c>
      <c r="H528">
        <v>-51</v>
      </c>
      <c r="I528" t="s">
        <v>20</v>
      </c>
      <c r="J528">
        <v>1</v>
      </c>
      <c r="K528">
        <v>0</v>
      </c>
      <c r="L528">
        <v>1</v>
      </c>
      <c r="M528">
        <v>0</v>
      </c>
      <c r="N528">
        <v>0</v>
      </c>
      <c r="O528">
        <v>0</v>
      </c>
      <c r="P528">
        <v>0</v>
      </c>
      <c r="Q528">
        <v>0</v>
      </c>
      <c r="R528">
        <v>4000</v>
      </c>
      <c r="S528">
        <v>4000</v>
      </c>
      <c r="T528">
        <v>0</v>
      </c>
      <c r="U528" t="str">
        <f>IF(SeismicData[[#This Row],[class]]=1,"Dangerous","Safe")</f>
        <v>Safe</v>
      </c>
      <c r="V528" t="str">
        <f>IF(SeismicData[[#This Row],[shift]]="W","Production","Non-Production")</f>
        <v>Production</v>
      </c>
      <c r="W528" t="str">
        <f>IF(SeismicData[[#This Row],[genergy]]=0,"0","10^"&amp;INT(LOG10(SeismicData[[#This Row],[genergy]])))</f>
        <v>10^4</v>
      </c>
      <c r="X528" t="str">
        <f>IF(OR(SeismicData[[#This Row],[genergy]]&lt;$AA$6,SeismicData[[#This Row],[genergy]]&gt;$AA$5),"Outlier","Normal")</f>
        <v>Normal</v>
      </c>
    </row>
    <row r="529" spans="1:24" x14ac:dyDescent="0.15">
      <c r="A529">
        <v>528</v>
      </c>
      <c r="B529" t="s">
        <v>20</v>
      </c>
      <c r="C529" t="s">
        <v>20</v>
      </c>
      <c r="D529" t="s">
        <v>22</v>
      </c>
      <c r="E529">
        <v>23630</v>
      </c>
      <c r="F529">
        <v>294</v>
      </c>
      <c r="G529">
        <v>-20</v>
      </c>
      <c r="H529">
        <v>-29</v>
      </c>
      <c r="I529" t="s">
        <v>20</v>
      </c>
      <c r="J529">
        <v>3</v>
      </c>
      <c r="K529">
        <v>3</v>
      </c>
      <c r="L529">
        <v>0</v>
      </c>
      <c r="M529">
        <v>0</v>
      </c>
      <c r="N529">
        <v>0</v>
      </c>
      <c r="O529">
        <v>0</v>
      </c>
      <c r="P529">
        <v>0</v>
      </c>
      <c r="Q529">
        <v>0</v>
      </c>
      <c r="R529">
        <v>1800</v>
      </c>
      <c r="S529">
        <v>900</v>
      </c>
      <c r="T529">
        <v>0</v>
      </c>
      <c r="U529" t="str">
        <f>IF(SeismicData[[#This Row],[class]]=1,"Dangerous","Safe")</f>
        <v>Safe</v>
      </c>
      <c r="V529" t="str">
        <f>IF(SeismicData[[#This Row],[shift]]="W","Production","Non-Production")</f>
        <v>Production</v>
      </c>
      <c r="W529" t="str">
        <f>IF(SeismicData[[#This Row],[genergy]]=0,"0","10^"&amp;INT(LOG10(SeismicData[[#This Row],[genergy]])))</f>
        <v>10^4</v>
      </c>
      <c r="X529" t="str">
        <f>IF(OR(SeismicData[[#This Row],[genergy]]&lt;$AA$6,SeismicData[[#This Row],[genergy]]&gt;$AA$5),"Outlier","Normal")</f>
        <v>Normal</v>
      </c>
    </row>
    <row r="530" spans="1:24" x14ac:dyDescent="0.15">
      <c r="A530">
        <v>529</v>
      </c>
      <c r="B530" t="s">
        <v>20</v>
      </c>
      <c r="C530" t="s">
        <v>20</v>
      </c>
      <c r="D530" t="s">
        <v>22</v>
      </c>
      <c r="E530">
        <v>32130</v>
      </c>
      <c r="F530">
        <v>427</v>
      </c>
      <c r="G530">
        <v>18</v>
      </c>
      <c r="H530">
        <v>13</v>
      </c>
      <c r="I530" t="s">
        <v>20</v>
      </c>
      <c r="J530">
        <v>0</v>
      </c>
      <c r="K530">
        <v>0</v>
      </c>
      <c r="L530">
        <v>0</v>
      </c>
      <c r="M530">
        <v>0</v>
      </c>
      <c r="N530">
        <v>0</v>
      </c>
      <c r="O530">
        <v>0</v>
      </c>
      <c r="P530">
        <v>0</v>
      </c>
      <c r="Q530">
        <v>0</v>
      </c>
      <c r="R530">
        <v>0</v>
      </c>
      <c r="S530">
        <v>0</v>
      </c>
      <c r="T530">
        <v>0</v>
      </c>
      <c r="U530" t="str">
        <f>IF(SeismicData[[#This Row],[class]]=1,"Dangerous","Safe")</f>
        <v>Safe</v>
      </c>
      <c r="V530" t="str">
        <f>IF(SeismicData[[#This Row],[shift]]="W","Production","Non-Production")</f>
        <v>Production</v>
      </c>
      <c r="W530" t="str">
        <f>IF(SeismicData[[#This Row],[genergy]]=0,"0","10^"&amp;INT(LOG10(SeismicData[[#This Row],[genergy]])))</f>
        <v>10^4</v>
      </c>
      <c r="X530" t="str">
        <f>IF(OR(SeismicData[[#This Row],[genergy]]&lt;$AA$6,SeismicData[[#This Row],[genergy]]&gt;$AA$5),"Outlier","Normal")</f>
        <v>Normal</v>
      </c>
    </row>
    <row r="531" spans="1:24" x14ac:dyDescent="0.15">
      <c r="A531">
        <v>530</v>
      </c>
      <c r="B531" t="s">
        <v>20</v>
      </c>
      <c r="C531" t="s">
        <v>20</v>
      </c>
      <c r="D531" t="s">
        <v>22</v>
      </c>
      <c r="E531">
        <v>28570</v>
      </c>
      <c r="F531">
        <v>336</v>
      </c>
      <c r="G531">
        <v>3</v>
      </c>
      <c r="H531">
        <v>-13</v>
      </c>
      <c r="I531" t="s">
        <v>20</v>
      </c>
      <c r="J531">
        <v>1</v>
      </c>
      <c r="K531">
        <v>0</v>
      </c>
      <c r="L531">
        <v>1</v>
      </c>
      <c r="M531">
        <v>0</v>
      </c>
      <c r="N531">
        <v>0</v>
      </c>
      <c r="O531">
        <v>0</v>
      </c>
      <c r="P531">
        <v>0</v>
      </c>
      <c r="Q531">
        <v>0</v>
      </c>
      <c r="R531">
        <v>2000</v>
      </c>
      <c r="S531">
        <v>2000</v>
      </c>
      <c r="T531">
        <v>0</v>
      </c>
      <c r="U531" t="str">
        <f>IF(SeismicData[[#This Row],[class]]=1,"Dangerous","Safe")</f>
        <v>Safe</v>
      </c>
      <c r="V531" t="str">
        <f>IF(SeismicData[[#This Row],[shift]]="W","Production","Non-Production")</f>
        <v>Production</v>
      </c>
      <c r="W531" t="str">
        <f>IF(SeismicData[[#This Row],[genergy]]=0,"0","10^"&amp;INT(LOG10(SeismicData[[#This Row],[genergy]])))</f>
        <v>10^4</v>
      </c>
      <c r="X531" t="str">
        <f>IF(OR(SeismicData[[#This Row],[genergy]]&lt;$AA$6,SeismicData[[#This Row],[genergy]]&gt;$AA$5),"Outlier","Normal")</f>
        <v>Normal</v>
      </c>
    </row>
    <row r="532" spans="1:24" x14ac:dyDescent="0.15">
      <c r="A532">
        <v>531</v>
      </c>
      <c r="B532" t="s">
        <v>20</v>
      </c>
      <c r="C532" t="s">
        <v>20</v>
      </c>
      <c r="D532" t="s">
        <v>22</v>
      </c>
      <c r="E532">
        <v>37640</v>
      </c>
      <c r="F532">
        <v>596</v>
      </c>
      <c r="G532">
        <v>37</v>
      </c>
      <c r="H532">
        <v>58</v>
      </c>
      <c r="I532" t="s">
        <v>20</v>
      </c>
      <c r="J532">
        <v>0</v>
      </c>
      <c r="K532">
        <v>0</v>
      </c>
      <c r="L532">
        <v>0</v>
      </c>
      <c r="M532">
        <v>0</v>
      </c>
      <c r="N532">
        <v>0</v>
      </c>
      <c r="O532">
        <v>0</v>
      </c>
      <c r="P532">
        <v>0</v>
      </c>
      <c r="Q532">
        <v>0</v>
      </c>
      <c r="R532">
        <v>0</v>
      </c>
      <c r="S532">
        <v>0</v>
      </c>
      <c r="T532">
        <v>0</v>
      </c>
      <c r="U532" t="str">
        <f>IF(SeismicData[[#This Row],[class]]=1,"Dangerous","Safe")</f>
        <v>Safe</v>
      </c>
      <c r="V532" t="str">
        <f>IF(SeismicData[[#This Row],[shift]]="W","Production","Non-Production")</f>
        <v>Production</v>
      </c>
      <c r="W532" t="str">
        <f>IF(SeismicData[[#This Row],[genergy]]=0,"0","10^"&amp;INT(LOG10(SeismicData[[#This Row],[genergy]])))</f>
        <v>10^4</v>
      </c>
      <c r="X532" t="str">
        <f>IF(OR(SeismicData[[#This Row],[genergy]]&lt;$AA$6,SeismicData[[#This Row],[genergy]]&gt;$AA$5),"Outlier","Normal")</f>
        <v>Normal</v>
      </c>
    </row>
    <row r="533" spans="1:24" x14ac:dyDescent="0.15">
      <c r="A533">
        <v>532</v>
      </c>
      <c r="B533" t="s">
        <v>20</v>
      </c>
      <c r="C533" t="s">
        <v>23</v>
      </c>
      <c r="D533" t="s">
        <v>22</v>
      </c>
      <c r="E533">
        <v>42930</v>
      </c>
      <c r="F533">
        <v>341</v>
      </c>
      <c r="G533">
        <v>54</v>
      </c>
      <c r="H533">
        <v>-11</v>
      </c>
      <c r="I533" t="s">
        <v>20</v>
      </c>
      <c r="J533">
        <v>5</v>
      </c>
      <c r="K533">
        <v>2</v>
      </c>
      <c r="L533">
        <v>3</v>
      </c>
      <c r="M533">
        <v>0</v>
      </c>
      <c r="N533">
        <v>0</v>
      </c>
      <c r="O533">
        <v>0</v>
      </c>
      <c r="P533">
        <v>0</v>
      </c>
      <c r="Q533">
        <v>0</v>
      </c>
      <c r="R533">
        <v>6200</v>
      </c>
      <c r="S533">
        <v>3000</v>
      </c>
      <c r="T533">
        <v>0</v>
      </c>
      <c r="U533" t="str">
        <f>IF(SeismicData[[#This Row],[class]]=1,"Dangerous","Safe")</f>
        <v>Safe</v>
      </c>
      <c r="V533" t="str">
        <f>IF(SeismicData[[#This Row],[shift]]="W","Production","Non-Production")</f>
        <v>Production</v>
      </c>
      <c r="W533" t="str">
        <f>IF(SeismicData[[#This Row],[genergy]]=0,"0","10^"&amp;INT(LOG10(SeismicData[[#This Row],[genergy]])))</f>
        <v>10^4</v>
      </c>
      <c r="X533" t="str">
        <f>IF(OR(SeismicData[[#This Row],[genergy]]&lt;$AA$6,SeismicData[[#This Row],[genergy]]&gt;$AA$5),"Outlier","Normal")</f>
        <v>Normal</v>
      </c>
    </row>
    <row r="534" spans="1:24" x14ac:dyDescent="0.15">
      <c r="A534">
        <v>533</v>
      </c>
      <c r="B534" t="s">
        <v>20</v>
      </c>
      <c r="C534" t="s">
        <v>23</v>
      </c>
      <c r="D534" t="s">
        <v>22</v>
      </c>
      <c r="E534">
        <v>14990</v>
      </c>
      <c r="F534">
        <v>185</v>
      </c>
      <c r="G534">
        <v>-49</v>
      </c>
      <c r="H534">
        <v>-51</v>
      </c>
      <c r="I534" t="s">
        <v>20</v>
      </c>
      <c r="J534">
        <v>2</v>
      </c>
      <c r="K534">
        <v>1</v>
      </c>
      <c r="L534">
        <v>1</v>
      </c>
      <c r="M534">
        <v>0</v>
      </c>
      <c r="N534">
        <v>0</v>
      </c>
      <c r="O534">
        <v>0</v>
      </c>
      <c r="P534">
        <v>0</v>
      </c>
      <c r="Q534">
        <v>0</v>
      </c>
      <c r="R534">
        <v>4500</v>
      </c>
      <c r="S534">
        <v>4000</v>
      </c>
      <c r="T534">
        <v>1</v>
      </c>
      <c r="U534" t="str">
        <f>IF(SeismicData[[#This Row],[class]]=1,"Dangerous","Safe")</f>
        <v>Dangerous</v>
      </c>
      <c r="V534" t="str">
        <f>IF(SeismicData[[#This Row],[shift]]="W","Production","Non-Production")</f>
        <v>Production</v>
      </c>
      <c r="W534" t="str">
        <f>IF(SeismicData[[#This Row],[genergy]]=0,"0","10^"&amp;INT(LOG10(SeismicData[[#This Row],[genergy]])))</f>
        <v>10^4</v>
      </c>
      <c r="X534" t="str">
        <f>IF(OR(SeismicData[[#This Row],[genergy]]&lt;$AA$6,SeismicData[[#This Row],[genergy]]&gt;$AA$5),"Outlier","Normal")</f>
        <v>Normal</v>
      </c>
    </row>
    <row r="535" spans="1:24" x14ac:dyDescent="0.15">
      <c r="A535">
        <v>534</v>
      </c>
      <c r="B535" t="s">
        <v>23</v>
      </c>
      <c r="C535" t="s">
        <v>23</v>
      </c>
      <c r="D535" t="s">
        <v>22</v>
      </c>
      <c r="E535">
        <v>45470</v>
      </c>
      <c r="F535">
        <v>573</v>
      </c>
      <c r="G535">
        <v>64</v>
      </c>
      <c r="H535">
        <v>65</v>
      </c>
      <c r="I535" t="s">
        <v>20</v>
      </c>
      <c r="J535">
        <v>8</v>
      </c>
      <c r="K535">
        <v>5</v>
      </c>
      <c r="L535">
        <v>2</v>
      </c>
      <c r="M535">
        <v>1</v>
      </c>
      <c r="N535">
        <v>0</v>
      </c>
      <c r="O535">
        <v>0</v>
      </c>
      <c r="P535">
        <v>0</v>
      </c>
      <c r="Q535">
        <v>0</v>
      </c>
      <c r="R535">
        <v>33600</v>
      </c>
      <c r="S535">
        <v>20000</v>
      </c>
      <c r="T535">
        <v>0</v>
      </c>
      <c r="U535" t="str">
        <f>IF(SeismicData[[#This Row],[class]]=1,"Dangerous","Safe")</f>
        <v>Safe</v>
      </c>
      <c r="V535" t="str">
        <f>IF(SeismicData[[#This Row],[shift]]="W","Production","Non-Production")</f>
        <v>Production</v>
      </c>
      <c r="W535" t="str">
        <f>IF(SeismicData[[#This Row],[genergy]]=0,"0","10^"&amp;INT(LOG10(SeismicData[[#This Row],[genergy]])))</f>
        <v>10^4</v>
      </c>
      <c r="X535" t="str">
        <f>IF(OR(SeismicData[[#This Row],[genergy]]&lt;$AA$6,SeismicData[[#This Row],[genergy]]&gt;$AA$5),"Outlier","Normal")</f>
        <v>Normal</v>
      </c>
    </row>
    <row r="536" spans="1:24" x14ac:dyDescent="0.15">
      <c r="A536">
        <v>535</v>
      </c>
      <c r="B536" t="s">
        <v>23</v>
      </c>
      <c r="C536" t="s">
        <v>23</v>
      </c>
      <c r="D536" t="s">
        <v>22</v>
      </c>
      <c r="E536">
        <v>13740</v>
      </c>
      <c r="F536">
        <v>218</v>
      </c>
      <c r="G536">
        <v>-55</v>
      </c>
      <c r="H536">
        <v>-42</v>
      </c>
      <c r="I536" t="s">
        <v>20</v>
      </c>
      <c r="J536">
        <v>0</v>
      </c>
      <c r="K536">
        <v>0</v>
      </c>
      <c r="L536">
        <v>0</v>
      </c>
      <c r="M536">
        <v>0</v>
      </c>
      <c r="N536">
        <v>0</v>
      </c>
      <c r="O536">
        <v>0</v>
      </c>
      <c r="P536">
        <v>0</v>
      </c>
      <c r="Q536">
        <v>0</v>
      </c>
      <c r="R536">
        <v>0</v>
      </c>
      <c r="S536">
        <v>0</v>
      </c>
      <c r="T536">
        <v>1</v>
      </c>
      <c r="U536" t="str">
        <f>IF(SeismicData[[#This Row],[class]]=1,"Dangerous","Safe")</f>
        <v>Dangerous</v>
      </c>
      <c r="V536" t="str">
        <f>IF(SeismicData[[#This Row],[shift]]="W","Production","Non-Production")</f>
        <v>Production</v>
      </c>
      <c r="W536" t="str">
        <f>IF(SeismicData[[#This Row],[genergy]]=0,"0","10^"&amp;INT(LOG10(SeismicData[[#This Row],[genergy]])))</f>
        <v>10^4</v>
      </c>
      <c r="X536" t="str">
        <f>IF(OR(SeismicData[[#This Row],[genergy]]&lt;$AA$6,SeismicData[[#This Row],[genergy]]&gt;$AA$5),"Outlier","Normal")</f>
        <v>Normal</v>
      </c>
    </row>
    <row r="537" spans="1:24" x14ac:dyDescent="0.15">
      <c r="A537">
        <v>536</v>
      </c>
      <c r="B537" t="s">
        <v>23</v>
      </c>
      <c r="C537" t="s">
        <v>23</v>
      </c>
      <c r="D537" t="s">
        <v>22</v>
      </c>
      <c r="E537">
        <v>17150</v>
      </c>
      <c r="F537">
        <v>198</v>
      </c>
      <c r="G537">
        <v>-39</v>
      </c>
      <c r="H537">
        <v>-44</v>
      </c>
      <c r="I537" t="s">
        <v>20</v>
      </c>
      <c r="J537">
        <v>3</v>
      </c>
      <c r="K537">
        <v>1</v>
      </c>
      <c r="L537">
        <v>1</v>
      </c>
      <c r="M537">
        <v>1</v>
      </c>
      <c r="N537">
        <v>0</v>
      </c>
      <c r="O537">
        <v>0</v>
      </c>
      <c r="P537">
        <v>0</v>
      </c>
      <c r="Q537">
        <v>0</v>
      </c>
      <c r="R537">
        <v>24200</v>
      </c>
      <c r="S537">
        <v>20000</v>
      </c>
      <c r="T537">
        <v>0</v>
      </c>
      <c r="U537" t="str">
        <f>IF(SeismicData[[#This Row],[class]]=1,"Dangerous","Safe")</f>
        <v>Safe</v>
      </c>
      <c r="V537" t="str">
        <f>IF(SeismicData[[#This Row],[shift]]="W","Production","Non-Production")</f>
        <v>Production</v>
      </c>
      <c r="W537" t="str">
        <f>IF(SeismicData[[#This Row],[genergy]]=0,"0","10^"&amp;INT(LOG10(SeismicData[[#This Row],[genergy]])))</f>
        <v>10^4</v>
      </c>
      <c r="X537" t="str">
        <f>IF(OR(SeismicData[[#This Row],[genergy]]&lt;$AA$6,SeismicData[[#This Row],[genergy]]&gt;$AA$5),"Outlier","Normal")</f>
        <v>Normal</v>
      </c>
    </row>
    <row r="538" spans="1:24" x14ac:dyDescent="0.15">
      <c r="A538">
        <v>537</v>
      </c>
      <c r="B538" t="s">
        <v>23</v>
      </c>
      <c r="C538" t="s">
        <v>20</v>
      </c>
      <c r="D538" t="s">
        <v>22</v>
      </c>
      <c r="E538">
        <v>44600</v>
      </c>
      <c r="F538">
        <v>591</v>
      </c>
      <c r="G538">
        <v>64</v>
      </c>
      <c r="H538">
        <v>75</v>
      </c>
      <c r="I538" t="s">
        <v>20</v>
      </c>
      <c r="J538">
        <v>1</v>
      </c>
      <c r="K538">
        <v>0</v>
      </c>
      <c r="L538">
        <v>1</v>
      </c>
      <c r="M538">
        <v>0</v>
      </c>
      <c r="N538">
        <v>0</v>
      </c>
      <c r="O538">
        <v>0</v>
      </c>
      <c r="P538">
        <v>0</v>
      </c>
      <c r="Q538">
        <v>0</v>
      </c>
      <c r="R538">
        <v>2000</v>
      </c>
      <c r="S538">
        <v>2000</v>
      </c>
      <c r="T538">
        <v>0</v>
      </c>
      <c r="U538" t="str">
        <f>IF(SeismicData[[#This Row],[class]]=1,"Dangerous","Safe")</f>
        <v>Safe</v>
      </c>
      <c r="V538" t="str">
        <f>IF(SeismicData[[#This Row],[shift]]="W","Production","Non-Production")</f>
        <v>Production</v>
      </c>
      <c r="W538" t="str">
        <f>IF(SeismicData[[#This Row],[genergy]]=0,"0","10^"&amp;INT(LOG10(SeismicData[[#This Row],[genergy]])))</f>
        <v>10^4</v>
      </c>
      <c r="X538" t="str">
        <f>IF(OR(SeismicData[[#This Row],[genergy]]&lt;$AA$6,SeismicData[[#This Row],[genergy]]&gt;$AA$5),"Outlier","Normal")</f>
        <v>Normal</v>
      </c>
    </row>
    <row r="539" spans="1:24" x14ac:dyDescent="0.15">
      <c r="A539">
        <v>538</v>
      </c>
      <c r="B539" t="s">
        <v>23</v>
      </c>
      <c r="C539" t="s">
        <v>20</v>
      </c>
      <c r="D539" t="s">
        <v>22</v>
      </c>
      <c r="E539">
        <v>40150</v>
      </c>
      <c r="F539">
        <v>525</v>
      </c>
      <c r="G539">
        <v>33</v>
      </c>
      <c r="H539">
        <v>40</v>
      </c>
      <c r="I539" t="s">
        <v>20</v>
      </c>
      <c r="J539">
        <v>0</v>
      </c>
      <c r="K539">
        <v>0</v>
      </c>
      <c r="L539">
        <v>0</v>
      </c>
      <c r="M539">
        <v>0</v>
      </c>
      <c r="N539">
        <v>0</v>
      </c>
      <c r="O539">
        <v>0</v>
      </c>
      <c r="P539">
        <v>0</v>
      </c>
      <c r="Q539">
        <v>0</v>
      </c>
      <c r="R539">
        <v>0</v>
      </c>
      <c r="S539">
        <v>0</v>
      </c>
      <c r="T539">
        <v>0</v>
      </c>
      <c r="U539" t="str">
        <f>IF(SeismicData[[#This Row],[class]]=1,"Dangerous","Safe")</f>
        <v>Safe</v>
      </c>
      <c r="V539" t="str">
        <f>IF(SeismicData[[#This Row],[shift]]="W","Production","Non-Production")</f>
        <v>Production</v>
      </c>
      <c r="W539" t="str">
        <f>IF(SeismicData[[#This Row],[genergy]]=0,"0","10^"&amp;INT(LOG10(SeismicData[[#This Row],[genergy]])))</f>
        <v>10^4</v>
      </c>
      <c r="X539" t="str">
        <f>IF(OR(SeismicData[[#This Row],[genergy]]&lt;$AA$6,SeismicData[[#This Row],[genergy]]&gt;$AA$5),"Outlier","Normal")</f>
        <v>Normal</v>
      </c>
    </row>
    <row r="540" spans="1:24" x14ac:dyDescent="0.15">
      <c r="A540">
        <v>539</v>
      </c>
      <c r="B540" t="s">
        <v>20</v>
      </c>
      <c r="C540" t="s">
        <v>20</v>
      </c>
      <c r="D540" t="s">
        <v>22</v>
      </c>
      <c r="E540">
        <v>17860</v>
      </c>
      <c r="F540">
        <v>200</v>
      </c>
      <c r="G540">
        <v>-44</v>
      </c>
      <c r="H540">
        <v>-50</v>
      </c>
      <c r="I540" t="s">
        <v>20</v>
      </c>
      <c r="J540">
        <v>2</v>
      </c>
      <c r="K540">
        <v>1</v>
      </c>
      <c r="L540">
        <v>1</v>
      </c>
      <c r="M540">
        <v>0</v>
      </c>
      <c r="N540">
        <v>0</v>
      </c>
      <c r="O540">
        <v>0</v>
      </c>
      <c r="P540">
        <v>0</v>
      </c>
      <c r="Q540">
        <v>0</v>
      </c>
      <c r="R540">
        <v>4200</v>
      </c>
      <c r="S540">
        <v>4000</v>
      </c>
      <c r="T540">
        <v>0</v>
      </c>
      <c r="U540" t="str">
        <f>IF(SeismicData[[#This Row],[class]]=1,"Dangerous","Safe")</f>
        <v>Safe</v>
      </c>
      <c r="V540" t="str">
        <f>IF(SeismicData[[#This Row],[shift]]="W","Production","Non-Production")</f>
        <v>Production</v>
      </c>
      <c r="W540" t="str">
        <f>IF(SeismicData[[#This Row],[genergy]]=0,"0","10^"&amp;INT(LOG10(SeismicData[[#This Row],[genergy]])))</f>
        <v>10^4</v>
      </c>
      <c r="X540" t="str">
        <f>IF(OR(SeismicData[[#This Row],[genergy]]&lt;$AA$6,SeismicData[[#This Row],[genergy]]&gt;$AA$5),"Outlier","Normal")</f>
        <v>Normal</v>
      </c>
    </row>
    <row r="541" spans="1:24" x14ac:dyDescent="0.15">
      <c r="A541">
        <v>540</v>
      </c>
      <c r="B541" t="s">
        <v>20</v>
      </c>
      <c r="C541" t="s">
        <v>20</v>
      </c>
      <c r="D541" t="s">
        <v>21</v>
      </c>
      <c r="E541">
        <v>4190</v>
      </c>
      <c r="F541">
        <v>43</v>
      </c>
      <c r="G541">
        <v>-58</v>
      </c>
      <c r="H541">
        <v>-49</v>
      </c>
      <c r="I541" t="s">
        <v>20</v>
      </c>
      <c r="J541">
        <v>0</v>
      </c>
      <c r="K541">
        <v>0</v>
      </c>
      <c r="L541">
        <v>0</v>
      </c>
      <c r="M541">
        <v>0</v>
      </c>
      <c r="N541">
        <v>0</v>
      </c>
      <c r="O541">
        <v>0</v>
      </c>
      <c r="P541">
        <v>0</v>
      </c>
      <c r="Q541">
        <v>0</v>
      </c>
      <c r="R541">
        <v>0</v>
      </c>
      <c r="S541">
        <v>0</v>
      </c>
      <c r="T541">
        <v>0</v>
      </c>
      <c r="U541" t="str">
        <f>IF(SeismicData[[#This Row],[class]]=1,"Dangerous","Safe")</f>
        <v>Safe</v>
      </c>
      <c r="V541" t="str">
        <f>IF(SeismicData[[#This Row],[shift]]="W","Production","Non-Production")</f>
        <v>Non-Production</v>
      </c>
      <c r="W541" t="str">
        <f>IF(SeismicData[[#This Row],[genergy]]=0,"0","10^"&amp;INT(LOG10(SeismicData[[#This Row],[genergy]])))</f>
        <v>10^3</v>
      </c>
      <c r="X541" t="str">
        <f>IF(OR(SeismicData[[#This Row],[genergy]]&lt;$AA$6,SeismicData[[#This Row],[genergy]]&gt;$AA$5),"Outlier","Normal")</f>
        <v>Normal</v>
      </c>
    </row>
    <row r="542" spans="1:24" x14ac:dyDescent="0.15">
      <c r="A542">
        <v>541</v>
      </c>
      <c r="B542" t="s">
        <v>20</v>
      </c>
      <c r="C542" t="s">
        <v>20</v>
      </c>
      <c r="D542" t="s">
        <v>21</v>
      </c>
      <c r="E542">
        <v>1150</v>
      </c>
      <c r="F542">
        <v>22</v>
      </c>
      <c r="G542">
        <v>-88</v>
      </c>
      <c r="H542">
        <v>-73</v>
      </c>
      <c r="I542" t="s">
        <v>20</v>
      </c>
      <c r="J542">
        <v>1</v>
      </c>
      <c r="K542">
        <v>1</v>
      </c>
      <c r="L542">
        <v>0</v>
      </c>
      <c r="M542">
        <v>0</v>
      </c>
      <c r="N542">
        <v>0</v>
      </c>
      <c r="O542">
        <v>0</v>
      </c>
      <c r="P542">
        <v>0</v>
      </c>
      <c r="Q542">
        <v>0</v>
      </c>
      <c r="R542">
        <v>100</v>
      </c>
      <c r="S542">
        <v>100</v>
      </c>
      <c r="T542">
        <v>0</v>
      </c>
      <c r="U542" t="str">
        <f>IF(SeismicData[[#This Row],[class]]=1,"Dangerous","Safe")</f>
        <v>Safe</v>
      </c>
      <c r="V542" t="str">
        <f>IF(SeismicData[[#This Row],[shift]]="W","Production","Non-Production")</f>
        <v>Non-Production</v>
      </c>
      <c r="W542" t="str">
        <f>IF(SeismicData[[#This Row],[genergy]]=0,"0","10^"&amp;INT(LOG10(SeismicData[[#This Row],[genergy]])))</f>
        <v>10^3</v>
      </c>
      <c r="X542" t="str">
        <f>IF(OR(SeismicData[[#This Row],[genergy]]&lt;$AA$6,SeismicData[[#This Row],[genergy]]&gt;$AA$5),"Outlier","Normal")</f>
        <v>Normal</v>
      </c>
    </row>
    <row r="543" spans="1:24" x14ac:dyDescent="0.15">
      <c r="A543">
        <v>542</v>
      </c>
      <c r="B543" t="s">
        <v>20</v>
      </c>
      <c r="C543" t="s">
        <v>20</v>
      </c>
      <c r="D543" t="s">
        <v>21</v>
      </c>
      <c r="E543">
        <v>2020</v>
      </c>
      <c r="F543">
        <v>18</v>
      </c>
      <c r="G543">
        <v>-76</v>
      </c>
      <c r="H543">
        <v>-76</v>
      </c>
      <c r="I543" t="s">
        <v>20</v>
      </c>
      <c r="J543">
        <v>1</v>
      </c>
      <c r="K543">
        <v>1</v>
      </c>
      <c r="L543">
        <v>0</v>
      </c>
      <c r="M543">
        <v>0</v>
      </c>
      <c r="N543">
        <v>0</v>
      </c>
      <c r="O543">
        <v>0</v>
      </c>
      <c r="P543">
        <v>0</v>
      </c>
      <c r="Q543">
        <v>0</v>
      </c>
      <c r="R543">
        <v>400</v>
      </c>
      <c r="S543">
        <v>400</v>
      </c>
      <c r="T543">
        <v>0</v>
      </c>
      <c r="U543" t="str">
        <f>IF(SeismicData[[#This Row],[class]]=1,"Dangerous","Safe")</f>
        <v>Safe</v>
      </c>
      <c r="V543" t="str">
        <f>IF(SeismicData[[#This Row],[shift]]="W","Production","Non-Production")</f>
        <v>Non-Production</v>
      </c>
      <c r="W543" t="str">
        <f>IF(SeismicData[[#This Row],[genergy]]=0,"0","10^"&amp;INT(LOG10(SeismicData[[#This Row],[genergy]])))</f>
        <v>10^3</v>
      </c>
      <c r="X543" t="str">
        <f>IF(OR(SeismicData[[#This Row],[genergy]]&lt;$AA$6,SeismicData[[#This Row],[genergy]]&gt;$AA$5),"Outlier","Normal")</f>
        <v>Normal</v>
      </c>
    </row>
    <row r="544" spans="1:24" x14ac:dyDescent="0.15">
      <c r="A544">
        <v>543</v>
      </c>
      <c r="B544" t="s">
        <v>20</v>
      </c>
      <c r="C544" t="s">
        <v>20</v>
      </c>
      <c r="D544" t="s">
        <v>21</v>
      </c>
      <c r="E544">
        <v>1650</v>
      </c>
      <c r="F544">
        <v>21</v>
      </c>
      <c r="G544">
        <v>-79</v>
      </c>
      <c r="H544">
        <v>-69</v>
      </c>
      <c r="I544" t="s">
        <v>20</v>
      </c>
      <c r="J544">
        <v>0</v>
      </c>
      <c r="K544">
        <v>0</v>
      </c>
      <c r="L544">
        <v>0</v>
      </c>
      <c r="M544">
        <v>0</v>
      </c>
      <c r="N544">
        <v>0</v>
      </c>
      <c r="O544">
        <v>0</v>
      </c>
      <c r="P544">
        <v>0</v>
      </c>
      <c r="Q544">
        <v>0</v>
      </c>
      <c r="R544">
        <v>0</v>
      </c>
      <c r="S544">
        <v>0</v>
      </c>
      <c r="T544">
        <v>0</v>
      </c>
      <c r="U544" t="str">
        <f>IF(SeismicData[[#This Row],[class]]=1,"Dangerous","Safe")</f>
        <v>Safe</v>
      </c>
      <c r="V544" t="str">
        <f>IF(SeismicData[[#This Row],[shift]]="W","Production","Non-Production")</f>
        <v>Non-Production</v>
      </c>
      <c r="W544" t="str">
        <f>IF(SeismicData[[#This Row],[genergy]]=0,"0","10^"&amp;INT(LOG10(SeismicData[[#This Row],[genergy]])))</f>
        <v>10^3</v>
      </c>
      <c r="X544" t="str">
        <f>IF(OR(SeismicData[[#This Row],[genergy]]&lt;$AA$6,SeismicData[[#This Row],[genergy]]&gt;$AA$5),"Outlier","Normal")</f>
        <v>Normal</v>
      </c>
    </row>
    <row r="545" spans="1:24" x14ac:dyDescent="0.15">
      <c r="A545">
        <v>544</v>
      </c>
      <c r="B545" t="s">
        <v>20</v>
      </c>
      <c r="C545" t="s">
        <v>20</v>
      </c>
      <c r="D545" t="s">
        <v>21</v>
      </c>
      <c r="E545">
        <v>6040</v>
      </c>
      <c r="F545">
        <v>41</v>
      </c>
      <c r="G545">
        <v>-13</v>
      </c>
      <c r="H545">
        <v>-33</v>
      </c>
      <c r="I545" t="s">
        <v>20</v>
      </c>
      <c r="J545">
        <v>2</v>
      </c>
      <c r="K545">
        <v>1</v>
      </c>
      <c r="L545">
        <v>1</v>
      </c>
      <c r="M545">
        <v>0</v>
      </c>
      <c r="N545">
        <v>0</v>
      </c>
      <c r="O545">
        <v>0</v>
      </c>
      <c r="P545">
        <v>0</v>
      </c>
      <c r="Q545">
        <v>0</v>
      </c>
      <c r="R545">
        <v>3300</v>
      </c>
      <c r="S545">
        <v>3000</v>
      </c>
      <c r="T545">
        <v>0</v>
      </c>
      <c r="U545" t="str">
        <f>IF(SeismicData[[#This Row],[class]]=1,"Dangerous","Safe")</f>
        <v>Safe</v>
      </c>
      <c r="V545" t="str">
        <f>IF(SeismicData[[#This Row],[shift]]="W","Production","Non-Production")</f>
        <v>Non-Production</v>
      </c>
      <c r="W545" t="str">
        <f>IF(SeismicData[[#This Row],[genergy]]=0,"0","10^"&amp;INT(LOG10(SeismicData[[#This Row],[genergy]])))</f>
        <v>10^3</v>
      </c>
      <c r="X545" t="str">
        <f>IF(OR(SeismicData[[#This Row],[genergy]]&lt;$AA$6,SeismicData[[#This Row],[genergy]]&gt;$AA$5),"Outlier","Normal")</f>
        <v>Normal</v>
      </c>
    </row>
    <row r="546" spans="1:24" x14ac:dyDescent="0.15">
      <c r="A546">
        <v>545</v>
      </c>
      <c r="B546" t="s">
        <v>20</v>
      </c>
      <c r="C546" t="s">
        <v>20</v>
      </c>
      <c r="D546" t="s">
        <v>22</v>
      </c>
      <c r="E546">
        <v>13690</v>
      </c>
      <c r="F546">
        <v>147</v>
      </c>
      <c r="G546">
        <v>-66</v>
      </c>
      <c r="H546">
        <v>-67</v>
      </c>
      <c r="I546" t="s">
        <v>20</v>
      </c>
      <c r="J546">
        <v>2</v>
      </c>
      <c r="K546">
        <v>1</v>
      </c>
      <c r="L546">
        <v>1</v>
      </c>
      <c r="M546">
        <v>0</v>
      </c>
      <c r="N546">
        <v>0</v>
      </c>
      <c r="O546">
        <v>0</v>
      </c>
      <c r="P546">
        <v>0</v>
      </c>
      <c r="Q546">
        <v>0</v>
      </c>
      <c r="R546">
        <v>3300</v>
      </c>
      <c r="S546">
        <v>3000</v>
      </c>
      <c r="T546">
        <v>0</v>
      </c>
      <c r="U546" t="str">
        <f>IF(SeismicData[[#This Row],[class]]=1,"Dangerous","Safe")</f>
        <v>Safe</v>
      </c>
      <c r="V546" t="str">
        <f>IF(SeismicData[[#This Row],[shift]]="W","Production","Non-Production")</f>
        <v>Production</v>
      </c>
      <c r="W546" t="str">
        <f>IF(SeismicData[[#This Row],[genergy]]=0,"0","10^"&amp;INT(LOG10(SeismicData[[#This Row],[genergy]])))</f>
        <v>10^4</v>
      </c>
      <c r="X546" t="str">
        <f>IF(OR(SeismicData[[#This Row],[genergy]]&lt;$AA$6,SeismicData[[#This Row],[genergy]]&gt;$AA$5),"Outlier","Normal")</f>
        <v>Normal</v>
      </c>
    </row>
    <row r="547" spans="1:24" x14ac:dyDescent="0.15">
      <c r="A547">
        <v>546</v>
      </c>
      <c r="B547" t="s">
        <v>20</v>
      </c>
      <c r="C547" t="s">
        <v>20</v>
      </c>
      <c r="D547" t="s">
        <v>22</v>
      </c>
      <c r="E547">
        <v>54830</v>
      </c>
      <c r="F547">
        <v>694</v>
      </c>
      <c r="G547">
        <v>46</v>
      </c>
      <c r="H547">
        <v>68</v>
      </c>
      <c r="I547" t="s">
        <v>20</v>
      </c>
      <c r="J547">
        <v>5</v>
      </c>
      <c r="K547">
        <v>3</v>
      </c>
      <c r="L547">
        <v>2</v>
      </c>
      <c r="M547">
        <v>0</v>
      </c>
      <c r="N547">
        <v>0</v>
      </c>
      <c r="O547">
        <v>0</v>
      </c>
      <c r="P547">
        <v>0</v>
      </c>
      <c r="Q547">
        <v>0</v>
      </c>
      <c r="R547">
        <v>4000</v>
      </c>
      <c r="S547">
        <v>1000</v>
      </c>
      <c r="T547">
        <v>0</v>
      </c>
      <c r="U547" t="str">
        <f>IF(SeismicData[[#This Row],[class]]=1,"Dangerous","Safe")</f>
        <v>Safe</v>
      </c>
      <c r="V547" t="str">
        <f>IF(SeismicData[[#This Row],[shift]]="W","Production","Non-Production")</f>
        <v>Production</v>
      </c>
      <c r="W547" t="str">
        <f>IF(SeismicData[[#This Row],[genergy]]=0,"0","10^"&amp;INT(LOG10(SeismicData[[#This Row],[genergy]])))</f>
        <v>10^4</v>
      </c>
      <c r="X547" t="str">
        <f>IF(OR(SeismicData[[#This Row],[genergy]]&lt;$AA$6,SeismicData[[#This Row],[genergy]]&gt;$AA$5),"Outlier","Normal")</f>
        <v>Normal</v>
      </c>
    </row>
    <row r="548" spans="1:24" x14ac:dyDescent="0.15">
      <c r="A548">
        <v>547</v>
      </c>
      <c r="B548" t="s">
        <v>20</v>
      </c>
      <c r="C548" t="s">
        <v>20</v>
      </c>
      <c r="D548" t="s">
        <v>22</v>
      </c>
      <c r="E548">
        <v>34280</v>
      </c>
      <c r="F548">
        <v>460</v>
      </c>
      <c r="G548">
        <v>-12</v>
      </c>
      <c r="H548">
        <v>5</v>
      </c>
      <c r="I548" t="s">
        <v>20</v>
      </c>
      <c r="J548">
        <v>1</v>
      </c>
      <c r="K548">
        <v>0</v>
      </c>
      <c r="L548">
        <v>1</v>
      </c>
      <c r="M548">
        <v>0</v>
      </c>
      <c r="N548">
        <v>0</v>
      </c>
      <c r="O548">
        <v>0</v>
      </c>
      <c r="P548">
        <v>0</v>
      </c>
      <c r="Q548">
        <v>0</v>
      </c>
      <c r="R548">
        <v>3000</v>
      </c>
      <c r="S548">
        <v>3000</v>
      </c>
      <c r="T548">
        <v>0</v>
      </c>
      <c r="U548" t="str">
        <f>IF(SeismicData[[#This Row],[class]]=1,"Dangerous","Safe")</f>
        <v>Safe</v>
      </c>
      <c r="V548" t="str">
        <f>IF(SeismicData[[#This Row],[shift]]="W","Production","Non-Production")</f>
        <v>Production</v>
      </c>
      <c r="W548" t="str">
        <f>IF(SeismicData[[#This Row],[genergy]]=0,"0","10^"&amp;INT(LOG10(SeismicData[[#This Row],[genergy]])))</f>
        <v>10^4</v>
      </c>
      <c r="X548" t="str">
        <f>IF(OR(SeismicData[[#This Row],[genergy]]&lt;$AA$6,SeismicData[[#This Row],[genergy]]&gt;$AA$5),"Outlier","Normal")</f>
        <v>Normal</v>
      </c>
    </row>
    <row r="549" spans="1:24" x14ac:dyDescent="0.15">
      <c r="A549">
        <v>548</v>
      </c>
      <c r="B549" t="s">
        <v>20</v>
      </c>
      <c r="C549" t="s">
        <v>20</v>
      </c>
      <c r="D549" t="s">
        <v>22</v>
      </c>
      <c r="E549">
        <v>24970</v>
      </c>
      <c r="F549">
        <v>325</v>
      </c>
      <c r="G549">
        <v>-35</v>
      </c>
      <c r="H549">
        <v>-26</v>
      </c>
      <c r="I549" t="s">
        <v>20</v>
      </c>
      <c r="J549">
        <v>2</v>
      </c>
      <c r="K549">
        <v>0</v>
      </c>
      <c r="L549">
        <v>2</v>
      </c>
      <c r="M549">
        <v>0</v>
      </c>
      <c r="N549">
        <v>0</v>
      </c>
      <c r="O549">
        <v>0</v>
      </c>
      <c r="P549">
        <v>0</v>
      </c>
      <c r="Q549">
        <v>0</v>
      </c>
      <c r="R549">
        <v>4000</v>
      </c>
      <c r="S549">
        <v>3000</v>
      </c>
      <c r="T549">
        <v>0</v>
      </c>
      <c r="U549" t="str">
        <f>IF(SeismicData[[#This Row],[class]]=1,"Dangerous","Safe")</f>
        <v>Safe</v>
      </c>
      <c r="V549" t="str">
        <f>IF(SeismicData[[#This Row],[shift]]="W","Production","Non-Production")</f>
        <v>Production</v>
      </c>
      <c r="W549" t="str">
        <f>IF(SeismicData[[#This Row],[genergy]]=0,"0","10^"&amp;INT(LOG10(SeismicData[[#This Row],[genergy]])))</f>
        <v>10^4</v>
      </c>
      <c r="X549" t="str">
        <f>IF(OR(SeismicData[[#This Row],[genergy]]&lt;$AA$6,SeismicData[[#This Row],[genergy]]&gt;$AA$5),"Outlier","Normal")</f>
        <v>Normal</v>
      </c>
    </row>
    <row r="550" spans="1:24" x14ac:dyDescent="0.15">
      <c r="A550">
        <v>549</v>
      </c>
      <c r="B550" t="s">
        <v>20</v>
      </c>
      <c r="C550" t="s">
        <v>20</v>
      </c>
      <c r="D550" t="s">
        <v>22</v>
      </c>
      <c r="E550">
        <v>46740</v>
      </c>
      <c r="F550">
        <v>553</v>
      </c>
      <c r="G550">
        <v>27</v>
      </c>
      <c r="H550">
        <v>29</v>
      </c>
      <c r="I550" t="s">
        <v>20</v>
      </c>
      <c r="J550">
        <v>6</v>
      </c>
      <c r="K550">
        <v>3</v>
      </c>
      <c r="L550">
        <v>3</v>
      </c>
      <c r="M550">
        <v>0</v>
      </c>
      <c r="N550">
        <v>0</v>
      </c>
      <c r="O550">
        <v>0</v>
      </c>
      <c r="P550">
        <v>0</v>
      </c>
      <c r="Q550">
        <v>0</v>
      </c>
      <c r="R550">
        <v>5800</v>
      </c>
      <c r="S550">
        <v>2000</v>
      </c>
      <c r="T550">
        <v>0</v>
      </c>
      <c r="U550" t="str">
        <f>IF(SeismicData[[#This Row],[class]]=1,"Dangerous","Safe")</f>
        <v>Safe</v>
      </c>
      <c r="V550" t="str">
        <f>IF(SeismicData[[#This Row],[shift]]="W","Production","Non-Production")</f>
        <v>Production</v>
      </c>
      <c r="W550" t="str">
        <f>IF(SeismicData[[#This Row],[genergy]]=0,"0","10^"&amp;INT(LOG10(SeismicData[[#This Row],[genergy]])))</f>
        <v>10^4</v>
      </c>
      <c r="X550" t="str">
        <f>IF(OR(SeismicData[[#This Row],[genergy]]&lt;$AA$6,SeismicData[[#This Row],[genergy]]&gt;$AA$5),"Outlier","Normal")</f>
        <v>Normal</v>
      </c>
    </row>
    <row r="551" spans="1:24" x14ac:dyDescent="0.15">
      <c r="A551">
        <v>550</v>
      </c>
      <c r="B551" t="s">
        <v>20</v>
      </c>
      <c r="C551" t="s">
        <v>20</v>
      </c>
      <c r="D551" t="s">
        <v>22</v>
      </c>
      <c r="E551">
        <v>23040</v>
      </c>
      <c r="F551">
        <v>318</v>
      </c>
      <c r="G551">
        <v>-39</v>
      </c>
      <c r="H551">
        <v>-28</v>
      </c>
      <c r="I551" t="s">
        <v>20</v>
      </c>
      <c r="J551">
        <v>2</v>
      </c>
      <c r="K551">
        <v>1</v>
      </c>
      <c r="L551">
        <v>1</v>
      </c>
      <c r="M551">
        <v>0</v>
      </c>
      <c r="N551">
        <v>0</v>
      </c>
      <c r="O551">
        <v>0</v>
      </c>
      <c r="P551">
        <v>0</v>
      </c>
      <c r="Q551">
        <v>0</v>
      </c>
      <c r="R551">
        <v>1300</v>
      </c>
      <c r="S551">
        <v>1000</v>
      </c>
      <c r="T551">
        <v>0</v>
      </c>
      <c r="U551" t="str">
        <f>IF(SeismicData[[#This Row],[class]]=1,"Dangerous","Safe")</f>
        <v>Safe</v>
      </c>
      <c r="V551" t="str">
        <f>IF(SeismicData[[#This Row],[shift]]="W","Production","Non-Production")</f>
        <v>Production</v>
      </c>
      <c r="W551" t="str">
        <f>IF(SeismicData[[#This Row],[genergy]]=0,"0","10^"&amp;INT(LOG10(SeismicData[[#This Row],[genergy]])))</f>
        <v>10^4</v>
      </c>
      <c r="X551" t="str">
        <f>IF(OR(SeismicData[[#This Row],[genergy]]&lt;$AA$6,SeismicData[[#This Row],[genergy]]&gt;$AA$5),"Outlier","Normal")</f>
        <v>Normal</v>
      </c>
    </row>
    <row r="552" spans="1:24" x14ac:dyDescent="0.15">
      <c r="A552">
        <v>551</v>
      </c>
      <c r="B552" t="s">
        <v>20</v>
      </c>
      <c r="C552" t="s">
        <v>23</v>
      </c>
      <c r="D552" t="s">
        <v>21</v>
      </c>
      <c r="E552">
        <v>5380</v>
      </c>
      <c r="F552">
        <v>90</v>
      </c>
      <c r="G552">
        <v>-18</v>
      </c>
      <c r="H552">
        <v>58</v>
      </c>
      <c r="I552" t="s">
        <v>20</v>
      </c>
      <c r="J552">
        <v>1</v>
      </c>
      <c r="K552">
        <v>0</v>
      </c>
      <c r="L552">
        <v>1</v>
      </c>
      <c r="M552">
        <v>0</v>
      </c>
      <c r="N552">
        <v>0</v>
      </c>
      <c r="O552">
        <v>0</v>
      </c>
      <c r="P552">
        <v>0</v>
      </c>
      <c r="Q552">
        <v>0</v>
      </c>
      <c r="R552">
        <v>2000</v>
      </c>
      <c r="S552">
        <v>2000</v>
      </c>
      <c r="T552">
        <v>0</v>
      </c>
      <c r="U552" t="str">
        <f>IF(SeismicData[[#This Row],[class]]=1,"Dangerous","Safe")</f>
        <v>Safe</v>
      </c>
      <c r="V552" t="str">
        <f>IF(SeismicData[[#This Row],[shift]]="W","Production","Non-Production")</f>
        <v>Non-Production</v>
      </c>
      <c r="W552" t="str">
        <f>IF(SeismicData[[#This Row],[genergy]]=0,"0","10^"&amp;INT(LOG10(SeismicData[[#This Row],[genergy]])))</f>
        <v>10^3</v>
      </c>
      <c r="X552" t="str">
        <f>IF(OR(SeismicData[[#This Row],[genergy]]&lt;$AA$6,SeismicData[[#This Row],[genergy]]&gt;$AA$5),"Outlier","Normal")</f>
        <v>Normal</v>
      </c>
    </row>
    <row r="553" spans="1:24" x14ac:dyDescent="0.15">
      <c r="A553">
        <v>552</v>
      </c>
      <c r="B553" t="s">
        <v>20</v>
      </c>
      <c r="C553" t="s">
        <v>23</v>
      </c>
      <c r="D553" t="s">
        <v>22</v>
      </c>
      <c r="E553">
        <v>33540</v>
      </c>
      <c r="F553">
        <v>570</v>
      </c>
      <c r="G553">
        <v>-6</v>
      </c>
      <c r="H553">
        <v>34</v>
      </c>
      <c r="I553" t="s">
        <v>20</v>
      </c>
      <c r="J553">
        <v>0</v>
      </c>
      <c r="K553">
        <v>0</v>
      </c>
      <c r="L553">
        <v>0</v>
      </c>
      <c r="M553">
        <v>0</v>
      </c>
      <c r="N553">
        <v>0</v>
      </c>
      <c r="O553">
        <v>0</v>
      </c>
      <c r="P553">
        <v>0</v>
      </c>
      <c r="Q553">
        <v>0</v>
      </c>
      <c r="R553">
        <v>0</v>
      </c>
      <c r="S553">
        <v>0</v>
      </c>
      <c r="T553">
        <v>0</v>
      </c>
      <c r="U553" t="str">
        <f>IF(SeismicData[[#This Row],[class]]=1,"Dangerous","Safe")</f>
        <v>Safe</v>
      </c>
      <c r="V553" t="str">
        <f>IF(SeismicData[[#This Row],[shift]]="W","Production","Non-Production")</f>
        <v>Production</v>
      </c>
      <c r="W553" t="str">
        <f>IF(SeismicData[[#This Row],[genergy]]=0,"0","10^"&amp;INT(LOG10(SeismicData[[#This Row],[genergy]])))</f>
        <v>10^4</v>
      </c>
      <c r="X553" t="str">
        <f>IF(OR(SeismicData[[#This Row],[genergy]]&lt;$AA$6,SeismicData[[#This Row],[genergy]]&gt;$AA$5),"Outlier","Normal")</f>
        <v>Normal</v>
      </c>
    </row>
    <row r="554" spans="1:24" x14ac:dyDescent="0.15">
      <c r="A554">
        <v>553</v>
      </c>
      <c r="B554" t="s">
        <v>20</v>
      </c>
      <c r="C554" t="s">
        <v>23</v>
      </c>
      <c r="D554" t="s">
        <v>22</v>
      </c>
      <c r="E554">
        <v>39980</v>
      </c>
      <c r="F554">
        <v>629</v>
      </c>
      <c r="G554">
        <v>14</v>
      </c>
      <c r="H554">
        <v>43</v>
      </c>
      <c r="I554" t="s">
        <v>23</v>
      </c>
      <c r="J554">
        <v>2</v>
      </c>
      <c r="K554">
        <v>1</v>
      </c>
      <c r="L554">
        <v>1</v>
      </c>
      <c r="M554">
        <v>0</v>
      </c>
      <c r="N554">
        <v>0</v>
      </c>
      <c r="O554">
        <v>0</v>
      </c>
      <c r="P554">
        <v>0</v>
      </c>
      <c r="Q554">
        <v>0</v>
      </c>
      <c r="R554">
        <v>2800</v>
      </c>
      <c r="S554">
        <v>2000</v>
      </c>
      <c r="T554">
        <v>0</v>
      </c>
      <c r="U554" t="str">
        <f>IF(SeismicData[[#This Row],[class]]=1,"Dangerous","Safe")</f>
        <v>Safe</v>
      </c>
      <c r="V554" t="str">
        <f>IF(SeismicData[[#This Row],[shift]]="W","Production","Non-Production")</f>
        <v>Production</v>
      </c>
      <c r="W554" t="str">
        <f>IF(SeismicData[[#This Row],[genergy]]=0,"0","10^"&amp;INT(LOG10(SeismicData[[#This Row],[genergy]])))</f>
        <v>10^4</v>
      </c>
      <c r="X554" t="str">
        <f>IF(OR(SeismicData[[#This Row],[genergy]]&lt;$AA$6,SeismicData[[#This Row],[genergy]]&gt;$AA$5),"Outlier","Normal")</f>
        <v>Normal</v>
      </c>
    </row>
    <row r="555" spans="1:24" x14ac:dyDescent="0.15">
      <c r="A555">
        <v>554</v>
      </c>
      <c r="B555" t="s">
        <v>20</v>
      </c>
      <c r="C555" t="s">
        <v>23</v>
      </c>
      <c r="D555" t="s">
        <v>22</v>
      </c>
      <c r="E555">
        <v>28520</v>
      </c>
      <c r="F555">
        <v>483</v>
      </c>
      <c r="G555">
        <v>-19</v>
      </c>
      <c r="H555">
        <v>5</v>
      </c>
      <c r="I555" t="s">
        <v>23</v>
      </c>
      <c r="J555">
        <v>3</v>
      </c>
      <c r="K555">
        <v>3</v>
      </c>
      <c r="L555">
        <v>0</v>
      </c>
      <c r="M555">
        <v>0</v>
      </c>
      <c r="N555">
        <v>0</v>
      </c>
      <c r="O555">
        <v>0</v>
      </c>
      <c r="P555">
        <v>0</v>
      </c>
      <c r="Q555">
        <v>0</v>
      </c>
      <c r="R555">
        <v>1700</v>
      </c>
      <c r="S555">
        <v>700</v>
      </c>
      <c r="T555">
        <v>1</v>
      </c>
      <c r="U555" t="str">
        <f>IF(SeismicData[[#This Row],[class]]=1,"Dangerous","Safe")</f>
        <v>Dangerous</v>
      </c>
      <c r="V555" t="str">
        <f>IF(SeismicData[[#This Row],[shift]]="W","Production","Non-Production")</f>
        <v>Production</v>
      </c>
      <c r="W555" t="str">
        <f>IF(SeismicData[[#This Row],[genergy]]=0,"0","10^"&amp;INT(LOG10(SeismicData[[#This Row],[genergy]])))</f>
        <v>10^4</v>
      </c>
      <c r="X555" t="str">
        <f>IF(OR(SeismicData[[#This Row],[genergy]]&lt;$AA$6,SeismicData[[#This Row],[genergy]]&gt;$AA$5),"Outlier","Normal")</f>
        <v>Normal</v>
      </c>
    </row>
    <row r="556" spans="1:24" x14ac:dyDescent="0.15">
      <c r="A556">
        <v>555</v>
      </c>
      <c r="B556" t="s">
        <v>23</v>
      </c>
      <c r="C556" t="s">
        <v>23</v>
      </c>
      <c r="D556" t="s">
        <v>22</v>
      </c>
      <c r="E556">
        <v>92780</v>
      </c>
      <c r="F556">
        <v>1256</v>
      </c>
      <c r="G556">
        <v>173</v>
      </c>
      <c r="H556">
        <v>172</v>
      </c>
      <c r="I556" t="s">
        <v>23</v>
      </c>
      <c r="J556">
        <v>5</v>
      </c>
      <c r="K556">
        <v>2</v>
      </c>
      <c r="L556">
        <v>2</v>
      </c>
      <c r="M556">
        <v>1</v>
      </c>
      <c r="N556">
        <v>0</v>
      </c>
      <c r="O556">
        <v>0</v>
      </c>
      <c r="P556">
        <v>0</v>
      </c>
      <c r="Q556">
        <v>0</v>
      </c>
      <c r="R556">
        <v>23500</v>
      </c>
      <c r="S556">
        <v>20000</v>
      </c>
      <c r="T556">
        <v>1</v>
      </c>
      <c r="U556" t="str">
        <f>IF(SeismicData[[#This Row],[class]]=1,"Dangerous","Safe")</f>
        <v>Dangerous</v>
      </c>
      <c r="V556" t="str">
        <f>IF(SeismicData[[#This Row],[shift]]="W","Production","Non-Production")</f>
        <v>Production</v>
      </c>
      <c r="W556" t="str">
        <f>IF(SeismicData[[#This Row],[genergy]]=0,"0","10^"&amp;INT(LOG10(SeismicData[[#This Row],[genergy]])))</f>
        <v>10^4</v>
      </c>
      <c r="X556" t="str">
        <f>IF(OR(SeismicData[[#This Row],[genergy]]&lt;$AA$6,SeismicData[[#This Row],[genergy]]&gt;$AA$5),"Outlier","Normal")</f>
        <v>Normal</v>
      </c>
    </row>
    <row r="557" spans="1:24" x14ac:dyDescent="0.15">
      <c r="A557">
        <v>556</v>
      </c>
      <c r="B557" t="s">
        <v>20</v>
      </c>
      <c r="C557" t="s">
        <v>23</v>
      </c>
      <c r="D557" t="s">
        <v>22</v>
      </c>
      <c r="E557">
        <v>60910</v>
      </c>
      <c r="F557">
        <v>882</v>
      </c>
      <c r="G557">
        <v>55</v>
      </c>
      <c r="H557">
        <v>62</v>
      </c>
      <c r="I557" t="s">
        <v>20</v>
      </c>
      <c r="J557">
        <v>2</v>
      </c>
      <c r="K557">
        <v>0</v>
      </c>
      <c r="L557">
        <v>1</v>
      </c>
      <c r="M557">
        <v>0</v>
      </c>
      <c r="N557">
        <v>1</v>
      </c>
      <c r="O557">
        <v>0</v>
      </c>
      <c r="P557">
        <v>0</v>
      </c>
      <c r="Q557">
        <v>0</v>
      </c>
      <c r="R557">
        <v>303000</v>
      </c>
      <c r="S557">
        <v>300000</v>
      </c>
      <c r="T557">
        <v>0</v>
      </c>
      <c r="U557" t="str">
        <f>IF(SeismicData[[#This Row],[class]]=1,"Dangerous","Safe")</f>
        <v>Safe</v>
      </c>
      <c r="V557" t="str">
        <f>IF(SeismicData[[#This Row],[shift]]="W","Production","Non-Production")</f>
        <v>Production</v>
      </c>
      <c r="W557" t="str">
        <f>IF(SeismicData[[#This Row],[genergy]]=0,"0","10^"&amp;INT(LOG10(SeismicData[[#This Row],[genergy]])))</f>
        <v>10^4</v>
      </c>
      <c r="X557" t="str">
        <f>IF(OR(SeismicData[[#This Row],[genergy]]&lt;$AA$6,SeismicData[[#This Row],[genergy]]&gt;$AA$5),"Outlier","Normal")</f>
        <v>Normal</v>
      </c>
    </row>
    <row r="558" spans="1:24" x14ac:dyDescent="0.15">
      <c r="A558">
        <v>557</v>
      </c>
      <c r="B558" t="s">
        <v>20</v>
      </c>
      <c r="C558" t="s">
        <v>23</v>
      </c>
      <c r="D558" t="s">
        <v>22</v>
      </c>
      <c r="E558">
        <v>81410</v>
      </c>
      <c r="F558">
        <v>441</v>
      </c>
      <c r="G558">
        <v>-19</v>
      </c>
      <c r="H558">
        <v>-56</v>
      </c>
      <c r="I558" t="s">
        <v>20</v>
      </c>
      <c r="J558">
        <v>3</v>
      </c>
      <c r="K558">
        <v>2</v>
      </c>
      <c r="L558">
        <v>1</v>
      </c>
      <c r="M558">
        <v>0</v>
      </c>
      <c r="N558">
        <v>0</v>
      </c>
      <c r="O558">
        <v>0</v>
      </c>
      <c r="P558">
        <v>0</v>
      </c>
      <c r="Q558">
        <v>0</v>
      </c>
      <c r="R558">
        <v>10200</v>
      </c>
      <c r="S558">
        <v>9000</v>
      </c>
      <c r="T558">
        <v>1</v>
      </c>
      <c r="U558" t="str">
        <f>IF(SeismicData[[#This Row],[class]]=1,"Dangerous","Safe")</f>
        <v>Dangerous</v>
      </c>
      <c r="V558" t="str">
        <f>IF(SeismicData[[#This Row],[shift]]="W","Production","Non-Production")</f>
        <v>Production</v>
      </c>
      <c r="W558" t="str">
        <f>IF(SeismicData[[#This Row],[genergy]]=0,"0","10^"&amp;INT(LOG10(SeismicData[[#This Row],[genergy]])))</f>
        <v>10^4</v>
      </c>
      <c r="X558" t="str">
        <f>IF(OR(SeismicData[[#This Row],[genergy]]&lt;$AA$6,SeismicData[[#This Row],[genergy]]&gt;$AA$5),"Outlier","Normal")</f>
        <v>Normal</v>
      </c>
    </row>
    <row r="559" spans="1:24" x14ac:dyDescent="0.15">
      <c r="A559">
        <v>558</v>
      </c>
      <c r="B559" t="s">
        <v>20</v>
      </c>
      <c r="C559" t="s">
        <v>23</v>
      </c>
      <c r="D559" t="s">
        <v>22</v>
      </c>
      <c r="E559">
        <v>150220</v>
      </c>
      <c r="F559">
        <v>709</v>
      </c>
      <c r="G559">
        <v>53</v>
      </c>
      <c r="H559">
        <v>-25</v>
      </c>
      <c r="I559" t="s">
        <v>20</v>
      </c>
      <c r="J559">
        <v>2</v>
      </c>
      <c r="K559">
        <v>0</v>
      </c>
      <c r="L559">
        <v>1</v>
      </c>
      <c r="M559">
        <v>1</v>
      </c>
      <c r="N559">
        <v>0</v>
      </c>
      <c r="O559">
        <v>0</v>
      </c>
      <c r="P559">
        <v>0</v>
      </c>
      <c r="Q559">
        <v>0</v>
      </c>
      <c r="R559">
        <v>23000</v>
      </c>
      <c r="S559">
        <v>20000</v>
      </c>
      <c r="T559">
        <v>0</v>
      </c>
      <c r="U559" t="str">
        <f>IF(SeismicData[[#This Row],[class]]=1,"Dangerous","Safe")</f>
        <v>Safe</v>
      </c>
      <c r="V559" t="str">
        <f>IF(SeismicData[[#This Row],[shift]]="W","Production","Non-Production")</f>
        <v>Production</v>
      </c>
      <c r="W559" t="str">
        <f>IF(SeismicData[[#This Row],[genergy]]=0,"0","10^"&amp;INT(LOG10(SeismicData[[#This Row],[genergy]])))</f>
        <v>10^5</v>
      </c>
      <c r="X559" t="str">
        <f>IF(OR(SeismicData[[#This Row],[genergy]]&lt;$AA$6,SeismicData[[#This Row],[genergy]]&gt;$AA$5),"Outlier","Normal")</f>
        <v>Outlier</v>
      </c>
    </row>
    <row r="560" spans="1:24" x14ac:dyDescent="0.15">
      <c r="A560">
        <v>559</v>
      </c>
      <c r="B560" t="s">
        <v>23</v>
      </c>
      <c r="C560" t="s">
        <v>23</v>
      </c>
      <c r="D560" t="s">
        <v>22</v>
      </c>
      <c r="E560">
        <v>109110</v>
      </c>
      <c r="F560">
        <v>417</v>
      </c>
      <c r="G560">
        <v>6</v>
      </c>
      <c r="H560">
        <v>-54</v>
      </c>
      <c r="I560" t="s">
        <v>20</v>
      </c>
      <c r="J560">
        <v>2</v>
      </c>
      <c r="K560">
        <v>2</v>
      </c>
      <c r="L560">
        <v>0</v>
      </c>
      <c r="M560">
        <v>0</v>
      </c>
      <c r="N560">
        <v>0</v>
      </c>
      <c r="O560">
        <v>0</v>
      </c>
      <c r="P560">
        <v>0</v>
      </c>
      <c r="Q560">
        <v>0</v>
      </c>
      <c r="R560">
        <v>1300</v>
      </c>
      <c r="S560">
        <v>800</v>
      </c>
      <c r="T560">
        <v>0</v>
      </c>
      <c r="U560" t="str">
        <f>IF(SeismicData[[#This Row],[class]]=1,"Dangerous","Safe")</f>
        <v>Safe</v>
      </c>
      <c r="V560" t="str">
        <f>IF(SeismicData[[#This Row],[shift]]="W","Production","Non-Production")</f>
        <v>Production</v>
      </c>
      <c r="W560" t="str">
        <f>IF(SeismicData[[#This Row],[genergy]]=0,"0","10^"&amp;INT(LOG10(SeismicData[[#This Row],[genergy]])))</f>
        <v>10^5</v>
      </c>
      <c r="X560" t="str">
        <f>IF(OR(SeismicData[[#This Row],[genergy]]&lt;$AA$6,SeismicData[[#This Row],[genergy]]&gt;$AA$5),"Outlier","Normal")</f>
        <v>Normal</v>
      </c>
    </row>
    <row r="561" spans="1:24" x14ac:dyDescent="0.15">
      <c r="A561">
        <v>560</v>
      </c>
      <c r="B561" t="s">
        <v>23</v>
      </c>
      <c r="C561" t="s">
        <v>23</v>
      </c>
      <c r="D561" t="s">
        <v>22</v>
      </c>
      <c r="E561">
        <v>70490</v>
      </c>
      <c r="F561">
        <v>330</v>
      </c>
      <c r="G561">
        <v>-38</v>
      </c>
      <c r="H561">
        <v>-37</v>
      </c>
      <c r="I561" t="s">
        <v>20</v>
      </c>
      <c r="J561">
        <v>6</v>
      </c>
      <c r="K561">
        <v>1</v>
      </c>
      <c r="L561">
        <v>5</v>
      </c>
      <c r="M561">
        <v>0</v>
      </c>
      <c r="N561">
        <v>0</v>
      </c>
      <c r="O561">
        <v>0</v>
      </c>
      <c r="P561">
        <v>0</v>
      </c>
      <c r="Q561">
        <v>0</v>
      </c>
      <c r="R561">
        <v>10300</v>
      </c>
      <c r="S561">
        <v>3000</v>
      </c>
      <c r="T561">
        <v>0</v>
      </c>
      <c r="U561" t="str">
        <f>IF(SeismicData[[#This Row],[class]]=1,"Dangerous","Safe")</f>
        <v>Safe</v>
      </c>
      <c r="V561" t="str">
        <f>IF(SeismicData[[#This Row],[shift]]="W","Production","Non-Production")</f>
        <v>Production</v>
      </c>
      <c r="W561" t="str">
        <f>IF(SeismicData[[#This Row],[genergy]]=0,"0","10^"&amp;INT(LOG10(SeismicData[[#This Row],[genergy]])))</f>
        <v>10^4</v>
      </c>
      <c r="X561" t="str">
        <f>IF(OR(SeismicData[[#This Row],[genergy]]&lt;$AA$6,SeismicData[[#This Row],[genergy]]&gt;$AA$5),"Outlier","Normal")</f>
        <v>Normal</v>
      </c>
    </row>
    <row r="562" spans="1:24" x14ac:dyDescent="0.15">
      <c r="A562">
        <v>561</v>
      </c>
      <c r="B562" t="s">
        <v>20</v>
      </c>
      <c r="C562" t="s">
        <v>23</v>
      </c>
      <c r="D562" t="s">
        <v>22</v>
      </c>
      <c r="E562">
        <v>83570</v>
      </c>
      <c r="F562">
        <v>488</v>
      </c>
      <c r="G562">
        <v>-24</v>
      </c>
      <c r="H562">
        <v>-3</v>
      </c>
      <c r="I562" t="s">
        <v>20</v>
      </c>
      <c r="J562">
        <v>3</v>
      </c>
      <c r="K562">
        <v>2</v>
      </c>
      <c r="L562">
        <v>1</v>
      </c>
      <c r="M562">
        <v>0</v>
      </c>
      <c r="N562">
        <v>0</v>
      </c>
      <c r="O562">
        <v>0</v>
      </c>
      <c r="P562">
        <v>0</v>
      </c>
      <c r="Q562">
        <v>0</v>
      </c>
      <c r="R562">
        <v>1800</v>
      </c>
      <c r="S562">
        <v>1000</v>
      </c>
      <c r="T562">
        <v>0</v>
      </c>
      <c r="U562" t="str">
        <f>IF(SeismicData[[#This Row],[class]]=1,"Dangerous","Safe")</f>
        <v>Safe</v>
      </c>
      <c r="V562" t="str">
        <f>IF(SeismicData[[#This Row],[shift]]="W","Production","Non-Production")</f>
        <v>Production</v>
      </c>
      <c r="W562" t="str">
        <f>IF(SeismicData[[#This Row],[genergy]]=0,"0","10^"&amp;INT(LOG10(SeismicData[[#This Row],[genergy]])))</f>
        <v>10^4</v>
      </c>
      <c r="X562" t="str">
        <f>IF(OR(SeismicData[[#This Row],[genergy]]&lt;$AA$6,SeismicData[[#This Row],[genergy]]&gt;$AA$5),"Outlier","Normal")</f>
        <v>Normal</v>
      </c>
    </row>
    <row r="563" spans="1:24" x14ac:dyDescent="0.15">
      <c r="A563">
        <v>562</v>
      </c>
      <c r="B563" t="s">
        <v>20</v>
      </c>
      <c r="C563" t="s">
        <v>23</v>
      </c>
      <c r="D563" t="s">
        <v>22</v>
      </c>
      <c r="E563">
        <v>46580</v>
      </c>
      <c r="F563">
        <v>260</v>
      </c>
      <c r="G563">
        <v>-56</v>
      </c>
      <c r="H563">
        <v>-48</v>
      </c>
      <c r="I563" t="s">
        <v>20</v>
      </c>
      <c r="J563">
        <v>1</v>
      </c>
      <c r="K563">
        <v>0</v>
      </c>
      <c r="L563">
        <v>1</v>
      </c>
      <c r="M563">
        <v>0</v>
      </c>
      <c r="N563">
        <v>0</v>
      </c>
      <c r="O563">
        <v>0</v>
      </c>
      <c r="P563">
        <v>0</v>
      </c>
      <c r="Q563">
        <v>0</v>
      </c>
      <c r="R563">
        <v>2000</v>
      </c>
      <c r="S563">
        <v>2000</v>
      </c>
      <c r="T563">
        <v>0</v>
      </c>
      <c r="U563" t="str">
        <f>IF(SeismicData[[#This Row],[class]]=1,"Dangerous","Safe")</f>
        <v>Safe</v>
      </c>
      <c r="V563" t="str">
        <f>IF(SeismicData[[#This Row],[shift]]="W","Production","Non-Production")</f>
        <v>Production</v>
      </c>
      <c r="W563" t="str">
        <f>IF(SeismicData[[#This Row],[genergy]]=0,"0","10^"&amp;INT(LOG10(SeismicData[[#This Row],[genergy]])))</f>
        <v>10^4</v>
      </c>
      <c r="X563" t="str">
        <f>IF(OR(SeismicData[[#This Row],[genergy]]&lt;$AA$6,SeismicData[[#This Row],[genergy]]&gt;$AA$5),"Outlier","Normal")</f>
        <v>Normal</v>
      </c>
    </row>
    <row r="564" spans="1:24" x14ac:dyDescent="0.15">
      <c r="A564">
        <v>563</v>
      </c>
      <c r="B564" t="s">
        <v>20</v>
      </c>
      <c r="C564" t="s">
        <v>20</v>
      </c>
      <c r="D564" t="s">
        <v>21</v>
      </c>
      <c r="E564">
        <v>6500</v>
      </c>
      <c r="F564">
        <v>67</v>
      </c>
      <c r="G564">
        <v>-87</v>
      </c>
      <c r="H564">
        <v>-87</v>
      </c>
      <c r="I564" t="s">
        <v>20</v>
      </c>
      <c r="J564">
        <v>0</v>
      </c>
      <c r="K564">
        <v>0</v>
      </c>
      <c r="L564">
        <v>0</v>
      </c>
      <c r="M564">
        <v>0</v>
      </c>
      <c r="N564">
        <v>0</v>
      </c>
      <c r="O564">
        <v>0</v>
      </c>
      <c r="P564">
        <v>0</v>
      </c>
      <c r="Q564">
        <v>0</v>
      </c>
      <c r="R564">
        <v>0</v>
      </c>
      <c r="S564">
        <v>0</v>
      </c>
      <c r="T564">
        <v>0</v>
      </c>
      <c r="U564" t="str">
        <f>IF(SeismicData[[#This Row],[class]]=1,"Dangerous","Safe")</f>
        <v>Safe</v>
      </c>
      <c r="V564" t="str">
        <f>IF(SeismicData[[#This Row],[shift]]="W","Production","Non-Production")</f>
        <v>Non-Production</v>
      </c>
      <c r="W564" t="str">
        <f>IF(SeismicData[[#This Row],[genergy]]=0,"0","10^"&amp;INT(LOG10(SeismicData[[#This Row],[genergy]])))</f>
        <v>10^3</v>
      </c>
      <c r="X564" t="str">
        <f>IF(OR(SeismicData[[#This Row],[genergy]]&lt;$AA$6,SeismicData[[#This Row],[genergy]]&gt;$AA$5),"Outlier","Normal")</f>
        <v>Normal</v>
      </c>
    </row>
    <row r="565" spans="1:24" x14ac:dyDescent="0.15">
      <c r="A565">
        <v>564</v>
      </c>
      <c r="B565" t="s">
        <v>20</v>
      </c>
      <c r="C565" t="s">
        <v>20</v>
      </c>
      <c r="D565" t="s">
        <v>21</v>
      </c>
      <c r="E565">
        <v>5310</v>
      </c>
      <c r="F565">
        <v>49</v>
      </c>
      <c r="G565">
        <v>-88</v>
      </c>
      <c r="H565">
        <v>-89</v>
      </c>
      <c r="I565" t="s">
        <v>20</v>
      </c>
      <c r="J565">
        <v>0</v>
      </c>
      <c r="K565">
        <v>0</v>
      </c>
      <c r="L565">
        <v>0</v>
      </c>
      <c r="M565">
        <v>0</v>
      </c>
      <c r="N565">
        <v>0</v>
      </c>
      <c r="O565">
        <v>0</v>
      </c>
      <c r="P565">
        <v>0</v>
      </c>
      <c r="Q565">
        <v>0</v>
      </c>
      <c r="R565">
        <v>0</v>
      </c>
      <c r="S565">
        <v>0</v>
      </c>
      <c r="T565">
        <v>0</v>
      </c>
      <c r="U565" t="str">
        <f>IF(SeismicData[[#This Row],[class]]=1,"Dangerous","Safe")</f>
        <v>Safe</v>
      </c>
      <c r="V565" t="str">
        <f>IF(SeismicData[[#This Row],[shift]]="W","Production","Non-Production")</f>
        <v>Non-Production</v>
      </c>
      <c r="W565" t="str">
        <f>IF(SeismicData[[#This Row],[genergy]]=0,"0","10^"&amp;INT(LOG10(SeismicData[[#This Row],[genergy]])))</f>
        <v>10^3</v>
      </c>
      <c r="X565" t="str">
        <f>IF(OR(SeismicData[[#This Row],[genergy]]&lt;$AA$6,SeismicData[[#This Row],[genergy]]&gt;$AA$5),"Outlier","Normal")</f>
        <v>Normal</v>
      </c>
    </row>
    <row r="566" spans="1:24" x14ac:dyDescent="0.15">
      <c r="A566">
        <v>565</v>
      </c>
      <c r="B566" t="s">
        <v>20</v>
      </c>
      <c r="C566" t="s">
        <v>20</v>
      </c>
      <c r="D566" t="s">
        <v>21</v>
      </c>
      <c r="E566">
        <v>5770</v>
      </c>
      <c r="F566">
        <v>45</v>
      </c>
      <c r="G566">
        <v>-86</v>
      </c>
      <c r="H566">
        <v>-89</v>
      </c>
      <c r="I566" t="s">
        <v>20</v>
      </c>
      <c r="J566">
        <v>1</v>
      </c>
      <c r="K566">
        <v>0</v>
      </c>
      <c r="L566">
        <v>1</v>
      </c>
      <c r="M566">
        <v>0</v>
      </c>
      <c r="N566">
        <v>0</v>
      </c>
      <c r="O566">
        <v>0</v>
      </c>
      <c r="P566">
        <v>0</v>
      </c>
      <c r="Q566">
        <v>0</v>
      </c>
      <c r="R566">
        <v>2000</v>
      </c>
      <c r="S566">
        <v>2000</v>
      </c>
      <c r="T566">
        <v>0</v>
      </c>
      <c r="U566" t="str">
        <f>IF(SeismicData[[#This Row],[class]]=1,"Dangerous","Safe")</f>
        <v>Safe</v>
      </c>
      <c r="V566" t="str">
        <f>IF(SeismicData[[#This Row],[shift]]="W","Production","Non-Production")</f>
        <v>Non-Production</v>
      </c>
      <c r="W566" t="str">
        <f>IF(SeismicData[[#This Row],[genergy]]=0,"0","10^"&amp;INT(LOG10(SeismicData[[#This Row],[genergy]])))</f>
        <v>10^3</v>
      </c>
      <c r="X566" t="str">
        <f>IF(OR(SeismicData[[#This Row],[genergy]]&lt;$AA$6,SeismicData[[#This Row],[genergy]]&gt;$AA$5),"Outlier","Normal")</f>
        <v>Normal</v>
      </c>
    </row>
    <row r="567" spans="1:24" x14ac:dyDescent="0.15">
      <c r="A567">
        <v>566</v>
      </c>
      <c r="B567" t="s">
        <v>20</v>
      </c>
      <c r="C567" t="s">
        <v>20</v>
      </c>
      <c r="D567" t="s">
        <v>22</v>
      </c>
      <c r="E567">
        <v>54150</v>
      </c>
      <c r="F567">
        <v>307</v>
      </c>
      <c r="G567">
        <v>-46</v>
      </c>
      <c r="H567">
        <v>-35</v>
      </c>
      <c r="I567" t="s">
        <v>20</v>
      </c>
      <c r="J567">
        <v>3</v>
      </c>
      <c r="K567">
        <v>3</v>
      </c>
      <c r="L567">
        <v>0</v>
      </c>
      <c r="M567">
        <v>0</v>
      </c>
      <c r="N567">
        <v>0</v>
      </c>
      <c r="O567">
        <v>0</v>
      </c>
      <c r="P567">
        <v>0</v>
      </c>
      <c r="Q567">
        <v>0</v>
      </c>
      <c r="R567">
        <v>800</v>
      </c>
      <c r="S567">
        <v>300</v>
      </c>
      <c r="T567">
        <v>1</v>
      </c>
      <c r="U567" t="str">
        <f>IF(SeismicData[[#This Row],[class]]=1,"Dangerous","Safe")</f>
        <v>Dangerous</v>
      </c>
      <c r="V567" t="str">
        <f>IF(SeismicData[[#This Row],[shift]]="W","Production","Non-Production")</f>
        <v>Production</v>
      </c>
      <c r="W567" t="str">
        <f>IF(SeismicData[[#This Row],[genergy]]=0,"0","10^"&amp;INT(LOG10(SeismicData[[#This Row],[genergy]])))</f>
        <v>10^4</v>
      </c>
      <c r="X567" t="str">
        <f>IF(OR(SeismicData[[#This Row],[genergy]]&lt;$AA$6,SeismicData[[#This Row],[genergy]]&gt;$AA$5),"Outlier","Normal")</f>
        <v>Normal</v>
      </c>
    </row>
    <row r="568" spans="1:24" x14ac:dyDescent="0.15">
      <c r="A568">
        <v>567</v>
      </c>
      <c r="B568" t="s">
        <v>23</v>
      </c>
      <c r="C568" t="s">
        <v>20</v>
      </c>
      <c r="D568" t="s">
        <v>22</v>
      </c>
      <c r="E568">
        <v>96070</v>
      </c>
      <c r="F568">
        <v>537</v>
      </c>
      <c r="G568">
        <v>3</v>
      </c>
      <c r="H568">
        <v>19</v>
      </c>
      <c r="I568" t="s">
        <v>20</v>
      </c>
      <c r="J568">
        <v>3</v>
      </c>
      <c r="K568">
        <v>1</v>
      </c>
      <c r="L568">
        <v>1</v>
      </c>
      <c r="M568">
        <v>1</v>
      </c>
      <c r="N568">
        <v>0</v>
      </c>
      <c r="O568">
        <v>0</v>
      </c>
      <c r="P568">
        <v>0</v>
      </c>
      <c r="Q568">
        <v>0</v>
      </c>
      <c r="R568">
        <v>49200</v>
      </c>
      <c r="S568">
        <v>40000</v>
      </c>
      <c r="T568">
        <v>0</v>
      </c>
      <c r="U568" t="str">
        <f>IF(SeismicData[[#This Row],[class]]=1,"Dangerous","Safe")</f>
        <v>Safe</v>
      </c>
      <c r="V568" t="str">
        <f>IF(SeismicData[[#This Row],[shift]]="W","Production","Non-Production")</f>
        <v>Production</v>
      </c>
      <c r="W568" t="str">
        <f>IF(SeismicData[[#This Row],[genergy]]=0,"0","10^"&amp;INT(LOG10(SeismicData[[#This Row],[genergy]])))</f>
        <v>10^4</v>
      </c>
      <c r="X568" t="str">
        <f>IF(OR(SeismicData[[#This Row],[genergy]]&lt;$AA$6,SeismicData[[#This Row],[genergy]]&gt;$AA$5),"Outlier","Normal")</f>
        <v>Normal</v>
      </c>
    </row>
    <row r="569" spans="1:24" x14ac:dyDescent="0.15">
      <c r="A569">
        <v>568</v>
      </c>
      <c r="B569" t="s">
        <v>23</v>
      </c>
      <c r="C569" t="s">
        <v>20</v>
      </c>
      <c r="D569" t="s">
        <v>22</v>
      </c>
      <c r="E569">
        <v>40800</v>
      </c>
      <c r="F569">
        <v>222</v>
      </c>
      <c r="G569">
        <v>-56</v>
      </c>
      <c r="H569">
        <v>-51</v>
      </c>
      <c r="I569" t="s">
        <v>20</v>
      </c>
      <c r="J569">
        <v>3</v>
      </c>
      <c r="K569">
        <v>1</v>
      </c>
      <c r="L569">
        <v>2</v>
      </c>
      <c r="M569">
        <v>0</v>
      </c>
      <c r="N569">
        <v>0</v>
      </c>
      <c r="O569">
        <v>0</v>
      </c>
      <c r="P569">
        <v>0</v>
      </c>
      <c r="Q569">
        <v>0</v>
      </c>
      <c r="R569">
        <v>5800</v>
      </c>
      <c r="S569">
        <v>3000</v>
      </c>
      <c r="T569">
        <v>0</v>
      </c>
      <c r="U569" t="str">
        <f>IF(SeismicData[[#This Row],[class]]=1,"Dangerous","Safe")</f>
        <v>Safe</v>
      </c>
      <c r="V569" t="str">
        <f>IF(SeismicData[[#This Row],[shift]]="W","Production","Non-Production")</f>
        <v>Production</v>
      </c>
      <c r="W569" t="str">
        <f>IF(SeismicData[[#This Row],[genergy]]=0,"0","10^"&amp;INT(LOG10(SeismicData[[#This Row],[genergy]])))</f>
        <v>10^4</v>
      </c>
      <c r="X569" t="str">
        <f>IF(OR(SeismicData[[#This Row],[genergy]]&lt;$AA$6,SeismicData[[#This Row],[genergy]]&gt;$AA$5),"Outlier","Normal")</f>
        <v>Normal</v>
      </c>
    </row>
    <row r="570" spans="1:24" x14ac:dyDescent="0.15">
      <c r="A570">
        <v>569</v>
      </c>
      <c r="B570" t="s">
        <v>23</v>
      </c>
      <c r="C570" t="s">
        <v>20</v>
      </c>
      <c r="D570" t="s">
        <v>22</v>
      </c>
      <c r="E570">
        <v>38070</v>
      </c>
      <c r="F570">
        <v>220</v>
      </c>
      <c r="G570">
        <v>-55</v>
      </c>
      <c r="H570">
        <v>-48</v>
      </c>
      <c r="I570" t="s">
        <v>20</v>
      </c>
      <c r="J570">
        <v>2</v>
      </c>
      <c r="K570">
        <v>1</v>
      </c>
      <c r="L570">
        <v>1</v>
      </c>
      <c r="M570">
        <v>0</v>
      </c>
      <c r="N570">
        <v>0</v>
      </c>
      <c r="O570">
        <v>0</v>
      </c>
      <c r="P570">
        <v>0</v>
      </c>
      <c r="Q570">
        <v>0</v>
      </c>
      <c r="R570">
        <v>7900</v>
      </c>
      <c r="S570">
        <v>7000</v>
      </c>
      <c r="T570">
        <v>0</v>
      </c>
      <c r="U570" t="str">
        <f>IF(SeismicData[[#This Row],[class]]=1,"Dangerous","Safe")</f>
        <v>Safe</v>
      </c>
      <c r="V570" t="str">
        <f>IF(SeismicData[[#This Row],[shift]]="W","Production","Non-Production")</f>
        <v>Production</v>
      </c>
      <c r="W570" t="str">
        <f>IF(SeismicData[[#This Row],[genergy]]=0,"0","10^"&amp;INT(LOG10(SeismicData[[#This Row],[genergy]])))</f>
        <v>10^4</v>
      </c>
      <c r="X570" t="str">
        <f>IF(OR(SeismicData[[#This Row],[genergy]]&lt;$AA$6,SeismicData[[#This Row],[genergy]]&gt;$AA$5),"Outlier","Normal")</f>
        <v>Normal</v>
      </c>
    </row>
    <row r="571" spans="1:24" x14ac:dyDescent="0.15">
      <c r="A571">
        <v>570</v>
      </c>
      <c r="B571" t="s">
        <v>20</v>
      </c>
      <c r="C571" t="s">
        <v>20</v>
      </c>
      <c r="D571" t="s">
        <v>22</v>
      </c>
      <c r="E571">
        <v>69660</v>
      </c>
      <c r="F571">
        <v>362</v>
      </c>
      <c r="G571">
        <v>-10</v>
      </c>
      <c r="H571">
        <v>-8</v>
      </c>
      <c r="I571" t="s">
        <v>20</v>
      </c>
      <c r="J571">
        <v>2</v>
      </c>
      <c r="K571">
        <v>2</v>
      </c>
      <c r="L571">
        <v>0</v>
      </c>
      <c r="M571">
        <v>0</v>
      </c>
      <c r="N571">
        <v>0</v>
      </c>
      <c r="O571">
        <v>0</v>
      </c>
      <c r="P571">
        <v>0</v>
      </c>
      <c r="Q571">
        <v>0</v>
      </c>
      <c r="R571">
        <v>800</v>
      </c>
      <c r="S571">
        <v>500</v>
      </c>
      <c r="T571">
        <v>1</v>
      </c>
      <c r="U571" t="str">
        <f>IF(SeismicData[[#This Row],[class]]=1,"Dangerous","Safe")</f>
        <v>Dangerous</v>
      </c>
      <c r="V571" t="str">
        <f>IF(SeismicData[[#This Row],[shift]]="W","Production","Non-Production")</f>
        <v>Production</v>
      </c>
      <c r="W571" t="str">
        <f>IF(SeismicData[[#This Row],[genergy]]=0,"0","10^"&amp;INT(LOG10(SeismicData[[#This Row],[genergy]])))</f>
        <v>10^4</v>
      </c>
      <c r="X571" t="str">
        <f>IF(OR(SeismicData[[#This Row],[genergy]]&lt;$AA$6,SeismicData[[#This Row],[genergy]]&gt;$AA$5),"Outlier","Normal")</f>
        <v>Normal</v>
      </c>
    </row>
    <row r="572" spans="1:24" x14ac:dyDescent="0.15">
      <c r="A572">
        <v>571</v>
      </c>
      <c r="B572" t="s">
        <v>23</v>
      </c>
      <c r="C572" t="s">
        <v>20</v>
      </c>
      <c r="D572" t="s">
        <v>22</v>
      </c>
      <c r="E572">
        <v>32310</v>
      </c>
      <c r="F572">
        <v>194</v>
      </c>
      <c r="G572">
        <v>-56</v>
      </c>
      <c r="H572">
        <v>-49</v>
      </c>
      <c r="I572" t="s">
        <v>20</v>
      </c>
      <c r="J572">
        <v>4</v>
      </c>
      <c r="K572">
        <v>1</v>
      </c>
      <c r="L572">
        <v>2</v>
      </c>
      <c r="M572">
        <v>1</v>
      </c>
      <c r="N572">
        <v>0</v>
      </c>
      <c r="O572">
        <v>0</v>
      </c>
      <c r="P572">
        <v>0</v>
      </c>
      <c r="Q572">
        <v>0</v>
      </c>
      <c r="R572">
        <v>28400</v>
      </c>
      <c r="S572">
        <v>20000</v>
      </c>
      <c r="T572">
        <v>0</v>
      </c>
      <c r="U572" t="str">
        <f>IF(SeismicData[[#This Row],[class]]=1,"Dangerous","Safe")</f>
        <v>Safe</v>
      </c>
      <c r="V572" t="str">
        <f>IF(SeismicData[[#This Row],[shift]]="W","Production","Non-Production")</f>
        <v>Production</v>
      </c>
      <c r="W572" t="str">
        <f>IF(SeismicData[[#This Row],[genergy]]=0,"0","10^"&amp;INT(LOG10(SeismicData[[#This Row],[genergy]])))</f>
        <v>10^4</v>
      </c>
      <c r="X572" t="str">
        <f>IF(OR(SeismicData[[#This Row],[genergy]]&lt;$AA$6,SeismicData[[#This Row],[genergy]]&gt;$AA$5),"Outlier","Normal")</f>
        <v>Normal</v>
      </c>
    </row>
    <row r="573" spans="1:24" x14ac:dyDescent="0.15">
      <c r="A573">
        <v>572</v>
      </c>
      <c r="B573" t="s">
        <v>23</v>
      </c>
      <c r="C573" t="s">
        <v>20</v>
      </c>
      <c r="D573" t="s">
        <v>22</v>
      </c>
      <c r="E573">
        <v>39760</v>
      </c>
      <c r="F573">
        <v>211</v>
      </c>
      <c r="G573">
        <v>-38</v>
      </c>
      <c r="H573">
        <v>-39</v>
      </c>
      <c r="I573" t="s">
        <v>20</v>
      </c>
      <c r="J573">
        <v>3</v>
      </c>
      <c r="K573">
        <v>3</v>
      </c>
      <c r="L573">
        <v>0</v>
      </c>
      <c r="M573">
        <v>0</v>
      </c>
      <c r="N573">
        <v>0</v>
      </c>
      <c r="O573">
        <v>0</v>
      </c>
      <c r="P573">
        <v>0</v>
      </c>
      <c r="Q573">
        <v>0</v>
      </c>
      <c r="R573">
        <v>1600</v>
      </c>
      <c r="S573">
        <v>900</v>
      </c>
      <c r="T573">
        <v>0</v>
      </c>
      <c r="U573" t="str">
        <f>IF(SeismicData[[#This Row],[class]]=1,"Dangerous","Safe")</f>
        <v>Safe</v>
      </c>
      <c r="V573" t="str">
        <f>IF(SeismicData[[#This Row],[shift]]="W","Production","Non-Production")</f>
        <v>Production</v>
      </c>
      <c r="W573" t="str">
        <f>IF(SeismicData[[#This Row],[genergy]]=0,"0","10^"&amp;INT(LOG10(SeismicData[[#This Row],[genergy]])))</f>
        <v>10^4</v>
      </c>
      <c r="X573" t="str">
        <f>IF(OR(SeismicData[[#This Row],[genergy]]&lt;$AA$6,SeismicData[[#This Row],[genergy]]&gt;$AA$5),"Outlier","Normal")</f>
        <v>Normal</v>
      </c>
    </row>
    <row r="574" spans="1:24" x14ac:dyDescent="0.15">
      <c r="A574">
        <v>573</v>
      </c>
      <c r="B574" t="s">
        <v>23</v>
      </c>
      <c r="C574" t="s">
        <v>20</v>
      </c>
      <c r="D574" t="s">
        <v>22</v>
      </c>
      <c r="E574">
        <v>74940</v>
      </c>
      <c r="F574">
        <v>360</v>
      </c>
      <c r="G574">
        <v>31</v>
      </c>
      <c r="H574">
        <v>15</v>
      </c>
      <c r="I574" t="s">
        <v>20</v>
      </c>
      <c r="J574">
        <v>2</v>
      </c>
      <c r="K574">
        <v>2</v>
      </c>
      <c r="L574">
        <v>0</v>
      </c>
      <c r="M574">
        <v>0</v>
      </c>
      <c r="N574">
        <v>0</v>
      </c>
      <c r="O574">
        <v>0</v>
      </c>
      <c r="P574">
        <v>0</v>
      </c>
      <c r="Q574">
        <v>0</v>
      </c>
      <c r="R574">
        <v>500</v>
      </c>
      <c r="S574">
        <v>400</v>
      </c>
      <c r="T574">
        <v>0</v>
      </c>
      <c r="U574" t="str">
        <f>IF(SeismicData[[#This Row],[class]]=1,"Dangerous","Safe")</f>
        <v>Safe</v>
      </c>
      <c r="V574" t="str">
        <f>IF(SeismicData[[#This Row],[shift]]="W","Production","Non-Production")</f>
        <v>Production</v>
      </c>
      <c r="W574" t="str">
        <f>IF(SeismicData[[#This Row],[genergy]]=0,"0","10^"&amp;INT(LOG10(SeismicData[[#This Row],[genergy]])))</f>
        <v>10^4</v>
      </c>
      <c r="X574" t="str">
        <f>IF(OR(SeismicData[[#This Row],[genergy]]&lt;$AA$6,SeismicData[[#This Row],[genergy]]&gt;$AA$5),"Outlier","Normal")</f>
        <v>Normal</v>
      </c>
    </row>
    <row r="575" spans="1:24" x14ac:dyDescent="0.15">
      <c r="A575">
        <v>574</v>
      </c>
      <c r="B575" t="s">
        <v>20</v>
      </c>
      <c r="C575" t="s">
        <v>20</v>
      </c>
      <c r="D575" t="s">
        <v>22</v>
      </c>
      <c r="E575">
        <v>63950</v>
      </c>
      <c r="F575">
        <v>297</v>
      </c>
      <c r="G575">
        <v>11</v>
      </c>
      <c r="H575">
        <v>-6</v>
      </c>
      <c r="I575" t="s">
        <v>20</v>
      </c>
      <c r="J575">
        <v>0</v>
      </c>
      <c r="K575">
        <v>0</v>
      </c>
      <c r="L575">
        <v>0</v>
      </c>
      <c r="M575">
        <v>0</v>
      </c>
      <c r="N575">
        <v>0</v>
      </c>
      <c r="O575">
        <v>0</v>
      </c>
      <c r="P575">
        <v>0</v>
      </c>
      <c r="Q575">
        <v>0</v>
      </c>
      <c r="R575">
        <v>0</v>
      </c>
      <c r="S575">
        <v>0</v>
      </c>
      <c r="T575">
        <v>0</v>
      </c>
      <c r="U575" t="str">
        <f>IF(SeismicData[[#This Row],[class]]=1,"Dangerous","Safe")</f>
        <v>Safe</v>
      </c>
      <c r="V575" t="str">
        <f>IF(SeismicData[[#This Row],[shift]]="W","Production","Non-Production")</f>
        <v>Production</v>
      </c>
      <c r="W575" t="str">
        <f>IF(SeismicData[[#This Row],[genergy]]=0,"0","10^"&amp;INT(LOG10(SeismicData[[#This Row],[genergy]])))</f>
        <v>10^4</v>
      </c>
      <c r="X575" t="str">
        <f>IF(OR(SeismicData[[#This Row],[genergy]]&lt;$AA$6,SeismicData[[#This Row],[genergy]]&gt;$AA$5),"Outlier","Normal")</f>
        <v>Normal</v>
      </c>
    </row>
    <row r="576" spans="1:24" x14ac:dyDescent="0.15">
      <c r="A576">
        <v>575</v>
      </c>
      <c r="B576" t="s">
        <v>20</v>
      </c>
      <c r="C576" t="s">
        <v>20</v>
      </c>
      <c r="D576" t="s">
        <v>22</v>
      </c>
      <c r="E576">
        <v>54030</v>
      </c>
      <c r="F576">
        <v>335</v>
      </c>
      <c r="G576">
        <v>-3</v>
      </c>
      <c r="H576">
        <v>13</v>
      </c>
      <c r="I576" t="s">
        <v>20</v>
      </c>
      <c r="J576">
        <v>6</v>
      </c>
      <c r="K576">
        <v>3</v>
      </c>
      <c r="L576">
        <v>3</v>
      </c>
      <c r="M576">
        <v>0</v>
      </c>
      <c r="N576">
        <v>0</v>
      </c>
      <c r="O576">
        <v>0</v>
      </c>
      <c r="P576">
        <v>0</v>
      </c>
      <c r="Q576">
        <v>0</v>
      </c>
      <c r="R576">
        <v>13300</v>
      </c>
      <c r="S576">
        <v>9000</v>
      </c>
      <c r="T576">
        <v>0</v>
      </c>
      <c r="U576" t="str">
        <f>IF(SeismicData[[#This Row],[class]]=1,"Dangerous","Safe")</f>
        <v>Safe</v>
      </c>
      <c r="V576" t="str">
        <f>IF(SeismicData[[#This Row],[shift]]="W","Production","Non-Production")</f>
        <v>Production</v>
      </c>
      <c r="W576" t="str">
        <f>IF(SeismicData[[#This Row],[genergy]]=0,"0","10^"&amp;INT(LOG10(SeismicData[[#This Row],[genergy]])))</f>
        <v>10^4</v>
      </c>
      <c r="X576" t="str">
        <f>IF(OR(SeismicData[[#This Row],[genergy]]&lt;$AA$6,SeismicData[[#This Row],[genergy]]&gt;$AA$5),"Outlier","Normal")</f>
        <v>Normal</v>
      </c>
    </row>
    <row r="577" spans="1:24" x14ac:dyDescent="0.15">
      <c r="A577">
        <v>576</v>
      </c>
      <c r="B577" t="s">
        <v>20</v>
      </c>
      <c r="C577" t="s">
        <v>20</v>
      </c>
      <c r="D577" t="s">
        <v>22</v>
      </c>
      <c r="E577">
        <v>44080</v>
      </c>
      <c r="F577">
        <v>339</v>
      </c>
      <c r="G577">
        <v>-22</v>
      </c>
      <c r="H577">
        <v>11</v>
      </c>
      <c r="I577" t="s">
        <v>20</v>
      </c>
      <c r="J577">
        <v>2</v>
      </c>
      <c r="K577">
        <v>1</v>
      </c>
      <c r="L577">
        <v>1</v>
      </c>
      <c r="M577">
        <v>0</v>
      </c>
      <c r="N577">
        <v>0</v>
      </c>
      <c r="O577">
        <v>0</v>
      </c>
      <c r="P577">
        <v>0</v>
      </c>
      <c r="Q577">
        <v>0</v>
      </c>
      <c r="R577">
        <v>3700</v>
      </c>
      <c r="S577">
        <v>3000</v>
      </c>
      <c r="T577">
        <v>0</v>
      </c>
      <c r="U577" t="str">
        <f>IF(SeismicData[[#This Row],[class]]=1,"Dangerous","Safe")</f>
        <v>Safe</v>
      </c>
      <c r="V577" t="str">
        <f>IF(SeismicData[[#This Row],[shift]]="W","Production","Non-Production")</f>
        <v>Production</v>
      </c>
      <c r="W577" t="str">
        <f>IF(SeismicData[[#This Row],[genergy]]=0,"0","10^"&amp;INT(LOG10(SeismicData[[#This Row],[genergy]])))</f>
        <v>10^4</v>
      </c>
      <c r="X577" t="str">
        <f>IF(OR(SeismicData[[#This Row],[genergy]]&lt;$AA$6,SeismicData[[#This Row],[genergy]]&gt;$AA$5),"Outlier","Normal")</f>
        <v>Normal</v>
      </c>
    </row>
    <row r="578" spans="1:24" x14ac:dyDescent="0.15">
      <c r="A578">
        <v>577</v>
      </c>
      <c r="B578" t="s">
        <v>20</v>
      </c>
      <c r="C578" t="s">
        <v>20</v>
      </c>
      <c r="D578" t="s">
        <v>22</v>
      </c>
      <c r="E578">
        <v>33580</v>
      </c>
      <c r="F578">
        <v>268</v>
      </c>
      <c r="G578">
        <v>-39</v>
      </c>
      <c r="H578">
        <v>-13</v>
      </c>
      <c r="I578" t="s">
        <v>20</v>
      </c>
      <c r="J578">
        <v>1</v>
      </c>
      <c r="K578">
        <v>0</v>
      </c>
      <c r="L578">
        <v>1</v>
      </c>
      <c r="M578">
        <v>0</v>
      </c>
      <c r="N578">
        <v>0</v>
      </c>
      <c r="O578">
        <v>0</v>
      </c>
      <c r="P578">
        <v>0</v>
      </c>
      <c r="Q578">
        <v>0</v>
      </c>
      <c r="R578">
        <v>4000</v>
      </c>
      <c r="S578">
        <v>4000</v>
      </c>
      <c r="T578">
        <v>0</v>
      </c>
      <c r="U578" t="str">
        <f>IF(SeismicData[[#This Row],[class]]=1,"Dangerous","Safe")</f>
        <v>Safe</v>
      </c>
      <c r="V578" t="str">
        <f>IF(SeismicData[[#This Row],[shift]]="W","Production","Non-Production")</f>
        <v>Production</v>
      </c>
      <c r="W578" t="str">
        <f>IF(SeismicData[[#This Row],[genergy]]=0,"0","10^"&amp;INT(LOG10(SeismicData[[#This Row],[genergy]])))</f>
        <v>10^4</v>
      </c>
      <c r="X578" t="str">
        <f>IF(OR(SeismicData[[#This Row],[genergy]]&lt;$AA$6,SeismicData[[#This Row],[genergy]]&gt;$AA$5),"Outlier","Normal")</f>
        <v>Normal</v>
      </c>
    </row>
    <row r="579" spans="1:24" x14ac:dyDescent="0.15">
      <c r="A579">
        <v>578</v>
      </c>
      <c r="B579" t="s">
        <v>20</v>
      </c>
      <c r="C579" t="s">
        <v>20</v>
      </c>
      <c r="D579" t="s">
        <v>22</v>
      </c>
      <c r="E579">
        <v>34980</v>
      </c>
      <c r="F579">
        <v>296</v>
      </c>
      <c r="G579">
        <v>-29</v>
      </c>
      <c r="H579">
        <v>5</v>
      </c>
      <c r="I579" t="s">
        <v>20</v>
      </c>
      <c r="J579">
        <v>0</v>
      </c>
      <c r="K579">
        <v>0</v>
      </c>
      <c r="L579">
        <v>0</v>
      </c>
      <c r="M579">
        <v>0</v>
      </c>
      <c r="N579">
        <v>0</v>
      </c>
      <c r="O579">
        <v>0</v>
      </c>
      <c r="P579">
        <v>0</v>
      </c>
      <c r="Q579">
        <v>0</v>
      </c>
      <c r="R579">
        <v>0</v>
      </c>
      <c r="S579">
        <v>0</v>
      </c>
      <c r="T579">
        <v>0</v>
      </c>
      <c r="U579" t="str">
        <f>IF(SeismicData[[#This Row],[class]]=1,"Dangerous","Safe")</f>
        <v>Safe</v>
      </c>
      <c r="V579" t="str">
        <f>IF(SeismicData[[#This Row],[shift]]="W","Production","Non-Production")</f>
        <v>Production</v>
      </c>
      <c r="W579" t="str">
        <f>IF(SeismicData[[#This Row],[genergy]]=0,"0","10^"&amp;INT(LOG10(SeismicData[[#This Row],[genergy]])))</f>
        <v>10^4</v>
      </c>
      <c r="X579" t="str">
        <f>IF(OR(SeismicData[[#This Row],[genergy]]&lt;$AA$6,SeismicData[[#This Row],[genergy]]&gt;$AA$5),"Outlier","Normal")</f>
        <v>Normal</v>
      </c>
    </row>
    <row r="580" spans="1:24" x14ac:dyDescent="0.15">
      <c r="A580">
        <v>579</v>
      </c>
      <c r="B580" t="s">
        <v>20</v>
      </c>
      <c r="C580" t="s">
        <v>20</v>
      </c>
      <c r="D580" t="s">
        <v>22</v>
      </c>
      <c r="E580">
        <v>40850</v>
      </c>
      <c r="F580">
        <v>340</v>
      </c>
      <c r="G580">
        <v>-16</v>
      </c>
      <c r="H580">
        <v>18</v>
      </c>
      <c r="I580" t="s">
        <v>20</v>
      </c>
      <c r="J580">
        <v>2</v>
      </c>
      <c r="K580">
        <v>2</v>
      </c>
      <c r="L580">
        <v>0</v>
      </c>
      <c r="M580">
        <v>0</v>
      </c>
      <c r="N580">
        <v>0</v>
      </c>
      <c r="O580">
        <v>0</v>
      </c>
      <c r="P580">
        <v>0</v>
      </c>
      <c r="Q580">
        <v>0</v>
      </c>
      <c r="R580">
        <v>400</v>
      </c>
      <c r="S580">
        <v>200</v>
      </c>
      <c r="T580">
        <v>0</v>
      </c>
      <c r="U580" t="str">
        <f>IF(SeismicData[[#This Row],[class]]=1,"Dangerous","Safe")</f>
        <v>Safe</v>
      </c>
      <c r="V580" t="str">
        <f>IF(SeismicData[[#This Row],[shift]]="W","Production","Non-Production")</f>
        <v>Production</v>
      </c>
      <c r="W580" t="str">
        <f>IF(SeismicData[[#This Row],[genergy]]=0,"0","10^"&amp;INT(LOG10(SeismicData[[#This Row],[genergy]])))</f>
        <v>10^4</v>
      </c>
      <c r="X580" t="str">
        <f>IF(OR(SeismicData[[#This Row],[genergy]]&lt;$AA$6,SeismicData[[#This Row],[genergy]]&gt;$AA$5),"Outlier","Normal")</f>
        <v>Normal</v>
      </c>
    </row>
    <row r="581" spans="1:24" x14ac:dyDescent="0.15">
      <c r="A581">
        <v>580</v>
      </c>
      <c r="B581" t="s">
        <v>20</v>
      </c>
      <c r="C581" t="s">
        <v>20</v>
      </c>
      <c r="D581" t="s">
        <v>21</v>
      </c>
      <c r="E581">
        <v>4050</v>
      </c>
      <c r="F581">
        <v>34</v>
      </c>
      <c r="G581">
        <v>-31</v>
      </c>
      <c r="H581">
        <v>-37</v>
      </c>
      <c r="I581" t="s">
        <v>20</v>
      </c>
      <c r="J581">
        <v>1</v>
      </c>
      <c r="K581">
        <v>1</v>
      </c>
      <c r="L581">
        <v>0</v>
      </c>
      <c r="M581">
        <v>0</v>
      </c>
      <c r="N581">
        <v>0</v>
      </c>
      <c r="O581">
        <v>0</v>
      </c>
      <c r="P581">
        <v>0</v>
      </c>
      <c r="Q581">
        <v>0</v>
      </c>
      <c r="R581">
        <v>600</v>
      </c>
      <c r="S581">
        <v>600</v>
      </c>
      <c r="T581">
        <v>0</v>
      </c>
      <c r="U581" t="str">
        <f>IF(SeismicData[[#This Row],[class]]=1,"Dangerous","Safe")</f>
        <v>Safe</v>
      </c>
      <c r="V581" t="str">
        <f>IF(SeismicData[[#This Row],[shift]]="W","Production","Non-Production")</f>
        <v>Non-Production</v>
      </c>
      <c r="W581" t="str">
        <f>IF(SeismicData[[#This Row],[genergy]]=0,"0","10^"&amp;INT(LOG10(SeismicData[[#This Row],[genergy]])))</f>
        <v>10^3</v>
      </c>
      <c r="X581" t="str">
        <f>IF(OR(SeismicData[[#This Row],[genergy]]&lt;$AA$6,SeismicData[[#This Row],[genergy]]&gt;$AA$5),"Outlier","Normal")</f>
        <v>Normal</v>
      </c>
    </row>
    <row r="582" spans="1:24" x14ac:dyDescent="0.15">
      <c r="A582">
        <v>581</v>
      </c>
      <c r="B582" t="s">
        <v>20</v>
      </c>
      <c r="C582" t="s">
        <v>20</v>
      </c>
      <c r="D582" t="s">
        <v>21</v>
      </c>
      <c r="E582">
        <v>6320</v>
      </c>
      <c r="F582">
        <v>32</v>
      </c>
      <c r="G582">
        <v>11</v>
      </c>
      <c r="H582">
        <v>-38</v>
      </c>
      <c r="I582" t="s">
        <v>20</v>
      </c>
      <c r="J582">
        <v>1</v>
      </c>
      <c r="K582">
        <v>0</v>
      </c>
      <c r="L582">
        <v>1</v>
      </c>
      <c r="M582">
        <v>0</v>
      </c>
      <c r="N582">
        <v>0</v>
      </c>
      <c r="O582">
        <v>0</v>
      </c>
      <c r="P582">
        <v>0</v>
      </c>
      <c r="Q582">
        <v>0</v>
      </c>
      <c r="R582">
        <v>4000</v>
      </c>
      <c r="S582">
        <v>4000</v>
      </c>
      <c r="T582">
        <v>0</v>
      </c>
      <c r="U582" t="str">
        <f>IF(SeismicData[[#This Row],[class]]=1,"Dangerous","Safe")</f>
        <v>Safe</v>
      </c>
      <c r="V582" t="str">
        <f>IF(SeismicData[[#This Row],[shift]]="W","Production","Non-Production")</f>
        <v>Non-Production</v>
      </c>
      <c r="W582" t="str">
        <f>IF(SeismicData[[#This Row],[genergy]]=0,"0","10^"&amp;INT(LOG10(SeismicData[[#This Row],[genergy]])))</f>
        <v>10^3</v>
      </c>
      <c r="X582" t="str">
        <f>IF(OR(SeismicData[[#This Row],[genergy]]&lt;$AA$6,SeismicData[[#This Row],[genergy]]&gt;$AA$5),"Outlier","Normal")</f>
        <v>Normal</v>
      </c>
    </row>
    <row r="583" spans="1:24" x14ac:dyDescent="0.15">
      <c r="A583">
        <v>582</v>
      </c>
      <c r="B583" t="s">
        <v>20</v>
      </c>
      <c r="C583" t="s">
        <v>20</v>
      </c>
      <c r="D583" t="s">
        <v>22</v>
      </c>
      <c r="E583">
        <v>26130</v>
      </c>
      <c r="F583">
        <v>220</v>
      </c>
      <c r="G583">
        <v>-46</v>
      </c>
      <c r="H583">
        <v>-27</v>
      </c>
      <c r="I583" t="s">
        <v>20</v>
      </c>
      <c r="J583">
        <v>2</v>
      </c>
      <c r="K583">
        <v>1</v>
      </c>
      <c r="L583">
        <v>1</v>
      </c>
      <c r="M583">
        <v>0</v>
      </c>
      <c r="N583">
        <v>0</v>
      </c>
      <c r="O583">
        <v>0</v>
      </c>
      <c r="P583">
        <v>0</v>
      </c>
      <c r="Q583">
        <v>0</v>
      </c>
      <c r="R583">
        <v>2200</v>
      </c>
      <c r="S583">
        <v>2000</v>
      </c>
      <c r="T583">
        <v>0</v>
      </c>
      <c r="U583" t="str">
        <f>IF(SeismicData[[#This Row],[class]]=1,"Dangerous","Safe")</f>
        <v>Safe</v>
      </c>
      <c r="V583" t="str">
        <f>IF(SeismicData[[#This Row],[shift]]="W","Production","Non-Production")</f>
        <v>Production</v>
      </c>
      <c r="W583" t="str">
        <f>IF(SeismicData[[#This Row],[genergy]]=0,"0","10^"&amp;INT(LOG10(SeismicData[[#This Row],[genergy]])))</f>
        <v>10^4</v>
      </c>
      <c r="X583" t="str">
        <f>IF(OR(SeismicData[[#This Row],[genergy]]&lt;$AA$6,SeismicData[[#This Row],[genergy]]&gt;$AA$5),"Outlier","Normal")</f>
        <v>Normal</v>
      </c>
    </row>
    <row r="584" spans="1:24" x14ac:dyDescent="0.15">
      <c r="A584">
        <v>583</v>
      </c>
      <c r="B584" t="s">
        <v>20</v>
      </c>
      <c r="C584" t="s">
        <v>20</v>
      </c>
      <c r="D584" t="s">
        <v>22</v>
      </c>
      <c r="E584">
        <v>34820</v>
      </c>
      <c r="F584">
        <v>270</v>
      </c>
      <c r="G584">
        <v>-22</v>
      </c>
      <c r="H584">
        <v>-6</v>
      </c>
      <c r="I584" t="s">
        <v>20</v>
      </c>
      <c r="J584">
        <v>1</v>
      </c>
      <c r="K584">
        <v>1</v>
      </c>
      <c r="L584">
        <v>0</v>
      </c>
      <c r="M584">
        <v>0</v>
      </c>
      <c r="N584">
        <v>0</v>
      </c>
      <c r="O584">
        <v>0</v>
      </c>
      <c r="P584">
        <v>0</v>
      </c>
      <c r="Q584">
        <v>0</v>
      </c>
      <c r="R584">
        <v>300</v>
      </c>
      <c r="S584">
        <v>300</v>
      </c>
      <c r="T584">
        <v>0</v>
      </c>
      <c r="U584" t="str">
        <f>IF(SeismicData[[#This Row],[class]]=1,"Dangerous","Safe")</f>
        <v>Safe</v>
      </c>
      <c r="V584" t="str">
        <f>IF(SeismicData[[#This Row],[shift]]="W","Production","Non-Production")</f>
        <v>Production</v>
      </c>
      <c r="W584" t="str">
        <f>IF(SeismicData[[#This Row],[genergy]]=0,"0","10^"&amp;INT(LOG10(SeismicData[[#This Row],[genergy]])))</f>
        <v>10^4</v>
      </c>
      <c r="X584" t="str">
        <f>IF(OR(SeismicData[[#This Row],[genergy]]&lt;$AA$6,SeismicData[[#This Row],[genergy]]&gt;$AA$5),"Outlier","Normal")</f>
        <v>Normal</v>
      </c>
    </row>
    <row r="585" spans="1:24" x14ac:dyDescent="0.15">
      <c r="A585">
        <v>584</v>
      </c>
      <c r="B585" t="s">
        <v>20</v>
      </c>
      <c r="C585" t="s">
        <v>20</v>
      </c>
      <c r="D585" t="s">
        <v>21</v>
      </c>
      <c r="E585">
        <v>4410</v>
      </c>
      <c r="F585">
        <v>76</v>
      </c>
      <c r="G585">
        <v>-23</v>
      </c>
      <c r="H585">
        <v>53</v>
      </c>
      <c r="I585" t="s">
        <v>20</v>
      </c>
      <c r="J585">
        <v>0</v>
      </c>
      <c r="K585">
        <v>0</v>
      </c>
      <c r="L585">
        <v>0</v>
      </c>
      <c r="M585">
        <v>0</v>
      </c>
      <c r="N585">
        <v>0</v>
      </c>
      <c r="O585">
        <v>0</v>
      </c>
      <c r="P585">
        <v>0</v>
      </c>
      <c r="Q585">
        <v>0</v>
      </c>
      <c r="R585">
        <v>0</v>
      </c>
      <c r="S585">
        <v>0</v>
      </c>
      <c r="T585">
        <v>0</v>
      </c>
      <c r="U585" t="str">
        <f>IF(SeismicData[[#This Row],[class]]=1,"Dangerous","Safe")</f>
        <v>Safe</v>
      </c>
      <c r="V585" t="str">
        <f>IF(SeismicData[[#This Row],[shift]]="W","Production","Non-Production")</f>
        <v>Non-Production</v>
      </c>
      <c r="W585" t="str">
        <f>IF(SeismicData[[#This Row],[genergy]]=0,"0","10^"&amp;INT(LOG10(SeismicData[[#This Row],[genergy]])))</f>
        <v>10^3</v>
      </c>
      <c r="X585" t="str">
        <f>IF(OR(SeismicData[[#This Row],[genergy]]&lt;$AA$6,SeismicData[[#This Row],[genergy]]&gt;$AA$5),"Outlier","Normal")</f>
        <v>Normal</v>
      </c>
    </row>
    <row r="586" spans="1:24" x14ac:dyDescent="0.15">
      <c r="A586">
        <v>585</v>
      </c>
      <c r="B586" t="s">
        <v>20</v>
      </c>
      <c r="C586" t="s">
        <v>20</v>
      </c>
      <c r="D586" t="s">
        <v>21</v>
      </c>
      <c r="E586">
        <v>3280</v>
      </c>
      <c r="F586">
        <v>40</v>
      </c>
      <c r="G586">
        <v>-41</v>
      </c>
      <c r="H586">
        <v>-23</v>
      </c>
      <c r="I586" t="s">
        <v>20</v>
      </c>
      <c r="J586">
        <v>1</v>
      </c>
      <c r="K586">
        <v>1</v>
      </c>
      <c r="L586">
        <v>0</v>
      </c>
      <c r="M586">
        <v>0</v>
      </c>
      <c r="N586">
        <v>0</v>
      </c>
      <c r="O586">
        <v>0</v>
      </c>
      <c r="P586">
        <v>0</v>
      </c>
      <c r="Q586">
        <v>0</v>
      </c>
      <c r="R586">
        <v>200</v>
      </c>
      <c r="S586">
        <v>200</v>
      </c>
      <c r="T586">
        <v>0</v>
      </c>
      <c r="U586" t="str">
        <f>IF(SeismicData[[#This Row],[class]]=1,"Dangerous","Safe")</f>
        <v>Safe</v>
      </c>
      <c r="V586" t="str">
        <f>IF(SeismicData[[#This Row],[shift]]="W","Production","Non-Production")</f>
        <v>Non-Production</v>
      </c>
      <c r="W586" t="str">
        <f>IF(SeismicData[[#This Row],[genergy]]=0,"0","10^"&amp;INT(LOG10(SeismicData[[#This Row],[genergy]])))</f>
        <v>10^3</v>
      </c>
      <c r="X586" t="str">
        <f>IF(OR(SeismicData[[#This Row],[genergy]]&lt;$AA$6,SeismicData[[#This Row],[genergy]]&gt;$AA$5),"Outlier","Normal")</f>
        <v>Normal</v>
      </c>
    </row>
    <row r="587" spans="1:24" x14ac:dyDescent="0.15">
      <c r="A587">
        <v>586</v>
      </c>
      <c r="B587" t="s">
        <v>20</v>
      </c>
      <c r="C587" t="s">
        <v>20</v>
      </c>
      <c r="D587" t="s">
        <v>21</v>
      </c>
      <c r="E587">
        <v>6070</v>
      </c>
      <c r="F587">
        <v>46</v>
      </c>
      <c r="G587">
        <v>14</v>
      </c>
      <c r="H587">
        <v>-9</v>
      </c>
      <c r="I587" t="s">
        <v>20</v>
      </c>
      <c r="J587">
        <v>1</v>
      </c>
      <c r="K587">
        <v>0</v>
      </c>
      <c r="L587">
        <v>1</v>
      </c>
      <c r="M587">
        <v>0</v>
      </c>
      <c r="N587">
        <v>0</v>
      </c>
      <c r="O587">
        <v>0</v>
      </c>
      <c r="P587">
        <v>0</v>
      </c>
      <c r="Q587">
        <v>0</v>
      </c>
      <c r="R587">
        <v>3000</v>
      </c>
      <c r="S587">
        <v>3000</v>
      </c>
      <c r="T587">
        <v>0</v>
      </c>
      <c r="U587" t="str">
        <f>IF(SeismicData[[#This Row],[class]]=1,"Dangerous","Safe")</f>
        <v>Safe</v>
      </c>
      <c r="V587" t="str">
        <f>IF(SeismicData[[#This Row],[shift]]="W","Production","Non-Production")</f>
        <v>Non-Production</v>
      </c>
      <c r="W587" t="str">
        <f>IF(SeismicData[[#This Row],[genergy]]=0,"0","10^"&amp;INT(LOG10(SeismicData[[#This Row],[genergy]])))</f>
        <v>10^3</v>
      </c>
      <c r="X587" t="str">
        <f>IF(OR(SeismicData[[#This Row],[genergy]]&lt;$AA$6,SeismicData[[#This Row],[genergy]]&gt;$AA$5),"Outlier","Normal")</f>
        <v>Normal</v>
      </c>
    </row>
    <row r="588" spans="1:24" x14ac:dyDescent="0.15">
      <c r="A588">
        <v>587</v>
      </c>
      <c r="B588" t="s">
        <v>20</v>
      </c>
      <c r="C588" t="s">
        <v>20</v>
      </c>
      <c r="D588" t="s">
        <v>22</v>
      </c>
      <c r="E588">
        <v>17660</v>
      </c>
      <c r="F588">
        <v>140</v>
      </c>
      <c r="G588">
        <v>-60</v>
      </c>
      <c r="H588">
        <v>-52</v>
      </c>
      <c r="I588" t="s">
        <v>20</v>
      </c>
      <c r="J588">
        <v>1</v>
      </c>
      <c r="K588">
        <v>1</v>
      </c>
      <c r="L588">
        <v>0</v>
      </c>
      <c r="M588">
        <v>0</v>
      </c>
      <c r="N588">
        <v>0</v>
      </c>
      <c r="O588">
        <v>0</v>
      </c>
      <c r="P588">
        <v>0</v>
      </c>
      <c r="Q588">
        <v>0</v>
      </c>
      <c r="R588">
        <v>900</v>
      </c>
      <c r="S588">
        <v>900</v>
      </c>
      <c r="T588">
        <v>0</v>
      </c>
      <c r="U588" t="str">
        <f>IF(SeismicData[[#This Row],[class]]=1,"Dangerous","Safe")</f>
        <v>Safe</v>
      </c>
      <c r="V588" t="str">
        <f>IF(SeismicData[[#This Row],[shift]]="W","Production","Non-Production")</f>
        <v>Production</v>
      </c>
      <c r="W588" t="str">
        <f>IF(SeismicData[[#This Row],[genergy]]=0,"0","10^"&amp;INT(LOG10(SeismicData[[#This Row],[genergy]])))</f>
        <v>10^4</v>
      </c>
      <c r="X588" t="str">
        <f>IF(OR(SeismicData[[#This Row],[genergy]]&lt;$AA$6,SeismicData[[#This Row],[genergy]]&gt;$AA$5),"Outlier","Normal")</f>
        <v>Normal</v>
      </c>
    </row>
    <row r="589" spans="1:24" x14ac:dyDescent="0.15">
      <c r="A589">
        <v>588</v>
      </c>
      <c r="B589" t="s">
        <v>20</v>
      </c>
      <c r="C589" t="s">
        <v>20</v>
      </c>
      <c r="D589" t="s">
        <v>22</v>
      </c>
      <c r="E589">
        <v>21240</v>
      </c>
      <c r="F589">
        <v>138</v>
      </c>
      <c r="G589">
        <v>-50</v>
      </c>
      <c r="H589">
        <v>-52</v>
      </c>
      <c r="I589" t="s">
        <v>20</v>
      </c>
      <c r="J589">
        <v>1</v>
      </c>
      <c r="K589">
        <v>1</v>
      </c>
      <c r="L589">
        <v>0</v>
      </c>
      <c r="M589">
        <v>0</v>
      </c>
      <c r="N589">
        <v>0</v>
      </c>
      <c r="O589">
        <v>0</v>
      </c>
      <c r="P589">
        <v>0</v>
      </c>
      <c r="Q589">
        <v>0</v>
      </c>
      <c r="R589">
        <v>700</v>
      </c>
      <c r="S589">
        <v>700</v>
      </c>
      <c r="T589">
        <v>0</v>
      </c>
      <c r="U589" t="str">
        <f>IF(SeismicData[[#This Row],[class]]=1,"Dangerous","Safe")</f>
        <v>Safe</v>
      </c>
      <c r="V589" t="str">
        <f>IF(SeismicData[[#This Row],[shift]]="W","Production","Non-Production")</f>
        <v>Production</v>
      </c>
      <c r="W589" t="str">
        <f>IF(SeismicData[[#This Row],[genergy]]=0,"0","10^"&amp;INT(LOG10(SeismicData[[#This Row],[genergy]])))</f>
        <v>10^4</v>
      </c>
      <c r="X589" t="str">
        <f>IF(OR(SeismicData[[#This Row],[genergy]]&lt;$AA$6,SeismicData[[#This Row],[genergy]]&gt;$AA$5),"Outlier","Normal")</f>
        <v>Normal</v>
      </c>
    </row>
    <row r="590" spans="1:24" x14ac:dyDescent="0.15">
      <c r="A590">
        <v>589</v>
      </c>
      <c r="B590" t="s">
        <v>20</v>
      </c>
      <c r="C590" t="s">
        <v>20</v>
      </c>
      <c r="D590" t="s">
        <v>22</v>
      </c>
      <c r="E590">
        <v>37710</v>
      </c>
      <c r="F590">
        <v>233</v>
      </c>
      <c r="G590">
        <v>2</v>
      </c>
      <c r="H590">
        <v>-12</v>
      </c>
      <c r="I590" t="s">
        <v>20</v>
      </c>
      <c r="J590">
        <v>1</v>
      </c>
      <c r="K590">
        <v>0</v>
      </c>
      <c r="L590">
        <v>1</v>
      </c>
      <c r="M590">
        <v>0</v>
      </c>
      <c r="N590">
        <v>0</v>
      </c>
      <c r="O590">
        <v>0</v>
      </c>
      <c r="P590">
        <v>0</v>
      </c>
      <c r="Q590">
        <v>0</v>
      </c>
      <c r="R590">
        <v>2000</v>
      </c>
      <c r="S590">
        <v>2000</v>
      </c>
      <c r="T590">
        <v>0</v>
      </c>
      <c r="U590" t="str">
        <f>IF(SeismicData[[#This Row],[class]]=1,"Dangerous","Safe")</f>
        <v>Safe</v>
      </c>
      <c r="V590" t="str">
        <f>IF(SeismicData[[#This Row],[shift]]="W","Production","Non-Production")</f>
        <v>Production</v>
      </c>
      <c r="W590" t="str">
        <f>IF(SeismicData[[#This Row],[genergy]]=0,"0","10^"&amp;INT(LOG10(SeismicData[[#This Row],[genergy]])))</f>
        <v>10^4</v>
      </c>
      <c r="X590" t="str">
        <f>IF(OR(SeismicData[[#This Row],[genergy]]&lt;$AA$6,SeismicData[[#This Row],[genergy]]&gt;$AA$5),"Outlier","Normal")</f>
        <v>Normal</v>
      </c>
    </row>
    <row r="591" spans="1:24" x14ac:dyDescent="0.15">
      <c r="A591">
        <v>590</v>
      </c>
      <c r="B591" t="s">
        <v>20</v>
      </c>
      <c r="C591" t="s">
        <v>20</v>
      </c>
      <c r="D591" t="s">
        <v>22</v>
      </c>
      <c r="E591">
        <v>20250</v>
      </c>
      <c r="F591">
        <v>157</v>
      </c>
      <c r="G591">
        <v>-41</v>
      </c>
      <c r="H591">
        <v>-39</v>
      </c>
      <c r="I591" t="s">
        <v>20</v>
      </c>
      <c r="J591">
        <v>4</v>
      </c>
      <c r="K591">
        <v>3</v>
      </c>
      <c r="L591">
        <v>1</v>
      </c>
      <c r="M591">
        <v>0</v>
      </c>
      <c r="N591">
        <v>0</v>
      </c>
      <c r="O591">
        <v>0</v>
      </c>
      <c r="P591">
        <v>0</v>
      </c>
      <c r="Q591">
        <v>0</v>
      </c>
      <c r="R591">
        <v>2600</v>
      </c>
      <c r="S591">
        <v>1000</v>
      </c>
      <c r="T591">
        <v>1</v>
      </c>
      <c r="U591" t="str">
        <f>IF(SeismicData[[#This Row],[class]]=1,"Dangerous","Safe")</f>
        <v>Dangerous</v>
      </c>
      <c r="V591" t="str">
        <f>IF(SeismicData[[#This Row],[shift]]="W","Production","Non-Production")</f>
        <v>Production</v>
      </c>
      <c r="W591" t="str">
        <f>IF(SeismicData[[#This Row],[genergy]]=0,"0","10^"&amp;INT(LOG10(SeismicData[[#This Row],[genergy]])))</f>
        <v>10^4</v>
      </c>
      <c r="X591" t="str">
        <f>IF(OR(SeismicData[[#This Row],[genergy]]&lt;$AA$6,SeismicData[[#This Row],[genergy]]&gt;$AA$5),"Outlier","Normal")</f>
        <v>Normal</v>
      </c>
    </row>
    <row r="592" spans="1:24" x14ac:dyDescent="0.15">
      <c r="A592">
        <v>591</v>
      </c>
      <c r="B592" t="s">
        <v>23</v>
      </c>
      <c r="C592" t="s">
        <v>20</v>
      </c>
      <c r="D592" t="s">
        <v>22</v>
      </c>
      <c r="E592">
        <v>43940</v>
      </c>
      <c r="F592">
        <v>327</v>
      </c>
      <c r="G592">
        <v>41</v>
      </c>
      <c r="H592">
        <v>36</v>
      </c>
      <c r="I592" t="s">
        <v>20</v>
      </c>
      <c r="J592">
        <v>2</v>
      </c>
      <c r="K592">
        <v>0</v>
      </c>
      <c r="L592">
        <v>1</v>
      </c>
      <c r="M592">
        <v>1</v>
      </c>
      <c r="N592">
        <v>0</v>
      </c>
      <c r="O592">
        <v>0</v>
      </c>
      <c r="P592">
        <v>0</v>
      </c>
      <c r="Q592">
        <v>0</v>
      </c>
      <c r="R592">
        <v>41000</v>
      </c>
      <c r="S592">
        <v>40000</v>
      </c>
      <c r="T592">
        <v>0</v>
      </c>
      <c r="U592" t="str">
        <f>IF(SeismicData[[#This Row],[class]]=1,"Dangerous","Safe")</f>
        <v>Safe</v>
      </c>
      <c r="V592" t="str">
        <f>IF(SeismicData[[#This Row],[shift]]="W","Production","Non-Production")</f>
        <v>Production</v>
      </c>
      <c r="W592" t="str">
        <f>IF(SeismicData[[#This Row],[genergy]]=0,"0","10^"&amp;INT(LOG10(SeismicData[[#This Row],[genergy]])))</f>
        <v>10^4</v>
      </c>
      <c r="X592" t="str">
        <f>IF(OR(SeismicData[[#This Row],[genergy]]&lt;$AA$6,SeismicData[[#This Row],[genergy]]&gt;$AA$5),"Outlier","Normal")</f>
        <v>Normal</v>
      </c>
    </row>
    <row r="593" spans="1:24" x14ac:dyDescent="0.15">
      <c r="A593">
        <v>592</v>
      </c>
      <c r="B593" t="s">
        <v>23</v>
      </c>
      <c r="C593" t="s">
        <v>20</v>
      </c>
      <c r="D593" t="s">
        <v>22</v>
      </c>
      <c r="E593">
        <v>31770</v>
      </c>
      <c r="F593">
        <v>231</v>
      </c>
      <c r="G593">
        <v>2</v>
      </c>
      <c r="H593">
        <v>-3</v>
      </c>
      <c r="I593" t="s">
        <v>20</v>
      </c>
      <c r="J593">
        <v>3</v>
      </c>
      <c r="K593">
        <v>1</v>
      </c>
      <c r="L593">
        <v>2</v>
      </c>
      <c r="M593">
        <v>0</v>
      </c>
      <c r="N593">
        <v>0</v>
      </c>
      <c r="O593">
        <v>0</v>
      </c>
      <c r="P593">
        <v>0</v>
      </c>
      <c r="Q593">
        <v>0</v>
      </c>
      <c r="R593">
        <v>10400</v>
      </c>
      <c r="S593">
        <v>8000</v>
      </c>
      <c r="T593">
        <v>0</v>
      </c>
      <c r="U593" t="str">
        <f>IF(SeismicData[[#This Row],[class]]=1,"Dangerous","Safe")</f>
        <v>Safe</v>
      </c>
      <c r="V593" t="str">
        <f>IF(SeismicData[[#This Row],[shift]]="W","Production","Non-Production")</f>
        <v>Production</v>
      </c>
      <c r="W593" t="str">
        <f>IF(SeismicData[[#This Row],[genergy]]=0,"0","10^"&amp;INT(LOG10(SeismicData[[#This Row],[genergy]])))</f>
        <v>10^4</v>
      </c>
      <c r="X593" t="str">
        <f>IF(OR(SeismicData[[#This Row],[genergy]]&lt;$AA$6,SeismicData[[#This Row],[genergy]]&gt;$AA$5),"Outlier","Normal")</f>
        <v>Normal</v>
      </c>
    </row>
    <row r="594" spans="1:24" x14ac:dyDescent="0.15">
      <c r="A594">
        <v>593</v>
      </c>
      <c r="B594" t="s">
        <v>23</v>
      </c>
      <c r="C594" t="s">
        <v>20</v>
      </c>
      <c r="D594" t="s">
        <v>22</v>
      </c>
      <c r="E594">
        <v>16450</v>
      </c>
      <c r="F594">
        <v>141</v>
      </c>
      <c r="G594">
        <v>-47</v>
      </c>
      <c r="H594">
        <v>-40</v>
      </c>
      <c r="I594" t="s">
        <v>20</v>
      </c>
      <c r="J594">
        <v>3</v>
      </c>
      <c r="K594">
        <v>2</v>
      </c>
      <c r="L594">
        <v>1</v>
      </c>
      <c r="M594">
        <v>0</v>
      </c>
      <c r="N594">
        <v>0</v>
      </c>
      <c r="O594">
        <v>0</v>
      </c>
      <c r="P594">
        <v>0</v>
      </c>
      <c r="Q594">
        <v>0</v>
      </c>
      <c r="R594">
        <v>3800</v>
      </c>
      <c r="S594">
        <v>3000</v>
      </c>
      <c r="T594">
        <v>0</v>
      </c>
      <c r="U594" t="str">
        <f>IF(SeismicData[[#This Row],[class]]=1,"Dangerous","Safe")</f>
        <v>Safe</v>
      </c>
      <c r="V594" t="str">
        <f>IF(SeismicData[[#This Row],[shift]]="W","Production","Non-Production")</f>
        <v>Production</v>
      </c>
      <c r="W594" t="str">
        <f>IF(SeismicData[[#This Row],[genergy]]=0,"0","10^"&amp;INT(LOG10(SeismicData[[#This Row],[genergy]])))</f>
        <v>10^4</v>
      </c>
      <c r="X594" t="str">
        <f>IF(OR(SeismicData[[#This Row],[genergy]]&lt;$AA$6,SeismicData[[#This Row],[genergy]]&gt;$AA$5),"Outlier","Normal")</f>
        <v>Normal</v>
      </c>
    </row>
    <row r="595" spans="1:24" x14ac:dyDescent="0.15">
      <c r="A595">
        <v>594</v>
      </c>
      <c r="B595" t="s">
        <v>20</v>
      </c>
      <c r="C595" t="s">
        <v>20</v>
      </c>
      <c r="D595" t="s">
        <v>22</v>
      </c>
      <c r="E595">
        <v>29150</v>
      </c>
      <c r="F595">
        <v>259</v>
      </c>
      <c r="G595">
        <v>0</v>
      </c>
      <c r="H595">
        <v>18</v>
      </c>
      <c r="I595" t="s">
        <v>20</v>
      </c>
      <c r="J595">
        <v>1</v>
      </c>
      <c r="K595">
        <v>1</v>
      </c>
      <c r="L595">
        <v>0</v>
      </c>
      <c r="M595">
        <v>0</v>
      </c>
      <c r="N595">
        <v>0</v>
      </c>
      <c r="O595">
        <v>0</v>
      </c>
      <c r="P595">
        <v>0</v>
      </c>
      <c r="Q595">
        <v>0</v>
      </c>
      <c r="R595">
        <v>600</v>
      </c>
      <c r="S595">
        <v>600</v>
      </c>
      <c r="T595">
        <v>1</v>
      </c>
      <c r="U595" t="str">
        <f>IF(SeismicData[[#This Row],[class]]=1,"Dangerous","Safe")</f>
        <v>Dangerous</v>
      </c>
      <c r="V595" t="str">
        <f>IF(SeismicData[[#This Row],[shift]]="W","Production","Non-Production")</f>
        <v>Production</v>
      </c>
      <c r="W595" t="str">
        <f>IF(SeismicData[[#This Row],[genergy]]=0,"0","10^"&amp;INT(LOG10(SeismicData[[#This Row],[genergy]])))</f>
        <v>10^4</v>
      </c>
      <c r="X595" t="str">
        <f>IF(OR(SeismicData[[#This Row],[genergy]]&lt;$AA$6,SeismicData[[#This Row],[genergy]]&gt;$AA$5),"Outlier","Normal")</f>
        <v>Normal</v>
      </c>
    </row>
    <row r="596" spans="1:24" x14ac:dyDescent="0.15">
      <c r="A596">
        <v>595</v>
      </c>
      <c r="B596" t="s">
        <v>23</v>
      </c>
      <c r="C596" t="s">
        <v>20</v>
      </c>
      <c r="D596" t="s">
        <v>22</v>
      </c>
      <c r="E596">
        <v>39660</v>
      </c>
      <c r="F596">
        <v>325</v>
      </c>
      <c r="G596">
        <v>42</v>
      </c>
      <c r="H596">
        <v>54</v>
      </c>
      <c r="I596" t="s">
        <v>20</v>
      </c>
      <c r="J596">
        <v>5</v>
      </c>
      <c r="K596">
        <v>2</v>
      </c>
      <c r="L596">
        <v>2</v>
      </c>
      <c r="M596">
        <v>1</v>
      </c>
      <c r="N596">
        <v>0</v>
      </c>
      <c r="O596">
        <v>0</v>
      </c>
      <c r="P596">
        <v>0</v>
      </c>
      <c r="Q596">
        <v>0</v>
      </c>
      <c r="R596">
        <v>34000</v>
      </c>
      <c r="S596">
        <v>30000</v>
      </c>
      <c r="T596">
        <v>0</v>
      </c>
      <c r="U596" t="str">
        <f>IF(SeismicData[[#This Row],[class]]=1,"Dangerous","Safe")</f>
        <v>Safe</v>
      </c>
      <c r="V596" t="str">
        <f>IF(SeismicData[[#This Row],[shift]]="W","Production","Non-Production")</f>
        <v>Production</v>
      </c>
      <c r="W596" t="str">
        <f>IF(SeismicData[[#This Row],[genergy]]=0,"0","10^"&amp;INT(LOG10(SeismicData[[#This Row],[genergy]])))</f>
        <v>10^4</v>
      </c>
      <c r="X596" t="str">
        <f>IF(OR(SeismicData[[#This Row],[genergy]]&lt;$AA$6,SeismicData[[#This Row],[genergy]]&gt;$AA$5),"Outlier","Normal")</f>
        <v>Normal</v>
      </c>
    </row>
    <row r="597" spans="1:24" x14ac:dyDescent="0.15">
      <c r="A597">
        <v>596</v>
      </c>
      <c r="B597" t="s">
        <v>23</v>
      </c>
      <c r="C597" t="s">
        <v>20</v>
      </c>
      <c r="D597" t="s">
        <v>22</v>
      </c>
      <c r="E597">
        <v>19220</v>
      </c>
      <c r="F597">
        <v>149</v>
      </c>
      <c r="G597">
        <v>-34</v>
      </c>
      <c r="H597">
        <v>-33</v>
      </c>
      <c r="I597" t="s">
        <v>20</v>
      </c>
      <c r="J597">
        <v>6</v>
      </c>
      <c r="K597">
        <v>2</v>
      </c>
      <c r="L597">
        <v>4</v>
      </c>
      <c r="M597">
        <v>0</v>
      </c>
      <c r="N597">
        <v>0</v>
      </c>
      <c r="O597">
        <v>0</v>
      </c>
      <c r="P597">
        <v>0</v>
      </c>
      <c r="Q597">
        <v>0</v>
      </c>
      <c r="R597">
        <v>10700</v>
      </c>
      <c r="S597">
        <v>5000</v>
      </c>
      <c r="T597">
        <v>0</v>
      </c>
      <c r="U597" t="str">
        <f>IF(SeismicData[[#This Row],[class]]=1,"Dangerous","Safe")</f>
        <v>Safe</v>
      </c>
      <c r="V597" t="str">
        <f>IF(SeismicData[[#This Row],[shift]]="W","Production","Non-Production")</f>
        <v>Production</v>
      </c>
      <c r="W597" t="str">
        <f>IF(SeismicData[[#This Row],[genergy]]=0,"0","10^"&amp;INT(LOG10(SeismicData[[#This Row],[genergy]])))</f>
        <v>10^4</v>
      </c>
      <c r="X597" t="str">
        <f>IF(OR(SeismicData[[#This Row],[genergy]]&lt;$AA$6,SeismicData[[#This Row],[genergy]]&gt;$AA$5),"Outlier","Normal")</f>
        <v>Normal</v>
      </c>
    </row>
    <row r="598" spans="1:24" x14ac:dyDescent="0.15">
      <c r="A598">
        <v>597</v>
      </c>
      <c r="B598" t="s">
        <v>23</v>
      </c>
      <c r="C598" t="s">
        <v>20</v>
      </c>
      <c r="D598" t="s">
        <v>22</v>
      </c>
      <c r="E598">
        <v>40200</v>
      </c>
      <c r="F598">
        <v>334</v>
      </c>
      <c r="G598">
        <v>45</v>
      </c>
      <c r="H598">
        <v>59</v>
      </c>
      <c r="I598" t="s">
        <v>20</v>
      </c>
      <c r="J598">
        <v>1</v>
      </c>
      <c r="K598">
        <v>1</v>
      </c>
      <c r="L598">
        <v>0</v>
      </c>
      <c r="M598">
        <v>0</v>
      </c>
      <c r="N598">
        <v>0</v>
      </c>
      <c r="O598">
        <v>0</v>
      </c>
      <c r="P598">
        <v>0</v>
      </c>
      <c r="Q598">
        <v>0</v>
      </c>
      <c r="R598">
        <v>900</v>
      </c>
      <c r="S598">
        <v>900</v>
      </c>
      <c r="T598">
        <v>1</v>
      </c>
      <c r="U598" t="str">
        <f>IF(SeismicData[[#This Row],[class]]=1,"Dangerous","Safe")</f>
        <v>Dangerous</v>
      </c>
      <c r="V598" t="str">
        <f>IF(SeismicData[[#This Row],[shift]]="W","Production","Non-Production")</f>
        <v>Production</v>
      </c>
      <c r="W598" t="str">
        <f>IF(SeismicData[[#This Row],[genergy]]=0,"0","10^"&amp;INT(LOG10(SeismicData[[#This Row],[genergy]])))</f>
        <v>10^4</v>
      </c>
      <c r="X598" t="str">
        <f>IF(OR(SeismicData[[#This Row],[genergy]]&lt;$AA$6,SeismicData[[#This Row],[genergy]]&gt;$AA$5),"Outlier","Normal")</f>
        <v>Normal</v>
      </c>
    </row>
    <row r="599" spans="1:24" x14ac:dyDescent="0.15">
      <c r="A599">
        <v>598</v>
      </c>
      <c r="B599" t="s">
        <v>23</v>
      </c>
      <c r="C599" t="s">
        <v>20</v>
      </c>
      <c r="D599" t="s">
        <v>22</v>
      </c>
      <c r="E599">
        <v>47010</v>
      </c>
      <c r="F599">
        <v>375</v>
      </c>
      <c r="G599">
        <v>57</v>
      </c>
      <c r="H599">
        <v>63</v>
      </c>
      <c r="I599" t="s">
        <v>20</v>
      </c>
      <c r="J599">
        <v>4</v>
      </c>
      <c r="K599">
        <v>2</v>
      </c>
      <c r="L599">
        <v>1</v>
      </c>
      <c r="M599">
        <v>0</v>
      </c>
      <c r="N599">
        <v>1</v>
      </c>
      <c r="O599">
        <v>0</v>
      </c>
      <c r="P599">
        <v>0</v>
      </c>
      <c r="Q599">
        <v>0</v>
      </c>
      <c r="R599">
        <v>204400</v>
      </c>
      <c r="S599">
        <v>200000</v>
      </c>
      <c r="T599">
        <v>0</v>
      </c>
      <c r="U599" t="str">
        <f>IF(SeismicData[[#This Row],[class]]=1,"Dangerous","Safe")</f>
        <v>Safe</v>
      </c>
      <c r="V599" t="str">
        <f>IF(SeismicData[[#This Row],[shift]]="W","Production","Non-Production")</f>
        <v>Production</v>
      </c>
      <c r="W599" t="str">
        <f>IF(SeismicData[[#This Row],[genergy]]=0,"0","10^"&amp;INT(LOG10(SeismicData[[#This Row],[genergy]])))</f>
        <v>10^4</v>
      </c>
      <c r="X599" t="str">
        <f>IF(OR(SeismicData[[#This Row],[genergy]]&lt;$AA$6,SeismicData[[#This Row],[genergy]]&gt;$AA$5),"Outlier","Normal")</f>
        <v>Normal</v>
      </c>
    </row>
    <row r="600" spans="1:24" x14ac:dyDescent="0.15">
      <c r="A600">
        <v>599</v>
      </c>
      <c r="B600" t="s">
        <v>23</v>
      </c>
      <c r="C600" t="s">
        <v>20</v>
      </c>
      <c r="D600" t="s">
        <v>22</v>
      </c>
      <c r="E600">
        <v>8610</v>
      </c>
      <c r="F600">
        <v>79</v>
      </c>
      <c r="G600">
        <v>-74</v>
      </c>
      <c r="H600">
        <v>-69</v>
      </c>
      <c r="I600" t="s">
        <v>20</v>
      </c>
      <c r="J600">
        <v>1</v>
      </c>
      <c r="K600">
        <v>0</v>
      </c>
      <c r="L600">
        <v>1</v>
      </c>
      <c r="M600">
        <v>0</v>
      </c>
      <c r="N600">
        <v>0</v>
      </c>
      <c r="O600">
        <v>0</v>
      </c>
      <c r="P600">
        <v>0</v>
      </c>
      <c r="Q600">
        <v>0</v>
      </c>
      <c r="R600">
        <v>5000</v>
      </c>
      <c r="S600">
        <v>5000</v>
      </c>
      <c r="T600">
        <v>0</v>
      </c>
      <c r="U600" t="str">
        <f>IF(SeismicData[[#This Row],[class]]=1,"Dangerous","Safe")</f>
        <v>Safe</v>
      </c>
      <c r="V600" t="str">
        <f>IF(SeismicData[[#This Row],[shift]]="W","Production","Non-Production")</f>
        <v>Production</v>
      </c>
      <c r="W600" t="str">
        <f>IF(SeismicData[[#This Row],[genergy]]=0,"0","10^"&amp;INT(LOG10(SeismicData[[#This Row],[genergy]])))</f>
        <v>10^3</v>
      </c>
      <c r="X600" t="str">
        <f>IF(OR(SeismicData[[#This Row],[genergy]]&lt;$AA$6,SeismicData[[#This Row],[genergy]]&gt;$AA$5),"Outlier","Normal")</f>
        <v>Normal</v>
      </c>
    </row>
    <row r="601" spans="1:24" x14ac:dyDescent="0.15">
      <c r="A601">
        <v>600</v>
      </c>
      <c r="B601" t="s">
        <v>23</v>
      </c>
      <c r="C601" t="s">
        <v>20</v>
      </c>
      <c r="D601" t="s">
        <v>22</v>
      </c>
      <c r="E601">
        <v>27810</v>
      </c>
      <c r="F601">
        <v>265</v>
      </c>
      <c r="G601">
        <v>-6</v>
      </c>
      <c r="H601">
        <v>11</v>
      </c>
      <c r="I601" t="s">
        <v>20</v>
      </c>
      <c r="J601">
        <v>1</v>
      </c>
      <c r="K601">
        <v>1</v>
      </c>
      <c r="L601">
        <v>0</v>
      </c>
      <c r="M601">
        <v>0</v>
      </c>
      <c r="N601">
        <v>0</v>
      </c>
      <c r="O601">
        <v>0</v>
      </c>
      <c r="P601">
        <v>0</v>
      </c>
      <c r="Q601">
        <v>0</v>
      </c>
      <c r="R601">
        <v>500</v>
      </c>
      <c r="S601">
        <v>500</v>
      </c>
      <c r="T601">
        <v>0</v>
      </c>
      <c r="U601" t="str">
        <f>IF(SeismicData[[#This Row],[class]]=1,"Dangerous","Safe")</f>
        <v>Safe</v>
      </c>
      <c r="V601" t="str">
        <f>IF(SeismicData[[#This Row],[shift]]="W","Production","Non-Production")</f>
        <v>Production</v>
      </c>
      <c r="W601" t="str">
        <f>IF(SeismicData[[#This Row],[genergy]]=0,"0","10^"&amp;INT(LOG10(SeismicData[[#This Row],[genergy]])))</f>
        <v>10^4</v>
      </c>
      <c r="X601" t="str">
        <f>IF(OR(SeismicData[[#This Row],[genergy]]&lt;$AA$6,SeismicData[[#This Row],[genergy]]&gt;$AA$5),"Outlier","Normal")</f>
        <v>Normal</v>
      </c>
    </row>
    <row r="602" spans="1:24" x14ac:dyDescent="0.15">
      <c r="A602">
        <v>601</v>
      </c>
      <c r="B602" t="s">
        <v>20</v>
      </c>
      <c r="C602" t="s">
        <v>20</v>
      </c>
      <c r="D602" t="s">
        <v>22</v>
      </c>
      <c r="E602">
        <v>36600</v>
      </c>
      <c r="F602">
        <v>341</v>
      </c>
      <c r="G602">
        <v>20</v>
      </c>
      <c r="H602">
        <v>37</v>
      </c>
      <c r="I602" t="s">
        <v>20</v>
      </c>
      <c r="J602">
        <v>3</v>
      </c>
      <c r="K602">
        <v>0</v>
      </c>
      <c r="L602">
        <v>3</v>
      </c>
      <c r="M602">
        <v>0</v>
      </c>
      <c r="N602">
        <v>0</v>
      </c>
      <c r="O602">
        <v>0</v>
      </c>
      <c r="P602">
        <v>0</v>
      </c>
      <c r="Q602">
        <v>0</v>
      </c>
      <c r="R602">
        <v>13000</v>
      </c>
      <c r="S602">
        <v>7000</v>
      </c>
      <c r="T602">
        <v>0</v>
      </c>
      <c r="U602" t="str">
        <f>IF(SeismicData[[#This Row],[class]]=1,"Dangerous","Safe")</f>
        <v>Safe</v>
      </c>
      <c r="V602" t="str">
        <f>IF(SeismicData[[#This Row],[shift]]="W","Production","Non-Production")</f>
        <v>Production</v>
      </c>
      <c r="W602" t="str">
        <f>IF(SeismicData[[#This Row],[genergy]]=0,"0","10^"&amp;INT(LOG10(SeismicData[[#This Row],[genergy]])))</f>
        <v>10^4</v>
      </c>
      <c r="X602" t="str">
        <f>IF(OR(SeismicData[[#This Row],[genergy]]&lt;$AA$6,SeismicData[[#This Row],[genergy]]&gt;$AA$5),"Outlier","Normal")</f>
        <v>Normal</v>
      </c>
    </row>
    <row r="603" spans="1:24" x14ac:dyDescent="0.15">
      <c r="A603">
        <v>602</v>
      </c>
      <c r="B603" t="s">
        <v>20</v>
      </c>
      <c r="C603" t="s">
        <v>20</v>
      </c>
      <c r="D603" t="s">
        <v>21</v>
      </c>
      <c r="E603">
        <v>5640</v>
      </c>
      <c r="F603">
        <v>58</v>
      </c>
      <c r="G603">
        <v>6</v>
      </c>
      <c r="H603">
        <v>17</v>
      </c>
      <c r="I603" t="s">
        <v>20</v>
      </c>
      <c r="J603">
        <v>1</v>
      </c>
      <c r="K603">
        <v>0</v>
      </c>
      <c r="L603">
        <v>1</v>
      </c>
      <c r="M603">
        <v>0</v>
      </c>
      <c r="N603">
        <v>0</v>
      </c>
      <c r="O603">
        <v>0</v>
      </c>
      <c r="P603">
        <v>0</v>
      </c>
      <c r="Q603">
        <v>0</v>
      </c>
      <c r="R603">
        <v>5000</v>
      </c>
      <c r="S603">
        <v>5000</v>
      </c>
      <c r="T603">
        <v>0</v>
      </c>
      <c r="U603" t="str">
        <f>IF(SeismicData[[#This Row],[class]]=1,"Dangerous","Safe")</f>
        <v>Safe</v>
      </c>
      <c r="V603" t="str">
        <f>IF(SeismicData[[#This Row],[shift]]="W","Production","Non-Production")</f>
        <v>Non-Production</v>
      </c>
      <c r="W603" t="str">
        <f>IF(SeismicData[[#This Row],[genergy]]=0,"0","10^"&amp;INT(LOG10(SeismicData[[#This Row],[genergy]])))</f>
        <v>10^3</v>
      </c>
      <c r="X603" t="str">
        <f>IF(OR(SeismicData[[#This Row],[genergy]]&lt;$AA$6,SeismicData[[#This Row],[genergy]]&gt;$AA$5),"Outlier","Normal")</f>
        <v>Normal</v>
      </c>
    </row>
    <row r="604" spans="1:24" x14ac:dyDescent="0.15">
      <c r="A604">
        <v>603</v>
      </c>
      <c r="B604" t="s">
        <v>20</v>
      </c>
      <c r="C604" t="s">
        <v>20</v>
      </c>
      <c r="D604" t="s">
        <v>22</v>
      </c>
      <c r="E604">
        <v>27870</v>
      </c>
      <c r="F604">
        <v>238</v>
      </c>
      <c r="G604">
        <v>-6</v>
      </c>
      <c r="H604">
        <v>-5</v>
      </c>
      <c r="I604" t="s">
        <v>20</v>
      </c>
      <c r="J604">
        <v>0</v>
      </c>
      <c r="K604">
        <v>0</v>
      </c>
      <c r="L604">
        <v>0</v>
      </c>
      <c r="M604">
        <v>0</v>
      </c>
      <c r="N604">
        <v>0</v>
      </c>
      <c r="O604">
        <v>0</v>
      </c>
      <c r="P604">
        <v>0</v>
      </c>
      <c r="Q604">
        <v>0</v>
      </c>
      <c r="R604">
        <v>0</v>
      </c>
      <c r="S604">
        <v>0</v>
      </c>
      <c r="T604">
        <v>0</v>
      </c>
      <c r="U604" t="str">
        <f>IF(SeismicData[[#This Row],[class]]=1,"Dangerous","Safe")</f>
        <v>Safe</v>
      </c>
      <c r="V604" t="str">
        <f>IF(SeismicData[[#This Row],[shift]]="W","Production","Non-Production")</f>
        <v>Production</v>
      </c>
      <c r="W604" t="str">
        <f>IF(SeismicData[[#This Row],[genergy]]=0,"0","10^"&amp;INT(LOG10(SeismicData[[#This Row],[genergy]])))</f>
        <v>10^4</v>
      </c>
      <c r="X604" t="str">
        <f>IF(OR(SeismicData[[#This Row],[genergy]]&lt;$AA$6,SeismicData[[#This Row],[genergy]]&gt;$AA$5),"Outlier","Normal")</f>
        <v>Normal</v>
      </c>
    </row>
    <row r="605" spans="1:24" x14ac:dyDescent="0.15">
      <c r="A605">
        <v>604</v>
      </c>
      <c r="B605" t="s">
        <v>20</v>
      </c>
      <c r="C605" t="s">
        <v>20</v>
      </c>
      <c r="D605" t="s">
        <v>22</v>
      </c>
      <c r="E605">
        <v>34150</v>
      </c>
      <c r="F605">
        <v>346</v>
      </c>
      <c r="G605">
        <v>17</v>
      </c>
      <c r="H605">
        <v>38</v>
      </c>
      <c r="I605" t="s">
        <v>20</v>
      </c>
      <c r="J605">
        <v>2</v>
      </c>
      <c r="K605">
        <v>1</v>
      </c>
      <c r="L605">
        <v>1</v>
      </c>
      <c r="M605">
        <v>0</v>
      </c>
      <c r="N605">
        <v>0</v>
      </c>
      <c r="O605">
        <v>0</v>
      </c>
      <c r="P605">
        <v>0</v>
      </c>
      <c r="Q605">
        <v>0</v>
      </c>
      <c r="R605">
        <v>6300</v>
      </c>
      <c r="S605">
        <v>6000</v>
      </c>
      <c r="T605">
        <v>0</v>
      </c>
      <c r="U605" t="str">
        <f>IF(SeismicData[[#This Row],[class]]=1,"Dangerous","Safe")</f>
        <v>Safe</v>
      </c>
      <c r="V605" t="str">
        <f>IF(SeismicData[[#This Row],[shift]]="W","Production","Non-Production")</f>
        <v>Production</v>
      </c>
      <c r="W605" t="str">
        <f>IF(SeismicData[[#This Row],[genergy]]=0,"0","10^"&amp;INT(LOG10(SeismicData[[#This Row],[genergy]])))</f>
        <v>10^4</v>
      </c>
      <c r="X605" t="str">
        <f>IF(OR(SeismicData[[#This Row],[genergy]]&lt;$AA$6,SeismicData[[#This Row],[genergy]]&gt;$AA$5),"Outlier","Normal")</f>
        <v>Normal</v>
      </c>
    </row>
    <row r="606" spans="1:24" x14ac:dyDescent="0.15">
      <c r="A606">
        <v>605</v>
      </c>
      <c r="B606" t="s">
        <v>20</v>
      </c>
      <c r="C606" t="s">
        <v>20</v>
      </c>
      <c r="D606" t="s">
        <v>21</v>
      </c>
      <c r="E606">
        <v>3040</v>
      </c>
      <c r="F606">
        <v>63</v>
      </c>
      <c r="G606">
        <v>-43</v>
      </c>
      <c r="H606">
        <v>26</v>
      </c>
      <c r="I606" t="s">
        <v>20</v>
      </c>
      <c r="J606">
        <v>0</v>
      </c>
      <c r="K606">
        <v>0</v>
      </c>
      <c r="L606">
        <v>0</v>
      </c>
      <c r="M606">
        <v>0</v>
      </c>
      <c r="N606">
        <v>0</v>
      </c>
      <c r="O606">
        <v>0</v>
      </c>
      <c r="P606">
        <v>0</v>
      </c>
      <c r="Q606">
        <v>0</v>
      </c>
      <c r="R606">
        <v>0</v>
      </c>
      <c r="S606">
        <v>0</v>
      </c>
      <c r="T606">
        <v>0</v>
      </c>
      <c r="U606" t="str">
        <f>IF(SeismicData[[#This Row],[class]]=1,"Dangerous","Safe")</f>
        <v>Safe</v>
      </c>
      <c r="V606" t="str">
        <f>IF(SeismicData[[#This Row],[shift]]="W","Production","Non-Production")</f>
        <v>Non-Production</v>
      </c>
      <c r="W606" t="str">
        <f>IF(SeismicData[[#This Row],[genergy]]=0,"0","10^"&amp;INT(LOG10(SeismicData[[#This Row],[genergy]])))</f>
        <v>10^3</v>
      </c>
      <c r="X606" t="str">
        <f>IF(OR(SeismicData[[#This Row],[genergy]]&lt;$AA$6,SeismicData[[#This Row],[genergy]]&gt;$AA$5),"Outlier","Normal")</f>
        <v>Normal</v>
      </c>
    </row>
    <row r="607" spans="1:24" x14ac:dyDescent="0.15">
      <c r="A607">
        <v>606</v>
      </c>
      <c r="B607" t="s">
        <v>20</v>
      </c>
      <c r="C607" t="s">
        <v>20</v>
      </c>
      <c r="D607" t="s">
        <v>21</v>
      </c>
      <c r="E607">
        <v>2410</v>
      </c>
      <c r="F607">
        <v>39</v>
      </c>
      <c r="G607">
        <v>-52</v>
      </c>
      <c r="H607">
        <v>-24</v>
      </c>
      <c r="I607" t="s">
        <v>20</v>
      </c>
      <c r="J607">
        <v>0</v>
      </c>
      <c r="K607">
        <v>0</v>
      </c>
      <c r="L607">
        <v>0</v>
      </c>
      <c r="M607">
        <v>0</v>
      </c>
      <c r="N607">
        <v>0</v>
      </c>
      <c r="O607">
        <v>0</v>
      </c>
      <c r="P607">
        <v>0</v>
      </c>
      <c r="Q607">
        <v>0</v>
      </c>
      <c r="R607">
        <v>0</v>
      </c>
      <c r="S607">
        <v>0</v>
      </c>
      <c r="T607">
        <v>0</v>
      </c>
      <c r="U607" t="str">
        <f>IF(SeismicData[[#This Row],[class]]=1,"Dangerous","Safe")</f>
        <v>Safe</v>
      </c>
      <c r="V607" t="str">
        <f>IF(SeismicData[[#This Row],[shift]]="W","Production","Non-Production")</f>
        <v>Non-Production</v>
      </c>
      <c r="W607" t="str">
        <f>IF(SeismicData[[#This Row],[genergy]]=0,"0","10^"&amp;INT(LOG10(SeismicData[[#This Row],[genergy]])))</f>
        <v>10^3</v>
      </c>
      <c r="X607" t="str">
        <f>IF(OR(SeismicData[[#This Row],[genergy]]&lt;$AA$6,SeismicData[[#This Row],[genergy]]&gt;$AA$5),"Outlier","Normal")</f>
        <v>Normal</v>
      </c>
    </row>
    <row r="608" spans="1:24" x14ac:dyDescent="0.15">
      <c r="A608">
        <v>607</v>
      </c>
      <c r="B608" t="s">
        <v>20</v>
      </c>
      <c r="C608" t="s">
        <v>20</v>
      </c>
      <c r="D608" t="s">
        <v>21</v>
      </c>
      <c r="E608">
        <v>3960</v>
      </c>
      <c r="F608">
        <v>35</v>
      </c>
      <c r="G608">
        <v>-14</v>
      </c>
      <c r="H608">
        <v>-27</v>
      </c>
      <c r="I608" t="s">
        <v>20</v>
      </c>
      <c r="J608">
        <v>1</v>
      </c>
      <c r="K608">
        <v>0</v>
      </c>
      <c r="L608">
        <v>1</v>
      </c>
      <c r="M608">
        <v>0</v>
      </c>
      <c r="N608">
        <v>0</v>
      </c>
      <c r="O608">
        <v>0</v>
      </c>
      <c r="P608">
        <v>0</v>
      </c>
      <c r="Q608">
        <v>0</v>
      </c>
      <c r="R608">
        <v>1000</v>
      </c>
      <c r="S608">
        <v>1000</v>
      </c>
      <c r="T608">
        <v>0</v>
      </c>
      <c r="U608" t="str">
        <f>IF(SeismicData[[#This Row],[class]]=1,"Dangerous","Safe")</f>
        <v>Safe</v>
      </c>
      <c r="V608" t="str">
        <f>IF(SeismicData[[#This Row],[shift]]="W","Production","Non-Production")</f>
        <v>Non-Production</v>
      </c>
      <c r="W608" t="str">
        <f>IF(SeismicData[[#This Row],[genergy]]=0,"0","10^"&amp;INT(LOG10(SeismicData[[#This Row],[genergy]])))</f>
        <v>10^3</v>
      </c>
      <c r="X608" t="str">
        <f>IF(OR(SeismicData[[#This Row],[genergy]]&lt;$AA$6,SeismicData[[#This Row],[genergy]]&gt;$AA$5),"Outlier","Normal")</f>
        <v>Normal</v>
      </c>
    </row>
    <row r="609" spans="1:24" x14ac:dyDescent="0.15">
      <c r="A609">
        <v>608</v>
      </c>
      <c r="B609" t="s">
        <v>20</v>
      </c>
      <c r="C609" t="s">
        <v>20</v>
      </c>
      <c r="D609" t="s">
        <v>21</v>
      </c>
      <c r="E609">
        <v>4420</v>
      </c>
      <c r="F609">
        <v>60</v>
      </c>
      <c r="G609">
        <v>-2</v>
      </c>
      <c r="H609">
        <v>28</v>
      </c>
      <c r="I609" t="s">
        <v>20</v>
      </c>
      <c r="J609">
        <v>0</v>
      </c>
      <c r="K609">
        <v>0</v>
      </c>
      <c r="L609">
        <v>0</v>
      </c>
      <c r="M609">
        <v>0</v>
      </c>
      <c r="N609">
        <v>0</v>
      </c>
      <c r="O609">
        <v>0</v>
      </c>
      <c r="P609">
        <v>0</v>
      </c>
      <c r="Q609">
        <v>0</v>
      </c>
      <c r="R609">
        <v>0</v>
      </c>
      <c r="S609">
        <v>0</v>
      </c>
      <c r="T609">
        <v>1</v>
      </c>
      <c r="U609" t="str">
        <f>IF(SeismicData[[#This Row],[class]]=1,"Dangerous","Safe")</f>
        <v>Dangerous</v>
      </c>
      <c r="V609" t="str">
        <f>IF(SeismicData[[#This Row],[shift]]="W","Production","Non-Production")</f>
        <v>Non-Production</v>
      </c>
      <c r="W609" t="str">
        <f>IF(SeismicData[[#This Row],[genergy]]=0,"0","10^"&amp;INT(LOG10(SeismicData[[#This Row],[genergy]])))</f>
        <v>10^3</v>
      </c>
      <c r="X609" t="str">
        <f>IF(OR(SeismicData[[#This Row],[genergy]]&lt;$AA$6,SeismicData[[#This Row],[genergy]]&gt;$AA$5),"Outlier","Normal")</f>
        <v>Normal</v>
      </c>
    </row>
    <row r="610" spans="1:24" x14ac:dyDescent="0.15">
      <c r="A610">
        <v>609</v>
      </c>
      <c r="B610" t="s">
        <v>23</v>
      </c>
      <c r="C610" t="s">
        <v>20</v>
      </c>
      <c r="D610" t="s">
        <v>22</v>
      </c>
      <c r="E610">
        <v>49520</v>
      </c>
      <c r="F610">
        <v>405</v>
      </c>
      <c r="G610">
        <v>60</v>
      </c>
      <c r="H610">
        <v>49</v>
      </c>
      <c r="I610" t="s">
        <v>20</v>
      </c>
      <c r="J610">
        <v>4</v>
      </c>
      <c r="K610">
        <v>0</v>
      </c>
      <c r="L610">
        <v>3</v>
      </c>
      <c r="M610">
        <v>1</v>
      </c>
      <c r="N610">
        <v>0</v>
      </c>
      <c r="O610">
        <v>0</v>
      </c>
      <c r="P610">
        <v>0</v>
      </c>
      <c r="Q610">
        <v>0</v>
      </c>
      <c r="R610">
        <v>72000</v>
      </c>
      <c r="S610">
        <v>60000</v>
      </c>
      <c r="T610">
        <v>0</v>
      </c>
      <c r="U610" t="str">
        <f>IF(SeismicData[[#This Row],[class]]=1,"Dangerous","Safe")</f>
        <v>Safe</v>
      </c>
      <c r="V610" t="str">
        <f>IF(SeismicData[[#This Row],[shift]]="W","Production","Non-Production")</f>
        <v>Production</v>
      </c>
      <c r="W610" t="str">
        <f>IF(SeismicData[[#This Row],[genergy]]=0,"0","10^"&amp;INT(LOG10(SeismicData[[#This Row],[genergy]])))</f>
        <v>10^4</v>
      </c>
      <c r="X610" t="str">
        <f>IF(OR(SeismicData[[#This Row],[genergy]]&lt;$AA$6,SeismicData[[#This Row],[genergy]]&gt;$AA$5),"Outlier","Normal")</f>
        <v>Normal</v>
      </c>
    </row>
    <row r="611" spans="1:24" x14ac:dyDescent="0.15">
      <c r="A611">
        <v>610</v>
      </c>
      <c r="B611" t="s">
        <v>23</v>
      </c>
      <c r="C611" t="s">
        <v>23</v>
      </c>
      <c r="D611" t="s">
        <v>22</v>
      </c>
      <c r="E611">
        <v>51910</v>
      </c>
      <c r="F611">
        <v>495</v>
      </c>
      <c r="G611">
        <v>57</v>
      </c>
      <c r="H611">
        <v>73</v>
      </c>
      <c r="I611" t="s">
        <v>23</v>
      </c>
      <c r="J611">
        <v>0</v>
      </c>
      <c r="K611">
        <v>0</v>
      </c>
      <c r="L611">
        <v>0</v>
      </c>
      <c r="M611">
        <v>0</v>
      </c>
      <c r="N611">
        <v>0</v>
      </c>
      <c r="O611">
        <v>0</v>
      </c>
      <c r="P611">
        <v>0</v>
      </c>
      <c r="Q611">
        <v>0</v>
      </c>
      <c r="R611">
        <v>0</v>
      </c>
      <c r="S611">
        <v>0</v>
      </c>
      <c r="T611">
        <v>0</v>
      </c>
      <c r="U611" t="str">
        <f>IF(SeismicData[[#This Row],[class]]=1,"Dangerous","Safe")</f>
        <v>Safe</v>
      </c>
      <c r="V611" t="str">
        <f>IF(SeismicData[[#This Row],[shift]]="W","Production","Non-Production")</f>
        <v>Production</v>
      </c>
      <c r="W611" t="str">
        <f>IF(SeismicData[[#This Row],[genergy]]=0,"0","10^"&amp;INT(LOG10(SeismicData[[#This Row],[genergy]])))</f>
        <v>10^4</v>
      </c>
      <c r="X611" t="str">
        <f>IF(OR(SeismicData[[#This Row],[genergy]]&lt;$AA$6,SeismicData[[#This Row],[genergy]]&gt;$AA$5),"Outlier","Normal")</f>
        <v>Normal</v>
      </c>
    </row>
    <row r="612" spans="1:24" x14ac:dyDescent="0.15">
      <c r="A612">
        <v>611</v>
      </c>
      <c r="B612" t="s">
        <v>23</v>
      </c>
      <c r="C612" t="s">
        <v>23</v>
      </c>
      <c r="D612" t="s">
        <v>22</v>
      </c>
      <c r="E612">
        <v>13600</v>
      </c>
      <c r="F612">
        <v>215</v>
      </c>
      <c r="G612">
        <v>-60</v>
      </c>
      <c r="H612">
        <v>-29</v>
      </c>
      <c r="I612" t="s">
        <v>23</v>
      </c>
      <c r="J612">
        <v>2</v>
      </c>
      <c r="K612">
        <v>1</v>
      </c>
      <c r="L612">
        <v>1</v>
      </c>
      <c r="M612">
        <v>0</v>
      </c>
      <c r="N612">
        <v>0</v>
      </c>
      <c r="O612">
        <v>0</v>
      </c>
      <c r="P612">
        <v>0</v>
      </c>
      <c r="Q612">
        <v>0</v>
      </c>
      <c r="R612">
        <v>3600</v>
      </c>
      <c r="S612">
        <v>3000</v>
      </c>
      <c r="T612">
        <v>0</v>
      </c>
      <c r="U612" t="str">
        <f>IF(SeismicData[[#This Row],[class]]=1,"Dangerous","Safe")</f>
        <v>Safe</v>
      </c>
      <c r="V612" t="str">
        <f>IF(SeismicData[[#This Row],[shift]]="W","Production","Non-Production")</f>
        <v>Production</v>
      </c>
      <c r="W612" t="str">
        <f>IF(SeismicData[[#This Row],[genergy]]=0,"0","10^"&amp;INT(LOG10(SeismicData[[#This Row],[genergy]])))</f>
        <v>10^4</v>
      </c>
      <c r="X612" t="str">
        <f>IF(OR(SeismicData[[#This Row],[genergy]]&lt;$AA$6,SeismicData[[#This Row],[genergy]]&gt;$AA$5),"Outlier","Normal")</f>
        <v>Normal</v>
      </c>
    </row>
    <row r="613" spans="1:24" x14ac:dyDescent="0.15">
      <c r="A613">
        <v>612</v>
      </c>
      <c r="B613" t="s">
        <v>20</v>
      </c>
      <c r="C613" t="s">
        <v>23</v>
      </c>
      <c r="D613" t="s">
        <v>22</v>
      </c>
      <c r="E613">
        <v>40140</v>
      </c>
      <c r="F613">
        <v>417</v>
      </c>
      <c r="G613">
        <v>19</v>
      </c>
      <c r="H613">
        <v>35</v>
      </c>
      <c r="I613" t="s">
        <v>20</v>
      </c>
      <c r="J613">
        <v>6</v>
      </c>
      <c r="K613">
        <v>2</v>
      </c>
      <c r="L613">
        <v>4</v>
      </c>
      <c r="M613">
        <v>0</v>
      </c>
      <c r="N613">
        <v>0</v>
      </c>
      <c r="O613">
        <v>0</v>
      </c>
      <c r="P613">
        <v>0</v>
      </c>
      <c r="Q613">
        <v>0</v>
      </c>
      <c r="R613">
        <v>11300</v>
      </c>
      <c r="S613">
        <v>4000</v>
      </c>
      <c r="T613">
        <v>0</v>
      </c>
      <c r="U613" t="str">
        <f>IF(SeismicData[[#This Row],[class]]=1,"Dangerous","Safe")</f>
        <v>Safe</v>
      </c>
      <c r="V613" t="str">
        <f>IF(SeismicData[[#This Row],[shift]]="W","Production","Non-Production")</f>
        <v>Production</v>
      </c>
      <c r="W613" t="str">
        <f>IF(SeismicData[[#This Row],[genergy]]=0,"0","10^"&amp;INT(LOG10(SeismicData[[#This Row],[genergy]])))</f>
        <v>10^4</v>
      </c>
      <c r="X613" t="str">
        <f>IF(OR(SeismicData[[#This Row],[genergy]]&lt;$AA$6,SeismicData[[#This Row],[genergy]]&gt;$AA$5),"Outlier","Normal")</f>
        <v>Normal</v>
      </c>
    </row>
    <row r="614" spans="1:24" x14ac:dyDescent="0.15">
      <c r="A614">
        <v>613</v>
      </c>
      <c r="B614" t="s">
        <v>20</v>
      </c>
      <c r="C614" t="s">
        <v>23</v>
      </c>
      <c r="D614" t="s">
        <v>22</v>
      </c>
      <c r="E614">
        <v>31390</v>
      </c>
      <c r="F614">
        <v>376</v>
      </c>
      <c r="G614">
        <v>-7</v>
      </c>
      <c r="H614">
        <v>18</v>
      </c>
      <c r="I614" t="s">
        <v>20</v>
      </c>
      <c r="J614">
        <v>2</v>
      </c>
      <c r="K614">
        <v>0</v>
      </c>
      <c r="L614">
        <v>2</v>
      </c>
      <c r="M614">
        <v>0</v>
      </c>
      <c r="N614">
        <v>0</v>
      </c>
      <c r="O614">
        <v>0</v>
      </c>
      <c r="P614">
        <v>0</v>
      </c>
      <c r="Q614">
        <v>0</v>
      </c>
      <c r="R614">
        <v>6000</v>
      </c>
      <c r="S614">
        <v>4000</v>
      </c>
      <c r="T614">
        <v>1</v>
      </c>
      <c r="U614" t="str">
        <f>IF(SeismicData[[#This Row],[class]]=1,"Dangerous","Safe")</f>
        <v>Dangerous</v>
      </c>
      <c r="V614" t="str">
        <f>IF(SeismicData[[#This Row],[shift]]="W","Production","Non-Production")</f>
        <v>Production</v>
      </c>
      <c r="W614" t="str">
        <f>IF(SeismicData[[#This Row],[genergy]]=0,"0","10^"&amp;INT(LOG10(SeismicData[[#This Row],[genergy]])))</f>
        <v>10^4</v>
      </c>
      <c r="X614" t="str">
        <f>IF(OR(SeismicData[[#This Row],[genergy]]&lt;$AA$6,SeismicData[[#This Row],[genergy]]&gt;$AA$5),"Outlier","Normal")</f>
        <v>Normal</v>
      </c>
    </row>
    <row r="615" spans="1:24" x14ac:dyDescent="0.15">
      <c r="A615">
        <v>614</v>
      </c>
      <c r="B615" t="s">
        <v>23</v>
      </c>
      <c r="C615" t="s">
        <v>20</v>
      </c>
      <c r="D615" t="s">
        <v>22</v>
      </c>
      <c r="E615">
        <v>11230</v>
      </c>
      <c r="F615">
        <v>103</v>
      </c>
      <c r="G615">
        <v>-65</v>
      </c>
      <c r="H615">
        <v>-68</v>
      </c>
      <c r="I615" t="s">
        <v>20</v>
      </c>
      <c r="J615">
        <v>4</v>
      </c>
      <c r="K615">
        <v>1</v>
      </c>
      <c r="L615">
        <v>2</v>
      </c>
      <c r="M615">
        <v>1</v>
      </c>
      <c r="N615">
        <v>0</v>
      </c>
      <c r="O615">
        <v>0</v>
      </c>
      <c r="P615">
        <v>0</v>
      </c>
      <c r="Q615">
        <v>0</v>
      </c>
      <c r="R615">
        <v>25200</v>
      </c>
      <c r="S615">
        <v>20000</v>
      </c>
      <c r="T615">
        <v>1</v>
      </c>
      <c r="U615" t="str">
        <f>IF(SeismicData[[#This Row],[class]]=1,"Dangerous","Safe")</f>
        <v>Dangerous</v>
      </c>
      <c r="V615" t="str">
        <f>IF(SeismicData[[#This Row],[shift]]="W","Production","Non-Production")</f>
        <v>Production</v>
      </c>
      <c r="W615" t="str">
        <f>IF(SeismicData[[#This Row],[genergy]]=0,"0","10^"&amp;INT(LOG10(SeismicData[[#This Row],[genergy]])))</f>
        <v>10^4</v>
      </c>
      <c r="X615" t="str">
        <f>IF(OR(SeismicData[[#This Row],[genergy]]&lt;$AA$6,SeismicData[[#This Row],[genergy]]&gt;$AA$5),"Outlier","Normal")</f>
        <v>Normal</v>
      </c>
    </row>
    <row r="616" spans="1:24" x14ac:dyDescent="0.15">
      <c r="A616">
        <v>615</v>
      </c>
      <c r="B616" t="s">
        <v>23</v>
      </c>
      <c r="C616" t="s">
        <v>20</v>
      </c>
      <c r="D616" t="s">
        <v>22</v>
      </c>
      <c r="E616">
        <v>23200</v>
      </c>
      <c r="F616">
        <v>264</v>
      </c>
      <c r="G616">
        <v>-28</v>
      </c>
      <c r="H616">
        <v>-18</v>
      </c>
      <c r="I616" t="s">
        <v>20</v>
      </c>
      <c r="J616">
        <v>3</v>
      </c>
      <c r="K616">
        <v>2</v>
      </c>
      <c r="L616">
        <v>0</v>
      </c>
      <c r="M616">
        <v>1</v>
      </c>
      <c r="N616">
        <v>0</v>
      </c>
      <c r="O616">
        <v>0</v>
      </c>
      <c r="P616">
        <v>0</v>
      </c>
      <c r="Q616">
        <v>0</v>
      </c>
      <c r="R616">
        <v>40600</v>
      </c>
      <c r="S616">
        <v>40000</v>
      </c>
      <c r="T616">
        <v>0</v>
      </c>
      <c r="U616" t="str">
        <f>IF(SeismicData[[#This Row],[class]]=1,"Dangerous","Safe")</f>
        <v>Safe</v>
      </c>
      <c r="V616" t="str">
        <f>IF(SeismicData[[#This Row],[shift]]="W","Production","Non-Production")</f>
        <v>Production</v>
      </c>
      <c r="W616" t="str">
        <f>IF(SeismicData[[#This Row],[genergy]]=0,"0","10^"&amp;INT(LOG10(SeismicData[[#This Row],[genergy]])))</f>
        <v>10^4</v>
      </c>
      <c r="X616" t="str">
        <f>IF(OR(SeismicData[[#This Row],[genergy]]&lt;$AA$6,SeismicData[[#This Row],[genergy]]&gt;$AA$5),"Outlier","Normal")</f>
        <v>Normal</v>
      </c>
    </row>
    <row r="617" spans="1:24" x14ac:dyDescent="0.15">
      <c r="A617">
        <v>616</v>
      </c>
      <c r="B617" t="s">
        <v>23</v>
      </c>
      <c r="C617" t="s">
        <v>20</v>
      </c>
      <c r="D617" t="s">
        <v>22</v>
      </c>
      <c r="E617">
        <v>26670</v>
      </c>
      <c r="F617">
        <v>444</v>
      </c>
      <c r="G617">
        <v>-17</v>
      </c>
      <c r="H617">
        <v>39</v>
      </c>
      <c r="I617" t="s">
        <v>20</v>
      </c>
      <c r="J617">
        <v>0</v>
      </c>
      <c r="K617">
        <v>0</v>
      </c>
      <c r="L617">
        <v>0</v>
      </c>
      <c r="M617">
        <v>0</v>
      </c>
      <c r="N617">
        <v>0</v>
      </c>
      <c r="O617">
        <v>0</v>
      </c>
      <c r="P617">
        <v>0</v>
      </c>
      <c r="Q617">
        <v>0</v>
      </c>
      <c r="R617">
        <v>0</v>
      </c>
      <c r="S617">
        <v>0</v>
      </c>
      <c r="T617">
        <v>0</v>
      </c>
      <c r="U617" t="str">
        <f>IF(SeismicData[[#This Row],[class]]=1,"Dangerous","Safe")</f>
        <v>Safe</v>
      </c>
      <c r="V617" t="str">
        <f>IF(SeismicData[[#This Row],[shift]]="W","Production","Non-Production")</f>
        <v>Production</v>
      </c>
      <c r="W617" t="str">
        <f>IF(SeismicData[[#This Row],[genergy]]=0,"0","10^"&amp;INT(LOG10(SeismicData[[#This Row],[genergy]])))</f>
        <v>10^4</v>
      </c>
      <c r="X617" t="str">
        <f>IF(OR(SeismicData[[#This Row],[genergy]]&lt;$AA$6,SeismicData[[#This Row],[genergy]]&gt;$AA$5),"Outlier","Normal")</f>
        <v>Normal</v>
      </c>
    </row>
    <row r="618" spans="1:24" x14ac:dyDescent="0.15">
      <c r="A618">
        <v>617</v>
      </c>
      <c r="B618" t="s">
        <v>23</v>
      </c>
      <c r="C618" t="s">
        <v>20</v>
      </c>
      <c r="D618" t="s">
        <v>22</v>
      </c>
      <c r="E618">
        <v>26860</v>
      </c>
      <c r="F618">
        <v>282</v>
      </c>
      <c r="G618">
        <v>-46</v>
      </c>
      <c r="H618">
        <v>-44</v>
      </c>
      <c r="I618" t="s">
        <v>20</v>
      </c>
      <c r="J618">
        <v>2</v>
      </c>
      <c r="K618">
        <v>0</v>
      </c>
      <c r="L618">
        <v>2</v>
      </c>
      <c r="M618">
        <v>0</v>
      </c>
      <c r="N618">
        <v>0</v>
      </c>
      <c r="O618">
        <v>0</v>
      </c>
      <c r="P618">
        <v>0</v>
      </c>
      <c r="Q618">
        <v>0</v>
      </c>
      <c r="R618">
        <v>5000</v>
      </c>
      <c r="S618">
        <v>3000</v>
      </c>
      <c r="T618">
        <v>0</v>
      </c>
      <c r="U618" t="str">
        <f>IF(SeismicData[[#This Row],[class]]=1,"Dangerous","Safe")</f>
        <v>Safe</v>
      </c>
      <c r="V618" t="str">
        <f>IF(SeismicData[[#This Row],[shift]]="W","Production","Non-Production")</f>
        <v>Production</v>
      </c>
      <c r="W618" t="str">
        <f>IF(SeismicData[[#This Row],[genergy]]=0,"0","10^"&amp;INT(LOG10(SeismicData[[#This Row],[genergy]])))</f>
        <v>10^4</v>
      </c>
      <c r="X618" t="str">
        <f>IF(OR(SeismicData[[#This Row],[genergy]]&lt;$AA$6,SeismicData[[#This Row],[genergy]]&gt;$AA$5),"Outlier","Normal")</f>
        <v>Normal</v>
      </c>
    </row>
    <row r="619" spans="1:24" x14ac:dyDescent="0.15">
      <c r="A619">
        <v>618</v>
      </c>
      <c r="B619" t="s">
        <v>20</v>
      </c>
      <c r="C619" t="s">
        <v>20</v>
      </c>
      <c r="D619" t="s">
        <v>22</v>
      </c>
      <c r="E619">
        <v>21760</v>
      </c>
      <c r="F619">
        <v>250</v>
      </c>
      <c r="G619">
        <v>-54</v>
      </c>
      <c r="H619">
        <v>-48</v>
      </c>
      <c r="I619" t="s">
        <v>20</v>
      </c>
      <c r="J619">
        <v>2</v>
      </c>
      <c r="K619">
        <v>2</v>
      </c>
      <c r="L619">
        <v>0</v>
      </c>
      <c r="M619">
        <v>0</v>
      </c>
      <c r="N619">
        <v>0</v>
      </c>
      <c r="O619">
        <v>0</v>
      </c>
      <c r="P619">
        <v>0</v>
      </c>
      <c r="Q619">
        <v>0</v>
      </c>
      <c r="R619">
        <v>600</v>
      </c>
      <c r="S619">
        <v>400</v>
      </c>
      <c r="T619">
        <v>1</v>
      </c>
      <c r="U619" t="str">
        <f>IF(SeismicData[[#This Row],[class]]=1,"Dangerous","Safe")</f>
        <v>Dangerous</v>
      </c>
      <c r="V619" t="str">
        <f>IF(SeismicData[[#This Row],[shift]]="W","Production","Non-Production")</f>
        <v>Production</v>
      </c>
      <c r="W619" t="str">
        <f>IF(SeismicData[[#This Row],[genergy]]=0,"0","10^"&amp;INT(LOG10(SeismicData[[#This Row],[genergy]])))</f>
        <v>10^4</v>
      </c>
      <c r="X619" t="str">
        <f>IF(OR(SeismicData[[#This Row],[genergy]]&lt;$AA$6,SeismicData[[#This Row],[genergy]]&gt;$AA$5),"Outlier","Normal")</f>
        <v>Normal</v>
      </c>
    </row>
    <row r="620" spans="1:24" x14ac:dyDescent="0.15">
      <c r="A620">
        <v>619</v>
      </c>
      <c r="B620" t="s">
        <v>23</v>
      </c>
      <c r="C620" t="s">
        <v>20</v>
      </c>
      <c r="D620" t="s">
        <v>22</v>
      </c>
      <c r="E620">
        <v>17570</v>
      </c>
      <c r="F620">
        <v>211</v>
      </c>
      <c r="G620">
        <v>-61</v>
      </c>
      <c r="H620">
        <v>-53</v>
      </c>
      <c r="I620" t="s">
        <v>20</v>
      </c>
      <c r="J620">
        <v>4</v>
      </c>
      <c r="K620">
        <v>3</v>
      </c>
      <c r="L620">
        <v>0</v>
      </c>
      <c r="M620">
        <v>1</v>
      </c>
      <c r="N620">
        <v>0</v>
      </c>
      <c r="O620">
        <v>0</v>
      </c>
      <c r="P620">
        <v>0</v>
      </c>
      <c r="Q620">
        <v>0</v>
      </c>
      <c r="R620">
        <v>70800</v>
      </c>
      <c r="S620">
        <v>70000</v>
      </c>
      <c r="T620">
        <v>0</v>
      </c>
      <c r="U620" t="str">
        <f>IF(SeismicData[[#This Row],[class]]=1,"Dangerous","Safe")</f>
        <v>Safe</v>
      </c>
      <c r="V620" t="str">
        <f>IF(SeismicData[[#This Row],[shift]]="W","Production","Non-Production")</f>
        <v>Production</v>
      </c>
      <c r="W620" t="str">
        <f>IF(SeismicData[[#This Row],[genergy]]=0,"0","10^"&amp;INT(LOG10(SeismicData[[#This Row],[genergy]])))</f>
        <v>10^4</v>
      </c>
      <c r="X620" t="str">
        <f>IF(OR(SeismicData[[#This Row],[genergy]]&lt;$AA$6,SeismicData[[#This Row],[genergy]]&gt;$AA$5),"Outlier","Normal")</f>
        <v>Normal</v>
      </c>
    </row>
    <row r="621" spans="1:24" x14ac:dyDescent="0.15">
      <c r="A621">
        <v>620</v>
      </c>
      <c r="B621" t="s">
        <v>23</v>
      </c>
      <c r="C621" t="s">
        <v>20</v>
      </c>
      <c r="D621" t="s">
        <v>22</v>
      </c>
      <c r="E621">
        <v>11800</v>
      </c>
      <c r="F621">
        <v>133</v>
      </c>
      <c r="G621">
        <v>-47</v>
      </c>
      <c r="H621">
        <v>-46</v>
      </c>
      <c r="I621" t="s">
        <v>20</v>
      </c>
      <c r="J621">
        <v>2</v>
      </c>
      <c r="K621">
        <v>1</v>
      </c>
      <c r="L621">
        <v>1</v>
      </c>
      <c r="M621">
        <v>0</v>
      </c>
      <c r="N621">
        <v>0</v>
      </c>
      <c r="O621">
        <v>0</v>
      </c>
      <c r="P621">
        <v>0</v>
      </c>
      <c r="Q621">
        <v>0</v>
      </c>
      <c r="R621">
        <v>3300</v>
      </c>
      <c r="S621">
        <v>3000</v>
      </c>
      <c r="T621">
        <v>0</v>
      </c>
      <c r="U621" t="str">
        <f>IF(SeismicData[[#This Row],[class]]=1,"Dangerous","Safe")</f>
        <v>Safe</v>
      </c>
      <c r="V621" t="str">
        <f>IF(SeismicData[[#This Row],[shift]]="W","Production","Non-Production")</f>
        <v>Production</v>
      </c>
      <c r="W621" t="str">
        <f>IF(SeismicData[[#This Row],[genergy]]=0,"0","10^"&amp;INT(LOG10(SeismicData[[#This Row],[genergy]])))</f>
        <v>10^4</v>
      </c>
      <c r="X621" t="str">
        <f>IF(OR(SeismicData[[#This Row],[genergy]]&lt;$AA$6,SeismicData[[#This Row],[genergy]]&gt;$AA$5),"Outlier","Normal")</f>
        <v>Normal</v>
      </c>
    </row>
    <row r="622" spans="1:24" x14ac:dyDescent="0.15">
      <c r="A622">
        <v>621</v>
      </c>
      <c r="B622" t="s">
        <v>23</v>
      </c>
      <c r="C622" t="s">
        <v>20</v>
      </c>
      <c r="D622" t="s">
        <v>22</v>
      </c>
      <c r="E622">
        <v>40250</v>
      </c>
      <c r="F622">
        <v>451</v>
      </c>
      <c r="G622">
        <v>91</v>
      </c>
      <c r="H622">
        <v>91</v>
      </c>
      <c r="I622" t="s">
        <v>20</v>
      </c>
      <c r="J622">
        <v>4</v>
      </c>
      <c r="K622">
        <v>3</v>
      </c>
      <c r="L622">
        <v>1</v>
      </c>
      <c r="M622">
        <v>0</v>
      </c>
      <c r="N622">
        <v>0</v>
      </c>
      <c r="O622">
        <v>0</v>
      </c>
      <c r="P622">
        <v>0</v>
      </c>
      <c r="Q622">
        <v>0</v>
      </c>
      <c r="R622">
        <v>2900</v>
      </c>
      <c r="S622">
        <v>2000</v>
      </c>
      <c r="T622">
        <v>0</v>
      </c>
      <c r="U622" t="str">
        <f>IF(SeismicData[[#This Row],[class]]=1,"Dangerous","Safe")</f>
        <v>Safe</v>
      </c>
      <c r="V622" t="str">
        <f>IF(SeismicData[[#This Row],[shift]]="W","Production","Non-Production")</f>
        <v>Production</v>
      </c>
      <c r="W622" t="str">
        <f>IF(SeismicData[[#This Row],[genergy]]=0,"0","10^"&amp;INT(LOG10(SeismicData[[#This Row],[genergy]])))</f>
        <v>10^4</v>
      </c>
      <c r="X622" t="str">
        <f>IF(OR(SeismicData[[#This Row],[genergy]]&lt;$AA$6,SeismicData[[#This Row],[genergy]]&gt;$AA$5),"Outlier","Normal")</f>
        <v>Normal</v>
      </c>
    </row>
    <row r="623" spans="1:24" x14ac:dyDescent="0.15">
      <c r="A623">
        <v>622</v>
      </c>
      <c r="B623" t="s">
        <v>20</v>
      </c>
      <c r="C623" t="s">
        <v>20</v>
      </c>
      <c r="D623" t="s">
        <v>22</v>
      </c>
      <c r="E623">
        <v>45180</v>
      </c>
      <c r="F623">
        <v>370</v>
      </c>
      <c r="G623">
        <v>98</v>
      </c>
      <c r="H623">
        <v>44</v>
      </c>
      <c r="I623" t="s">
        <v>20</v>
      </c>
      <c r="J623">
        <v>4</v>
      </c>
      <c r="K623">
        <v>2</v>
      </c>
      <c r="L623">
        <v>2</v>
      </c>
      <c r="M623">
        <v>0</v>
      </c>
      <c r="N623">
        <v>0</v>
      </c>
      <c r="O623">
        <v>0</v>
      </c>
      <c r="P623">
        <v>0</v>
      </c>
      <c r="Q623">
        <v>0</v>
      </c>
      <c r="R623">
        <v>5800</v>
      </c>
      <c r="S623">
        <v>3000</v>
      </c>
      <c r="T623">
        <v>0</v>
      </c>
      <c r="U623" t="str">
        <f>IF(SeismicData[[#This Row],[class]]=1,"Dangerous","Safe")</f>
        <v>Safe</v>
      </c>
      <c r="V623" t="str">
        <f>IF(SeismicData[[#This Row],[shift]]="W","Production","Non-Production")</f>
        <v>Production</v>
      </c>
      <c r="W623" t="str">
        <f>IF(SeismicData[[#This Row],[genergy]]=0,"0","10^"&amp;INT(LOG10(SeismicData[[#This Row],[genergy]])))</f>
        <v>10^4</v>
      </c>
      <c r="X623" t="str">
        <f>IF(OR(SeismicData[[#This Row],[genergy]]&lt;$AA$6,SeismicData[[#This Row],[genergy]]&gt;$AA$5),"Outlier","Normal")</f>
        <v>Normal</v>
      </c>
    </row>
    <row r="624" spans="1:24" x14ac:dyDescent="0.15">
      <c r="A624">
        <v>623</v>
      </c>
      <c r="B624" t="s">
        <v>20</v>
      </c>
      <c r="C624" t="s">
        <v>20</v>
      </c>
      <c r="D624" t="s">
        <v>22</v>
      </c>
      <c r="E624">
        <v>25650</v>
      </c>
      <c r="F624">
        <v>157</v>
      </c>
      <c r="G624">
        <v>2</v>
      </c>
      <c r="H624">
        <v>-42</v>
      </c>
      <c r="I624" t="s">
        <v>20</v>
      </c>
      <c r="J624">
        <v>4</v>
      </c>
      <c r="K624">
        <v>1</v>
      </c>
      <c r="L624">
        <v>3</v>
      </c>
      <c r="M624">
        <v>0</v>
      </c>
      <c r="N624">
        <v>0</v>
      </c>
      <c r="O624">
        <v>0</v>
      </c>
      <c r="P624">
        <v>0</v>
      </c>
      <c r="Q624">
        <v>0</v>
      </c>
      <c r="R624">
        <v>16900</v>
      </c>
      <c r="S624">
        <v>8000</v>
      </c>
      <c r="T624">
        <v>0</v>
      </c>
      <c r="U624" t="str">
        <f>IF(SeismicData[[#This Row],[class]]=1,"Dangerous","Safe")</f>
        <v>Safe</v>
      </c>
      <c r="V624" t="str">
        <f>IF(SeismicData[[#This Row],[shift]]="W","Production","Non-Production")</f>
        <v>Production</v>
      </c>
      <c r="W624" t="str">
        <f>IF(SeismicData[[#This Row],[genergy]]=0,"0","10^"&amp;INT(LOG10(SeismicData[[#This Row],[genergy]])))</f>
        <v>10^4</v>
      </c>
      <c r="X624" t="str">
        <f>IF(OR(SeismicData[[#This Row],[genergy]]&lt;$AA$6,SeismicData[[#This Row],[genergy]]&gt;$AA$5),"Outlier","Normal")</f>
        <v>Normal</v>
      </c>
    </row>
    <row r="625" spans="1:24" x14ac:dyDescent="0.15">
      <c r="A625">
        <v>624</v>
      </c>
      <c r="B625" t="s">
        <v>20</v>
      </c>
      <c r="C625" t="s">
        <v>20</v>
      </c>
      <c r="D625" t="s">
        <v>22</v>
      </c>
      <c r="E625">
        <v>48530</v>
      </c>
      <c r="F625">
        <v>485</v>
      </c>
      <c r="G625">
        <v>90</v>
      </c>
      <c r="H625">
        <v>87</v>
      </c>
      <c r="I625" t="s">
        <v>20</v>
      </c>
      <c r="J625">
        <v>2</v>
      </c>
      <c r="K625">
        <v>1</v>
      </c>
      <c r="L625">
        <v>1</v>
      </c>
      <c r="M625">
        <v>0</v>
      </c>
      <c r="N625">
        <v>0</v>
      </c>
      <c r="O625">
        <v>0</v>
      </c>
      <c r="P625">
        <v>0</v>
      </c>
      <c r="Q625">
        <v>0</v>
      </c>
      <c r="R625">
        <v>1300</v>
      </c>
      <c r="S625">
        <v>1000</v>
      </c>
      <c r="T625">
        <v>0</v>
      </c>
      <c r="U625" t="str">
        <f>IF(SeismicData[[#This Row],[class]]=1,"Dangerous","Safe")</f>
        <v>Safe</v>
      </c>
      <c r="V625" t="str">
        <f>IF(SeismicData[[#This Row],[shift]]="W","Production","Non-Production")</f>
        <v>Production</v>
      </c>
      <c r="W625" t="str">
        <f>IF(SeismicData[[#This Row],[genergy]]=0,"0","10^"&amp;INT(LOG10(SeismicData[[#This Row],[genergy]])))</f>
        <v>10^4</v>
      </c>
      <c r="X625" t="str">
        <f>IF(OR(SeismicData[[#This Row],[genergy]]&lt;$AA$6,SeismicData[[#This Row],[genergy]]&gt;$AA$5),"Outlier","Normal")</f>
        <v>Normal</v>
      </c>
    </row>
    <row r="626" spans="1:24" x14ac:dyDescent="0.15">
      <c r="A626">
        <v>625</v>
      </c>
      <c r="B626" t="s">
        <v>20</v>
      </c>
      <c r="C626" t="s">
        <v>20</v>
      </c>
      <c r="D626" t="s">
        <v>22</v>
      </c>
      <c r="E626">
        <v>45350</v>
      </c>
      <c r="F626">
        <v>469</v>
      </c>
      <c r="G626">
        <v>14</v>
      </c>
      <c r="H626">
        <v>21</v>
      </c>
      <c r="I626" t="s">
        <v>20</v>
      </c>
      <c r="J626">
        <v>4</v>
      </c>
      <c r="K626">
        <v>1</v>
      </c>
      <c r="L626">
        <v>3</v>
      </c>
      <c r="M626">
        <v>0</v>
      </c>
      <c r="N626">
        <v>0</v>
      </c>
      <c r="O626">
        <v>0</v>
      </c>
      <c r="P626">
        <v>0</v>
      </c>
      <c r="Q626">
        <v>0</v>
      </c>
      <c r="R626">
        <v>6400</v>
      </c>
      <c r="S626">
        <v>3000</v>
      </c>
      <c r="T626">
        <v>0</v>
      </c>
      <c r="U626" t="str">
        <f>IF(SeismicData[[#This Row],[class]]=1,"Dangerous","Safe")</f>
        <v>Safe</v>
      </c>
      <c r="V626" t="str">
        <f>IF(SeismicData[[#This Row],[shift]]="W","Production","Non-Production")</f>
        <v>Production</v>
      </c>
      <c r="W626" t="str">
        <f>IF(SeismicData[[#This Row],[genergy]]=0,"0","10^"&amp;INT(LOG10(SeismicData[[#This Row],[genergy]])))</f>
        <v>10^4</v>
      </c>
      <c r="X626" t="str">
        <f>IF(OR(SeismicData[[#This Row],[genergy]]&lt;$AA$6,SeismicData[[#This Row],[genergy]]&gt;$AA$5),"Outlier","Normal")</f>
        <v>Normal</v>
      </c>
    </row>
    <row r="627" spans="1:24" x14ac:dyDescent="0.15">
      <c r="A627">
        <v>626</v>
      </c>
      <c r="B627" t="s">
        <v>20</v>
      </c>
      <c r="C627" t="s">
        <v>23</v>
      </c>
      <c r="D627" t="s">
        <v>22</v>
      </c>
      <c r="E627">
        <v>31710</v>
      </c>
      <c r="F627">
        <v>352</v>
      </c>
      <c r="G627">
        <v>-20</v>
      </c>
      <c r="H627">
        <v>-9</v>
      </c>
      <c r="I627" t="s">
        <v>20</v>
      </c>
      <c r="J627">
        <v>2</v>
      </c>
      <c r="K627">
        <v>2</v>
      </c>
      <c r="L627">
        <v>0</v>
      </c>
      <c r="M627">
        <v>0</v>
      </c>
      <c r="N627">
        <v>0</v>
      </c>
      <c r="O627">
        <v>0</v>
      </c>
      <c r="P627">
        <v>0</v>
      </c>
      <c r="Q627">
        <v>0</v>
      </c>
      <c r="R627">
        <v>1000</v>
      </c>
      <c r="S627">
        <v>500</v>
      </c>
      <c r="T627">
        <v>0</v>
      </c>
      <c r="U627" t="str">
        <f>IF(SeismicData[[#This Row],[class]]=1,"Dangerous","Safe")</f>
        <v>Safe</v>
      </c>
      <c r="V627" t="str">
        <f>IF(SeismicData[[#This Row],[shift]]="W","Production","Non-Production")</f>
        <v>Production</v>
      </c>
      <c r="W627" t="str">
        <f>IF(SeismicData[[#This Row],[genergy]]=0,"0","10^"&amp;INT(LOG10(SeismicData[[#This Row],[genergy]])))</f>
        <v>10^4</v>
      </c>
      <c r="X627" t="str">
        <f>IF(OR(SeismicData[[#This Row],[genergy]]&lt;$AA$6,SeismicData[[#This Row],[genergy]]&gt;$AA$5),"Outlier","Normal")</f>
        <v>Normal</v>
      </c>
    </row>
    <row r="628" spans="1:24" x14ac:dyDescent="0.15">
      <c r="A628">
        <v>627</v>
      </c>
      <c r="B628" t="s">
        <v>20</v>
      </c>
      <c r="C628" t="s">
        <v>23</v>
      </c>
      <c r="D628" t="s">
        <v>21</v>
      </c>
      <c r="E628">
        <v>4520</v>
      </c>
      <c r="F628">
        <v>50</v>
      </c>
      <c r="G628">
        <v>-82</v>
      </c>
      <c r="H628">
        <v>-80</v>
      </c>
      <c r="I628" t="s">
        <v>20</v>
      </c>
      <c r="J628">
        <v>0</v>
      </c>
      <c r="K628">
        <v>0</v>
      </c>
      <c r="L628">
        <v>0</v>
      </c>
      <c r="M628">
        <v>0</v>
      </c>
      <c r="N628">
        <v>0</v>
      </c>
      <c r="O628">
        <v>0</v>
      </c>
      <c r="P628">
        <v>0</v>
      </c>
      <c r="Q628">
        <v>0</v>
      </c>
      <c r="R628">
        <v>0</v>
      </c>
      <c r="S628">
        <v>0</v>
      </c>
      <c r="T628">
        <v>0</v>
      </c>
      <c r="U628" t="str">
        <f>IF(SeismicData[[#This Row],[class]]=1,"Dangerous","Safe")</f>
        <v>Safe</v>
      </c>
      <c r="V628" t="str">
        <f>IF(SeismicData[[#This Row],[shift]]="W","Production","Non-Production")</f>
        <v>Non-Production</v>
      </c>
      <c r="W628" t="str">
        <f>IF(SeismicData[[#This Row],[genergy]]=0,"0","10^"&amp;INT(LOG10(SeismicData[[#This Row],[genergy]])))</f>
        <v>10^3</v>
      </c>
      <c r="X628" t="str">
        <f>IF(OR(SeismicData[[#This Row],[genergy]]&lt;$AA$6,SeismicData[[#This Row],[genergy]]&gt;$AA$5),"Outlier","Normal")</f>
        <v>Normal</v>
      </c>
    </row>
    <row r="629" spans="1:24" x14ac:dyDescent="0.15">
      <c r="A629">
        <v>628</v>
      </c>
      <c r="B629" t="s">
        <v>20</v>
      </c>
      <c r="C629" t="s">
        <v>23</v>
      </c>
      <c r="D629" t="s">
        <v>21</v>
      </c>
      <c r="E629">
        <v>7400</v>
      </c>
      <c r="F629">
        <v>47</v>
      </c>
      <c r="G629">
        <v>-68</v>
      </c>
      <c r="H629">
        <v>-80</v>
      </c>
      <c r="I629" t="s">
        <v>20</v>
      </c>
      <c r="J629">
        <v>1</v>
      </c>
      <c r="K629">
        <v>0</v>
      </c>
      <c r="L629">
        <v>1</v>
      </c>
      <c r="M629">
        <v>0</v>
      </c>
      <c r="N629">
        <v>0</v>
      </c>
      <c r="O629">
        <v>0</v>
      </c>
      <c r="P629">
        <v>0</v>
      </c>
      <c r="Q629">
        <v>0</v>
      </c>
      <c r="R629">
        <v>3000</v>
      </c>
      <c r="S629">
        <v>3000</v>
      </c>
      <c r="T629">
        <v>0</v>
      </c>
      <c r="U629" t="str">
        <f>IF(SeismicData[[#This Row],[class]]=1,"Dangerous","Safe")</f>
        <v>Safe</v>
      </c>
      <c r="V629" t="str">
        <f>IF(SeismicData[[#This Row],[shift]]="W","Production","Non-Production")</f>
        <v>Non-Production</v>
      </c>
      <c r="W629" t="str">
        <f>IF(SeismicData[[#This Row],[genergy]]=0,"0","10^"&amp;INT(LOG10(SeismicData[[#This Row],[genergy]])))</f>
        <v>10^3</v>
      </c>
      <c r="X629" t="str">
        <f>IF(OR(SeismicData[[#This Row],[genergy]]&lt;$AA$6,SeismicData[[#This Row],[genergy]]&gt;$AA$5),"Outlier","Normal")</f>
        <v>Normal</v>
      </c>
    </row>
    <row r="630" spans="1:24" x14ac:dyDescent="0.15">
      <c r="A630">
        <v>629</v>
      </c>
      <c r="B630" t="s">
        <v>20</v>
      </c>
      <c r="C630" t="s">
        <v>23</v>
      </c>
      <c r="D630" t="s">
        <v>22</v>
      </c>
      <c r="E630">
        <v>20160</v>
      </c>
      <c r="F630">
        <v>243</v>
      </c>
      <c r="G630">
        <v>-47</v>
      </c>
      <c r="H630">
        <v>-36</v>
      </c>
      <c r="I630" t="s">
        <v>20</v>
      </c>
      <c r="J630">
        <v>2</v>
      </c>
      <c r="K630">
        <v>1</v>
      </c>
      <c r="L630">
        <v>1</v>
      </c>
      <c r="M630">
        <v>0</v>
      </c>
      <c r="N630">
        <v>0</v>
      </c>
      <c r="O630">
        <v>0</v>
      </c>
      <c r="P630">
        <v>0</v>
      </c>
      <c r="Q630">
        <v>0</v>
      </c>
      <c r="R630">
        <v>2700</v>
      </c>
      <c r="S630">
        <v>2000</v>
      </c>
      <c r="T630">
        <v>1</v>
      </c>
      <c r="U630" t="str">
        <f>IF(SeismicData[[#This Row],[class]]=1,"Dangerous","Safe")</f>
        <v>Dangerous</v>
      </c>
      <c r="V630" t="str">
        <f>IF(SeismicData[[#This Row],[shift]]="W","Production","Non-Production")</f>
        <v>Production</v>
      </c>
      <c r="W630" t="str">
        <f>IF(SeismicData[[#This Row],[genergy]]=0,"0","10^"&amp;INT(LOG10(SeismicData[[#This Row],[genergy]])))</f>
        <v>10^4</v>
      </c>
      <c r="X630" t="str">
        <f>IF(OR(SeismicData[[#This Row],[genergy]]&lt;$AA$6,SeismicData[[#This Row],[genergy]]&gt;$AA$5),"Outlier","Normal")</f>
        <v>Normal</v>
      </c>
    </row>
    <row r="631" spans="1:24" x14ac:dyDescent="0.15">
      <c r="A631">
        <v>630</v>
      </c>
      <c r="B631" t="s">
        <v>23</v>
      </c>
      <c r="C631" t="s">
        <v>23</v>
      </c>
      <c r="D631" t="s">
        <v>22</v>
      </c>
      <c r="E631">
        <v>50890</v>
      </c>
      <c r="F631">
        <v>602</v>
      </c>
      <c r="G631">
        <v>42</v>
      </c>
      <c r="H631">
        <v>69</v>
      </c>
      <c r="I631" t="s">
        <v>20</v>
      </c>
      <c r="J631">
        <v>2</v>
      </c>
      <c r="K631">
        <v>1</v>
      </c>
      <c r="L631">
        <v>0</v>
      </c>
      <c r="M631">
        <v>1</v>
      </c>
      <c r="N631">
        <v>0</v>
      </c>
      <c r="O631">
        <v>0</v>
      </c>
      <c r="P631">
        <v>0</v>
      </c>
      <c r="Q631">
        <v>0</v>
      </c>
      <c r="R631">
        <v>70500</v>
      </c>
      <c r="S631">
        <v>70000</v>
      </c>
      <c r="T631">
        <v>0</v>
      </c>
      <c r="U631" t="str">
        <f>IF(SeismicData[[#This Row],[class]]=1,"Dangerous","Safe")</f>
        <v>Safe</v>
      </c>
      <c r="V631" t="str">
        <f>IF(SeismicData[[#This Row],[shift]]="W","Production","Non-Production")</f>
        <v>Production</v>
      </c>
      <c r="W631" t="str">
        <f>IF(SeismicData[[#This Row],[genergy]]=0,"0","10^"&amp;INT(LOG10(SeismicData[[#This Row],[genergy]])))</f>
        <v>10^4</v>
      </c>
      <c r="X631" t="str">
        <f>IF(OR(SeismicData[[#This Row],[genergy]]&lt;$AA$6,SeismicData[[#This Row],[genergy]]&gt;$AA$5),"Outlier","Normal")</f>
        <v>Normal</v>
      </c>
    </row>
    <row r="632" spans="1:24" x14ac:dyDescent="0.15">
      <c r="A632">
        <v>631</v>
      </c>
      <c r="B632" t="s">
        <v>23</v>
      </c>
      <c r="C632" t="s">
        <v>20</v>
      </c>
      <c r="D632" t="s">
        <v>22</v>
      </c>
      <c r="E632">
        <v>40880</v>
      </c>
      <c r="F632">
        <v>519</v>
      </c>
      <c r="G632">
        <v>12</v>
      </c>
      <c r="H632">
        <v>40</v>
      </c>
      <c r="I632" t="s">
        <v>20</v>
      </c>
      <c r="J632">
        <v>1</v>
      </c>
      <c r="K632">
        <v>1</v>
      </c>
      <c r="L632">
        <v>0</v>
      </c>
      <c r="M632">
        <v>0</v>
      </c>
      <c r="N632">
        <v>0</v>
      </c>
      <c r="O632">
        <v>0</v>
      </c>
      <c r="P632">
        <v>0</v>
      </c>
      <c r="Q632">
        <v>0</v>
      </c>
      <c r="R632">
        <v>600</v>
      </c>
      <c r="S632">
        <v>600</v>
      </c>
      <c r="T632">
        <v>0</v>
      </c>
      <c r="U632" t="str">
        <f>IF(SeismicData[[#This Row],[class]]=1,"Dangerous","Safe")</f>
        <v>Safe</v>
      </c>
      <c r="V632" t="str">
        <f>IF(SeismicData[[#This Row],[shift]]="W","Production","Non-Production")</f>
        <v>Production</v>
      </c>
      <c r="W632" t="str">
        <f>IF(SeismicData[[#This Row],[genergy]]=0,"0","10^"&amp;INT(LOG10(SeismicData[[#This Row],[genergy]])))</f>
        <v>10^4</v>
      </c>
      <c r="X632" t="str">
        <f>IF(OR(SeismicData[[#This Row],[genergy]]&lt;$AA$6,SeismicData[[#This Row],[genergy]]&gt;$AA$5),"Outlier","Normal")</f>
        <v>Normal</v>
      </c>
    </row>
    <row r="633" spans="1:24" x14ac:dyDescent="0.15">
      <c r="A633">
        <v>632</v>
      </c>
      <c r="B633" t="s">
        <v>23</v>
      </c>
      <c r="C633" t="s">
        <v>20</v>
      </c>
      <c r="D633" t="s">
        <v>22</v>
      </c>
      <c r="E633">
        <v>30430</v>
      </c>
      <c r="F633">
        <v>308</v>
      </c>
      <c r="G633">
        <v>-16</v>
      </c>
      <c r="H633">
        <v>-19</v>
      </c>
      <c r="I633" t="s">
        <v>20</v>
      </c>
      <c r="J633">
        <v>2</v>
      </c>
      <c r="K633">
        <v>1</v>
      </c>
      <c r="L633">
        <v>1</v>
      </c>
      <c r="M633">
        <v>0</v>
      </c>
      <c r="N633">
        <v>0</v>
      </c>
      <c r="O633">
        <v>0</v>
      </c>
      <c r="P633">
        <v>0</v>
      </c>
      <c r="Q633">
        <v>0</v>
      </c>
      <c r="R633">
        <v>4500</v>
      </c>
      <c r="S633">
        <v>4000</v>
      </c>
      <c r="T633">
        <v>0</v>
      </c>
      <c r="U633" t="str">
        <f>IF(SeismicData[[#This Row],[class]]=1,"Dangerous","Safe")</f>
        <v>Safe</v>
      </c>
      <c r="V633" t="str">
        <f>IF(SeismicData[[#This Row],[shift]]="W","Production","Non-Production")</f>
        <v>Production</v>
      </c>
      <c r="W633" t="str">
        <f>IF(SeismicData[[#This Row],[genergy]]=0,"0","10^"&amp;INT(LOG10(SeismicData[[#This Row],[genergy]])))</f>
        <v>10^4</v>
      </c>
      <c r="X633" t="str">
        <f>IF(OR(SeismicData[[#This Row],[genergy]]&lt;$AA$6,SeismicData[[#This Row],[genergy]]&gt;$AA$5),"Outlier","Normal")</f>
        <v>Normal</v>
      </c>
    </row>
    <row r="634" spans="1:24" x14ac:dyDescent="0.15">
      <c r="A634">
        <v>633</v>
      </c>
      <c r="B634" t="s">
        <v>20</v>
      </c>
      <c r="C634" t="s">
        <v>20</v>
      </c>
      <c r="D634" t="s">
        <v>22</v>
      </c>
      <c r="E634">
        <v>71080</v>
      </c>
      <c r="F634">
        <v>767</v>
      </c>
      <c r="G634">
        <v>88</v>
      </c>
      <c r="H634">
        <v>94</v>
      </c>
      <c r="I634" t="s">
        <v>20</v>
      </c>
      <c r="J634">
        <v>5</v>
      </c>
      <c r="K634">
        <v>3</v>
      </c>
      <c r="L634">
        <v>2</v>
      </c>
      <c r="M634">
        <v>0</v>
      </c>
      <c r="N634">
        <v>0</v>
      </c>
      <c r="O634">
        <v>0</v>
      </c>
      <c r="P634">
        <v>0</v>
      </c>
      <c r="Q634">
        <v>0</v>
      </c>
      <c r="R634">
        <v>4600</v>
      </c>
      <c r="S634">
        <v>2000</v>
      </c>
      <c r="T634">
        <v>1</v>
      </c>
      <c r="U634" t="str">
        <f>IF(SeismicData[[#This Row],[class]]=1,"Dangerous","Safe")</f>
        <v>Dangerous</v>
      </c>
      <c r="V634" t="str">
        <f>IF(SeismicData[[#This Row],[shift]]="W","Production","Non-Production")</f>
        <v>Production</v>
      </c>
      <c r="W634" t="str">
        <f>IF(SeismicData[[#This Row],[genergy]]=0,"0","10^"&amp;INT(LOG10(SeismicData[[#This Row],[genergy]])))</f>
        <v>10^4</v>
      </c>
      <c r="X634" t="str">
        <f>IF(OR(SeismicData[[#This Row],[genergy]]&lt;$AA$6,SeismicData[[#This Row],[genergy]]&gt;$AA$5),"Outlier","Normal")</f>
        <v>Normal</v>
      </c>
    </row>
    <row r="635" spans="1:24" x14ac:dyDescent="0.15">
      <c r="A635">
        <v>634</v>
      </c>
      <c r="B635" t="s">
        <v>23</v>
      </c>
      <c r="C635" t="s">
        <v>20</v>
      </c>
      <c r="D635" t="s">
        <v>22</v>
      </c>
      <c r="E635">
        <v>65490</v>
      </c>
      <c r="F635">
        <v>735</v>
      </c>
      <c r="G635">
        <v>60</v>
      </c>
      <c r="H635">
        <v>72</v>
      </c>
      <c r="I635" t="s">
        <v>20</v>
      </c>
      <c r="J635">
        <v>3</v>
      </c>
      <c r="K635">
        <v>0</v>
      </c>
      <c r="L635">
        <v>2</v>
      </c>
      <c r="M635">
        <v>1</v>
      </c>
      <c r="N635">
        <v>0</v>
      </c>
      <c r="O635">
        <v>0</v>
      </c>
      <c r="P635">
        <v>0</v>
      </c>
      <c r="Q635">
        <v>0</v>
      </c>
      <c r="R635">
        <v>72000</v>
      </c>
      <c r="S635">
        <v>60000</v>
      </c>
      <c r="T635">
        <v>0</v>
      </c>
      <c r="U635" t="str">
        <f>IF(SeismicData[[#This Row],[class]]=1,"Dangerous","Safe")</f>
        <v>Safe</v>
      </c>
      <c r="V635" t="str">
        <f>IF(SeismicData[[#This Row],[shift]]="W","Production","Non-Production")</f>
        <v>Production</v>
      </c>
      <c r="W635" t="str">
        <f>IF(SeismicData[[#This Row],[genergy]]=0,"0","10^"&amp;INT(LOG10(SeismicData[[#This Row],[genergy]])))</f>
        <v>10^4</v>
      </c>
      <c r="X635" t="str">
        <f>IF(OR(SeismicData[[#This Row],[genergy]]&lt;$AA$6,SeismicData[[#This Row],[genergy]]&gt;$AA$5),"Outlier","Normal")</f>
        <v>Normal</v>
      </c>
    </row>
    <row r="636" spans="1:24" x14ac:dyDescent="0.15">
      <c r="A636">
        <v>635</v>
      </c>
      <c r="B636" t="s">
        <v>23</v>
      </c>
      <c r="C636" t="s">
        <v>20</v>
      </c>
      <c r="D636" t="s">
        <v>22</v>
      </c>
      <c r="E636">
        <v>31440</v>
      </c>
      <c r="F636">
        <v>361</v>
      </c>
      <c r="G636">
        <v>-27</v>
      </c>
      <c r="H636">
        <v>-22</v>
      </c>
      <c r="I636" t="s">
        <v>20</v>
      </c>
      <c r="J636">
        <v>3</v>
      </c>
      <c r="K636">
        <v>2</v>
      </c>
      <c r="L636">
        <v>1</v>
      </c>
      <c r="M636">
        <v>0</v>
      </c>
      <c r="N636">
        <v>0</v>
      </c>
      <c r="O636">
        <v>0</v>
      </c>
      <c r="P636">
        <v>0</v>
      </c>
      <c r="Q636">
        <v>0</v>
      </c>
      <c r="R636">
        <v>4600</v>
      </c>
      <c r="S636">
        <v>4000</v>
      </c>
      <c r="T636">
        <v>0</v>
      </c>
      <c r="U636" t="str">
        <f>IF(SeismicData[[#This Row],[class]]=1,"Dangerous","Safe")</f>
        <v>Safe</v>
      </c>
      <c r="V636" t="str">
        <f>IF(SeismicData[[#This Row],[shift]]="W","Production","Non-Production")</f>
        <v>Production</v>
      </c>
      <c r="W636" t="str">
        <f>IF(SeismicData[[#This Row],[genergy]]=0,"0","10^"&amp;INT(LOG10(SeismicData[[#This Row],[genergy]])))</f>
        <v>10^4</v>
      </c>
      <c r="X636" t="str">
        <f>IF(OR(SeismicData[[#This Row],[genergy]]&lt;$AA$6,SeismicData[[#This Row],[genergy]]&gt;$AA$5),"Outlier","Normal")</f>
        <v>Normal</v>
      </c>
    </row>
    <row r="637" spans="1:24" x14ac:dyDescent="0.15">
      <c r="A637">
        <v>636</v>
      </c>
      <c r="B637" t="s">
        <v>23</v>
      </c>
      <c r="C637" t="s">
        <v>20</v>
      </c>
      <c r="D637" t="s">
        <v>22</v>
      </c>
      <c r="E637">
        <v>51660</v>
      </c>
      <c r="F637">
        <v>626</v>
      </c>
      <c r="G637">
        <v>19</v>
      </c>
      <c r="H637">
        <v>29</v>
      </c>
      <c r="I637" t="s">
        <v>20</v>
      </c>
      <c r="J637">
        <v>1</v>
      </c>
      <c r="K637">
        <v>1</v>
      </c>
      <c r="L637">
        <v>0</v>
      </c>
      <c r="M637">
        <v>0</v>
      </c>
      <c r="N637">
        <v>0</v>
      </c>
      <c r="O637">
        <v>0</v>
      </c>
      <c r="P637">
        <v>0</v>
      </c>
      <c r="Q637">
        <v>0</v>
      </c>
      <c r="R637">
        <v>500</v>
      </c>
      <c r="S637">
        <v>500</v>
      </c>
      <c r="T637">
        <v>0</v>
      </c>
      <c r="U637" t="str">
        <f>IF(SeismicData[[#This Row],[class]]=1,"Dangerous","Safe")</f>
        <v>Safe</v>
      </c>
      <c r="V637" t="str">
        <f>IF(SeismicData[[#This Row],[shift]]="W","Production","Non-Production")</f>
        <v>Production</v>
      </c>
      <c r="W637" t="str">
        <f>IF(SeismicData[[#This Row],[genergy]]=0,"0","10^"&amp;INT(LOG10(SeismicData[[#This Row],[genergy]])))</f>
        <v>10^4</v>
      </c>
      <c r="X637" t="str">
        <f>IF(OR(SeismicData[[#This Row],[genergy]]&lt;$AA$6,SeismicData[[#This Row],[genergy]]&gt;$AA$5),"Outlier","Normal")</f>
        <v>Normal</v>
      </c>
    </row>
    <row r="638" spans="1:24" x14ac:dyDescent="0.15">
      <c r="A638">
        <v>637</v>
      </c>
      <c r="B638" t="s">
        <v>20</v>
      </c>
      <c r="C638" t="s">
        <v>20</v>
      </c>
      <c r="D638" t="s">
        <v>22</v>
      </c>
      <c r="E638">
        <v>45080</v>
      </c>
      <c r="F638">
        <v>468</v>
      </c>
      <c r="G638">
        <v>3</v>
      </c>
      <c r="H638">
        <v>-6</v>
      </c>
      <c r="I638" t="s">
        <v>20</v>
      </c>
      <c r="J638">
        <v>3</v>
      </c>
      <c r="K638">
        <v>2</v>
      </c>
      <c r="L638">
        <v>1</v>
      </c>
      <c r="M638">
        <v>0</v>
      </c>
      <c r="N638">
        <v>0</v>
      </c>
      <c r="O638">
        <v>0</v>
      </c>
      <c r="P638">
        <v>0</v>
      </c>
      <c r="Q638">
        <v>0</v>
      </c>
      <c r="R638">
        <v>2000</v>
      </c>
      <c r="S638">
        <v>1000</v>
      </c>
      <c r="T638">
        <v>0</v>
      </c>
      <c r="U638" t="str">
        <f>IF(SeismicData[[#This Row],[class]]=1,"Dangerous","Safe")</f>
        <v>Safe</v>
      </c>
      <c r="V638" t="str">
        <f>IF(SeismicData[[#This Row],[shift]]="W","Production","Non-Production")</f>
        <v>Production</v>
      </c>
      <c r="W638" t="str">
        <f>IF(SeismicData[[#This Row],[genergy]]=0,"0","10^"&amp;INT(LOG10(SeismicData[[#This Row],[genergy]])))</f>
        <v>10^4</v>
      </c>
      <c r="X638" t="str">
        <f>IF(OR(SeismicData[[#This Row],[genergy]]&lt;$AA$6,SeismicData[[#This Row],[genergy]]&gt;$AA$5),"Outlier","Normal")</f>
        <v>Normal</v>
      </c>
    </row>
    <row r="639" spans="1:24" x14ac:dyDescent="0.15">
      <c r="A639">
        <v>638</v>
      </c>
      <c r="B639" t="s">
        <v>20</v>
      </c>
      <c r="C639" t="s">
        <v>20</v>
      </c>
      <c r="D639" t="s">
        <v>22</v>
      </c>
      <c r="E639">
        <v>48100</v>
      </c>
      <c r="F639">
        <v>582</v>
      </c>
      <c r="G639">
        <v>10</v>
      </c>
      <c r="H639">
        <v>17</v>
      </c>
      <c r="I639" t="s">
        <v>20</v>
      </c>
      <c r="J639">
        <v>4</v>
      </c>
      <c r="K639">
        <v>2</v>
      </c>
      <c r="L639">
        <v>2</v>
      </c>
      <c r="M639">
        <v>0</v>
      </c>
      <c r="N639">
        <v>0</v>
      </c>
      <c r="O639">
        <v>0</v>
      </c>
      <c r="P639">
        <v>0</v>
      </c>
      <c r="Q639">
        <v>0</v>
      </c>
      <c r="R639">
        <v>12100</v>
      </c>
      <c r="S639">
        <v>7000</v>
      </c>
      <c r="T639">
        <v>0</v>
      </c>
      <c r="U639" t="str">
        <f>IF(SeismicData[[#This Row],[class]]=1,"Dangerous","Safe")</f>
        <v>Safe</v>
      </c>
      <c r="V639" t="str">
        <f>IF(SeismicData[[#This Row],[shift]]="W","Production","Non-Production")</f>
        <v>Production</v>
      </c>
      <c r="W639" t="str">
        <f>IF(SeismicData[[#This Row],[genergy]]=0,"0","10^"&amp;INT(LOG10(SeismicData[[#This Row],[genergy]])))</f>
        <v>10^4</v>
      </c>
      <c r="X639" t="str">
        <f>IF(OR(SeismicData[[#This Row],[genergy]]&lt;$AA$6,SeismicData[[#This Row],[genergy]]&gt;$AA$5),"Outlier","Normal")</f>
        <v>Normal</v>
      </c>
    </row>
    <row r="640" spans="1:24" x14ac:dyDescent="0.15">
      <c r="A640">
        <v>639</v>
      </c>
      <c r="B640" t="s">
        <v>20</v>
      </c>
      <c r="C640" t="s">
        <v>20</v>
      </c>
      <c r="D640" t="s">
        <v>22</v>
      </c>
      <c r="E640">
        <v>90330</v>
      </c>
      <c r="F640">
        <v>913</v>
      </c>
      <c r="G640">
        <v>98</v>
      </c>
      <c r="H640">
        <v>75</v>
      </c>
      <c r="I640" t="s">
        <v>20</v>
      </c>
      <c r="J640">
        <v>4</v>
      </c>
      <c r="K640">
        <v>2</v>
      </c>
      <c r="L640">
        <v>2</v>
      </c>
      <c r="M640">
        <v>0</v>
      </c>
      <c r="N640">
        <v>0</v>
      </c>
      <c r="O640">
        <v>0</v>
      </c>
      <c r="P640">
        <v>0</v>
      </c>
      <c r="Q640">
        <v>0</v>
      </c>
      <c r="R640">
        <v>14100</v>
      </c>
      <c r="S640">
        <v>7000</v>
      </c>
      <c r="T640">
        <v>0</v>
      </c>
      <c r="U640" t="str">
        <f>IF(SeismicData[[#This Row],[class]]=1,"Dangerous","Safe")</f>
        <v>Safe</v>
      </c>
      <c r="V640" t="str">
        <f>IF(SeismicData[[#This Row],[shift]]="W","Production","Non-Production")</f>
        <v>Production</v>
      </c>
      <c r="W640" t="str">
        <f>IF(SeismicData[[#This Row],[genergy]]=0,"0","10^"&amp;INT(LOG10(SeismicData[[#This Row],[genergy]])))</f>
        <v>10^4</v>
      </c>
      <c r="X640" t="str">
        <f>IF(OR(SeismicData[[#This Row],[genergy]]&lt;$AA$6,SeismicData[[#This Row],[genergy]]&gt;$AA$5),"Outlier","Normal")</f>
        <v>Normal</v>
      </c>
    </row>
    <row r="641" spans="1:24" x14ac:dyDescent="0.15">
      <c r="A641">
        <v>640</v>
      </c>
      <c r="B641" t="s">
        <v>20</v>
      </c>
      <c r="C641" t="s">
        <v>20</v>
      </c>
      <c r="D641" t="s">
        <v>22</v>
      </c>
      <c r="E641">
        <v>50090</v>
      </c>
      <c r="F641">
        <v>699</v>
      </c>
      <c r="G641">
        <v>-5</v>
      </c>
      <c r="H641">
        <v>19</v>
      </c>
      <c r="I641" t="s">
        <v>20</v>
      </c>
      <c r="J641">
        <v>3</v>
      </c>
      <c r="K641">
        <v>1</v>
      </c>
      <c r="L641">
        <v>2</v>
      </c>
      <c r="M641">
        <v>0</v>
      </c>
      <c r="N641">
        <v>0</v>
      </c>
      <c r="O641">
        <v>0</v>
      </c>
      <c r="P641">
        <v>0</v>
      </c>
      <c r="Q641">
        <v>0</v>
      </c>
      <c r="R641">
        <v>12600</v>
      </c>
      <c r="S641">
        <v>7000</v>
      </c>
      <c r="T641">
        <v>1</v>
      </c>
      <c r="U641" t="str">
        <f>IF(SeismicData[[#This Row],[class]]=1,"Dangerous","Safe")</f>
        <v>Dangerous</v>
      </c>
      <c r="V641" t="str">
        <f>IF(SeismicData[[#This Row],[shift]]="W","Production","Non-Production")</f>
        <v>Production</v>
      </c>
      <c r="W641" t="str">
        <f>IF(SeismicData[[#This Row],[genergy]]=0,"0","10^"&amp;INT(LOG10(SeismicData[[#This Row],[genergy]])))</f>
        <v>10^4</v>
      </c>
      <c r="X641" t="str">
        <f>IF(OR(SeismicData[[#This Row],[genergy]]&lt;$AA$6,SeismicData[[#This Row],[genergy]]&gt;$AA$5),"Outlier","Normal")</f>
        <v>Normal</v>
      </c>
    </row>
    <row r="642" spans="1:24" x14ac:dyDescent="0.15">
      <c r="A642">
        <v>641</v>
      </c>
      <c r="B642" t="s">
        <v>23</v>
      </c>
      <c r="C642" t="s">
        <v>23</v>
      </c>
      <c r="D642" t="s">
        <v>22</v>
      </c>
      <c r="E642">
        <v>36430</v>
      </c>
      <c r="F642">
        <v>500</v>
      </c>
      <c r="G642">
        <v>-31</v>
      </c>
      <c r="H642">
        <v>-16</v>
      </c>
      <c r="I642" t="s">
        <v>20</v>
      </c>
      <c r="J642">
        <v>2</v>
      </c>
      <c r="K642">
        <v>0</v>
      </c>
      <c r="L642">
        <v>1</v>
      </c>
      <c r="M642">
        <v>1</v>
      </c>
      <c r="N642">
        <v>0</v>
      </c>
      <c r="O642">
        <v>0</v>
      </c>
      <c r="P642">
        <v>0</v>
      </c>
      <c r="Q642">
        <v>0</v>
      </c>
      <c r="R642">
        <v>94000</v>
      </c>
      <c r="S642">
        <v>90000</v>
      </c>
      <c r="T642">
        <v>0</v>
      </c>
      <c r="U642" t="str">
        <f>IF(SeismicData[[#This Row],[class]]=1,"Dangerous","Safe")</f>
        <v>Safe</v>
      </c>
      <c r="V642" t="str">
        <f>IF(SeismicData[[#This Row],[shift]]="W","Production","Non-Production")</f>
        <v>Production</v>
      </c>
      <c r="W642" t="str">
        <f>IF(SeismicData[[#This Row],[genergy]]=0,"0","10^"&amp;INT(LOG10(SeismicData[[#This Row],[genergy]])))</f>
        <v>10^4</v>
      </c>
      <c r="X642" t="str">
        <f>IF(OR(SeismicData[[#This Row],[genergy]]&lt;$AA$6,SeismicData[[#This Row],[genergy]]&gt;$AA$5),"Outlier","Normal")</f>
        <v>Normal</v>
      </c>
    </row>
    <row r="643" spans="1:24" x14ac:dyDescent="0.15">
      <c r="A643">
        <v>642</v>
      </c>
      <c r="B643" t="s">
        <v>23</v>
      </c>
      <c r="C643" t="s">
        <v>23</v>
      </c>
      <c r="D643" t="s">
        <v>22</v>
      </c>
      <c r="E643">
        <v>65150</v>
      </c>
      <c r="F643">
        <v>952</v>
      </c>
      <c r="G643">
        <v>25</v>
      </c>
      <c r="H643">
        <v>60</v>
      </c>
      <c r="I643" t="s">
        <v>20</v>
      </c>
      <c r="J643">
        <v>4</v>
      </c>
      <c r="K643">
        <v>3</v>
      </c>
      <c r="L643">
        <v>1</v>
      </c>
      <c r="M643">
        <v>0</v>
      </c>
      <c r="N643">
        <v>0</v>
      </c>
      <c r="O643">
        <v>0</v>
      </c>
      <c r="P643">
        <v>0</v>
      </c>
      <c r="Q643">
        <v>0</v>
      </c>
      <c r="R643">
        <v>4100</v>
      </c>
      <c r="S643">
        <v>2000</v>
      </c>
      <c r="T643">
        <v>0</v>
      </c>
      <c r="U643" t="str">
        <f>IF(SeismicData[[#This Row],[class]]=1,"Dangerous","Safe")</f>
        <v>Safe</v>
      </c>
      <c r="V643" t="str">
        <f>IF(SeismicData[[#This Row],[shift]]="W","Production","Non-Production")</f>
        <v>Production</v>
      </c>
      <c r="W643" t="str">
        <f>IF(SeismicData[[#This Row],[genergy]]=0,"0","10^"&amp;INT(LOG10(SeismicData[[#This Row],[genergy]])))</f>
        <v>10^4</v>
      </c>
      <c r="X643" t="str">
        <f>IF(OR(SeismicData[[#This Row],[genergy]]&lt;$AA$6,SeismicData[[#This Row],[genergy]]&gt;$AA$5),"Outlier","Normal")</f>
        <v>Normal</v>
      </c>
    </row>
    <row r="644" spans="1:24" x14ac:dyDescent="0.15">
      <c r="A644">
        <v>643</v>
      </c>
      <c r="B644" t="s">
        <v>23</v>
      </c>
      <c r="C644" t="s">
        <v>23</v>
      </c>
      <c r="D644" t="s">
        <v>22</v>
      </c>
      <c r="E644">
        <v>40030</v>
      </c>
      <c r="F644">
        <v>577</v>
      </c>
      <c r="G644">
        <v>-28</v>
      </c>
      <c r="H644">
        <v>-13</v>
      </c>
      <c r="I644" t="s">
        <v>20</v>
      </c>
      <c r="J644">
        <v>0</v>
      </c>
      <c r="K644">
        <v>0</v>
      </c>
      <c r="L644">
        <v>0</v>
      </c>
      <c r="M644">
        <v>0</v>
      </c>
      <c r="N644">
        <v>0</v>
      </c>
      <c r="O644">
        <v>0</v>
      </c>
      <c r="P644">
        <v>0</v>
      </c>
      <c r="Q644">
        <v>0</v>
      </c>
      <c r="R644">
        <v>0</v>
      </c>
      <c r="S644">
        <v>0</v>
      </c>
      <c r="T644">
        <v>0</v>
      </c>
      <c r="U644" t="str">
        <f>IF(SeismicData[[#This Row],[class]]=1,"Dangerous","Safe")</f>
        <v>Safe</v>
      </c>
      <c r="V644" t="str">
        <f>IF(SeismicData[[#This Row],[shift]]="W","Production","Non-Production")</f>
        <v>Production</v>
      </c>
      <c r="W644" t="str">
        <f>IF(SeismicData[[#This Row],[genergy]]=0,"0","10^"&amp;INT(LOG10(SeismicData[[#This Row],[genergy]])))</f>
        <v>10^4</v>
      </c>
      <c r="X644" t="str">
        <f>IF(OR(SeismicData[[#This Row],[genergy]]&lt;$AA$6,SeismicData[[#This Row],[genergy]]&gt;$AA$5),"Outlier","Normal")</f>
        <v>Normal</v>
      </c>
    </row>
    <row r="645" spans="1:24" x14ac:dyDescent="0.15">
      <c r="A645">
        <v>644</v>
      </c>
      <c r="B645" t="s">
        <v>20</v>
      </c>
      <c r="C645" t="s">
        <v>23</v>
      </c>
      <c r="D645" t="s">
        <v>22</v>
      </c>
      <c r="E645">
        <v>45170</v>
      </c>
      <c r="F645">
        <v>579</v>
      </c>
      <c r="G645">
        <v>-14</v>
      </c>
      <c r="H645">
        <v>-10</v>
      </c>
      <c r="I645" t="s">
        <v>20</v>
      </c>
      <c r="J645">
        <v>1</v>
      </c>
      <c r="K645">
        <v>0</v>
      </c>
      <c r="L645">
        <v>1</v>
      </c>
      <c r="M645">
        <v>0</v>
      </c>
      <c r="N645">
        <v>0</v>
      </c>
      <c r="O645">
        <v>0</v>
      </c>
      <c r="P645">
        <v>0</v>
      </c>
      <c r="Q645">
        <v>0</v>
      </c>
      <c r="R645">
        <v>2000</v>
      </c>
      <c r="S645">
        <v>2000</v>
      </c>
      <c r="T645">
        <v>0</v>
      </c>
      <c r="U645" t="str">
        <f>IF(SeismicData[[#This Row],[class]]=1,"Dangerous","Safe")</f>
        <v>Safe</v>
      </c>
      <c r="V645" t="str">
        <f>IF(SeismicData[[#This Row],[shift]]="W","Production","Non-Production")</f>
        <v>Production</v>
      </c>
      <c r="W645" t="str">
        <f>IF(SeismicData[[#This Row],[genergy]]=0,"0","10^"&amp;INT(LOG10(SeismicData[[#This Row],[genergy]])))</f>
        <v>10^4</v>
      </c>
      <c r="X645" t="str">
        <f>IF(OR(SeismicData[[#This Row],[genergy]]&lt;$AA$6,SeismicData[[#This Row],[genergy]]&gt;$AA$5),"Outlier","Normal")</f>
        <v>Normal</v>
      </c>
    </row>
    <row r="646" spans="1:24" x14ac:dyDescent="0.15">
      <c r="A646">
        <v>645</v>
      </c>
      <c r="B646" t="s">
        <v>20</v>
      </c>
      <c r="C646" t="s">
        <v>23</v>
      </c>
      <c r="D646" t="s">
        <v>22</v>
      </c>
      <c r="E646">
        <v>93510</v>
      </c>
      <c r="F646">
        <v>1375</v>
      </c>
      <c r="G646">
        <v>86</v>
      </c>
      <c r="H646">
        <v>120</v>
      </c>
      <c r="I646" t="s">
        <v>23</v>
      </c>
      <c r="J646">
        <v>3</v>
      </c>
      <c r="K646">
        <v>2</v>
      </c>
      <c r="L646">
        <v>1</v>
      </c>
      <c r="M646">
        <v>0</v>
      </c>
      <c r="N646">
        <v>0</v>
      </c>
      <c r="O646">
        <v>0</v>
      </c>
      <c r="P646">
        <v>0</v>
      </c>
      <c r="Q646">
        <v>0</v>
      </c>
      <c r="R646">
        <v>5700</v>
      </c>
      <c r="S646">
        <v>5000</v>
      </c>
      <c r="T646">
        <v>0</v>
      </c>
      <c r="U646" t="str">
        <f>IF(SeismicData[[#This Row],[class]]=1,"Dangerous","Safe")</f>
        <v>Safe</v>
      </c>
      <c r="V646" t="str">
        <f>IF(SeismicData[[#This Row],[shift]]="W","Production","Non-Production")</f>
        <v>Production</v>
      </c>
      <c r="W646" t="str">
        <f>IF(SeismicData[[#This Row],[genergy]]=0,"0","10^"&amp;INT(LOG10(SeismicData[[#This Row],[genergy]])))</f>
        <v>10^4</v>
      </c>
      <c r="X646" t="str">
        <f>IF(OR(SeismicData[[#This Row],[genergy]]&lt;$AA$6,SeismicData[[#This Row],[genergy]]&gt;$AA$5),"Outlier","Normal")</f>
        <v>Normal</v>
      </c>
    </row>
    <row r="647" spans="1:24" x14ac:dyDescent="0.15">
      <c r="A647">
        <v>646</v>
      </c>
      <c r="B647" t="s">
        <v>20</v>
      </c>
      <c r="C647" t="s">
        <v>23</v>
      </c>
      <c r="D647" t="s">
        <v>22</v>
      </c>
      <c r="E647">
        <v>59240</v>
      </c>
      <c r="F647">
        <v>941</v>
      </c>
      <c r="G647">
        <v>5</v>
      </c>
      <c r="H647">
        <v>29</v>
      </c>
      <c r="I647" t="s">
        <v>20</v>
      </c>
      <c r="J647">
        <v>3</v>
      </c>
      <c r="K647">
        <v>1</v>
      </c>
      <c r="L647">
        <v>2</v>
      </c>
      <c r="M647">
        <v>0</v>
      </c>
      <c r="N647">
        <v>0</v>
      </c>
      <c r="O647">
        <v>0</v>
      </c>
      <c r="P647">
        <v>0</v>
      </c>
      <c r="Q647">
        <v>0</v>
      </c>
      <c r="R647">
        <v>5200</v>
      </c>
      <c r="S647">
        <v>3000</v>
      </c>
      <c r="T647">
        <v>0</v>
      </c>
      <c r="U647" t="str">
        <f>IF(SeismicData[[#This Row],[class]]=1,"Dangerous","Safe")</f>
        <v>Safe</v>
      </c>
      <c r="V647" t="str">
        <f>IF(SeismicData[[#This Row],[shift]]="W","Production","Non-Production")</f>
        <v>Production</v>
      </c>
      <c r="W647" t="str">
        <f>IF(SeismicData[[#This Row],[genergy]]=0,"0","10^"&amp;INT(LOG10(SeismicData[[#This Row],[genergy]])))</f>
        <v>10^4</v>
      </c>
      <c r="X647" t="str">
        <f>IF(OR(SeismicData[[#This Row],[genergy]]&lt;$AA$6,SeismicData[[#This Row],[genergy]]&gt;$AA$5),"Outlier","Normal")</f>
        <v>Normal</v>
      </c>
    </row>
    <row r="648" spans="1:24" x14ac:dyDescent="0.15">
      <c r="A648">
        <v>647</v>
      </c>
      <c r="B648" t="s">
        <v>20</v>
      </c>
      <c r="C648" t="s">
        <v>23</v>
      </c>
      <c r="D648" t="s">
        <v>21</v>
      </c>
      <c r="E648">
        <v>11130</v>
      </c>
      <c r="F648">
        <v>126</v>
      </c>
      <c r="G648">
        <v>-47</v>
      </c>
      <c r="H648">
        <v>-40</v>
      </c>
      <c r="I648" t="s">
        <v>20</v>
      </c>
      <c r="J648">
        <v>3</v>
      </c>
      <c r="K648">
        <v>1</v>
      </c>
      <c r="L648">
        <v>2</v>
      </c>
      <c r="M648">
        <v>0</v>
      </c>
      <c r="N648">
        <v>0</v>
      </c>
      <c r="O648">
        <v>0</v>
      </c>
      <c r="P648">
        <v>0</v>
      </c>
      <c r="Q648">
        <v>0</v>
      </c>
      <c r="R648">
        <v>4900</v>
      </c>
      <c r="S648">
        <v>3000</v>
      </c>
      <c r="T648">
        <v>0</v>
      </c>
      <c r="U648" t="str">
        <f>IF(SeismicData[[#This Row],[class]]=1,"Dangerous","Safe")</f>
        <v>Safe</v>
      </c>
      <c r="V648" t="str">
        <f>IF(SeismicData[[#This Row],[shift]]="W","Production","Non-Production")</f>
        <v>Non-Production</v>
      </c>
      <c r="W648" t="str">
        <f>IF(SeismicData[[#This Row],[genergy]]=0,"0","10^"&amp;INT(LOG10(SeismicData[[#This Row],[genergy]])))</f>
        <v>10^4</v>
      </c>
      <c r="X648" t="str">
        <f>IF(OR(SeismicData[[#This Row],[genergy]]&lt;$AA$6,SeismicData[[#This Row],[genergy]]&gt;$AA$5),"Outlier","Normal")</f>
        <v>Normal</v>
      </c>
    </row>
    <row r="649" spans="1:24" x14ac:dyDescent="0.15">
      <c r="A649">
        <v>648</v>
      </c>
      <c r="B649" t="s">
        <v>20</v>
      </c>
      <c r="C649" t="s">
        <v>23</v>
      </c>
      <c r="D649" t="s">
        <v>21</v>
      </c>
      <c r="E649">
        <v>2960</v>
      </c>
      <c r="F649">
        <v>49</v>
      </c>
      <c r="G649">
        <v>-62</v>
      </c>
      <c r="H649">
        <v>-34</v>
      </c>
      <c r="I649" t="s">
        <v>20</v>
      </c>
      <c r="J649">
        <v>0</v>
      </c>
      <c r="K649">
        <v>0</v>
      </c>
      <c r="L649">
        <v>0</v>
      </c>
      <c r="M649">
        <v>0</v>
      </c>
      <c r="N649">
        <v>0</v>
      </c>
      <c r="O649">
        <v>0</v>
      </c>
      <c r="P649">
        <v>0</v>
      </c>
      <c r="Q649">
        <v>0</v>
      </c>
      <c r="R649">
        <v>0</v>
      </c>
      <c r="S649">
        <v>0</v>
      </c>
      <c r="T649">
        <v>0</v>
      </c>
      <c r="U649" t="str">
        <f>IF(SeismicData[[#This Row],[class]]=1,"Dangerous","Safe")</f>
        <v>Safe</v>
      </c>
      <c r="V649" t="str">
        <f>IF(SeismicData[[#This Row],[shift]]="W","Production","Non-Production")</f>
        <v>Non-Production</v>
      </c>
      <c r="W649" t="str">
        <f>IF(SeismicData[[#This Row],[genergy]]=0,"0","10^"&amp;INT(LOG10(SeismicData[[#This Row],[genergy]])))</f>
        <v>10^3</v>
      </c>
      <c r="X649" t="str">
        <f>IF(OR(SeismicData[[#This Row],[genergy]]&lt;$AA$6,SeismicData[[#This Row],[genergy]]&gt;$AA$5),"Outlier","Normal")</f>
        <v>Normal</v>
      </c>
    </row>
    <row r="650" spans="1:24" x14ac:dyDescent="0.15">
      <c r="A650">
        <v>649</v>
      </c>
      <c r="B650" t="s">
        <v>20</v>
      </c>
      <c r="C650" t="s">
        <v>23</v>
      </c>
      <c r="D650" t="s">
        <v>21</v>
      </c>
      <c r="E650">
        <v>10520</v>
      </c>
      <c r="F650">
        <v>72</v>
      </c>
      <c r="G650">
        <v>46</v>
      </c>
      <c r="H650">
        <v>1</v>
      </c>
      <c r="I650" t="s">
        <v>20</v>
      </c>
      <c r="J650">
        <v>1</v>
      </c>
      <c r="K650">
        <v>0</v>
      </c>
      <c r="L650">
        <v>1</v>
      </c>
      <c r="M650">
        <v>0</v>
      </c>
      <c r="N650">
        <v>0</v>
      </c>
      <c r="O650">
        <v>0</v>
      </c>
      <c r="P650">
        <v>0</v>
      </c>
      <c r="Q650">
        <v>0</v>
      </c>
      <c r="R650">
        <v>5000</v>
      </c>
      <c r="S650">
        <v>5000</v>
      </c>
      <c r="T650">
        <v>0</v>
      </c>
      <c r="U650" t="str">
        <f>IF(SeismicData[[#This Row],[class]]=1,"Dangerous","Safe")</f>
        <v>Safe</v>
      </c>
      <c r="V650" t="str">
        <f>IF(SeismicData[[#This Row],[shift]]="W","Production","Non-Production")</f>
        <v>Non-Production</v>
      </c>
      <c r="W650" t="str">
        <f>IF(SeismicData[[#This Row],[genergy]]=0,"0","10^"&amp;INT(LOG10(SeismicData[[#This Row],[genergy]])))</f>
        <v>10^4</v>
      </c>
      <c r="X650" t="str">
        <f>IF(OR(SeismicData[[#This Row],[genergy]]&lt;$AA$6,SeismicData[[#This Row],[genergy]]&gt;$AA$5),"Outlier","Normal")</f>
        <v>Normal</v>
      </c>
    </row>
    <row r="651" spans="1:24" x14ac:dyDescent="0.15">
      <c r="A651">
        <v>650</v>
      </c>
      <c r="B651" t="s">
        <v>20</v>
      </c>
      <c r="C651" t="s">
        <v>23</v>
      </c>
      <c r="D651" t="s">
        <v>22</v>
      </c>
      <c r="E651">
        <v>44770</v>
      </c>
      <c r="F651">
        <v>770</v>
      </c>
      <c r="G651">
        <v>-22</v>
      </c>
      <c r="H651">
        <v>2</v>
      </c>
      <c r="I651" t="s">
        <v>20</v>
      </c>
      <c r="J651">
        <v>1</v>
      </c>
      <c r="K651">
        <v>0</v>
      </c>
      <c r="L651">
        <v>1</v>
      </c>
      <c r="M651">
        <v>0</v>
      </c>
      <c r="N651">
        <v>0</v>
      </c>
      <c r="O651">
        <v>0</v>
      </c>
      <c r="P651">
        <v>0</v>
      </c>
      <c r="Q651">
        <v>0</v>
      </c>
      <c r="R651">
        <v>1000</v>
      </c>
      <c r="S651">
        <v>1000</v>
      </c>
      <c r="T651">
        <v>1</v>
      </c>
      <c r="U651" t="str">
        <f>IF(SeismicData[[#This Row],[class]]=1,"Dangerous","Safe")</f>
        <v>Dangerous</v>
      </c>
      <c r="V651" t="str">
        <f>IF(SeismicData[[#This Row],[shift]]="W","Production","Non-Production")</f>
        <v>Production</v>
      </c>
      <c r="W651" t="str">
        <f>IF(SeismicData[[#This Row],[genergy]]=0,"0","10^"&amp;INT(LOG10(SeismicData[[#This Row],[genergy]])))</f>
        <v>10^4</v>
      </c>
      <c r="X651" t="str">
        <f>IF(OR(SeismicData[[#This Row],[genergy]]&lt;$AA$6,SeismicData[[#This Row],[genergy]]&gt;$AA$5),"Outlier","Normal")</f>
        <v>Normal</v>
      </c>
    </row>
    <row r="652" spans="1:24" x14ac:dyDescent="0.15">
      <c r="A652">
        <v>651</v>
      </c>
      <c r="B652" t="s">
        <v>23</v>
      </c>
      <c r="C652" t="s">
        <v>20</v>
      </c>
      <c r="D652" t="s">
        <v>22</v>
      </c>
      <c r="E652">
        <v>79790</v>
      </c>
      <c r="F652">
        <v>1419</v>
      </c>
      <c r="G652">
        <v>39</v>
      </c>
      <c r="H652">
        <v>80</v>
      </c>
      <c r="I652" t="s">
        <v>20</v>
      </c>
      <c r="J652">
        <v>3</v>
      </c>
      <c r="K652">
        <v>2</v>
      </c>
      <c r="L652">
        <v>0</v>
      </c>
      <c r="M652">
        <v>1</v>
      </c>
      <c r="N652">
        <v>0</v>
      </c>
      <c r="O652">
        <v>0</v>
      </c>
      <c r="P652">
        <v>0</v>
      </c>
      <c r="Q652">
        <v>0</v>
      </c>
      <c r="R652">
        <v>21200</v>
      </c>
      <c r="S652">
        <v>20000</v>
      </c>
      <c r="T652">
        <v>0</v>
      </c>
      <c r="U652" t="str">
        <f>IF(SeismicData[[#This Row],[class]]=1,"Dangerous","Safe")</f>
        <v>Safe</v>
      </c>
      <c r="V652" t="str">
        <f>IF(SeismicData[[#This Row],[shift]]="W","Production","Non-Production")</f>
        <v>Production</v>
      </c>
      <c r="W652" t="str">
        <f>IF(SeismicData[[#This Row],[genergy]]=0,"0","10^"&amp;INT(LOG10(SeismicData[[#This Row],[genergy]])))</f>
        <v>10^4</v>
      </c>
      <c r="X652" t="str">
        <f>IF(OR(SeismicData[[#This Row],[genergy]]&lt;$AA$6,SeismicData[[#This Row],[genergy]]&gt;$AA$5),"Outlier","Normal")</f>
        <v>Normal</v>
      </c>
    </row>
    <row r="653" spans="1:24" x14ac:dyDescent="0.15">
      <c r="A653">
        <v>652</v>
      </c>
      <c r="B653" t="s">
        <v>23</v>
      </c>
      <c r="C653" t="s">
        <v>20</v>
      </c>
      <c r="D653" t="s">
        <v>22</v>
      </c>
      <c r="E653">
        <v>58160</v>
      </c>
      <c r="F653">
        <v>897</v>
      </c>
      <c r="G653">
        <v>-4</v>
      </c>
      <c r="H653">
        <v>3</v>
      </c>
      <c r="I653" t="s">
        <v>20</v>
      </c>
      <c r="J653">
        <v>3</v>
      </c>
      <c r="K653">
        <v>2</v>
      </c>
      <c r="L653">
        <v>1</v>
      </c>
      <c r="M653">
        <v>0</v>
      </c>
      <c r="N653">
        <v>0</v>
      </c>
      <c r="O653">
        <v>0</v>
      </c>
      <c r="P653">
        <v>0</v>
      </c>
      <c r="Q653">
        <v>0</v>
      </c>
      <c r="R653">
        <v>1900</v>
      </c>
      <c r="S653">
        <v>1000</v>
      </c>
      <c r="T653">
        <v>0</v>
      </c>
      <c r="U653" t="str">
        <f>IF(SeismicData[[#This Row],[class]]=1,"Dangerous","Safe")</f>
        <v>Safe</v>
      </c>
      <c r="V653" t="str">
        <f>IF(SeismicData[[#This Row],[shift]]="W","Production","Non-Production")</f>
        <v>Production</v>
      </c>
      <c r="W653" t="str">
        <f>IF(SeismicData[[#This Row],[genergy]]=0,"0","10^"&amp;INT(LOG10(SeismicData[[#This Row],[genergy]])))</f>
        <v>10^4</v>
      </c>
      <c r="X653" t="str">
        <f>IF(OR(SeismicData[[#This Row],[genergy]]&lt;$AA$6,SeismicData[[#This Row],[genergy]]&gt;$AA$5),"Outlier","Normal")</f>
        <v>Normal</v>
      </c>
    </row>
    <row r="654" spans="1:24" x14ac:dyDescent="0.15">
      <c r="A654">
        <v>653</v>
      </c>
      <c r="B654" t="s">
        <v>23</v>
      </c>
      <c r="C654" t="s">
        <v>20</v>
      </c>
      <c r="D654" t="s">
        <v>22</v>
      </c>
      <c r="E654">
        <v>51230</v>
      </c>
      <c r="F654">
        <v>944</v>
      </c>
      <c r="G654">
        <v>-10</v>
      </c>
      <c r="H654">
        <v>8</v>
      </c>
      <c r="I654" t="s">
        <v>20</v>
      </c>
      <c r="J654">
        <v>2</v>
      </c>
      <c r="K654">
        <v>0</v>
      </c>
      <c r="L654">
        <v>2</v>
      </c>
      <c r="M654">
        <v>0</v>
      </c>
      <c r="N654">
        <v>0</v>
      </c>
      <c r="O654">
        <v>0</v>
      </c>
      <c r="P654">
        <v>0</v>
      </c>
      <c r="Q654">
        <v>0</v>
      </c>
      <c r="R654">
        <v>5000</v>
      </c>
      <c r="S654">
        <v>3000</v>
      </c>
      <c r="T654">
        <v>1</v>
      </c>
      <c r="U654" t="str">
        <f>IF(SeismicData[[#This Row],[class]]=1,"Dangerous","Safe")</f>
        <v>Dangerous</v>
      </c>
      <c r="V654" t="str">
        <f>IF(SeismicData[[#This Row],[shift]]="W","Production","Non-Production")</f>
        <v>Production</v>
      </c>
      <c r="W654" t="str">
        <f>IF(SeismicData[[#This Row],[genergy]]=0,"0","10^"&amp;INT(LOG10(SeismicData[[#This Row],[genergy]])))</f>
        <v>10^4</v>
      </c>
      <c r="X654" t="str">
        <f>IF(OR(SeismicData[[#This Row],[genergy]]&lt;$AA$6,SeismicData[[#This Row],[genergy]]&gt;$AA$5),"Outlier","Normal")</f>
        <v>Normal</v>
      </c>
    </row>
    <row r="655" spans="1:24" x14ac:dyDescent="0.15">
      <c r="A655">
        <v>654</v>
      </c>
      <c r="B655" t="s">
        <v>23</v>
      </c>
      <c r="C655" t="s">
        <v>20</v>
      </c>
      <c r="D655" t="s">
        <v>22</v>
      </c>
      <c r="E655">
        <v>55890</v>
      </c>
      <c r="F655">
        <v>1204</v>
      </c>
      <c r="G655">
        <v>-3</v>
      </c>
      <c r="H655">
        <v>34</v>
      </c>
      <c r="I655" t="s">
        <v>20</v>
      </c>
      <c r="J655">
        <v>5</v>
      </c>
      <c r="K655">
        <v>0</v>
      </c>
      <c r="L655">
        <v>2</v>
      </c>
      <c r="M655">
        <v>3</v>
      </c>
      <c r="N655">
        <v>0</v>
      </c>
      <c r="O655">
        <v>0</v>
      </c>
      <c r="P655">
        <v>0</v>
      </c>
      <c r="Q655">
        <v>0</v>
      </c>
      <c r="R655">
        <v>149000</v>
      </c>
      <c r="S655">
        <v>80000</v>
      </c>
      <c r="T655">
        <v>0</v>
      </c>
      <c r="U655" t="str">
        <f>IF(SeismicData[[#This Row],[class]]=1,"Dangerous","Safe")</f>
        <v>Safe</v>
      </c>
      <c r="V655" t="str">
        <f>IF(SeismicData[[#This Row],[shift]]="W","Production","Non-Production")</f>
        <v>Production</v>
      </c>
      <c r="W655" t="str">
        <f>IF(SeismicData[[#This Row],[genergy]]=0,"0","10^"&amp;INT(LOG10(SeismicData[[#This Row],[genergy]])))</f>
        <v>10^4</v>
      </c>
      <c r="X655" t="str">
        <f>IF(OR(SeismicData[[#This Row],[genergy]]&lt;$AA$6,SeismicData[[#This Row],[genergy]]&gt;$AA$5),"Outlier","Normal")</f>
        <v>Normal</v>
      </c>
    </row>
    <row r="656" spans="1:24" x14ac:dyDescent="0.15">
      <c r="A656">
        <v>655</v>
      </c>
      <c r="B656" t="s">
        <v>23</v>
      </c>
      <c r="C656" t="s">
        <v>20</v>
      </c>
      <c r="D656" t="s">
        <v>22</v>
      </c>
      <c r="E656">
        <v>29900</v>
      </c>
      <c r="F656">
        <v>665</v>
      </c>
      <c r="G656">
        <v>-50</v>
      </c>
      <c r="H656">
        <v>-31</v>
      </c>
      <c r="I656" t="s">
        <v>20</v>
      </c>
      <c r="J656">
        <v>1</v>
      </c>
      <c r="K656">
        <v>1</v>
      </c>
      <c r="L656">
        <v>0</v>
      </c>
      <c r="M656">
        <v>0</v>
      </c>
      <c r="N656">
        <v>0</v>
      </c>
      <c r="O656">
        <v>0</v>
      </c>
      <c r="P656">
        <v>0</v>
      </c>
      <c r="Q656">
        <v>0</v>
      </c>
      <c r="R656">
        <v>900</v>
      </c>
      <c r="S656">
        <v>900</v>
      </c>
      <c r="T656">
        <v>1</v>
      </c>
      <c r="U656" t="str">
        <f>IF(SeismicData[[#This Row],[class]]=1,"Dangerous","Safe")</f>
        <v>Dangerous</v>
      </c>
      <c r="V656" t="str">
        <f>IF(SeismicData[[#This Row],[shift]]="W","Production","Non-Production")</f>
        <v>Production</v>
      </c>
      <c r="W656" t="str">
        <f>IF(SeismicData[[#This Row],[genergy]]=0,"0","10^"&amp;INT(LOG10(SeismicData[[#This Row],[genergy]])))</f>
        <v>10^4</v>
      </c>
      <c r="X656" t="str">
        <f>IF(OR(SeismicData[[#This Row],[genergy]]&lt;$AA$6,SeismicData[[#This Row],[genergy]]&gt;$AA$5),"Outlier","Normal")</f>
        <v>Normal</v>
      </c>
    </row>
    <row r="657" spans="1:24" x14ac:dyDescent="0.15">
      <c r="A657">
        <v>656</v>
      </c>
      <c r="B657" t="s">
        <v>23</v>
      </c>
      <c r="C657" t="s">
        <v>23</v>
      </c>
      <c r="D657" t="s">
        <v>21</v>
      </c>
      <c r="E657">
        <v>8660</v>
      </c>
      <c r="F657">
        <v>205</v>
      </c>
      <c r="G657">
        <v>16</v>
      </c>
      <c r="H657">
        <v>188</v>
      </c>
      <c r="I657" t="s">
        <v>23</v>
      </c>
      <c r="J657">
        <v>1</v>
      </c>
      <c r="K657">
        <v>0</v>
      </c>
      <c r="L657">
        <v>0</v>
      </c>
      <c r="M657">
        <v>1</v>
      </c>
      <c r="N657">
        <v>0</v>
      </c>
      <c r="O657">
        <v>0</v>
      </c>
      <c r="P657">
        <v>0</v>
      </c>
      <c r="Q657">
        <v>0</v>
      </c>
      <c r="R657">
        <v>10000</v>
      </c>
      <c r="S657">
        <v>10000</v>
      </c>
      <c r="T657">
        <v>0</v>
      </c>
      <c r="U657" t="str">
        <f>IF(SeismicData[[#This Row],[class]]=1,"Dangerous","Safe")</f>
        <v>Safe</v>
      </c>
      <c r="V657" t="str">
        <f>IF(SeismicData[[#This Row],[shift]]="W","Production","Non-Production")</f>
        <v>Non-Production</v>
      </c>
      <c r="W657" t="str">
        <f>IF(SeismicData[[#This Row],[genergy]]=0,"0","10^"&amp;INT(LOG10(SeismicData[[#This Row],[genergy]])))</f>
        <v>10^3</v>
      </c>
      <c r="X657" t="str">
        <f>IF(OR(SeismicData[[#This Row],[genergy]]&lt;$AA$6,SeismicData[[#This Row],[genergy]]&gt;$AA$5),"Outlier","Normal")</f>
        <v>Normal</v>
      </c>
    </row>
    <row r="658" spans="1:24" x14ac:dyDescent="0.15">
      <c r="A658">
        <v>657</v>
      </c>
      <c r="B658" t="s">
        <v>20</v>
      </c>
      <c r="C658" t="s">
        <v>23</v>
      </c>
      <c r="D658" t="s">
        <v>22</v>
      </c>
      <c r="E658">
        <v>23290</v>
      </c>
      <c r="F658">
        <v>592</v>
      </c>
      <c r="G658">
        <v>-58</v>
      </c>
      <c r="H658">
        <v>-37</v>
      </c>
      <c r="I658" t="s">
        <v>23</v>
      </c>
      <c r="J658">
        <v>1</v>
      </c>
      <c r="K658">
        <v>1</v>
      </c>
      <c r="L658">
        <v>0</v>
      </c>
      <c r="M658">
        <v>0</v>
      </c>
      <c r="N658">
        <v>0</v>
      </c>
      <c r="O658">
        <v>0</v>
      </c>
      <c r="P658">
        <v>0</v>
      </c>
      <c r="Q658">
        <v>0</v>
      </c>
      <c r="R658">
        <v>500</v>
      </c>
      <c r="S658">
        <v>500</v>
      </c>
      <c r="T658">
        <v>0</v>
      </c>
      <c r="U658" t="str">
        <f>IF(SeismicData[[#This Row],[class]]=1,"Dangerous","Safe")</f>
        <v>Safe</v>
      </c>
      <c r="V658" t="str">
        <f>IF(SeismicData[[#This Row],[shift]]="W","Production","Non-Production")</f>
        <v>Production</v>
      </c>
      <c r="W658" t="str">
        <f>IF(SeismicData[[#This Row],[genergy]]=0,"0","10^"&amp;INT(LOG10(SeismicData[[#This Row],[genergy]])))</f>
        <v>10^4</v>
      </c>
      <c r="X658" t="str">
        <f>IF(OR(SeismicData[[#This Row],[genergy]]&lt;$AA$6,SeismicData[[#This Row],[genergy]]&gt;$AA$5),"Outlier","Normal")</f>
        <v>Normal</v>
      </c>
    </row>
    <row r="659" spans="1:24" x14ac:dyDescent="0.15">
      <c r="A659">
        <v>658</v>
      </c>
      <c r="B659" t="s">
        <v>20</v>
      </c>
      <c r="C659" t="s">
        <v>23</v>
      </c>
      <c r="D659" t="s">
        <v>22</v>
      </c>
      <c r="E659">
        <v>21000</v>
      </c>
      <c r="F659">
        <v>523</v>
      </c>
      <c r="G659">
        <v>-61</v>
      </c>
      <c r="H659">
        <v>-44</v>
      </c>
      <c r="I659" t="s">
        <v>23</v>
      </c>
      <c r="J659">
        <v>1</v>
      </c>
      <c r="K659">
        <v>0</v>
      </c>
      <c r="L659">
        <v>1</v>
      </c>
      <c r="M659">
        <v>0</v>
      </c>
      <c r="N659">
        <v>0</v>
      </c>
      <c r="O659">
        <v>0</v>
      </c>
      <c r="P659">
        <v>0</v>
      </c>
      <c r="Q659">
        <v>0</v>
      </c>
      <c r="R659">
        <v>8000</v>
      </c>
      <c r="S659">
        <v>8000</v>
      </c>
      <c r="T659">
        <v>0</v>
      </c>
      <c r="U659" t="str">
        <f>IF(SeismicData[[#This Row],[class]]=1,"Dangerous","Safe")</f>
        <v>Safe</v>
      </c>
      <c r="V659" t="str">
        <f>IF(SeismicData[[#This Row],[shift]]="W","Production","Non-Production")</f>
        <v>Production</v>
      </c>
      <c r="W659" t="str">
        <f>IF(SeismicData[[#This Row],[genergy]]=0,"0","10^"&amp;INT(LOG10(SeismicData[[#This Row],[genergy]])))</f>
        <v>10^4</v>
      </c>
      <c r="X659" t="str">
        <f>IF(OR(SeismicData[[#This Row],[genergy]]&lt;$AA$6,SeismicData[[#This Row],[genergy]]&gt;$AA$5),"Outlier","Normal")</f>
        <v>Normal</v>
      </c>
    </row>
    <row r="660" spans="1:24" x14ac:dyDescent="0.15">
      <c r="A660">
        <v>659</v>
      </c>
      <c r="B660" t="s">
        <v>20</v>
      </c>
      <c r="C660" t="s">
        <v>23</v>
      </c>
      <c r="D660" t="s">
        <v>22</v>
      </c>
      <c r="E660">
        <v>24570</v>
      </c>
      <c r="F660">
        <v>434</v>
      </c>
      <c r="G660">
        <v>-52</v>
      </c>
      <c r="H660">
        <v>-53</v>
      </c>
      <c r="I660" t="s">
        <v>20</v>
      </c>
      <c r="J660">
        <v>2</v>
      </c>
      <c r="K660">
        <v>1</v>
      </c>
      <c r="L660">
        <v>1</v>
      </c>
      <c r="M660">
        <v>0</v>
      </c>
      <c r="N660">
        <v>0</v>
      </c>
      <c r="O660">
        <v>0</v>
      </c>
      <c r="P660">
        <v>0</v>
      </c>
      <c r="Q660">
        <v>0</v>
      </c>
      <c r="R660">
        <v>3600</v>
      </c>
      <c r="S660">
        <v>3000</v>
      </c>
      <c r="T660">
        <v>0</v>
      </c>
      <c r="U660" t="str">
        <f>IF(SeismicData[[#This Row],[class]]=1,"Dangerous","Safe")</f>
        <v>Safe</v>
      </c>
      <c r="V660" t="str">
        <f>IF(SeismicData[[#This Row],[shift]]="W","Production","Non-Production")</f>
        <v>Production</v>
      </c>
      <c r="W660" t="str">
        <f>IF(SeismicData[[#This Row],[genergy]]=0,"0","10^"&amp;INT(LOG10(SeismicData[[#This Row],[genergy]])))</f>
        <v>10^4</v>
      </c>
      <c r="X660" t="str">
        <f>IF(OR(SeismicData[[#This Row],[genergy]]&lt;$AA$6,SeismicData[[#This Row],[genergy]]&gt;$AA$5),"Outlier","Normal")</f>
        <v>Normal</v>
      </c>
    </row>
    <row r="661" spans="1:24" x14ac:dyDescent="0.15">
      <c r="A661">
        <v>660</v>
      </c>
      <c r="B661" t="s">
        <v>20</v>
      </c>
      <c r="C661" t="s">
        <v>23</v>
      </c>
      <c r="D661" t="s">
        <v>22</v>
      </c>
      <c r="E661">
        <v>56350</v>
      </c>
      <c r="F661">
        <v>999</v>
      </c>
      <c r="G661">
        <v>26</v>
      </c>
      <c r="H661">
        <v>19</v>
      </c>
      <c r="I661" t="s">
        <v>20</v>
      </c>
      <c r="J661">
        <v>2</v>
      </c>
      <c r="K661">
        <v>2</v>
      </c>
      <c r="L661">
        <v>0</v>
      </c>
      <c r="M661">
        <v>0</v>
      </c>
      <c r="N661">
        <v>0</v>
      </c>
      <c r="O661">
        <v>0</v>
      </c>
      <c r="P661">
        <v>0</v>
      </c>
      <c r="Q661">
        <v>0</v>
      </c>
      <c r="R661">
        <v>1000</v>
      </c>
      <c r="S661">
        <v>800</v>
      </c>
      <c r="T661">
        <v>0</v>
      </c>
      <c r="U661" t="str">
        <f>IF(SeismicData[[#This Row],[class]]=1,"Dangerous","Safe")</f>
        <v>Safe</v>
      </c>
      <c r="V661" t="str">
        <f>IF(SeismicData[[#This Row],[shift]]="W","Production","Non-Production")</f>
        <v>Production</v>
      </c>
      <c r="W661" t="str">
        <f>IF(SeismicData[[#This Row],[genergy]]=0,"0","10^"&amp;INT(LOG10(SeismicData[[#This Row],[genergy]])))</f>
        <v>10^4</v>
      </c>
      <c r="X661" t="str">
        <f>IF(OR(SeismicData[[#This Row],[genergy]]&lt;$AA$6,SeismicData[[#This Row],[genergy]]&gt;$AA$5),"Outlier","Normal")</f>
        <v>Normal</v>
      </c>
    </row>
    <row r="662" spans="1:24" x14ac:dyDescent="0.15">
      <c r="A662">
        <v>661</v>
      </c>
      <c r="B662" t="s">
        <v>20</v>
      </c>
      <c r="C662" t="s">
        <v>20</v>
      </c>
      <c r="D662" t="s">
        <v>22</v>
      </c>
      <c r="E662">
        <v>31900</v>
      </c>
      <c r="F662">
        <v>643</v>
      </c>
      <c r="G662">
        <v>-28</v>
      </c>
      <c r="H662">
        <v>-24</v>
      </c>
      <c r="I662" t="s">
        <v>20</v>
      </c>
      <c r="J662">
        <v>2</v>
      </c>
      <c r="K662">
        <v>2</v>
      </c>
      <c r="L662">
        <v>0</v>
      </c>
      <c r="M662">
        <v>0</v>
      </c>
      <c r="N662">
        <v>0</v>
      </c>
      <c r="O662">
        <v>0</v>
      </c>
      <c r="P662">
        <v>0</v>
      </c>
      <c r="Q662">
        <v>0</v>
      </c>
      <c r="R662">
        <v>1100</v>
      </c>
      <c r="S662">
        <v>700</v>
      </c>
      <c r="T662">
        <v>0</v>
      </c>
      <c r="U662" t="str">
        <f>IF(SeismicData[[#This Row],[class]]=1,"Dangerous","Safe")</f>
        <v>Safe</v>
      </c>
      <c r="V662" t="str">
        <f>IF(SeismicData[[#This Row],[shift]]="W","Production","Non-Production")</f>
        <v>Production</v>
      </c>
      <c r="W662" t="str">
        <f>IF(SeismicData[[#This Row],[genergy]]=0,"0","10^"&amp;INT(LOG10(SeismicData[[#This Row],[genergy]])))</f>
        <v>10^4</v>
      </c>
      <c r="X662" t="str">
        <f>IF(OR(SeismicData[[#This Row],[genergy]]&lt;$AA$6,SeismicData[[#This Row],[genergy]]&gt;$AA$5),"Outlier","Normal")</f>
        <v>Normal</v>
      </c>
    </row>
    <row r="663" spans="1:24" x14ac:dyDescent="0.15">
      <c r="A663">
        <v>662</v>
      </c>
      <c r="B663" t="s">
        <v>20</v>
      </c>
      <c r="C663" t="s">
        <v>20</v>
      </c>
      <c r="D663" t="s">
        <v>22</v>
      </c>
      <c r="E663">
        <v>23920</v>
      </c>
      <c r="F663">
        <v>359</v>
      </c>
      <c r="G663">
        <v>-45</v>
      </c>
      <c r="H663">
        <v>-57</v>
      </c>
      <c r="I663" t="s">
        <v>20</v>
      </c>
      <c r="J663">
        <v>1</v>
      </c>
      <c r="K663">
        <v>0</v>
      </c>
      <c r="L663">
        <v>1</v>
      </c>
      <c r="M663">
        <v>0</v>
      </c>
      <c r="N663">
        <v>0</v>
      </c>
      <c r="O663">
        <v>0</v>
      </c>
      <c r="P663">
        <v>0</v>
      </c>
      <c r="Q663">
        <v>0</v>
      </c>
      <c r="R663">
        <v>5000</v>
      </c>
      <c r="S663">
        <v>5000</v>
      </c>
      <c r="T663">
        <v>0</v>
      </c>
      <c r="U663" t="str">
        <f>IF(SeismicData[[#This Row],[class]]=1,"Dangerous","Safe")</f>
        <v>Safe</v>
      </c>
      <c r="V663" t="str">
        <f>IF(SeismicData[[#This Row],[shift]]="W","Production","Non-Production")</f>
        <v>Production</v>
      </c>
      <c r="W663" t="str">
        <f>IF(SeismicData[[#This Row],[genergy]]=0,"0","10^"&amp;INT(LOG10(SeismicData[[#This Row],[genergy]])))</f>
        <v>10^4</v>
      </c>
      <c r="X663" t="str">
        <f>IF(OR(SeismicData[[#This Row],[genergy]]&lt;$AA$6,SeismicData[[#This Row],[genergy]]&gt;$AA$5),"Outlier","Normal")</f>
        <v>Normal</v>
      </c>
    </row>
    <row r="664" spans="1:24" x14ac:dyDescent="0.15">
      <c r="A664">
        <v>663</v>
      </c>
      <c r="B664" t="s">
        <v>20</v>
      </c>
      <c r="C664" t="s">
        <v>23</v>
      </c>
      <c r="D664" t="s">
        <v>22</v>
      </c>
      <c r="E664">
        <v>65240</v>
      </c>
      <c r="F664">
        <v>1008</v>
      </c>
      <c r="G664">
        <v>73</v>
      </c>
      <c r="H664">
        <v>39</v>
      </c>
      <c r="I664" t="s">
        <v>20</v>
      </c>
      <c r="J664">
        <v>4</v>
      </c>
      <c r="K664">
        <v>3</v>
      </c>
      <c r="L664">
        <v>1</v>
      </c>
      <c r="M664">
        <v>0</v>
      </c>
      <c r="N664">
        <v>0</v>
      </c>
      <c r="O664">
        <v>0</v>
      </c>
      <c r="P664">
        <v>0</v>
      </c>
      <c r="Q664">
        <v>0</v>
      </c>
      <c r="R664">
        <v>2500</v>
      </c>
      <c r="S664">
        <v>1000</v>
      </c>
      <c r="T664">
        <v>0</v>
      </c>
      <c r="U664" t="str">
        <f>IF(SeismicData[[#This Row],[class]]=1,"Dangerous","Safe")</f>
        <v>Safe</v>
      </c>
      <c r="V664" t="str">
        <f>IF(SeismicData[[#This Row],[shift]]="W","Production","Non-Production")</f>
        <v>Production</v>
      </c>
      <c r="W664" t="str">
        <f>IF(SeismicData[[#This Row],[genergy]]=0,"0","10^"&amp;INT(LOG10(SeismicData[[#This Row],[genergy]])))</f>
        <v>10^4</v>
      </c>
      <c r="X664" t="str">
        <f>IF(OR(SeismicData[[#This Row],[genergy]]&lt;$AA$6,SeismicData[[#This Row],[genergy]]&gt;$AA$5),"Outlier","Normal")</f>
        <v>Normal</v>
      </c>
    </row>
    <row r="665" spans="1:24" x14ac:dyDescent="0.15">
      <c r="A665">
        <v>664</v>
      </c>
      <c r="B665" t="s">
        <v>20</v>
      </c>
      <c r="C665" t="s">
        <v>23</v>
      </c>
      <c r="D665" t="s">
        <v>22</v>
      </c>
      <c r="E665">
        <v>49070</v>
      </c>
      <c r="F665">
        <v>587</v>
      </c>
      <c r="G665">
        <v>28</v>
      </c>
      <c r="H665">
        <v>-20</v>
      </c>
      <c r="I665" t="s">
        <v>20</v>
      </c>
      <c r="J665">
        <v>2</v>
      </c>
      <c r="K665">
        <v>1</v>
      </c>
      <c r="L665">
        <v>1</v>
      </c>
      <c r="M665">
        <v>0</v>
      </c>
      <c r="N665">
        <v>0</v>
      </c>
      <c r="O665">
        <v>0</v>
      </c>
      <c r="P665">
        <v>0</v>
      </c>
      <c r="Q665">
        <v>0</v>
      </c>
      <c r="R665">
        <v>2400</v>
      </c>
      <c r="S665">
        <v>2000</v>
      </c>
      <c r="T665">
        <v>0</v>
      </c>
      <c r="U665" t="str">
        <f>IF(SeismicData[[#This Row],[class]]=1,"Dangerous","Safe")</f>
        <v>Safe</v>
      </c>
      <c r="V665" t="str">
        <f>IF(SeismicData[[#This Row],[shift]]="W","Production","Non-Production")</f>
        <v>Production</v>
      </c>
      <c r="W665" t="str">
        <f>IF(SeismicData[[#This Row],[genergy]]=0,"0","10^"&amp;INT(LOG10(SeismicData[[#This Row],[genergy]])))</f>
        <v>10^4</v>
      </c>
      <c r="X665" t="str">
        <f>IF(OR(SeismicData[[#This Row],[genergy]]&lt;$AA$6,SeismicData[[#This Row],[genergy]]&gt;$AA$5),"Outlier","Normal")</f>
        <v>Normal</v>
      </c>
    </row>
    <row r="666" spans="1:24" x14ac:dyDescent="0.15">
      <c r="A666">
        <v>665</v>
      </c>
      <c r="B666" t="s">
        <v>20</v>
      </c>
      <c r="C666" t="s">
        <v>23</v>
      </c>
      <c r="D666" t="s">
        <v>22</v>
      </c>
      <c r="E666">
        <v>122820</v>
      </c>
      <c r="F666">
        <v>1191</v>
      </c>
      <c r="G666">
        <v>-39</v>
      </c>
      <c r="H666">
        <v>-40</v>
      </c>
      <c r="I666" t="s">
        <v>20</v>
      </c>
      <c r="J666">
        <v>1</v>
      </c>
      <c r="K666">
        <v>0</v>
      </c>
      <c r="L666">
        <v>1</v>
      </c>
      <c r="M666">
        <v>0</v>
      </c>
      <c r="N666">
        <v>0</v>
      </c>
      <c r="O666">
        <v>0</v>
      </c>
      <c r="P666">
        <v>0</v>
      </c>
      <c r="Q666">
        <v>0</v>
      </c>
      <c r="R666">
        <v>3000</v>
      </c>
      <c r="S666">
        <v>3000</v>
      </c>
      <c r="T666">
        <v>0</v>
      </c>
      <c r="U666" t="str">
        <f>IF(SeismicData[[#This Row],[class]]=1,"Dangerous","Safe")</f>
        <v>Safe</v>
      </c>
      <c r="V666" t="str">
        <f>IF(SeismicData[[#This Row],[shift]]="W","Production","Non-Production")</f>
        <v>Production</v>
      </c>
      <c r="W666" t="str">
        <f>IF(SeismicData[[#This Row],[genergy]]=0,"0","10^"&amp;INT(LOG10(SeismicData[[#This Row],[genergy]])))</f>
        <v>10^5</v>
      </c>
      <c r="X666" t="str">
        <f>IF(OR(SeismicData[[#This Row],[genergy]]&lt;$AA$6,SeismicData[[#This Row],[genergy]]&gt;$AA$5),"Outlier","Normal")</f>
        <v>Outlier</v>
      </c>
    </row>
    <row r="667" spans="1:24" x14ac:dyDescent="0.15">
      <c r="A667">
        <v>666</v>
      </c>
      <c r="B667" t="s">
        <v>20</v>
      </c>
      <c r="C667" t="s">
        <v>23</v>
      </c>
      <c r="D667" t="s">
        <v>22</v>
      </c>
      <c r="E667">
        <v>132520</v>
      </c>
      <c r="F667">
        <v>1174</v>
      </c>
      <c r="G667">
        <v>-31</v>
      </c>
      <c r="H667">
        <v>-39</v>
      </c>
      <c r="I667" t="s">
        <v>20</v>
      </c>
      <c r="J667">
        <v>1</v>
      </c>
      <c r="K667">
        <v>1</v>
      </c>
      <c r="L667">
        <v>0</v>
      </c>
      <c r="M667">
        <v>0</v>
      </c>
      <c r="N667">
        <v>0</v>
      </c>
      <c r="O667">
        <v>0</v>
      </c>
      <c r="P667">
        <v>0</v>
      </c>
      <c r="Q667">
        <v>0</v>
      </c>
      <c r="R667">
        <v>200</v>
      </c>
      <c r="S667">
        <v>200</v>
      </c>
      <c r="T667">
        <v>0</v>
      </c>
      <c r="U667" t="str">
        <f>IF(SeismicData[[#This Row],[class]]=1,"Dangerous","Safe")</f>
        <v>Safe</v>
      </c>
      <c r="V667" t="str">
        <f>IF(SeismicData[[#This Row],[shift]]="W","Production","Non-Production")</f>
        <v>Production</v>
      </c>
      <c r="W667" t="str">
        <f>IF(SeismicData[[#This Row],[genergy]]=0,"0","10^"&amp;INT(LOG10(SeismicData[[#This Row],[genergy]])))</f>
        <v>10^5</v>
      </c>
      <c r="X667" t="str">
        <f>IF(OR(SeismicData[[#This Row],[genergy]]&lt;$AA$6,SeismicData[[#This Row],[genergy]]&gt;$AA$5),"Outlier","Normal")</f>
        <v>Outlier</v>
      </c>
    </row>
    <row r="668" spans="1:24" x14ac:dyDescent="0.15">
      <c r="A668">
        <v>667</v>
      </c>
      <c r="B668" t="s">
        <v>20</v>
      </c>
      <c r="C668" t="s">
        <v>23</v>
      </c>
      <c r="D668" t="s">
        <v>21</v>
      </c>
      <c r="E668">
        <v>25710</v>
      </c>
      <c r="F668">
        <v>258</v>
      </c>
      <c r="G668">
        <v>-74</v>
      </c>
      <c r="H668">
        <v>-74</v>
      </c>
      <c r="I668" t="s">
        <v>20</v>
      </c>
      <c r="J668">
        <v>1</v>
      </c>
      <c r="K668">
        <v>0</v>
      </c>
      <c r="L668">
        <v>1</v>
      </c>
      <c r="M668">
        <v>0</v>
      </c>
      <c r="N668">
        <v>0</v>
      </c>
      <c r="O668">
        <v>0</v>
      </c>
      <c r="P668">
        <v>0</v>
      </c>
      <c r="Q668">
        <v>0</v>
      </c>
      <c r="R668">
        <v>7000</v>
      </c>
      <c r="S668">
        <v>7000</v>
      </c>
      <c r="T668">
        <v>0</v>
      </c>
      <c r="U668" t="str">
        <f>IF(SeismicData[[#This Row],[class]]=1,"Dangerous","Safe")</f>
        <v>Safe</v>
      </c>
      <c r="V668" t="str">
        <f>IF(SeismicData[[#This Row],[shift]]="W","Production","Non-Production")</f>
        <v>Non-Production</v>
      </c>
      <c r="W668" t="str">
        <f>IF(SeismicData[[#This Row],[genergy]]=0,"0","10^"&amp;INT(LOG10(SeismicData[[#This Row],[genergy]])))</f>
        <v>10^4</v>
      </c>
      <c r="X668" t="str">
        <f>IF(OR(SeismicData[[#This Row],[genergy]]&lt;$AA$6,SeismicData[[#This Row],[genergy]]&gt;$AA$5),"Outlier","Normal")</f>
        <v>Normal</v>
      </c>
    </row>
    <row r="669" spans="1:24" x14ac:dyDescent="0.15">
      <c r="A669">
        <v>668</v>
      </c>
      <c r="B669" t="s">
        <v>20</v>
      </c>
      <c r="C669" t="s">
        <v>20</v>
      </c>
      <c r="D669" t="s">
        <v>21</v>
      </c>
      <c r="E669">
        <v>17700</v>
      </c>
      <c r="F669">
        <v>174</v>
      </c>
      <c r="G669">
        <v>-81</v>
      </c>
      <c r="H669">
        <v>-81</v>
      </c>
      <c r="I669" t="s">
        <v>20</v>
      </c>
      <c r="J669">
        <v>1</v>
      </c>
      <c r="K669">
        <v>0</v>
      </c>
      <c r="L669">
        <v>1</v>
      </c>
      <c r="M669">
        <v>0</v>
      </c>
      <c r="N669">
        <v>0</v>
      </c>
      <c r="O669">
        <v>0</v>
      </c>
      <c r="P669">
        <v>0</v>
      </c>
      <c r="Q669">
        <v>0</v>
      </c>
      <c r="R669">
        <v>2000</v>
      </c>
      <c r="S669">
        <v>2000</v>
      </c>
      <c r="T669">
        <v>0</v>
      </c>
      <c r="U669" t="str">
        <f>IF(SeismicData[[#This Row],[class]]=1,"Dangerous","Safe")</f>
        <v>Safe</v>
      </c>
      <c r="V669" t="str">
        <f>IF(SeismicData[[#This Row],[shift]]="W","Production","Non-Production")</f>
        <v>Non-Production</v>
      </c>
      <c r="W669" t="str">
        <f>IF(SeismicData[[#This Row],[genergy]]=0,"0","10^"&amp;INT(LOG10(SeismicData[[#This Row],[genergy]])))</f>
        <v>10^4</v>
      </c>
      <c r="X669" t="str">
        <f>IF(OR(SeismicData[[#This Row],[genergy]]&lt;$AA$6,SeismicData[[#This Row],[genergy]]&gt;$AA$5),"Outlier","Normal")</f>
        <v>Normal</v>
      </c>
    </row>
    <row r="670" spans="1:24" x14ac:dyDescent="0.15">
      <c r="A670">
        <v>669</v>
      </c>
      <c r="B670" t="s">
        <v>20</v>
      </c>
      <c r="C670" t="s">
        <v>20</v>
      </c>
      <c r="D670" t="s">
        <v>21</v>
      </c>
      <c r="E670">
        <v>72300</v>
      </c>
      <c r="F670">
        <v>155</v>
      </c>
      <c r="G670">
        <v>-14</v>
      </c>
      <c r="H670">
        <v>-82</v>
      </c>
      <c r="I670" t="s">
        <v>20</v>
      </c>
      <c r="J670">
        <v>1</v>
      </c>
      <c r="K670">
        <v>0</v>
      </c>
      <c r="L670">
        <v>1</v>
      </c>
      <c r="M670">
        <v>0</v>
      </c>
      <c r="N670">
        <v>0</v>
      </c>
      <c r="O670">
        <v>0</v>
      </c>
      <c r="P670">
        <v>0</v>
      </c>
      <c r="Q670">
        <v>0</v>
      </c>
      <c r="R670">
        <v>5000</v>
      </c>
      <c r="S670">
        <v>5000</v>
      </c>
      <c r="T670">
        <v>0</v>
      </c>
      <c r="U670" t="str">
        <f>IF(SeismicData[[#This Row],[class]]=1,"Dangerous","Safe")</f>
        <v>Safe</v>
      </c>
      <c r="V670" t="str">
        <f>IF(SeismicData[[#This Row],[shift]]="W","Production","Non-Production")</f>
        <v>Non-Production</v>
      </c>
      <c r="W670" t="str">
        <f>IF(SeismicData[[#This Row],[genergy]]=0,"0","10^"&amp;INT(LOG10(SeismicData[[#This Row],[genergy]])))</f>
        <v>10^4</v>
      </c>
      <c r="X670" t="str">
        <f>IF(OR(SeismicData[[#This Row],[genergy]]&lt;$AA$6,SeismicData[[#This Row],[genergy]]&gt;$AA$5),"Outlier","Normal")</f>
        <v>Normal</v>
      </c>
    </row>
    <row r="671" spans="1:24" x14ac:dyDescent="0.15">
      <c r="A671">
        <v>670</v>
      </c>
      <c r="B671" t="s">
        <v>20</v>
      </c>
      <c r="C671" t="s">
        <v>20</v>
      </c>
      <c r="D671" t="s">
        <v>21</v>
      </c>
      <c r="E671">
        <v>16960</v>
      </c>
      <c r="F671">
        <v>130</v>
      </c>
      <c r="G671">
        <v>-56</v>
      </c>
      <c r="H671">
        <v>-34</v>
      </c>
      <c r="I671" t="s">
        <v>20</v>
      </c>
      <c r="J671">
        <v>1</v>
      </c>
      <c r="K671">
        <v>0</v>
      </c>
      <c r="L671">
        <v>1</v>
      </c>
      <c r="M671">
        <v>0</v>
      </c>
      <c r="N671">
        <v>0</v>
      </c>
      <c r="O671">
        <v>0</v>
      </c>
      <c r="P671">
        <v>0</v>
      </c>
      <c r="Q671">
        <v>0</v>
      </c>
      <c r="R671">
        <v>4000</v>
      </c>
      <c r="S671">
        <v>4000</v>
      </c>
      <c r="T671">
        <v>0</v>
      </c>
      <c r="U671" t="str">
        <f>IF(SeismicData[[#This Row],[class]]=1,"Dangerous","Safe")</f>
        <v>Safe</v>
      </c>
      <c r="V671" t="str">
        <f>IF(SeismicData[[#This Row],[shift]]="W","Production","Non-Production")</f>
        <v>Non-Production</v>
      </c>
      <c r="W671" t="str">
        <f>IF(SeismicData[[#This Row],[genergy]]=0,"0","10^"&amp;INT(LOG10(SeismicData[[#This Row],[genergy]])))</f>
        <v>10^4</v>
      </c>
      <c r="X671" t="str">
        <f>IF(OR(SeismicData[[#This Row],[genergy]]&lt;$AA$6,SeismicData[[#This Row],[genergy]]&gt;$AA$5),"Outlier","Normal")</f>
        <v>Normal</v>
      </c>
    </row>
    <row r="672" spans="1:24" x14ac:dyDescent="0.15">
      <c r="A672">
        <v>671</v>
      </c>
      <c r="B672" t="s">
        <v>20</v>
      </c>
      <c r="C672" t="s">
        <v>20</v>
      </c>
      <c r="D672" t="s">
        <v>22</v>
      </c>
      <c r="E672">
        <v>87700</v>
      </c>
      <c r="F672">
        <v>935</v>
      </c>
      <c r="G672">
        <v>-53</v>
      </c>
      <c r="H672">
        <v>-49</v>
      </c>
      <c r="I672" t="s">
        <v>20</v>
      </c>
      <c r="J672">
        <v>2</v>
      </c>
      <c r="K672">
        <v>1</v>
      </c>
      <c r="L672">
        <v>1</v>
      </c>
      <c r="M672">
        <v>0</v>
      </c>
      <c r="N672">
        <v>0</v>
      </c>
      <c r="O672">
        <v>0</v>
      </c>
      <c r="P672">
        <v>0</v>
      </c>
      <c r="Q672">
        <v>0</v>
      </c>
      <c r="R672">
        <v>1600</v>
      </c>
      <c r="S672">
        <v>1000</v>
      </c>
      <c r="T672">
        <v>0</v>
      </c>
      <c r="U672" t="str">
        <f>IF(SeismicData[[#This Row],[class]]=1,"Dangerous","Safe")</f>
        <v>Safe</v>
      </c>
      <c r="V672" t="str">
        <f>IF(SeismicData[[#This Row],[shift]]="W","Production","Non-Production")</f>
        <v>Production</v>
      </c>
      <c r="W672" t="str">
        <f>IF(SeismicData[[#This Row],[genergy]]=0,"0","10^"&amp;INT(LOG10(SeismicData[[#This Row],[genergy]])))</f>
        <v>10^4</v>
      </c>
      <c r="X672" t="str">
        <f>IF(OR(SeismicData[[#This Row],[genergy]]&lt;$AA$6,SeismicData[[#This Row],[genergy]]&gt;$AA$5),"Outlier","Normal")</f>
        <v>Normal</v>
      </c>
    </row>
    <row r="673" spans="1:24" x14ac:dyDescent="0.15">
      <c r="A673">
        <v>672</v>
      </c>
      <c r="B673" t="s">
        <v>20</v>
      </c>
      <c r="C673" t="s">
        <v>20</v>
      </c>
      <c r="D673" t="s">
        <v>22</v>
      </c>
      <c r="E673">
        <v>118860</v>
      </c>
      <c r="F673">
        <v>1122</v>
      </c>
      <c r="G673">
        <v>4</v>
      </c>
      <c r="H673">
        <v>2</v>
      </c>
      <c r="I673" t="s">
        <v>20</v>
      </c>
      <c r="J673">
        <v>0</v>
      </c>
      <c r="K673">
        <v>0</v>
      </c>
      <c r="L673">
        <v>0</v>
      </c>
      <c r="M673">
        <v>0</v>
      </c>
      <c r="N673">
        <v>0</v>
      </c>
      <c r="O673">
        <v>0</v>
      </c>
      <c r="P673">
        <v>0</v>
      </c>
      <c r="Q673">
        <v>0</v>
      </c>
      <c r="R673">
        <v>0</v>
      </c>
      <c r="S673">
        <v>0</v>
      </c>
      <c r="T673">
        <v>0</v>
      </c>
      <c r="U673" t="str">
        <f>IF(SeismicData[[#This Row],[class]]=1,"Dangerous","Safe")</f>
        <v>Safe</v>
      </c>
      <c r="V673" t="str">
        <f>IF(SeismicData[[#This Row],[shift]]="W","Production","Non-Production")</f>
        <v>Production</v>
      </c>
      <c r="W673" t="str">
        <f>IF(SeismicData[[#This Row],[genergy]]=0,"0","10^"&amp;INT(LOG10(SeismicData[[#This Row],[genergy]])))</f>
        <v>10^5</v>
      </c>
      <c r="X673" t="str">
        <f>IF(OR(SeismicData[[#This Row],[genergy]]&lt;$AA$6,SeismicData[[#This Row],[genergy]]&gt;$AA$5),"Outlier","Normal")</f>
        <v>Outlier</v>
      </c>
    </row>
    <row r="674" spans="1:24" x14ac:dyDescent="0.15">
      <c r="A674">
        <v>673</v>
      </c>
      <c r="B674" t="s">
        <v>20</v>
      </c>
      <c r="C674" t="s">
        <v>20</v>
      </c>
      <c r="D674" t="s">
        <v>22</v>
      </c>
      <c r="E674">
        <v>102710</v>
      </c>
      <c r="F674">
        <v>1159</v>
      </c>
      <c r="G674">
        <v>-11</v>
      </c>
      <c r="H674">
        <v>5</v>
      </c>
      <c r="I674" t="s">
        <v>20</v>
      </c>
      <c r="J674">
        <v>1</v>
      </c>
      <c r="K674">
        <v>1</v>
      </c>
      <c r="L674">
        <v>0</v>
      </c>
      <c r="M674">
        <v>0</v>
      </c>
      <c r="N674">
        <v>0</v>
      </c>
      <c r="O674">
        <v>0</v>
      </c>
      <c r="P674">
        <v>0</v>
      </c>
      <c r="Q674">
        <v>0</v>
      </c>
      <c r="R674">
        <v>400</v>
      </c>
      <c r="S674">
        <v>400</v>
      </c>
      <c r="T674">
        <v>0</v>
      </c>
      <c r="U674" t="str">
        <f>IF(SeismicData[[#This Row],[class]]=1,"Dangerous","Safe")</f>
        <v>Safe</v>
      </c>
      <c r="V674" t="str">
        <f>IF(SeismicData[[#This Row],[shift]]="W","Production","Non-Production")</f>
        <v>Production</v>
      </c>
      <c r="W674" t="str">
        <f>IF(SeismicData[[#This Row],[genergy]]=0,"0","10^"&amp;INT(LOG10(SeismicData[[#This Row],[genergy]])))</f>
        <v>10^5</v>
      </c>
      <c r="X674" t="str">
        <f>IF(OR(SeismicData[[#This Row],[genergy]]&lt;$AA$6,SeismicData[[#This Row],[genergy]]&gt;$AA$5),"Outlier","Normal")</f>
        <v>Normal</v>
      </c>
    </row>
    <row r="675" spans="1:24" x14ac:dyDescent="0.15">
      <c r="A675">
        <v>674</v>
      </c>
      <c r="B675" t="s">
        <v>20</v>
      </c>
      <c r="C675" t="s">
        <v>20</v>
      </c>
      <c r="D675" t="s">
        <v>22</v>
      </c>
      <c r="E675">
        <v>95050</v>
      </c>
      <c r="F675">
        <v>860</v>
      </c>
      <c r="G675">
        <v>-16</v>
      </c>
      <c r="H675">
        <v>-22</v>
      </c>
      <c r="I675" t="s">
        <v>20</v>
      </c>
      <c r="J675">
        <v>2</v>
      </c>
      <c r="K675">
        <v>0</v>
      </c>
      <c r="L675">
        <v>2</v>
      </c>
      <c r="M675">
        <v>0</v>
      </c>
      <c r="N675">
        <v>0</v>
      </c>
      <c r="O675">
        <v>0</v>
      </c>
      <c r="P675">
        <v>0</v>
      </c>
      <c r="Q675">
        <v>0</v>
      </c>
      <c r="R675">
        <v>5000</v>
      </c>
      <c r="S675">
        <v>3000</v>
      </c>
      <c r="T675">
        <v>0</v>
      </c>
      <c r="U675" t="str">
        <f>IF(SeismicData[[#This Row],[class]]=1,"Dangerous","Safe")</f>
        <v>Safe</v>
      </c>
      <c r="V675" t="str">
        <f>IF(SeismicData[[#This Row],[shift]]="W","Production","Non-Production")</f>
        <v>Production</v>
      </c>
      <c r="W675" t="str">
        <f>IF(SeismicData[[#This Row],[genergy]]=0,"0","10^"&amp;INT(LOG10(SeismicData[[#This Row],[genergy]])))</f>
        <v>10^4</v>
      </c>
      <c r="X675" t="str">
        <f>IF(OR(SeismicData[[#This Row],[genergy]]&lt;$AA$6,SeismicData[[#This Row],[genergy]]&gt;$AA$5),"Outlier","Normal")</f>
        <v>Normal</v>
      </c>
    </row>
    <row r="676" spans="1:24" x14ac:dyDescent="0.15">
      <c r="A676">
        <v>675</v>
      </c>
      <c r="B676" t="s">
        <v>20</v>
      </c>
      <c r="C676" t="s">
        <v>20</v>
      </c>
      <c r="D676" t="s">
        <v>22</v>
      </c>
      <c r="E676">
        <v>182210</v>
      </c>
      <c r="F676">
        <v>1766</v>
      </c>
      <c r="G676">
        <v>63</v>
      </c>
      <c r="H676">
        <v>63</v>
      </c>
      <c r="I676" t="s">
        <v>20</v>
      </c>
      <c r="J676">
        <v>6</v>
      </c>
      <c r="K676">
        <v>1</v>
      </c>
      <c r="L676">
        <v>5</v>
      </c>
      <c r="M676">
        <v>0</v>
      </c>
      <c r="N676">
        <v>0</v>
      </c>
      <c r="O676">
        <v>0</v>
      </c>
      <c r="P676">
        <v>0</v>
      </c>
      <c r="Q676">
        <v>0</v>
      </c>
      <c r="R676">
        <v>17800</v>
      </c>
      <c r="S676">
        <v>7000</v>
      </c>
      <c r="T676">
        <v>0</v>
      </c>
      <c r="U676" t="str">
        <f>IF(SeismicData[[#This Row],[class]]=1,"Dangerous","Safe")</f>
        <v>Safe</v>
      </c>
      <c r="V676" t="str">
        <f>IF(SeismicData[[#This Row],[shift]]="W","Production","Non-Production")</f>
        <v>Production</v>
      </c>
      <c r="W676" t="str">
        <f>IF(SeismicData[[#This Row],[genergy]]=0,"0","10^"&amp;INT(LOG10(SeismicData[[#This Row],[genergy]])))</f>
        <v>10^5</v>
      </c>
      <c r="X676" t="str">
        <f>IF(OR(SeismicData[[#This Row],[genergy]]&lt;$AA$6,SeismicData[[#This Row],[genergy]]&gt;$AA$5),"Outlier","Normal")</f>
        <v>Outlier</v>
      </c>
    </row>
    <row r="677" spans="1:24" x14ac:dyDescent="0.15">
      <c r="A677">
        <v>676</v>
      </c>
      <c r="B677" t="s">
        <v>20</v>
      </c>
      <c r="C677" t="s">
        <v>20</v>
      </c>
      <c r="D677" t="s">
        <v>22</v>
      </c>
      <c r="E677">
        <v>95020</v>
      </c>
      <c r="F677">
        <v>859</v>
      </c>
      <c r="G677">
        <v>-20</v>
      </c>
      <c r="H677">
        <v>-25</v>
      </c>
      <c r="I677" t="s">
        <v>20</v>
      </c>
      <c r="J677">
        <v>1</v>
      </c>
      <c r="K677">
        <v>1</v>
      </c>
      <c r="L677">
        <v>0</v>
      </c>
      <c r="M677">
        <v>0</v>
      </c>
      <c r="N677">
        <v>0</v>
      </c>
      <c r="O677">
        <v>0</v>
      </c>
      <c r="P677">
        <v>0</v>
      </c>
      <c r="Q677">
        <v>0</v>
      </c>
      <c r="R677">
        <v>600</v>
      </c>
      <c r="S677">
        <v>600</v>
      </c>
      <c r="T677">
        <v>0</v>
      </c>
      <c r="U677" t="str">
        <f>IF(SeismicData[[#This Row],[class]]=1,"Dangerous","Safe")</f>
        <v>Safe</v>
      </c>
      <c r="V677" t="str">
        <f>IF(SeismicData[[#This Row],[shift]]="W","Production","Non-Production")</f>
        <v>Production</v>
      </c>
      <c r="W677" t="str">
        <f>IF(SeismicData[[#This Row],[genergy]]=0,"0","10^"&amp;INT(LOG10(SeismicData[[#This Row],[genergy]])))</f>
        <v>10^4</v>
      </c>
      <c r="X677" t="str">
        <f>IF(OR(SeismicData[[#This Row],[genergy]]&lt;$AA$6,SeismicData[[#This Row],[genergy]]&gt;$AA$5),"Outlier","Normal")</f>
        <v>Normal</v>
      </c>
    </row>
    <row r="678" spans="1:24" x14ac:dyDescent="0.15">
      <c r="A678">
        <v>677</v>
      </c>
      <c r="B678" t="s">
        <v>20</v>
      </c>
      <c r="C678" t="s">
        <v>20</v>
      </c>
      <c r="D678" t="s">
        <v>21</v>
      </c>
      <c r="E678">
        <v>29290</v>
      </c>
      <c r="F678">
        <v>235</v>
      </c>
      <c r="G678">
        <v>-20</v>
      </c>
      <c r="H678">
        <v>24</v>
      </c>
      <c r="I678" t="s">
        <v>20</v>
      </c>
      <c r="J678">
        <v>1</v>
      </c>
      <c r="K678">
        <v>1</v>
      </c>
      <c r="L678">
        <v>0</v>
      </c>
      <c r="M678">
        <v>0</v>
      </c>
      <c r="N678">
        <v>0</v>
      </c>
      <c r="O678">
        <v>0</v>
      </c>
      <c r="P678">
        <v>0</v>
      </c>
      <c r="Q678">
        <v>0</v>
      </c>
      <c r="R678">
        <v>500</v>
      </c>
      <c r="S678">
        <v>500</v>
      </c>
      <c r="T678">
        <v>0</v>
      </c>
      <c r="U678" t="str">
        <f>IF(SeismicData[[#This Row],[class]]=1,"Dangerous","Safe")</f>
        <v>Safe</v>
      </c>
      <c r="V678" t="str">
        <f>IF(SeismicData[[#This Row],[shift]]="W","Production","Non-Production")</f>
        <v>Non-Production</v>
      </c>
      <c r="W678" t="str">
        <f>IF(SeismicData[[#This Row],[genergy]]=0,"0","10^"&amp;INT(LOG10(SeismicData[[#This Row],[genergy]])))</f>
        <v>10^4</v>
      </c>
      <c r="X678" t="str">
        <f>IF(OR(SeismicData[[#This Row],[genergy]]&lt;$AA$6,SeismicData[[#This Row],[genergy]]&gt;$AA$5),"Outlier","Normal")</f>
        <v>Normal</v>
      </c>
    </row>
    <row r="679" spans="1:24" x14ac:dyDescent="0.15">
      <c r="A679">
        <v>678</v>
      </c>
      <c r="B679" t="s">
        <v>20</v>
      </c>
      <c r="C679" t="s">
        <v>20</v>
      </c>
      <c r="D679" t="s">
        <v>21</v>
      </c>
      <c r="E679">
        <v>11440</v>
      </c>
      <c r="F679">
        <v>121</v>
      </c>
      <c r="G679">
        <v>-68</v>
      </c>
      <c r="H679">
        <v>-37</v>
      </c>
      <c r="I679" t="s">
        <v>20</v>
      </c>
      <c r="J679">
        <v>0</v>
      </c>
      <c r="K679">
        <v>0</v>
      </c>
      <c r="L679">
        <v>0</v>
      </c>
      <c r="M679">
        <v>0</v>
      </c>
      <c r="N679">
        <v>0</v>
      </c>
      <c r="O679">
        <v>0</v>
      </c>
      <c r="P679">
        <v>0</v>
      </c>
      <c r="Q679">
        <v>0</v>
      </c>
      <c r="R679">
        <v>0</v>
      </c>
      <c r="S679">
        <v>0</v>
      </c>
      <c r="T679">
        <v>0</v>
      </c>
      <c r="U679" t="str">
        <f>IF(SeismicData[[#This Row],[class]]=1,"Dangerous","Safe")</f>
        <v>Safe</v>
      </c>
      <c r="V679" t="str">
        <f>IF(SeismicData[[#This Row],[shift]]="W","Production","Non-Production")</f>
        <v>Non-Production</v>
      </c>
      <c r="W679" t="str">
        <f>IF(SeismicData[[#This Row],[genergy]]=0,"0","10^"&amp;INT(LOG10(SeismicData[[#This Row],[genergy]])))</f>
        <v>10^4</v>
      </c>
      <c r="X679" t="str">
        <f>IF(OR(SeismicData[[#This Row],[genergy]]&lt;$AA$6,SeismicData[[#This Row],[genergy]]&gt;$AA$5),"Outlier","Normal")</f>
        <v>Normal</v>
      </c>
    </row>
    <row r="680" spans="1:24" x14ac:dyDescent="0.15">
      <c r="A680">
        <v>679</v>
      </c>
      <c r="B680" t="s">
        <v>20</v>
      </c>
      <c r="C680" t="s">
        <v>20</v>
      </c>
      <c r="D680" t="s">
        <v>21</v>
      </c>
      <c r="E680">
        <v>26800</v>
      </c>
      <c r="F680">
        <v>94</v>
      </c>
      <c r="G680">
        <v>-18</v>
      </c>
      <c r="H680">
        <v>-49</v>
      </c>
      <c r="I680" t="s">
        <v>20</v>
      </c>
      <c r="J680">
        <v>1</v>
      </c>
      <c r="K680">
        <v>0</v>
      </c>
      <c r="L680">
        <v>1</v>
      </c>
      <c r="M680">
        <v>0</v>
      </c>
      <c r="N680">
        <v>0</v>
      </c>
      <c r="O680">
        <v>0</v>
      </c>
      <c r="P680">
        <v>0</v>
      </c>
      <c r="Q680">
        <v>0</v>
      </c>
      <c r="R680">
        <v>3000</v>
      </c>
      <c r="S680">
        <v>3000</v>
      </c>
      <c r="T680">
        <v>0</v>
      </c>
      <c r="U680" t="str">
        <f>IF(SeismicData[[#This Row],[class]]=1,"Dangerous","Safe")</f>
        <v>Safe</v>
      </c>
      <c r="V680" t="str">
        <f>IF(SeismicData[[#This Row],[shift]]="W","Production","Non-Production")</f>
        <v>Non-Production</v>
      </c>
      <c r="W680" t="str">
        <f>IF(SeismicData[[#This Row],[genergy]]=0,"0","10^"&amp;INT(LOG10(SeismicData[[#This Row],[genergy]])))</f>
        <v>10^4</v>
      </c>
      <c r="X680" t="str">
        <f>IF(OR(SeismicData[[#This Row],[genergy]]&lt;$AA$6,SeismicData[[#This Row],[genergy]]&gt;$AA$5),"Outlier","Normal")</f>
        <v>Normal</v>
      </c>
    </row>
    <row r="681" spans="1:24" x14ac:dyDescent="0.15">
      <c r="A681">
        <v>680</v>
      </c>
      <c r="B681" t="s">
        <v>20</v>
      </c>
      <c r="C681" t="s">
        <v>20</v>
      </c>
      <c r="D681" t="s">
        <v>21</v>
      </c>
      <c r="E681">
        <v>43650</v>
      </c>
      <c r="F681">
        <v>334</v>
      </c>
      <c r="G681">
        <v>38</v>
      </c>
      <c r="H681">
        <v>90</v>
      </c>
      <c r="I681" t="s">
        <v>20</v>
      </c>
      <c r="J681">
        <v>0</v>
      </c>
      <c r="K681">
        <v>0</v>
      </c>
      <c r="L681">
        <v>0</v>
      </c>
      <c r="M681">
        <v>0</v>
      </c>
      <c r="N681">
        <v>0</v>
      </c>
      <c r="O681">
        <v>0</v>
      </c>
      <c r="P681">
        <v>0</v>
      </c>
      <c r="Q681">
        <v>0</v>
      </c>
      <c r="R681">
        <v>0</v>
      </c>
      <c r="S681">
        <v>0</v>
      </c>
      <c r="T681">
        <v>0</v>
      </c>
      <c r="U681" t="str">
        <f>IF(SeismicData[[#This Row],[class]]=1,"Dangerous","Safe")</f>
        <v>Safe</v>
      </c>
      <c r="V681" t="str">
        <f>IF(SeismicData[[#This Row],[shift]]="W","Production","Non-Production")</f>
        <v>Non-Production</v>
      </c>
      <c r="W681" t="str">
        <f>IF(SeismicData[[#This Row],[genergy]]=0,"0","10^"&amp;INT(LOG10(SeismicData[[#This Row],[genergy]])))</f>
        <v>10^4</v>
      </c>
      <c r="X681" t="str">
        <f>IF(OR(SeismicData[[#This Row],[genergy]]&lt;$AA$6,SeismicData[[#This Row],[genergy]]&gt;$AA$5),"Outlier","Normal")</f>
        <v>Normal</v>
      </c>
    </row>
    <row r="682" spans="1:24" x14ac:dyDescent="0.15">
      <c r="A682">
        <v>681</v>
      </c>
      <c r="B682" t="s">
        <v>20</v>
      </c>
      <c r="C682" t="s">
        <v>20</v>
      </c>
      <c r="D682" t="s">
        <v>22</v>
      </c>
      <c r="E682">
        <v>154830</v>
      </c>
      <c r="F682">
        <v>1252</v>
      </c>
      <c r="G682">
        <v>33</v>
      </c>
      <c r="H682">
        <v>11</v>
      </c>
      <c r="I682" t="s">
        <v>20</v>
      </c>
      <c r="J682">
        <v>2</v>
      </c>
      <c r="K682">
        <v>2</v>
      </c>
      <c r="L682">
        <v>0</v>
      </c>
      <c r="M682">
        <v>0</v>
      </c>
      <c r="N682">
        <v>0</v>
      </c>
      <c r="O682">
        <v>0</v>
      </c>
      <c r="P682">
        <v>0</v>
      </c>
      <c r="Q682">
        <v>0</v>
      </c>
      <c r="R682">
        <v>1100</v>
      </c>
      <c r="S682">
        <v>700</v>
      </c>
      <c r="T682">
        <v>0</v>
      </c>
      <c r="U682" t="str">
        <f>IF(SeismicData[[#This Row],[class]]=1,"Dangerous","Safe")</f>
        <v>Safe</v>
      </c>
      <c r="V682" t="str">
        <f>IF(SeismicData[[#This Row],[shift]]="W","Production","Non-Production")</f>
        <v>Production</v>
      </c>
      <c r="W682" t="str">
        <f>IF(SeismicData[[#This Row],[genergy]]=0,"0","10^"&amp;INT(LOG10(SeismicData[[#This Row],[genergy]])))</f>
        <v>10^5</v>
      </c>
      <c r="X682" t="str">
        <f>IF(OR(SeismicData[[#This Row],[genergy]]&lt;$AA$6,SeismicData[[#This Row],[genergy]]&gt;$AA$5),"Outlier","Normal")</f>
        <v>Outlier</v>
      </c>
    </row>
    <row r="683" spans="1:24" x14ac:dyDescent="0.15">
      <c r="A683">
        <v>682</v>
      </c>
      <c r="B683" t="s">
        <v>20</v>
      </c>
      <c r="C683" t="s">
        <v>23</v>
      </c>
      <c r="D683" t="s">
        <v>22</v>
      </c>
      <c r="E683">
        <v>121720</v>
      </c>
      <c r="F683">
        <v>1170</v>
      </c>
      <c r="G683">
        <v>1</v>
      </c>
      <c r="H683">
        <v>2</v>
      </c>
      <c r="I683" t="s">
        <v>20</v>
      </c>
      <c r="J683">
        <v>1</v>
      </c>
      <c r="K683">
        <v>0</v>
      </c>
      <c r="L683">
        <v>1</v>
      </c>
      <c r="M683">
        <v>0</v>
      </c>
      <c r="N683">
        <v>0</v>
      </c>
      <c r="O683">
        <v>0</v>
      </c>
      <c r="P683">
        <v>0</v>
      </c>
      <c r="Q683">
        <v>0</v>
      </c>
      <c r="R683">
        <v>5000</v>
      </c>
      <c r="S683">
        <v>5000</v>
      </c>
      <c r="T683">
        <v>0</v>
      </c>
      <c r="U683" t="str">
        <f>IF(SeismicData[[#This Row],[class]]=1,"Dangerous","Safe")</f>
        <v>Safe</v>
      </c>
      <c r="V683" t="str">
        <f>IF(SeismicData[[#This Row],[shift]]="W","Production","Non-Production")</f>
        <v>Production</v>
      </c>
      <c r="W683" t="str">
        <f>IF(SeismicData[[#This Row],[genergy]]=0,"0","10^"&amp;INT(LOG10(SeismicData[[#This Row],[genergy]])))</f>
        <v>10^5</v>
      </c>
      <c r="X683" t="str">
        <f>IF(OR(SeismicData[[#This Row],[genergy]]&lt;$AA$6,SeismicData[[#This Row],[genergy]]&gt;$AA$5),"Outlier","Normal")</f>
        <v>Outlier</v>
      </c>
    </row>
    <row r="684" spans="1:24" x14ac:dyDescent="0.15">
      <c r="A684">
        <v>683</v>
      </c>
      <c r="B684" t="s">
        <v>20</v>
      </c>
      <c r="C684" t="s">
        <v>23</v>
      </c>
      <c r="D684" t="s">
        <v>22</v>
      </c>
      <c r="E684">
        <v>111950</v>
      </c>
      <c r="F684">
        <v>997</v>
      </c>
      <c r="G684">
        <v>-8</v>
      </c>
      <c r="H684">
        <v>-13</v>
      </c>
      <c r="I684" t="s">
        <v>20</v>
      </c>
      <c r="J684">
        <v>4</v>
      </c>
      <c r="K684">
        <v>3</v>
      </c>
      <c r="L684">
        <v>1</v>
      </c>
      <c r="M684">
        <v>0</v>
      </c>
      <c r="N684">
        <v>0</v>
      </c>
      <c r="O684">
        <v>0</v>
      </c>
      <c r="P684">
        <v>0</v>
      </c>
      <c r="Q684">
        <v>0</v>
      </c>
      <c r="R684">
        <v>4400</v>
      </c>
      <c r="S684">
        <v>3000</v>
      </c>
      <c r="T684">
        <v>0</v>
      </c>
      <c r="U684" t="str">
        <f>IF(SeismicData[[#This Row],[class]]=1,"Dangerous","Safe")</f>
        <v>Safe</v>
      </c>
      <c r="V684" t="str">
        <f>IF(SeismicData[[#This Row],[shift]]="W","Production","Non-Production")</f>
        <v>Production</v>
      </c>
      <c r="W684" t="str">
        <f>IF(SeismicData[[#This Row],[genergy]]=0,"0","10^"&amp;INT(LOG10(SeismicData[[#This Row],[genergy]])))</f>
        <v>10^5</v>
      </c>
      <c r="X684" t="str">
        <f>IF(OR(SeismicData[[#This Row],[genergy]]&lt;$AA$6,SeismicData[[#This Row],[genergy]]&gt;$AA$5),"Outlier","Normal")</f>
        <v>Normal</v>
      </c>
    </row>
    <row r="685" spans="1:24" x14ac:dyDescent="0.15">
      <c r="A685">
        <v>684</v>
      </c>
      <c r="B685" t="s">
        <v>20</v>
      </c>
      <c r="C685" t="s">
        <v>23</v>
      </c>
      <c r="D685" t="s">
        <v>22</v>
      </c>
      <c r="E685">
        <v>190960</v>
      </c>
      <c r="F685">
        <v>1651</v>
      </c>
      <c r="G685">
        <v>58</v>
      </c>
      <c r="H685">
        <v>45</v>
      </c>
      <c r="I685" t="s">
        <v>20</v>
      </c>
      <c r="J685">
        <v>2</v>
      </c>
      <c r="K685">
        <v>0</v>
      </c>
      <c r="L685">
        <v>2</v>
      </c>
      <c r="M685">
        <v>0</v>
      </c>
      <c r="N685">
        <v>0</v>
      </c>
      <c r="O685">
        <v>0</v>
      </c>
      <c r="P685">
        <v>0</v>
      </c>
      <c r="Q685">
        <v>0</v>
      </c>
      <c r="R685">
        <v>11000</v>
      </c>
      <c r="S685">
        <v>9000</v>
      </c>
      <c r="T685">
        <v>0</v>
      </c>
      <c r="U685" t="str">
        <f>IF(SeismicData[[#This Row],[class]]=1,"Dangerous","Safe")</f>
        <v>Safe</v>
      </c>
      <c r="V685" t="str">
        <f>IF(SeismicData[[#This Row],[shift]]="W","Production","Non-Production")</f>
        <v>Production</v>
      </c>
      <c r="W685" t="str">
        <f>IF(SeismicData[[#This Row],[genergy]]=0,"0","10^"&amp;INT(LOG10(SeismicData[[#This Row],[genergy]])))</f>
        <v>10^5</v>
      </c>
      <c r="X685" t="str">
        <f>IF(OR(SeismicData[[#This Row],[genergy]]&lt;$AA$6,SeismicData[[#This Row],[genergy]]&gt;$AA$5),"Outlier","Normal")</f>
        <v>Outlier</v>
      </c>
    </row>
    <row r="686" spans="1:24" x14ac:dyDescent="0.15">
      <c r="A686">
        <v>685</v>
      </c>
      <c r="B686" t="s">
        <v>20</v>
      </c>
      <c r="C686" t="s">
        <v>23</v>
      </c>
      <c r="D686" t="s">
        <v>22</v>
      </c>
      <c r="E686">
        <v>95620</v>
      </c>
      <c r="F686">
        <v>996</v>
      </c>
      <c r="G686">
        <v>-26</v>
      </c>
      <c r="H686">
        <v>-17</v>
      </c>
      <c r="I686" t="s">
        <v>20</v>
      </c>
      <c r="J686">
        <v>0</v>
      </c>
      <c r="K686">
        <v>0</v>
      </c>
      <c r="L686">
        <v>0</v>
      </c>
      <c r="M686">
        <v>0</v>
      </c>
      <c r="N686">
        <v>0</v>
      </c>
      <c r="O686">
        <v>0</v>
      </c>
      <c r="P686">
        <v>0</v>
      </c>
      <c r="Q686">
        <v>0</v>
      </c>
      <c r="R686">
        <v>0</v>
      </c>
      <c r="S686">
        <v>0</v>
      </c>
      <c r="T686">
        <v>0</v>
      </c>
      <c r="U686" t="str">
        <f>IF(SeismicData[[#This Row],[class]]=1,"Dangerous","Safe")</f>
        <v>Safe</v>
      </c>
      <c r="V686" t="str">
        <f>IF(SeismicData[[#This Row],[shift]]="W","Production","Non-Production")</f>
        <v>Production</v>
      </c>
      <c r="W686" t="str">
        <f>IF(SeismicData[[#This Row],[genergy]]=0,"0","10^"&amp;INT(LOG10(SeismicData[[#This Row],[genergy]])))</f>
        <v>10^4</v>
      </c>
      <c r="X686" t="str">
        <f>IF(OR(SeismicData[[#This Row],[genergy]]&lt;$AA$6,SeismicData[[#This Row],[genergy]]&gt;$AA$5),"Outlier","Normal")</f>
        <v>Normal</v>
      </c>
    </row>
    <row r="687" spans="1:24" x14ac:dyDescent="0.15">
      <c r="A687">
        <v>686</v>
      </c>
      <c r="B687" t="s">
        <v>20</v>
      </c>
      <c r="C687" t="s">
        <v>23</v>
      </c>
      <c r="D687" t="s">
        <v>22</v>
      </c>
      <c r="E687">
        <v>133430</v>
      </c>
      <c r="F687">
        <v>1074</v>
      </c>
      <c r="G687">
        <v>5</v>
      </c>
      <c r="H687">
        <v>-9</v>
      </c>
      <c r="I687" t="s">
        <v>20</v>
      </c>
      <c r="J687">
        <v>6</v>
      </c>
      <c r="K687">
        <v>2</v>
      </c>
      <c r="L687">
        <v>4</v>
      </c>
      <c r="M687">
        <v>0</v>
      </c>
      <c r="N687">
        <v>0</v>
      </c>
      <c r="O687">
        <v>0</v>
      </c>
      <c r="P687">
        <v>0</v>
      </c>
      <c r="Q687">
        <v>0</v>
      </c>
      <c r="R687">
        <v>16700</v>
      </c>
      <c r="S687">
        <v>8000</v>
      </c>
      <c r="T687">
        <v>0</v>
      </c>
      <c r="U687" t="str">
        <f>IF(SeismicData[[#This Row],[class]]=1,"Dangerous","Safe")</f>
        <v>Safe</v>
      </c>
      <c r="V687" t="str">
        <f>IF(SeismicData[[#This Row],[shift]]="W","Production","Non-Production")</f>
        <v>Production</v>
      </c>
      <c r="W687" t="str">
        <f>IF(SeismicData[[#This Row],[genergy]]=0,"0","10^"&amp;INT(LOG10(SeismicData[[#This Row],[genergy]])))</f>
        <v>10^5</v>
      </c>
      <c r="X687" t="str">
        <f>IF(OR(SeismicData[[#This Row],[genergy]]&lt;$AA$6,SeismicData[[#This Row],[genergy]]&gt;$AA$5),"Outlier","Normal")</f>
        <v>Outlier</v>
      </c>
    </row>
    <row r="688" spans="1:24" x14ac:dyDescent="0.15">
      <c r="A688">
        <v>687</v>
      </c>
      <c r="B688" t="s">
        <v>20</v>
      </c>
      <c r="C688" t="s">
        <v>23</v>
      </c>
      <c r="D688" t="s">
        <v>22</v>
      </c>
      <c r="E688">
        <v>253510</v>
      </c>
      <c r="F688">
        <v>2069</v>
      </c>
      <c r="G688">
        <v>98</v>
      </c>
      <c r="H688">
        <v>76</v>
      </c>
      <c r="I688" t="s">
        <v>20</v>
      </c>
      <c r="J688">
        <v>4</v>
      </c>
      <c r="K688">
        <v>2</v>
      </c>
      <c r="L688">
        <v>2</v>
      </c>
      <c r="M688">
        <v>0</v>
      </c>
      <c r="N688">
        <v>0</v>
      </c>
      <c r="O688">
        <v>0</v>
      </c>
      <c r="P688">
        <v>0</v>
      </c>
      <c r="Q688">
        <v>0</v>
      </c>
      <c r="R688">
        <v>7100</v>
      </c>
      <c r="S688">
        <v>4000</v>
      </c>
      <c r="T688">
        <v>0</v>
      </c>
      <c r="U688" t="str">
        <f>IF(SeismicData[[#This Row],[class]]=1,"Dangerous","Safe")</f>
        <v>Safe</v>
      </c>
      <c r="V688" t="str">
        <f>IF(SeismicData[[#This Row],[shift]]="W","Production","Non-Production")</f>
        <v>Production</v>
      </c>
      <c r="W688" t="str">
        <f>IF(SeismicData[[#This Row],[genergy]]=0,"0","10^"&amp;INT(LOG10(SeismicData[[#This Row],[genergy]])))</f>
        <v>10^5</v>
      </c>
      <c r="X688" t="str">
        <f>IF(OR(SeismicData[[#This Row],[genergy]]&lt;$AA$6,SeismicData[[#This Row],[genergy]]&gt;$AA$5),"Outlier","Normal")</f>
        <v>Outlier</v>
      </c>
    </row>
    <row r="689" spans="1:24" x14ac:dyDescent="0.15">
      <c r="A689">
        <v>688</v>
      </c>
      <c r="B689" t="s">
        <v>20</v>
      </c>
      <c r="C689" t="s">
        <v>23</v>
      </c>
      <c r="D689" t="s">
        <v>22</v>
      </c>
      <c r="E689">
        <v>121870</v>
      </c>
      <c r="F689">
        <v>935</v>
      </c>
      <c r="G689">
        <v>-15</v>
      </c>
      <c r="H689">
        <v>-26</v>
      </c>
      <c r="I689" t="s">
        <v>20</v>
      </c>
      <c r="J689">
        <v>2</v>
      </c>
      <c r="K689">
        <v>2</v>
      </c>
      <c r="L689">
        <v>0</v>
      </c>
      <c r="M689">
        <v>0</v>
      </c>
      <c r="N689">
        <v>0</v>
      </c>
      <c r="O689">
        <v>0</v>
      </c>
      <c r="P689">
        <v>0</v>
      </c>
      <c r="Q689">
        <v>0</v>
      </c>
      <c r="R689">
        <v>900</v>
      </c>
      <c r="S689">
        <v>500</v>
      </c>
      <c r="T689">
        <v>0</v>
      </c>
      <c r="U689" t="str">
        <f>IF(SeismicData[[#This Row],[class]]=1,"Dangerous","Safe")</f>
        <v>Safe</v>
      </c>
      <c r="V689" t="str">
        <f>IF(SeismicData[[#This Row],[shift]]="W","Production","Non-Production")</f>
        <v>Production</v>
      </c>
      <c r="W689" t="str">
        <f>IF(SeismicData[[#This Row],[genergy]]=0,"0","10^"&amp;INT(LOG10(SeismicData[[#This Row],[genergy]])))</f>
        <v>10^5</v>
      </c>
      <c r="X689" t="str">
        <f>IF(OR(SeismicData[[#This Row],[genergy]]&lt;$AA$6,SeismicData[[#This Row],[genergy]]&gt;$AA$5),"Outlier","Normal")</f>
        <v>Outlier</v>
      </c>
    </row>
    <row r="690" spans="1:24" x14ac:dyDescent="0.15">
      <c r="A690">
        <v>689</v>
      </c>
      <c r="B690" t="s">
        <v>20</v>
      </c>
      <c r="C690" t="s">
        <v>23</v>
      </c>
      <c r="D690" t="s">
        <v>22</v>
      </c>
      <c r="E690">
        <v>148160</v>
      </c>
      <c r="F690">
        <v>1282</v>
      </c>
      <c r="G690">
        <v>1</v>
      </c>
      <c r="H690">
        <v>0</v>
      </c>
      <c r="I690" t="s">
        <v>20</v>
      </c>
      <c r="J690">
        <v>2</v>
      </c>
      <c r="K690">
        <v>2</v>
      </c>
      <c r="L690">
        <v>0</v>
      </c>
      <c r="M690">
        <v>0</v>
      </c>
      <c r="N690">
        <v>0</v>
      </c>
      <c r="O690">
        <v>0</v>
      </c>
      <c r="P690">
        <v>0</v>
      </c>
      <c r="Q690">
        <v>0</v>
      </c>
      <c r="R690">
        <v>1300</v>
      </c>
      <c r="S690">
        <v>900</v>
      </c>
      <c r="T690">
        <v>0</v>
      </c>
      <c r="U690" t="str">
        <f>IF(SeismicData[[#This Row],[class]]=1,"Dangerous","Safe")</f>
        <v>Safe</v>
      </c>
      <c r="V690" t="str">
        <f>IF(SeismicData[[#This Row],[shift]]="W","Production","Non-Production")</f>
        <v>Production</v>
      </c>
      <c r="W690" t="str">
        <f>IF(SeismicData[[#This Row],[genergy]]=0,"0","10^"&amp;INT(LOG10(SeismicData[[#This Row],[genergy]])))</f>
        <v>10^5</v>
      </c>
      <c r="X690" t="str">
        <f>IF(OR(SeismicData[[#This Row],[genergy]]&lt;$AA$6,SeismicData[[#This Row],[genergy]]&gt;$AA$5),"Outlier","Normal")</f>
        <v>Outlier</v>
      </c>
    </row>
    <row r="691" spans="1:24" x14ac:dyDescent="0.15">
      <c r="A691">
        <v>690</v>
      </c>
      <c r="B691" t="s">
        <v>20</v>
      </c>
      <c r="C691" t="s">
        <v>23</v>
      </c>
      <c r="D691" t="s">
        <v>22</v>
      </c>
      <c r="E691">
        <v>156780</v>
      </c>
      <c r="F691">
        <v>1301</v>
      </c>
      <c r="G691">
        <v>10</v>
      </c>
      <c r="H691">
        <v>6</v>
      </c>
      <c r="I691" t="s">
        <v>20</v>
      </c>
      <c r="J691">
        <v>4</v>
      </c>
      <c r="K691">
        <v>3</v>
      </c>
      <c r="L691">
        <v>1</v>
      </c>
      <c r="M691">
        <v>0</v>
      </c>
      <c r="N691">
        <v>0</v>
      </c>
      <c r="O691">
        <v>0</v>
      </c>
      <c r="P691">
        <v>0</v>
      </c>
      <c r="Q691">
        <v>0</v>
      </c>
      <c r="R691">
        <v>4700</v>
      </c>
      <c r="S691">
        <v>3000</v>
      </c>
      <c r="T691">
        <v>0</v>
      </c>
      <c r="U691" t="str">
        <f>IF(SeismicData[[#This Row],[class]]=1,"Dangerous","Safe")</f>
        <v>Safe</v>
      </c>
      <c r="V691" t="str">
        <f>IF(SeismicData[[#This Row],[shift]]="W","Production","Non-Production")</f>
        <v>Production</v>
      </c>
      <c r="W691" t="str">
        <f>IF(SeismicData[[#This Row],[genergy]]=0,"0","10^"&amp;INT(LOG10(SeismicData[[#This Row],[genergy]])))</f>
        <v>10^5</v>
      </c>
      <c r="X691" t="str">
        <f>IF(OR(SeismicData[[#This Row],[genergy]]&lt;$AA$6,SeismicData[[#This Row],[genergy]]&gt;$AA$5),"Outlier","Normal")</f>
        <v>Outlier</v>
      </c>
    </row>
    <row r="692" spans="1:24" x14ac:dyDescent="0.15">
      <c r="A692">
        <v>691</v>
      </c>
      <c r="B692" t="s">
        <v>20</v>
      </c>
      <c r="C692" t="s">
        <v>23</v>
      </c>
      <c r="D692" t="s">
        <v>21</v>
      </c>
      <c r="E692">
        <v>23000</v>
      </c>
      <c r="F692">
        <v>157</v>
      </c>
      <c r="G692">
        <v>-28</v>
      </c>
      <c r="H692">
        <v>-17</v>
      </c>
      <c r="I692" t="s">
        <v>20</v>
      </c>
      <c r="J692">
        <v>1</v>
      </c>
      <c r="K692">
        <v>0</v>
      </c>
      <c r="L692">
        <v>1</v>
      </c>
      <c r="M692">
        <v>0</v>
      </c>
      <c r="N692">
        <v>0</v>
      </c>
      <c r="O692">
        <v>0</v>
      </c>
      <c r="P692">
        <v>0</v>
      </c>
      <c r="Q692">
        <v>0</v>
      </c>
      <c r="R692">
        <v>2000</v>
      </c>
      <c r="S692">
        <v>2000</v>
      </c>
      <c r="T692">
        <v>0</v>
      </c>
      <c r="U692" t="str">
        <f>IF(SeismicData[[#This Row],[class]]=1,"Dangerous","Safe")</f>
        <v>Safe</v>
      </c>
      <c r="V692" t="str">
        <f>IF(SeismicData[[#This Row],[shift]]="W","Production","Non-Production")</f>
        <v>Non-Production</v>
      </c>
      <c r="W692" t="str">
        <f>IF(SeismicData[[#This Row],[genergy]]=0,"0","10^"&amp;INT(LOG10(SeismicData[[#This Row],[genergy]])))</f>
        <v>10^4</v>
      </c>
      <c r="X692" t="str">
        <f>IF(OR(SeismicData[[#This Row],[genergy]]&lt;$AA$6,SeismicData[[#This Row],[genergy]]&gt;$AA$5),"Outlier","Normal")</f>
        <v>Normal</v>
      </c>
    </row>
    <row r="693" spans="1:24" x14ac:dyDescent="0.15">
      <c r="A693">
        <v>692</v>
      </c>
      <c r="B693" t="s">
        <v>20</v>
      </c>
      <c r="C693" t="s">
        <v>20</v>
      </c>
      <c r="D693" t="s">
        <v>22</v>
      </c>
      <c r="E693">
        <v>107100</v>
      </c>
      <c r="F693">
        <v>1003</v>
      </c>
      <c r="G693">
        <v>-28</v>
      </c>
      <c r="H693">
        <v>-21</v>
      </c>
      <c r="I693" t="s">
        <v>20</v>
      </c>
      <c r="J693">
        <v>3</v>
      </c>
      <c r="K693">
        <v>3</v>
      </c>
      <c r="L693">
        <v>0</v>
      </c>
      <c r="M693">
        <v>0</v>
      </c>
      <c r="N693">
        <v>0</v>
      </c>
      <c r="O693">
        <v>0</v>
      </c>
      <c r="P693">
        <v>0</v>
      </c>
      <c r="Q693">
        <v>0</v>
      </c>
      <c r="R693">
        <v>1600</v>
      </c>
      <c r="S693">
        <v>600</v>
      </c>
      <c r="T693">
        <v>1</v>
      </c>
      <c r="U693" t="str">
        <f>IF(SeismicData[[#This Row],[class]]=1,"Dangerous","Safe")</f>
        <v>Dangerous</v>
      </c>
      <c r="V693" t="str">
        <f>IF(SeismicData[[#This Row],[shift]]="W","Production","Non-Production")</f>
        <v>Production</v>
      </c>
      <c r="W693" t="str">
        <f>IF(SeismicData[[#This Row],[genergy]]=0,"0","10^"&amp;INT(LOG10(SeismicData[[#This Row],[genergy]])))</f>
        <v>10^5</v>
      </c>
      <c r="X693" t="str">
        <f>IF(OR(SeismicData[[#This Row],[genergy]]&lt;$AA$6,SeismicData[[#This Row],[genergy]]&gt;$AA$5),"Outlier","Normal")</f>
        <v>Normal</v>
      </c>
    </row>
    <row r="694" spans="1:24" x14ac:dyDescent="0.15">
      <c r="A694">
        <v>693</v>
      </c>
      <c r="B694" t="s">
        <v>23</v>
      </c>
      <c r="C694" t="s">
        <v>20</v>
      </c>
      <c r="D694" t="s">
        <v>22</v>
      </c>
      <c r="E694">
        <v>127110</v>
      </c>
      <c r="F694">
        <v>1140</v>
      </c>
      <c r="G694">
        <v>-12</v>
      </c>
      <c r="H694">
        <v>-9</v>
      </c>
      <c r="I694" t="s">
        <v>20</v>
      </c>
      <c r="J694">
        <v>3</v>
      </c>
      <c r="K694">
        <v>1</v>
      </c>
      <c r="L694">
        <v>1</v>
      </c>
      <c r="M694">
        <v>1</v>
      </c>
      <c r="N694">
        <v>0</v>
      </c>
      <c r="O694">
        <v>0</v>
      </c>
      <c r="P694">
        <v>0</v>
      </c>
      <c r="Q694">
        <v>0</v>
      </c>
      <c r="R694">
        <v>22600</v>
      </c>
      <c r="S694">
        <v>20000</v>
      </c>
      <c r="T694">
        <v>1</v>
      </c>
      <c r="U694" t="str">
        <f>IF(SeismicData[[#This Row],[class]]=1,"Dangerous","Safe")</f>
        <v>Dangerous</v>
      </c>
      <c r="V694" t="str">
        <f>IF(SeismicData[[#This Row],[shift]]="W","Production","Non-Production")</f>
        <v>Production</v>
      </c>
      <c r="W694" t="str">
        <f>IF(SeismicData[[#This Row],[genergy]]=0,"0","10^"&amp;INT(LOG10(SeismicData[[#This Row],[genergy]])))</f>
        <v>10^5</v>
      </c>
      <c r="X694" t="str">
        <f>IF(OR(SeismicData[[#This Row],[genergy]]&lt;$AA$6,SeismicData[[#This Row],[genergy]]&gt;$AA$5),"Outlier","Normal")</f>
        <v>Outlier</v>
      </c>
    </row>
    <row r="695" spans="1:24" x14ac:dyDescent="0.15">
      <c r="A695">
        <v>694</v>
      </c>
      <c r="B695" t="s">
        <v>23</v>
      </c>
      <c r="C695" t="s">
        <v>20</v>
      </c>
      <c r="D695" t="s">
        <v>22</v>
      </c>
      <c r="E695">
        <v>163510</v>
      </c>
      <c r="F695">
        <v>1534</v>
      </c>
      <c r="G695">
        <v>13</v>
      </c>
      <c r="H695">
        <v>23</v>
      </c>
      <c r="I695" t="s">
        <v>20</v>
      </c>
      <c r="J695">
        <v>2</v>
      </c>
      <c r="K695">
        <v>0</v>
      </c>
      <c r="L695">
        <v>1</v>
      </c>
      <c r="M695">
        <v>1</v>
      </c>
      <c r="N695">
        <v>0</v>
      </c>
      <c r="O695">
        <v>0</v>
      </c>
      <c r="P695">
        <v>0</v>
      </c>
      <c r="Q695">
        <v>0</v>
      </c>
      <c r="R695">
        <v>72000</v>
      </c>
      <c r="S695">
        <v>70000</v>
      </c>
      <c r="T695">
        <v>0</v>
      </c>
      <c r="U695" t="str">
        <f>IF(SeismicData[[#This Row],[class]]=1,"Dangerous","Safe")</f>
        <v>Safe</v>
      </c>
      <c r="V695" t="str">
        <f>IF(SeismicData[[#This Row],[shift]]="W","Production","Non-Production")</f>
        <v>Production</v>
      </c>
      <c r="W695" t="str">
        <f>IF(SeismicData[[#This Row],[genergy]]=0,"0","10^"&amp;INT(LOG10(SeismicData[[#This Row],[genergy]])))</f>
        <v>10^5</v>
      </c>
      <c r="X695" t="str">
        <f>IF(OR(SeismicData[[#This Row],[genergy]]&lt;$AA$6,SeismicData[[#This Row],[genergy]]&gt;$AA$5),"Outlier","Normal")</f>
        <v>Outlier</v>
      </c>
    </row>
    <row r="696" spans="1:24" x14ac:dyDescent="0.15">
      <c r="A696">
        <v>695</v>
      </c>
      <c r="B696" t="s">
        <v>23</v>
      </c>
      <c r="C696" t="s">
        <v>20</v>
      </c>
      <c r="D696" t="s">
        <v>22</v>
      </c>
      <c r="E696">
        <v>134890</v>
      </c>
      <c r="F696">
        <v>1411</v>
      </c>
      <c r="G696">
        <v>-10</v>
      </c>
      <c r="H696">
        <v>9</v>
      </c>
      <c r="I696" t="s">
        <v>20</v>
      </c>
      <c r="J696">
        <v>1</v>
      </c>
      <c r="K696">
        <v>0</v>
      </c>
      <c r="L696">
        <v>1</v>
      </c>
      <c r="M696">
        <v>0</v>
      </c>
      <c r="N696">
        <v>0</v>
      </c>
      <c r="O696">
        <v>0</v>
      </c>
      <c r="P696">
        <v>0</v>
      </c>
      <c r="Q696">
        <v>0</v>
      </c>
      <c r="R696">
        <v>6000</v>
      </c>
      <c r="S696">
        <v>6000</v>
      </c>
      <c r="T696">
        <v>1</v>
      </c>
      <c r="U696" t="str">
        <f>IF(SeismicData[[#This Row],[class]]=1,"Dangerous","Safe")</f>
        <v>Dangerous</v>
      </c>
      <c r="V696" t="str">
        <f>IF(SeismicData[[#This Row],[shift]]="W","Production","Non-Production")</f>
        <v>Production</v>
      </c>
      <c r="W696" t="str">
        <f>IF(SeismicData[[#This Row],[genergy]]=0,"0","10^"&amp;INT(LOG10(SeismicData[[#This Row],[genergy]])))</f>
        <v>10^5</v>
      </c>
      <c r="X696" t="str">
        <f>IF(OR(SeismicData[[#This Row],[genergy]]&lt;$AA$6,SeismicData[[#This Row],[genergy]]&gt;$AA$5),"Outlier","Normal")</f>
        <v>Outlier</v>
      </c>
    </row>
    <row r="697" spans="1:24" x14ac:dyDescent="0.15">
      <c r="A697">
        <v>696</v>
      </c>
      <c r="B697" t="s">
        <v>23</v>
      </c>
      <c r="C697" t="s">
        <v>23</v>
      </c>
      <c r="D697" t="s">
        <v>22</v>
      </c>
      <c r="E697">
        <v>306400</v>
      </c>
      <c r="F697">
        <v>2522</v>
      </c>
      <c r="G697">
        <v>112</v>
      </c>
      <c r="H697">
        <v>98</v>
      </c>
      <c r="I697" t="s">
        <v>23</v>
      </c>
      <c r="J697">
        <v>3</v>
      </c>
      <c r="K697">
        <v>2</v>
      </c>
      <c r="L697">
        <v>0</v>
      </c>
      <c r="M697">
        <v>1</v>
      </c>
      <c r="N697">
        <v>0</v>
      </c>
      <c r="O697">
        <v>0</v>
      </c>
      <c r="P697">
        <v>0</v>
      </c>
      <c r="Q697">
        <v>0</v>
      </c>
      <c r="R697">
        <v>31000</v>
      </c>
      <c r="S697">
        <v>30000</v>
      </c>
      <c r="T697">
        <v>1</v>
      </c>
      <c r="U697" t="str">
        <f>IF(SeismicData[[#This Row],[class]]=1,"Dangerous","Safe")</f>
        <v>Dangerous</v>
      </c>
      <c r="V697" t="str">
        <f>IF(SeismicData[[#This Row],[shift]]="W","Production","Non-Production")</f>
        <v>Production</v>
      </c>
      <c r="W697" t="str">
        <f>IF(SeismicData[[#This Row],[genergy]]=0,"0","10^"&amp;INT(LOG10(SeismicData[[#This Row],[genergy]])))</f>
        <v>10^5</v>
      </c>
      <c r="X697" t="str">
        <f>IF(OR(SeismicData[[#This Row],[genergy]]&lt;$AA$6,SeismicData[[#This Row],[genergy]]&gt;$AA$5),"Outlier","Normal")</f>
        <v>Outlier</v>
      </c>
    </row>
    <row r="698" spans="1:24" x14ac:dyDescent="0.15">
      <c r="A698">
        <v>697</v>
      </c>
      <c r="B698" t="s">
        <v>23</v>
      </c>
      <c r="C698" t="s">
        <v>23</v>
      </c>
      <c r="D698" t="s">
        <v>22</v>
      </c>
      <c r="E698">
        <v>83490</v>
      </c>
      <c r="F698">
        <v>898</v>
      </c>
      <c r="G698">
        <v>-49</v>
      </c>
      <c r="H698">
        <v>-37</v>
      </c>
      <c r="I698" t="s">
        <v>23</v>
      </c>
      <c r="J698">
        <v>2</v>
      </c>
      <c r="K698">
        <v>1</v>
      </c>
      <c r="L698">
        <v>0</v>
      </c>
      <c r="M698">
        <v>0</v>
      </c>
      <c r="N698">
        <v>1</v>
      </c>
      <c r="O698">
        <v>0</v>
      </c>
      <c r="P698">
        <v>0</v>
      </c>
      <c r="Q698">
        <v>0</v>
      </c>
      <c r="R698">
        <v>100300</v>
      </c>
      <c r="S698">
        <v>100000</v>
      </c>
      <c r="T698">
        <v>1</v>
      </c>
      <c r="U698" t="str">
        <f>IF(SeismicData[[#This Row],[class]]=1,"Dangerous","Safe")</f>
        <v>Dangerous</v>
      </c>
      <c r="V698" t="str">
        <f>IF(SeismicData[[#This Row],[shift]]="W","Production","Non-Production")</f>
        <v>Production</v>
      </c>
      <c r="W698" t="str">
        <f>IF(SeismicData[[#This Row],[genergy]]=0,"0","10^"&amp;INT(LOG10(SeismicData[[#This Row],[genergy]])))</f>
        <v>10^4</v>
      </c>
      <c r="X698" t="str">
        <f>IF(OR(SeismicData[[#This Row],[genergy]]&lt;$AA$6,SeismicData[[#This Row],[genergy]]&gt;$AA$5),"Outlier","Normal")</f>
        <v>Normal</v>
      </c>
    </row>
    <row r="699" spans="1:24" x14ac:dyDescent="0.15">
      <c r="A699">
        <v>698</v>
      </c>
      <c r="B699" t="s">
        <v>23</v>
      </c>
      <c r="C699" t="s">
        <v>23</v>
      </c>
      <c r="D699" t="s">
        <v>22</v>
      </c>
      <c r="E699">
        <v>92760</v>
      </c>
      <c r="F699">
        <v>967</v>
      </c>
      <c r="G699">
        <v>-42</v>
      </c>
      <c r="H699">
        <v>-31</v>
      </c>
      <c r="I699" t="s">
        <v>23</v>
      </c>
      <c r="J699">
        <v>5</v>
      </c>
      <c r="K699">
        <v>3</v>
      </c>
      <c r="L699">
        <v>1</v>
      </c>
      <c r="M699">
        <v>1</v>
      </c>
      <c r="N699">
        <v>0</v>
      </c>
      <c r="O699">
        <v>0</v>
      </c>
      <c r="P699">
        <v>0</v>
      </c>
      <c r="Q699">
        <v>0</v>
      </c>
      <c r="R699">
        <v>65800</v>
      </c>
      <c r="S699">
        <v>60000</v>
      </c>
      <c r="T699">
        <v>0</v>
      </c>
      <c r="U699" t="str">
        <f>IF(SeismicData[[#This Row],[class]]=1,"Dangerous","Safe")</f>
        <v>Safe</v>
      </c>
      <c r="V699" t="str">
        <f>IF(SeismicData[[#This Row],[shift]]="W","Production","Non-Production")</f>
        <v>Production</v>
      </c>
      <c r="W699" t="str">
        <f>IF(SeismicData[[#This Row],[genergy]]=0,"0","10^"&amp;INT(LOG10(SeismicData[[#This Row],[genergy]])))</f>
        <v>10^4</v>
      </c>
      <c r="X699" t="str">
        <f>IF(OR(SeismicData[[#This Row],[genergy]]&lt;$AA$6,SeismicData[[#This Row],[genergy]]&gt;$AA$5),"Outlier","Normal")</f>
        <v>Normal</v>
      </c>
    </row>
    <row r="700" spans="1:24" x14ac:dyDescent="0.15">
      <c r="A700">
        <v>699</v>
      </c>
      <c r="B700" t="s">
        <v>23</v>
      </c>
      <c r="C700" t="s">
        <v>23</v>
      </c>
      <c r="D700" t="s">
        <v>22</v>
      </c>
      <c r="E700">
        <v>105810</v>
      </c>
      <c r="F700">
        <v>958</v>
      </c>
      <c r="G700">
        <v>-27</v>
      </c>
      <c r="H700">
        <v>-26</v>
      </c>
      <c r="I700" t="s">
        <v>20</v>
      </c>
      <c r="J700">
        <v>3</v>
      </c>
      <c r="K700">
        <v>1</v>
      </c>
      <c r="L700">
        <v>2</v>
      </c>
      <c r="M700">
        <v>0</v>
      </c>
      <c r="N700">
        <v>0</v>
      </c>
      <c r="O700">
        <v>0</v>
      </c>
      <c r="P700">
        <v>0</v>
      </c>
      <c r="Q700">
        <v>0</v>
      </c>
      <c r="R700">
        <v>14900</v>
      </c>
      <c r="S700">
        <v>8000</v>
      </c>
      <c r="T700">
        <v>0</v>
      </c>
      <c r="U700" t="str">
        <f>IF(SeismicData[[#This Row],[class]]=1,"Dangerous","Safe")</f>
        <v>Safe</v>
      </c>
      <c r="V700" t="str">
        <f>IF(SeismicData[[#This Row],[shift]]="W","Production","Non-Production")</f>
        <v>Production</v>
      </c>
      <c r="W700" t="str">
        <f>IF(SeismicData[[#This Row],[genergy]]=0,"0","10^"&amp;INT(LOG10(SeismicData[[#This Row],[genergy]])))</f>
        <v>10^5</v>
      </c>
      <c r="X700" t="str">
        <f>IF(OR(SeismicData[[#This Row],[genergy]]&lt;$AA$6,SeismicData[[#This Row],[genergy]]&gt;$AA$5),"Outlier","Normal")</f>
        <v>Normal</v>
      </c>
    </row>
    <row r="701" spans="1:24" x14ac:dyDescent="0.15">
      <c r="A701">
        <v>700</v>
      </c>
      <c r="B701" t="s">
        <v>23</v>
      </c>
      <c r="C701" t="s">
        <v>23</v>
      </c>
      <c r="D701" t="s">
        <v>22</v>
      </c>
      <c r="E701">
        <v>128260</v>
      </c>
      <c r="F701">
        <v>1235</v>
      </c>
      <c r="G701">
        <v>-10</v>
      </c>
      <c r="H701">
        <v>-5</v>
      </c>
      <c r="I701" t="s">
        <v>20</v>
      </c>
      <c r="J701">
        <v>1</v>
      </c>
      <c r="K701">
        <v>0</v>
      </c>
      <c r="L701">
        <v>1</v>
      </c>
      <c r="M701">
        <v>0</v>
      </c>
      <c r="N701">
        <v>0</v>
      </c>
      <c r="O701">
        <v>0</v>
      </c>
      <c r="P701">
        <v>0</v>
      </c>
      <c r="Q701">
        <v>0</v>
      </c>
      <c r="R701">
        <v>1000</v>
      </c>
      <c r="S701">
        <v>1000</v>
      </c>
      <c r="T701">
        <v>0</v>
      </c>
      <c r="U701" t="str">
        <f>IF(SeismicData[[#This Row],[class]]=1,"Dangerous","Safe")</f>
        <v>Safe</v>
      </c>
      <c r="V701" t="str">
        <f>IF(SeismicData[[#This Row],[shift]]="W","Production","Non-Production")</f>
        <v>Production</v>
      </c>
      <c r="W701" t="str">
        <f>IF(SeismicData[[#This Row],[genergy]]=0,"0","10^"&amp;INT(LOG10(SeismicData[[#This Row],[genergy]])))</f>
        <v>10^5</v>
      </c>
      <c r="X701" t="str">
        <f>IF(OR(SeismicData[[#This Row],[genergy]]&lt;$AA$6,SeismicData[[#This Row],[genergy]]&gt;$AA$5),"Outlier","Normal")</f>
        <v>Outlier</v>
      </c>
    </row>
    <row r="702" spans="1:24" x14ac:dyDescent="0.15">
      <c r="A702">
        <v>701</v>
      </c>
      <c r="B702" t="s">
        <v>20</v>
      </c>
      <c r="C702" t="s">
        <v>20</v>
      </c>
      <c r="D702" t="s">
        <v>22</v>
      </c>
      <c r="E702">
        <v>95280</v>
      </c>
      <c r="F702">
        <v>1031</v>
      </c>
      <c r="G702">
        <v>-32</v>
      </c>
      <c r="H702">
        <v>-21</v>
      </c>
      <c r="I702" t="s">
        <v>20</v>
      </c>
      <c r="J702">
        <v>2</v>
      </c>
      <c r="K702">
        <v>1</v>
      </c>
      <c r="L702">
        <v>1</v>
      </c>
      <c r="M702">
        <v>0</v>
      </c>
      <c r="N702">
        <v>0</v>
      </c>
      <c r="O702">
        <v>0</v>
      </c>
      <c r="P702">
        <v>0</v>
      </c>
      <c r="Q702">
        <v>0</v>
      </c>
      <c r="R702">
        <v>3600</v>
      </c>
      <c r="S702">
        <v>3000</v>
      </c>
      <c r="T702">
        <v>1</v>
      </c>
      <c r="U702" t="str">
        <f>IF(SeismicData[[#This Row],[class]]=1,"Dangerous","Safe")</f>
        <v>Dangerous</v>
      </c>
      <c r="V702" t="str">
        <f>IF(SeismicData[[#This Row],[shift]]="W","Production","Non-Production")</f>
        <v>Production</v>
      </c>
      <c r="W702" t="str">
        <f>IF(SeismicData[[#This Row],[genergy]]=0,"0","10^"&amp;INT(LOG10(SeismicData[[#This Row],[genergy]])))</f>
        <v>10^4</v>
      </c>
      <c r="X702" t="str">
        <f>IF(OR(SeismicData[[#This Row],[genergy]]&lt;$AA$6,SeismicData[[#This Row],[genergy]]&gt;$AA$5),"Outlier","Normal")</f>
        <v>Normal</v>
      </c>
    </row>
    <row r="703" spans="1:24" x14ac:dyDescent="0.15">
      <c r="A703">
        <v>702</v>
      </c>
      <c r="B703" t="s">
        <v>23</v>
      </c>
      <c r="C703" t="s">
        <v>20</v>
      </c>
      <c r="D703" t="s">
        <v>22</v>
      </c>
      <c r="E703">
        <v>186280</v>
      </c>
      <c r="F703">
        <v>1921</v>
      </c>
      <c r="G703">
        <v>39</v>
      </c>
      <c r="H703">
        <v>51</v>
      </c>
      <c r="I703" t="s">
        <v>20</v>
      </c>
      <c r="J703">
        <v>3</v>
      </c>
      <c r="K703">
        <v>1</v>
      </c>
      <c r="L703">
        <v>1</v>
      </c>
      <c r="M703">
        <v>1</v>
      </c>
      <c r="N703">
        <v>0</v>
      </c>
      <c r="O703">
        <v>0</v>
      </c>
      <c r="P703">
        <v>0</v>
      </c>
      <c r="Q703">
        <v>0</v>
      </c>
      <c r="R703">
        <v>72500</v>
      </c>
      <c r="S703">
        <v>70000</v>
      </c>
      <c r="T703">
        <v>0</v>
      </c>
      <c r="U703" t="str">
        <f>IF(SeismicData[[#This Row],[class]]=1,"Dangerous","Safe")</f>
        <v>Safe</v>
      </c>
      <c r="V703" t="str">
        <f>IF(SeismicData[[#This Row],[shift]]="W","Production","Non-Production")</f>
        <v>Production</v>
      </c>
      <c r="W703" t="str">
        <f>IF(SeismicData[[#This Row],[genergy]]=0,"0","10^"&amp;INT(LOG10(SeismicData[[#This Row],[genergy]])))</f>
        <v>10^5</v>
      </c>
      <c r="X703" t="str">
        <f>IF(OR(SeismicData[[#This Row],[genergy]]&lt;$AA$6,SeismicData[[#This Row],[genergy]]&gt;$AA$5),"Outlier","Normal")</f>
        <v>Outlier</v>
      </c>
    </row>
    <row r="704" spans="1:24" x14ac:dyDescent="0.15">
      <c r="A704">
        <v>703</v>
      </c>
      <c r="B704" t="s">
        <v>23</v>
      </c>
      <c r="C704" t="s">
        <v>20</v>
      </c>
      <c r="D704" t="s">
        <v>22</v>
      </c>
      <c r="E704">
        <v>195950</v>
      </c>
      <c r="F704">
        <v>1913</v>
      </c>
      <c r="G704">
        <v>38</v>
      </c>
      <c r="H704">
        <v>40</v>
      </c>
      <c r="I704" t="s">
        <v>20</v>
      </c>
      <c r="J704">
        <v>4</v>
      </c>
      <c r="K704">
        <v>3</v>
      </c>
      <c r="L704">
        <v>1</v>
      </c>
      <c r="M704">
        <v>0</v>
      </c>
      <c r="N704">
        <v>0</v>
      </c>
      <c r="O704">
        <v>0</v>
      </c>
      <c r="P704">
        <v>0</v>
      </c>
      <c r="Q704">
        <v>0</v>
      </c>
      <c r="R704">
        <v>2700</v>
      </c>
      <c r="S704">
        <v>1000</v>
      </c>
      <c r="T704">
        <v>0</v>
      </c>
      <c r="U704" t="str">
        <f>IF(SeismicData[[#This Row],[class]]=1,"Dangerous","Safe")</f>
        <v>Safe</v>
      </c>
      <c r="V704" t="str">
        <f>IF(SeismicData[[#This Row],[shift]]="W","Production","Non-Production")</f>
        <v>Production</v>
      </c>
      <c r="W704" t="str">
        <f>IF(SeismicData[[#This Row],[genergy]]=0,"0","10^"&amp;INT(LOG10(SeismicData[[#This Row],[genergy]])))</f>
        <v>10^5</v>
      </c>
      <c r="X704" t="str">
        <f>IF(OR(SeismicData[[#This Row],[genergy]]&lt;$AA$6,SeismicData[[#This Row],[genergy]]&gt;$AA$5),"Outlier","Normal")</f>
        <v>Outlier</v>
      </c>
    </row>
    <row r="705" spans="1:24" x14ac:dyDescent="0.15">
      <c r="A705">
        <v>704</v>
      </c>
      <c r="B705" t="s">
        <v>23</v>
      </c>
      <c r="C705" t="s">
        <v>20</v>
      </c>
      <c r="D705" t="s">
        <v>22</v>
      </c>
      <c r="E705">
        <v>117120</v>
      </c>
      <c r="F705">
        <v>1095</v>
      </c>
      <c r="G705">
        <v>-22</v>
      </c>
      <c r="H705">
        <v>-24</v>
      </c>
      <c r="I705" t="s">
        <v>20</v>
      </c>
      <c r="J705">
        <v>3</v>
      </c>
      <c r="K705">
        <v>2</v>
      </c>
      <c r="L705">
        <v>1</v>
      </c>
      <c r="M705">
        <v>0</v>
      </c>
      <c r="N705">
        <v>0</v>
      </c>
      <c r="O705">
        <v>0</v>
      </c>
      <c r="P705">
        <v>0</v>
      </c>
      <c r="Q705">
        <v>0</v>
      </c>
      <c r="R705">
        <v>5700</v>
      </c>
      <c r="S705">
        <v>4000</v>
      </c>
      <c r="T705">
        <v>0</v>
      </c>
      <c r="U705" t="str">
        <f>IF(SeismicData[[#This Row],[class]]=1,"Dangerous","Safe")</f>
        <v>Safe</v>
      </c>
      <c r="V705" t="str">
        <f>IF(SeismicData[[#This Row],[shift]]="W","Production","Non-Production")</f>
        <v>Production</v>
      </c>
      <c r="W705" t="str">
        <f>IF(SeismicData[[#This Row],[genergy]]=0,"0","10^"&amp;INT(LOG10(SeismicData[[#This Row],[genergy]])))</f>
        <v>10^5</v>
      </c>
      <c r="X705" t="str">
        <f>IF(OR(SeismicData[[#This Row],[genergy]]&lt;$AA$6,SeismicData[[#This Row],[genergy]]&gt;$AA$5),"Outlier","Normal")</f>
        <v>Outlier</v>
      </c>
    </row>
    <row r="706" spans="1:24" x14ac:dyDescent="0.15">
      <c r="A706">
        <v>705</v>
      </c>
      <c r="B706" t="s">
        <v>20</v>
      </c>
      <c r="C706" t="s">
        <v>23</v>
      </c>
      <c r="D706" t="s">
        <v>22</v>
      </c>
      <c r="E706">
        <v>273200</v>
      </c>
      <c r="F706">
        <v>2387</v>
      </c>
      <c r="G706">
        <v>89</v>
      </c>
      <c r="H706">
        <v>71</v>
      </c>
      <c r="I706" t="s">
        <v>20</v>
      </c>
      <c r="J706">
        <v>2</v>
      </c>
      <c r="K706">
        <v>1</v>
      </c>
      <c r="L706">
        <v>1</v>
      </c>
      <c r="M706">
        <v>0</v>
      </c>
      <c r="N706">
        <v>0</v>
      </c>
      <c r="O706">
        <v>0</v>
      </c>
      <c r="P706">
        <v>0</v>
      </c>
      <c r="Q706">
        <v>0</v>
      </c>
      <c r="R706">
        <v>3400</v>
      </c>
      <c r="S706">
        <v>3000</v>
      </c>
      <c r="T706">
        <v>0</v>
      </c>
      <c r="U706" t="str">
        <f>IF(SeismicData[[#This Row],[class]]=1,"Dangerous","Safe")</f>
        <v>Safe</v>
      </c>
      <c r="V706" t="str">
        <f>IF(SeismicData[[#This Row],[shift]]="W","Production","Non-Production")</f>
        <v>Production</v>
      </c>
      <c r="W706" t="str">
        <f>IF(SeismicData[[#This Row],[genergy]]=0,"0","10^"&amp;INT(LOG10(SeismicData[[#This Row],[genergy]])))</f>
        <v>10^5</v>
      </c>
      <c r="X706" t="str">
        <f>IF(OR(SeismicData[[#This Row],[genergy]]&lt;$AA$6,SeismicData[[#This Row],[genergy]]&gt;$AA$5),"Outlier","Normal")</f>
        <v>Outlier</v>
      </c>
    </row>
    <row r="707" spans="1:24" x14ac:dyDescent="0.15">
      <c r="A707">
        <v>706</v>
      </c>
      <c r="B707" t="s">
        <v>20</v>
      </c>
      <c r="C707" t="s">
        <v>23</v>
      </c>
      <c r="D707" t="s">
        <v>22</v>
      </c>
      <c r="E707">
        <v>121400</v>
      </c>
      <c r="F707">
        <v>1063</v>
      </c>
      <c r="G707">
        <v>-23</v>
      </c>
      <c r="H707">
        <v>-29</v>
      </c>
      <c r="I707" t="s">
        <v>20</v>
      </c>
      <c r="J707">
        <v>2</v>
      </c>
      <c r="K707">
        <v>0</v>
      </c>
      <c r="L707">
        <v>2</v>
      </c>
      <c r="M707">
        <v>0</v>
      </c>
      <c r="N707">
        <v>0</v>
      </c>
      <c r="O707">
        <v>0</v>
      </c>
      <c r="P707">
        <v>0</v>
      </c>
      <c r="Q707">
        <v>0</v>
      </c>
      <c r="R707">
        <v>8000</v>
      </c>
      <c r="S707">
        <v>6000</v>
      </c>
      <c r="T707">
        <v>0</v>
      </c>
      <c r="U707" t="str">
        <f>IF(SeismicData[[#This Row],[class]]=1,"Dangerous","Safe")</f>
        <v>Safe</v>
      </c>
      <c r="V707" t="str">
        <f>IF(SeismicData[[#This Row],[shift]]="W","Production","Non-Production")</f>
        <v>Production</v>
      </c>
      <c r="W707" t="str">
        <f>IF(SeismicData[[#This Row],[genergy]]=0,"0","10^"&amp;INT(LOG10(SeismicData[[#This Row],[genergy]])))</f>
        <v>10^5</v>
      </c>
      <c r="X707" t="str">
        <f>IF(OR(SeismicData[[#This Row],[genergy]]&lt;$AA$6,SeismicData[[#This Row],[genergy]]&gt;$AA$5),"Outlier","Normal")</f>
        <v>Outlier</v>
      </c>
    </row>
    <row r="708" spans="1:24" x14ac:dyDescent="0.15">
      <c r="A708">
        <v>707</v>
      </c>
      <c r="B708" t="s">
        <v>20</v>
      </c>
      <c r="C708" t="s">
        <v>23</v>
      </c>
      <c r="D708" t="s">
        <v>22</v>
      </c>
      <c r="E708">
        <v>200350</v>
      </c>
      <c r="F708">
        <v>1668</v>
      </c>
      <c r="G708">
        <v>43</v>
      </c>
      <c r="H708">
        <v>24</v>
      </c>
      <c r="I708" t="s">
        <v>20</v>
      </c>
      <c r="J708">
        <v>0</v>
      </c>
      <c r="K708">
        <v>0</v>
      </c>
      <c r="L708">
        <v>0</v>
      </c>
      <c r="M708">
        <v>0</v>
      </c>
      <c r="N708">
        <v>0</v>
      </c>
      <c r="O708">
        <v>0</v>
      </c>
      <c r="P708">
        <v>0</v>
      </c>
      <c r="Q708">
        <v>0</v>
      </c>
      <c r="R708">
        <v>0</v>
      </c>
      <c r="S708">
        <v>0</v>
      </c>
      <c r="T708">
        <v>0</v>
      </c>
      <c r="U708" t="str">
        <f>IF(SeismicData[[#This Row],[class]]=1,"Dangerous","Safe")</f>
        <v>Safe</v>
      </c>
      <c r="V708" t="str">
        <f>IF(SeismicData[[#This Row],[shift]]="W","Production","Non-Production")</f>
        <v>Production</v>
      </c>
      <c r="W708" t="str">
        <f>IF(SeismicData[[#This Row],[genergy]]=0,"0","10^"&amp;INT(LOG10(SeismicData[[#This Row],[genergy]])))</f>
        <v>10^5</v>
      </c>
      <c r="X708" t="str">
        <f>IF(OR(SeismicData[[#This Row],[genergy]]&lt;$AA$6,SeismicData[[#This Row],[genergy]]&gt;$AA$5),"Outlier","Normal")</f>
        <v>Outlier</v>
      </c>
    </row>
    <row r="709" spans="1:24" x14ac:dyDescent="0.15">
      <c r="A709">
        <v>708</v>
      </c>
      <c r="B709" t="s">
        <v>20</v>
      </c>
      <c r="C709" t="s">
        <v>20</v>
      </c>
      <c r="D709" t="s">
        <v>22</v>
      </c>
      <c r="E709">
        <v>130940</v>
      </c>
      <c r="F709">
        <v>1397</v>
      </c>
      <c r="G709">
        <v>-14</v>
      </c>
      <c r="H709">
        <v>-2</v>
      </c>
      <c r="I709" t="s">
        <v>20</v>
      </c>
      <c r="J709">
        <v>1</v>
      </c>
      <c r="K709">
        <v>0</v>
      </c>
      <c r="L709">
        <v>1</v>
      </c>
      <c r="M709">
        <v>0</v>
      </c>
      <c r="N709">
        <v>0</v>
      </c>
      <c r="O709">
        <v>0</v>
      </c>
      <c r="P709">
        <v>0</v>
      </c>
      <c r="Q709">
        <v>0</v>
      </c>
      <c r="R709">
        <v>2000</v>
      </c>
      <c r="S709">
        <v>2000</v>
      </c>
      <c r="T709">
        <v>0</v>
      </c>
      <c r="U709" t="str">
        <f>IF(SeismicData[[#This Row],[class]]=1,"Dangerous","Safe")</f>
        <v>Safe</v>
      </c>
      <c r="V709" t="str">
        <f>IF(SeismicData[[#This Row],[shift]]="W","Production","Non-Production")</f>
        <v>Production</v>
      </c>
      <c r="W709" t="str">
        <f>IF(SeismicData[[#This Row],[genergy]]=0,"0","10^"&amp;INT(LOG10(SeismicData[[#This Row],[genergy]])))</f>
        <v>10^5</v>
      </c>
      <c r="X709" t="str">
        <f>IF(OR(SeismicData[[#This Row],[genergy]]&lt;$AA$6,SeismicData[[#This Row],[genergy]]&gt;$AA$5),"Outlier","Normal")</f>
        <v>Outlier</v>
      </c>
    </row>
    <row r="710" spans="1:24" x14ac:dyDescent="0.15">
      <c r="A710">
        <v>709</v>
      </c>
      <c r="B710" t="s">
        <v>20</v>
      </c>
      <c r="C710" t="s">
        <v>20</v>
      </c>
      <c r="D710" t="s">
        <v>21</v>
      </c>
      <c r="E710">
        <v>38450</v>
      </c>
      <c r="F710">
        <v>343</v>
      </c>
      <c r="G710">
        <v>26</v>
      </c>
      <c r="H710">
        <v>85</v>
      </c>
      <c r="I710" t="s">
        <v>20</v>
      </c>
      <c r="J710">
        <v>1</v>
      </c>
      <c r="K710">
        <v>0</v>
      </c>
      <c r="L710">
        <v>1</v>
      </c>
      <c r="M710">
        <v>0</v>
      </c>
      <c r="N710">
        <v>0</v>
      </c>
      <c r="O710">
        <v>0</v>
      </c>
      <c r="P710">
        <v>0</v>
      </c>
      <c r="Q710">
        <v>0</v>
      </c>
      <c r="R710">
        <v>1000</v>
      </c>
      <c r="S710">
        <v>1000</v>
      </c>
      <c r="T710">
        <v>0</v>
      </c>
      <c r="U710" t="str">
        <f>IF(SeismicData[[#This Row],[class]]=1,"Dangerous","Safe")</f>
        <v>Safe</v>
      </c>
      <c r="V710" t="str">
        <f>IF(SeismicData[[#This Row],[shift]]="W","Production","Non-Production")</f>
        <v>Non-Production</v>
      </c>
      <c r="W710" t="str">
        <f>IF(SeismicData[[#This Row],[genergy]]=0,"0","10^"&amp;INT(LOG10(SeismicData[[#This Row],[genergy]])))</f>
        <v>10^4</v>
      </c>
      <c r="X710" t="str">
        <f>IF(OR(SeismicData[[#This Row],[genergy]]&lt;$AA$6,SeismicData[[#This Row],[genergy]]&gt;$AA$5),"Outlier","Normal")</f>
        <v>Normal</v>
      </c>
    </row>
    <row r="711" spans="1:24" x14ac:dyDescent="0.15">
      <c r="A711">
        <v>710</v>
      </c>
      <c r="B711" t="s">
        <v>20</v>
      </c>
      <c r="C711" t="s">
        <v>20</v>
      </c>
      <c r="D711" t="s">
        <v>21</v>
      </c>
      <c r="E711">
        <v>12490</v>
      </c>
      <c r="F711">
        <v>122</v>
      </c>
      <c r="G711">
        <v>-59</v>
      </c>
      <c r="H711">
        <v>-39</v>
      </c>
      <c r="I711" t="s">
        <v>20</v>
      </c>
      <c r="J711">
        <v>1</v>
      </c>
      <c r="K711">
        <v>1</v>
      </c>
      <c r="L711">
        <v>0</v>
      </c>
      <c r="M711">
        <v>0</v>
      </c>
      <c r="N711">
        <v>0</v>
      </c>
      <c r="O711">
        <v>0</v>
      </c>
      <c r="P711">
        <v>0</v>
      </c>
      <c r="Q711">
        <v>0</v>
      </c>
      <c r="R711">
        <v>700</v>
      </c>
      <c r="S711">
        <v>700</v>
      </c>
      <c r="T711">
        <v>1</v>
      </c>
      <c r="U711" t="str">
        <f>IF(SeismicData[[#This Row],[class]]=1,"Dangerous","Safe")</f>
        <v>Dangerous</v>
      </c>
      <c r="V711" t="str">
        <f>IF(SeismicData[[#This Row],[shift]]="W","Production","Non-Production")</f>
        <v>Non-Production</v>
      </c>
      <c r="W711" t="str">
        <f>IF(SeismicData[[#This Row],[genergy]]=0,"0","10^"&amp;INT(LOG10(SeismicData[[#This Row],[genergy]])))</f>
        <v>10^4</v>
      </c>
      <c r="X711" t="str">
        <f>IF(OR(SeismicData[[#This Row],[genergy]]&lt;$AA$6,SeismicData[[#This Row],[genergy]]&gt;$AA$5),"Outlier","Normal")</f>
        <v>Normal</v>
      </c>
    </row>
    <row r="712" spans="1:24" x14ac:dyDescent="0.15">
      <c r="A712">
        <v>711</v>
      </c>
      <c r="B712" t="s">
        <v>23</v>
      </c>
      <c r="C712" t="s">
        <v>20</v>
      </c>
      <c r="D712" t="s">
        <v>21</v>
      </c>
      <c r="E712">
        <v>12380</v>
      </c>
      <c r="F712">
        <v>126</v>
      </c>
      <c r="G712">
        <v>-56</v>
      </c>
      <c r="H712">
        <v>-35</v>
      </c>
      <c r="I712" t="s">
        <v>20</v>
      </c>
      <c r="J712">
        <v>1</v>
      </c>
      <c r="K712">
        <v>0</v>
      </c>
      <c r="L712">
        <v>0</v>
      </c>
      <c r="M712">
        <v>1</v>
      </c>
      <c r="N712">
        <v>0</v>
      </c>
      <c r="O712">
        <v>0</v>
      </c>
      <c r="P712">
        <v>0</v>
      </c>
      <c r="Q712">
        <v>0</v>
      </c>
      <c r="R712">
        <v>70000</v>
      </c>
      <c r="S712">
        <v>70000</v>
      </c>
      <c r="T712">
        <v>0</v>
      </c>
      <c r="U712" t="str">
        <f>IF(SeismicData[[#This Row],[class]]=1,"Dangerous","Safe")</f>
        <v>Safe</v>
      </c>
      <c r="V712" t="str">
        <f>IF(SeismicData[[#This Row],[shift]]="W","Production","Non-Production")</f>
        <v>Non-Production</v>
      </c>
      <c r="W712" t="str">
        <f>IF(SeismicData[[#This Row],[genergy]]=0,"0","10^"&amp;INT(LOG10(SeismicData[[#This Row],[genergy]])))</f>
        <v>10^4</v>
      </c>
      <c r="X712" t="str">
        <f>IF(OR(SeismicData[[#This Row],[genergy]]&lt;$AA$6,SeismicData[[#This Row],[genergy]]&gt;$AA$5),"Outlier","Normal")</f>
        <v>Normal</v>
      </c>
    </row>
    <row r="713" spans="1:24" x14ac:dyDescent="0.15">
      <c r="A713">
        <v>712</v>
      </c>
      <c r="B713" t="s">
        <v>23</v>
      </c>
      <c r="C713" t="s">
        <v>20</v>
      </c>
      <c r="D713" t="s">
        <v>21</v>
      </c>
      <c r="E713">
        <v>12150</v>
      </c>
      <c r="F713">
        <v>118</v>
      </c>
      <c r="G713">
        <v>-52</v>
      </c>
      <c r="H713">
        <v>-36</v>
      </c>
      <c r="I713" t="s">
        <v>20</v>
      </c>
      <c r="J713">
        <v>1</v>
      </c>
      <c r="K713">
        <v>0</v>
      </c>
      <c r="L713">
        <v>1</v>
      </c>
      <c r="M713">
        <v>0</v>
      </c>
      <c r="N713">
        <v>0</v>
      </c>
      <c r="O713">
        <v>0</v>
      </c>
      <c r="P713">
        <v>0</v>
      </c>
      <c r="Q713">
        <v>0</v>
      </c>
      <c r="R713">
        <v>3000</v>
      </c>
      <c r="S713">
        <v>3000</v>
      </c>
      <c r="T713">
        <v>0</v>
      </c>
      <c r="U713" t="str">
        <f>IF(SeismicData[[#This Row],[class]]=1,"Dangerous","Safe")</f>
        <v>Safe</v>
      </c>
      <c r="V713" t="str">
        <f>IF(SeismicData[[#This Row],[shift]]="W","Production","Non-Production")</f>
        <v>Non-Production</v>
      </c>
      <c r="W713" t="str">
        <f>IF(SeismicData[[#This Row],[genergy]]=0,"0","10^"&amp;INT(LOG10(SeismicData[[#This Row],[genergy]])))</f>
        <v>10^4</v>
      </c>
      <c r="X713" t="str">
        <f>IF(OR(SeismicData[[#This Row],[genergy]]&lt;$AA$6,SeismicData[[#This Row],[genergy]]&gt;$AA$5),"Outlier","Normal")</f>
        <v>Normal</v>
      </c>
    </row>
    <row r="714" spans="1:24" x14ac:dyDescent="0.15">
      <c r="A714">
        <v>713</v>
      </c>
      <c r="B714" t="s">
        <v>23</v>
      </c>
      <c r="C714" t="s">
        <v>20</v>
      </c>
      <c r="D714" t="s">
        <v>22</v>
      </c>
      <c r="E714">
        <v>166220</v>
      </c>
      <c r="F714">
        <v>1762</v>
      </c>
      <c r="G714">
        <v>7</v>
      </c>
      <c r="H714">
        <v>20</v>
      </c>
      <c r="I714" t="s">
        <v>20</v>
      </c>
      <c r="J714">
        <v>0</v>
      </c>
      <c r="K714">
        <v>0</v>
      </c>
      <c r="L714">
        <v>0</v>
      </c>
      <c r="M714">
        <v>0</v>
      </c>
      <c r="N714">
        <v>0</v>
      </c>
      <c r="O714">
        <v>0</v>
      </c>
      <c r="P714">
        <v>0</v>
      </c>
      <c r="Q714">
        <v>0</v>
      </c>
      <c r="R714">
        <v>0</v>
      </c>
      <c r="S714">
        <v>0</v>
      </c>
      <c r="T714">
        <v>1</v>
      </c>
      <c r="U714" t="str">
        <f>IF(SeismicData[[#This Row],[class]]=1,"Dangerous","Safe")</f>
        <v>Dangerous</v>
      </c>
      <c r="V714" t="str">
        <f>IF(SeismicData[[#This Row],[shift]]="W","Production","Non-Production")</f>
        <v>Production</v>
      </c>
      <c r="W714" t="str">
        <f>IF(SeismicData[[#This Row],[genergy]]=0,"0","10^"&amp;INT(LOG10(SeismicData[[#This Row],[genergy]])))</f>
        <v>10^5</v>
      </c>
      <c r="X714" t="str">
        <f>IF(OR(SeismicData[[#This Row],[genergy]]&lt;$AA$6,SeismicData[[#This Row],[genergy]]&gt;$AA$5),"Outlier","Normal")</f>
        <v>Outlier</v>
      </c>
    </row>
    <row r="715" spans="1:24" x14ac:dyDescent="0.15">
      <c r="A715">
        <v>714</v>
      </c>
      <c r="B715" t="s">
        <v>23</v>
      </c>
      <c r="C715" t="s">
        <v>20</v>
      </c>
      <c r="D715" t="s">
        <v>22</v>
      </c>
      <c r="E715">
        <v>265250</v>
      </c>
      <c r="F715">
        <v>2852</v>
      </c>
      <c r="G715">
        <v>64</v>
      </c>
      <c r="H715">
        <v>84</v>
      </c>
      <c r="I715" t="s">
        <v>20</v>
      </c>
      <c r="J715">
        <v>2</v>
      </c>
      <c r="K715">
        <v>0</v>
      </c>
      <c r="L715">
        <v>1</v>
      </c>
      <c r="M715">
        <v>1</v>
      </c>
      <c r="N715">
        <v>0</v>
      </c>
      <c r="O715">
        <v>0</v>
      </c>
      <c r="P715">
        <v>0</v>
      </c>
      <c r="Q715">
        <v>0</v>
      </c>
      <c r="R715">
        <v>23000</v>
      </c>
      <c r="S715">
        <v>20000</v>
      </c>
      <c r="T715">
        <v>0</v>
      </c>
      <c r="U715" t="str">
        <f>IF(SeismicData[[#This Row],[class]]=1,"Dangerous","Safe")</f>
        <v>Safe</v>
      </c>
      <c r="V715" t="str">
        <f>IF(SeismicData[[#This Row],[shift]]="W","Production","Non-Production")</f>
        <v>Production</v>
      </c>
      <c r="W715" t="str">
        <f>IF(SeismicData[[#This Row],[genergy]]=0,"0","10^"&amp;INT(LOG10(SeismicData[[#This Row],[genergy]])))</f>
        <v>10^5</v>
      </c>
      <c r="X715" t="str">
        <f>IF(OR(SeismicData[[#This Row],[genergy]]&lt;$AA$6,SeismicData[[#This Row],[genergy]]&gt;$AA$5),"Outlier","Normal")</f>
        <v>Outlier</v>
      </c>
    </row>
    <row r="716" spans="1:24" x14ac:dyDescent="0.15">
      <c r="A716">
        <v>715</v>
      </c>
      <c r="B716" t="s">
        <v>23</v>
      </c>
      <c r="C716" t="s">
        <v>20</v>
      </c>
      <c r="D716" t="s">
        <v>22</v>
      </c>
      <c r="E716">
        <v>162190</v>
      </c>
      <c r="F716">
        <v>1702</v>
      </c>
      <c r="G716">
        <v>-7</v>
      </c>
      <c r="H716">
        <v>0</v>
      </c>
      <c r="I716" t="s">
        <v>20</v>
      </c>
      <c r="J716">
        <v>0</v>
      </c>
      <c r="K716">
        <v>0</v>
      </c>
      <c r="L716">
        <v>0</v>
      </c>
      <c r="M716">
        <v>0</v>
      </c>
      <c r="N716">
        <v>0</v>
      </c>
      <c r="O716">
        <v>0</v>
      </c>
      <c r="P716">
        <v>0</v>
      </c>
      <c r="Q716">
        <v>0</v>
      </c>
      <c r="R716">
        <v>0</v>
      </c>
      <c r="S716">
        <v>0</v>
      </c>
      <c r="T716">
        <v>0</v>
      </c>
      <c r="U716" t="str">
        <f>IF(SeismicData[[#This Row],[class]]=1,"Dangerous","Safe")</f>
        <v>Safe</v>
      </c>
      <c r="V716" t="str">
        <f>IF(SeismicData[[#This Row],[shift]]="W","Production","Non-Production")</f>
        <v>Production</v>
      </c>
      <c r="W716" t="str">
        <f>IF(SeismicData[[#This Row],[genergy]]=0,"0","10^"&amp;INT(LOG10(SeismicData[[#This Row],[genergy]])))</f>
        <v>10^5</v>
      </c>
      <c r="X716" t="str">
        <f>IF(OR(SeismicData[[#This Row],[genergy]]&lt;$AA$6,SeismicData[[#This Row],[genergy]]&gt;$AA$5),"Outlier","Normal")</f>
        <v>Outlier</v>
      </c>
    </row>
    <row r="717" spans="1:24" x14ac:dyDescent="0.15">
      <c r="A717">
        <v>716</v>
      </c>
      <c r="B717" t="s">
        <v>23</v>
      </c>
      <c r="C717" t="s">
        <v>20</v>
      </c>
      <c r="D717" t="s">
        <v>22</v>
      </c>
      <c r="E717">
        <v>127010</v>
      </c>
      <c r="F717">
        <v>1388</v>
      </c>
      <c r="G717">
        <v>-30</v>
      </c>
      <c r="H717">
        <v>-22</v>
      </c>
      <c r="I717" t="s">
        <v>20</v>
      </c>
      <c r="J717">
        <v>3</v>
      </c>
      <c r="K717">
        <v>0</v>
      </c>
      <c r="L717">
        <v>3</v>
      </c>
      <c r="M717">
        <v>0</v>
      </c>
      <c r="N717">
        <v>0</v>
      </c>
      <c r="O717">
        <v>0</v>
      </c>
      <c r="P717">
        <v>0</v>
      </c>
      <c r="Q717">
        <v>0</v>
      </c>
      <c r="R717">
        <v>9000</v>
      </c>
      <c r="S717">
        <v>5000</v>
      </c>
      <c r="T717">
        <v>1</v>
      </c>
      <c r="U717" t="str">
        <f>IF(SeismicData[[#This Row],[class]]=1,"Dangerous","Safe")</f>
        <v>Dangerous</v>
      </c>
      <c r="V717" t="str">
        <f>IF(SeismicData[[#This Row],[shift]]="W","Production","Non-Production")</f>
        <v>Production</v>
      </c>
      <c r="W717" t="str">
        <f>IF(SeismicData[[#This Row],[genergy]]=0,"0","10^"&amp;INT(LOG10(SeismicData[[#This Row],[genergy]])))</f>
        <v>10^5</v>
      </c>
      <c r="X717" t="str">
        <f>IF(OR(SeismicData[[#This Row],[genergy]]&lt;$AA$6,SeismicData[[#This Row],[genergy]]&gt;$AA$5),"Outlier","Normal")</f>
        <v>Outlier</v>
      </c>
    </row>
    <row r="718" spans="1:24" x14ac:dyDescent="0.15">
      <c r="A718">
        <v>717</v>
      </c>
      <c r="B718" t="s">
        <v>23</v>
      </c>
      <c r="C718" t="s">
        <v>20</v>
      </c>
      <c r="D718" t="s">
        <v>22</v>
      </c>
      <c r="E718">
        <v>229070</v>
      </c>
      <c r="F718">
        <v>2597</v>
      </c>
      <c r="G718">
        <v>30</v>
      </c>
      <c r="H718">
        <v>51</v>
      </c>
      <c r="I718" t="s">
        <v>20</v>
      </c>
      <c r="J718">
        <v>2</v>
      </c>
      <c r="K718">
        <v>0</v>
      </c>
      <c r="L718">
        <v>0</v>
      </c>
      <c r="M718">
        <v>2</v>
      </c>
      <c r="N718">
        <v>0</v>
      </c>
      <c r="O718">
        <v>0</v>
      </c>
      <c r="P718">
        <v>0</v>
      </c>
      <c r="Q718">
        <v>0</v>
      </c>
      <c r="R718">
        <v>100000</v>
      </c>
      <c r="S718">
        <v>80000</v>
      </c>
      <c r="T718">
        <v>0</v>
      </c>
      <c r="U718" t="str">
        <f>IF(SeismicData[[#This Row],[class]]=1,"Dangerous","Safe")</f>
        <v>Safe</v>
      </c>
      <c r="V718" t="str">
        <f>IF(SeismicData[[#This Row],[shift]]="W","Production","Non-Production")</f>
        <v>Production</v>
      </c>
      <c r="W718" t="str">
        <f>IF(SeismicData[[#This Row],[genergy]]=0,"0","10^"&amp;INT(LOG10(SeismicData[[#This Row],[genergy]])))</f>
        <v>10^5</v>
      </c>
      <c r="X718" t="str">
        <f>IF(OR(SeismicData[[#This Row],[genergy]]&lt;$AA$6,SeismicData[[#This Row],[genergy]]&gt;$AA$5),"Outlier","Normal")</f>
        <v>Outlier</v>
      </c>
    </row>
    <row r="719" spans="1:24" x14ac:dyDescent="0.15">
      <c r="A719">
        <v>718</v>
      </c>
      <c r="B719" t="s">
        <v>23</v>
      </c>
      <c r="C719" t="s">
        <v>20</v>
      </c>
      <c r="D719" t="s">
        <v>22</v>
      </c>
      <c r="E719">
        <v>167100</v>
      </c>
      <c r="F719">
        <v>1690</v>
      </c>
      <c r="G719">
        <v>-7</v>
      </c>
      <c r="H719">
        <v>-6</v>
      </c>
      <c r="I719" t="s">
        <v>20</v>
      </c>
      <c r="J719">
        <v>1</v>
      </c>
      <c r="K719">
        <v>0</v>
      </c>
      <c r="L719">
        <v>1</v>
      </c>
      <c r="M719">
        <v>0</v>
      </c>
      <c r="N719">
        <v>0</v>
      </c>
      <c r="O719">
        <v>0</v>
      </c>
      <c r="P719">
        <v>0</v>
      </c>
      <c r="Q719">
        <v>0</v>
      </c>
      <c r="R719">
        <v>7000</v>
      </c>
      <c r="S719">
        <v>7000</v>
      </c>
      <c r="T719">
        <v>1</v>
      </c>
      <c r="U719" t="str">
        <f>IF(SeismicData[[#This Row],[class]]=1,"Dangerous","Safe")</f>
        <v>Dangerous</v>
      </c>
      <c r="V719" t="str">
        <f>IF(SeismicData[[#This Row],[shift]]="W","Production","Non-Production")</f>
        <v>Production</v>
      </c>
      <c r="W719" t="str">
        <f>IF(SeismicData[[#This Row],[genergy]]=0,"0","10^"&amp;INT(LOG10(SeismicData[[#This Row],[genergy]])))</f>
        <v>10^5</v>
      </c>
      <c r="X719" t="str">
        <f>IF(OR(SeismicData[[#This Row],[genergy]]&lt;$AA$6,SeismicData[[#This Row],[genergy]]&gt;$AA$5),"Outlier","Normal")</f>
        <v>Outlier</v>
      </c>
    </row>
    <row r="720" spans="1:24" x14ac:dyDescent="0.15">
      <c r="A720">
        <v>719</v>
      </c>
      <c r="B720" t="s">
        <v>23</v>
      </c>
      <c r="C720" t="s">
        <v>20</v>
      </c>
      <c r="D720" t="s">
        <v>22</v>
      </c>
      <c r="E720">
        <v>132470</v>
      </c>
      <c r="F720">
        <v>1552</v>
      </c>
      <c r="G720">
        <v>-28</v>
      </c>
      <c r="H720">
        <v>-16</v>
      </c>
      <c r="I720" t="s">
        <v>20</v>
      </c>
      <c r="J720">
        <v>5</v>
      </c>
      <c r="K720">
        <v>2</v>
      </c>
      <c r="L720">
        <v>2</v>
      </c>
      <c r="M720">
        <v>1</v>
      </c>
      <c r="N720">
        <v>0</v>
      </c>
      <c r="O720">
        <v>0</v>
      </c>
      <c r="P720">
        <v>0</v>
      </c>
      <c r="Q720">
        <v>0</v>
      </c>
      <c r="R720">
        <v>54800</v>
      </c>
      <c r="S720">
        <v>50000</v>
      </c>
      <c r="T720">
        <v>0</v>
      </c>
      <c r="U720" t="str">
        <f>IF(SeismicData[[#This Row],[class]]=1,"Dangerous","Safe")</f>
        <v>Safe</v>
      </c>
      <c r="V720" t="str">
        <f>IF(SeismicData[[#This Row],[shift]]="W","Production","Non-Production")</f>
        <v>Production</v>
      </c>
      <c r="W720" t="str">
        <f>IF(SeismicData[[#This Row],[genergy]]=0,"0","10^"&amp;INT(LOG10(SeismicData[[#This Row],[genergy]])))</f>
        <v>10^5</v>
      </c>
      <c r="X720" t="str">
        <f>IF(OR(SeismicData[[#This Row],[genergy]]&lt;$AA$6,SeismicData[[#This Row],[genergy]]&gt;$AA$5),"Outlier","Normal")</f>
        <v>Outlier</v>
      </c>
    </row>
    <row r="721" spans="1:24" x14ac:dyDescent="0.15">
      <c r="A721">
        <v>720</v>
      </c>
      <c r="B721" t="s">
        <v>23</v>
      </c>
      <c r="C721" t="s">
        <v>20</v>
      </c>
      <c r="D721" t="s">
        <v>22</v>
      </c>
      <c r="E721">
        <v>254750</v>
      </c>
      <c r="F721">
        <v>2932</v>
      </c>
      <c r="G721">
        <v>50</v>
      </c>
      <c r="H721">
        <v>66</v>
      </c>
      <c r="I721" t="s">
        <v>20</v>
      </c>
      <c r="J721">
        <v>1</v>
      </c>
      <c r="K721">
        <v>0</v>
      </c>
      <c r="L721">
        <v>1</v>
      </c>
      <c r="M721">
        <v>0</v>
      </c>
      <c r="N721">
        <v>0</v>
      </c>
      <c r="O721">
        <v>0</v>
      </c>
      <c r="P721">
        <v>0</v>
      </c>
      <c r="Q721">
        <v>0</v>
      </c>
      <c r="R721">
        <v>2000</v>
      </c>
      <c r="S721">
        <v>2000</v>
      </c>
      <c r="T721">
        <v>1</v>
      </c>
      <c r="U721" t="str">
        <f>IF(SeismicData[[#This Row],[class]]=1,"Dangerous","Safe")</f>
        <v>Dangerous</v>
      </c>
      <c r="V721" t="str">
        <f>IF(SeismicData[[#This Row],[shift]]="W","Production","Non-Production")</f>
        <v>Production</v>
      </c>
      <c r="W721" t="str">
        <f>IF(SeismicData[[#This Row],[genergy]]=0,"0","10^"&amp;INT(LOG10(SeismicData[[#This Row],[genergy]])))</f>
        <v>10^5</v>
      </c>
      <c r="X721" t="str">
        <f>IF(OR(SeismicData[[#This Row],[genergy]]&lt;$AA$6,SeismicData[[#This Row],[genergy]]&gt;$AA$5),"Outlier","Normal")</f>
        <v>Outlier</v>
      </c>
    </row>
    <row r="722" spans="1:24" x14ac:dyDescent="0.15">
      <c r="A722">
        <v>721</v>
      </c>
      <c r="B722" t="s">
        <v>23</v>
      </c>
      <c r="C722" t="s">
        <v>20</v>
      </c>
      <c r="D722" t="s">
        <v>22</v>
      </c>
      <c r="E722">
        <v>151210</v>
      </c>
      <c r="F722">
        <v>1727</v>
      </c>
      <c r="G722">
        <v>-18</v>
      </c>
      <c r="H722">
        <v>-12</v>
      </c>
      <c r="I722" t="s">
        <v>20</v>
      </c>
      <c r="J722">
        <v>4</v>
      </c>
      <c r="K722">
        <v>1</v>
      </c>
      <c r="L722">
        <v>2</v>
      </c>
      <c r="M722">
        <v>1</v>
      </c>
      <c r="N722">
        <v>0</v>
      </c>
      <c r="O722">
        <v>0</v>
      </c>
      <c r="P722">
        <v>0</v>
      </c>
      <c r="Q722">
        <v>0</v>
      </c>
      <c r="R722">
        <v>31800</v>
      </c>
      <c r="S722">
        <v>20000</v>
      </c>
      <c r="T722">
        <v>0</v>
      </c>
      <c r="U722" t="str">
        <f>IF(SeismicData[[#This Row],[class]]=1,"Dangerous","Safe")</f>
        <v>Safe</v>
      </c>
      <c r="V722" t="str">
        <f>IF(SeismicData[[#This Row],[shift]]="W","Production","Non-Production")</f>
        <v>Production</v>
      </c>
      <c r="W722" t="str">
        <f>IF(SeismicData[[#This Row],[genergy]]=0,"0","10^"&amp;INT(LOG10(SeismicData[[#This Row],[genergy]])))</f>
        <v>10^5</v>
      </c>
      <c r="X722" t="str">
        <f>IF(OR(SeismicData[[#This Row],[genergy]]&lt;$AA$6,SeismicData[[#This Row],[genergy]]&gt;$AA$5),"Outlier","Normal")</f>
        <v>Outlier</v>
      </c>
    </row>
    <row r="723" spans="1:24" x14ac:dyDescent="0.15">
      <c r="A723">
        <v>722</v>
      </c>
      <c r="B723" t="s">
        <v>23</v>
      </c>
      <c r="C723" t="s">
        <v>20</v>
      </c>
      <c r="D723" t="s">
        <v>22</v>
      </c>
      <c r="E723">
        <v>118110</v>
      </c>
      <c r="F723">
        <v>1660</v>
      </c>
      <c r="G723">
        <v>-34</v>
      </c>
      <c r="H723">
        <v>-15</v>
      </c>
      <c r="I723" t="s">
        <v>20</v>
      </c>
      <c r="J723">
        <v>1</v>
      </c>
      <c r="K723">
        <v>0</v>
      </c>
      <c r="L723">
        <v>1</v>
      </c>
      <c r="M723">
        <v>0</v>
      </c>
      <c r="N723">
        <v>0</v>
      </c>
      <c r="O723">
        <v>0</v>
      </c>
      <c r="P723">
        <v>0</v>
      </c>
      <c r="Q723">
        <v>0</v>
      </c>
      <c r="R723">
        <v>2000</v>
      </c>
      <c r="S723">
        <v>2000</v>
      </c>
      <c r="T723">
        <v>1</v>
      </c>
      <c r="U723" t="str">
        <f>IF(SeismicData[[#This Row],[class]]=1,"Dangerous","Safe")</f>
        <v>Dangerous</v>
      </c>
      <c r="V723" t="str">
        <f>IF(SeismicData[[#This Row],[shift]]="W","Production","Non-Production")</f>
        <v>Production</v>
      </c>
      <c r="W723" t="str">
        <f>IF(SeismicData[[#This Row],[genergy]]=0,"0","10^"&amp;INT(LOG10(SeismicData[[#This Row],[genergy]])))</f>
        <v>10^5</v>
      </c>
      <c r="X723" t="str">
        <f>IF(OR(SeismicData[[#This Row],[genergy]]&lt;$AA$6,SeismicData[[#This Row],[genergy]]&gt;$AA$5),"Outlier","Normal")</f>
        <v>Outlier</v>
      </c>
    </row>
    <row r="724" spans="1:24" x14ac:dyDescent="0.15">
      <c r="A724">
        <v>723</v>
      </c>
      <c r="B724" t="s">
        <v>23</v>
      </c>
      <c r="C724" t="s">
        <v>20</v>
      </c>
      <c r="D724" t="s">
        <v>22</v>
      </c>
      <c r="E724">
        <v>118120</v>
      </c>
      <c r="F724">
        <v>1716</v>
      </c>
      <c r="G724">
        <v>-33</v>
      </c>
      <c r="H724">
        <v>-14</v>
      </c>
      <c r="I724" t="s">
        <v>20</v>
      </c>
      <c r="J724">
        <v>1</v>
      </c>
      <c r="K724">
        <v>0</v>
      </c>
      <c r="L724">
        <v>0</v>
      </c>
      <c r="M724">
        <v>1</v>
      </c>
      <c r="N724">
        <v>0</v>
      </c>
      <c r="O724">
        <v>0</v>
      </c>
      <c r="P724">
        <v>0</v>
      </c>
      <c r="Q724">
        <v>0</v>
      </c>
      <c r="R724">
        <v>20000</v>
      </c>
      <c r="S724">
        <v>20000</v>
      </c>
      <c r="T724">
        <v>0</v>
      </c>
      <c r="U724" t="str">
        <f>IF(SeismicData[[#This Row],[class]]=1,"Dangerous","Safe")</f>
        <v>Safe</v>
      </c>
      <c r="V724" t="str">
        <f>IF(SeismicData[[#This Row],[shift]]="W","Production","Non-Production")</f>
        <v>Production</v>
      </c>
      <c r="W724" t="str">
        <f>IF(SeismicData[[#This Row],[genergy]]=0,"0","10^"&amp;INT(LOG10(SeismicData[[#This Row],[genergy]])))</f>
        <v>10^5</v>
      </c>
      <c r="X724" t="str">
        <f>IF(OR(SeismicData[[#This Row],[genergy]]&lt;$AA$6,SeismicData[[#This Row],[genergy]]&gt;$AA$5),"Outlier","Normal")</f>
        <v>Outlier</v>
      </c>
    </row>
    <row r="725" spans="1:24" x14ac:dyDescent="0.15">
      <c r="A725">
        <v>724</v>
      </c>
      <c r="B725" t="s">
        <v>23</v>
      </c>
      <c r="C725" t="s">
        <v>20</v>
      </c>
      <c r="D725" t="s">
        <v>22</v>
      </c>
      <c r="E725">
        <v>185910</v>
      </c>
      <c r="F725">
        <v>2451</v>
      </c>
      <c r="G725">
        <v>8</v>
      </c>
      <c r="H725">
        <v>24</v>
      </c>
      <c r="I725" t="s">
        <v>20</v>
      </c>
      <c r="J725">
        <v>8</v>
      </c>
      <c r="K725">
        <v>4</v>
      </c>
      <c r="L725">
        <v>4</v>
      </c>
      <c r="M725">
        <v>0</v>
      </c>
      <c r="N725">
        <v>0</v>
      </c>
      <c r="O725">
        <v>0</v>
      </c>
      <c r="P725">
        <v>0</v>
      </c>
      <c r="Q725">
        <v>0</v>
      </c>
      <c r="R725">
        <v>11300</v>
      </c>
      <c r="S725">
        <v>4000</v>
      </c>
      <c r="T725">
        <v>0</v>
      </c>
      <c r="U725" t="str">
        <f>IF(SeismicData[[#This Row],[class]]=1,"Dangerous","Safe")</f>
        <v>Safe</v>
      </c>
      <c r="V725" t="str">
        <f>IF(SeismicData[[#This Row],[shift]]="W","Production","Non-Production")</f>
        <v>Production</v>
      </c>
      <c r="W725" t="str">
        <f>IF(SeismicData[[#This Row],[genergy]]=0,"0","10^"&amp;INT(LOG10(SeismicData[[#This Row],[genergy]])))</f>
        <v>10^5</v>
      </c>
      <c r="X725" t="str">
        <f>IF(OR(SeismicData[[#This Row],[genergy]]&lt;$AA$6,SeismicData[[#This Row],[genergy]]&gt;$AA$5),"Outlier","Normal")</f>
        <v>Outlier</v>
      </c>
    </row>
    <row r="726" spans="1:24" x14ac:dyDescent="0.15">
      <c r="A726">
        <v>725</v>
      </c>
      <c r="B726" t="s">
        <v>23</v>
      </c>
      <c r="C726" t="s">
        <v>20</v>
      </c>
      <c r="D726" t="s">
        <v>22</v>
      </c>
      <c r="E726">
        <v>197590</v>
      </c>
      <c r="F726">
        <v>2804</v>
      </c>
      <c r="G726">
        <v>20</v>
      </c>
      <c r="H726">
        <v>44</v>
      </c>
      <c r="I726" t="s">
        <v>20</v>
      </c>
      <c r="J726">
        <v>8</v>
      </c>
      <c r="K726">
        <v>8</v>
      </c>
      <c r="L726">
        <v>0</v>
      </c>
      <c r="M726">
        <v>0</v>
      </c>
      <c r="N726">
        <v>0</v>
      </c>
      <c r="O726">
        <v>0</v>
      </c>
      <c r="P726">
        <v>0</v>
      </c>
      <c r="Q726">
        <v>0</v>
      </c>
      <c r="R726">
        <v>4700</v>
      </c>
      <c r="S726">
        <v>800</v>
      </c>
      <c r="T726">
        <v>0</v>
      </c>
      <c r="U726" t="str">
        <f>IF(SeismicData[[#This Row],[class]]=1,"Dangerous","Safe")</f>
        <v>Safe</v>
      </c>
      <c r="V726" t="str">
        <f>IF(SeismicData[[#This Row],[shift]]="W","Production","Non-Production")</f>
        <v>Production</v>
      </c>
      <c r="W726" t="str">
        <f>IF(SeismicData[[#This Row],[genergy]]=0,"0","10^"&amp;INT(LOG10(SeismicData[[#This Row],[genergy]])))</f>
        <v>10^5</v>
      </c>
      <c r="X726" t="str">
        <f>IF(OR(SeismicData[[#This Row],[genergy]]&lt;$AA$6,SeismicData[[#This Row],[genergy]]&gt;$AA$5),"Outlier","Normal")</f>
        <v>Outlier</v>
      </c>
    </row>
    <row r="727" spans="1:24" x14ac:dyDescent="0.15">
      <c r="A727">
        <v>726</v>
      </c>
      <c r="B727" t="s">
        <v>20</v>
      </c>
      <c r="C727" t="s">
        <v>20</v>
      </c>
      <c r="D727" t="s">
        <v>21</v>
      </c>
      <c r="E727">
        <v>26780</v>
      </c>
      <c r="F727">
        <v>345</v>
      </c>
      <c r="G727">
        <v>18</v>
      </c>
      <c r="H727">
        <v>94</v>
      </c>
      <c r="I727" t="s">
        <v>20</v>
      </c>
      <c r="J727">
        <v>0</v>
      </c>
      <c r="K727">
        <v>0</v>
      </c>
      <c r="L727">
        <v>0</v>
      </c>
      <c r="M727">
        <v>0</v>
      </c>
      <c r="N727">
        <v>0</v>
      </c>
      <c r="O727">
        <v>0</v>
      </c>
      <c r="P727">
        <v>0</v>
      </c>
      <c r="Q727">
        <v>0</v>
      </c>
      <c r="R727">
        <v>0</v>
      </c>
      <c r="S727">
        <v>0</v>
      </c>
      <c r="T727">
        <v>0</v>
      </c>
      <c r="U727" t="str">
        <f>IF(SeismicData[[#This Row],[class]]=1,"Dangerous","Safe")</f>
        <v>Safe</v>
      </c>
      <c r="V727" t="str">
        <f>IF(SeismicData[[#This Row],[shift]]="W","Production","Non-Production")</f>
        <v>Non-Production</v>
      </c>
      <c r="W727" t="str">
        <f>IF(SeismicData[[#This Row],[genergy]]=0,"0","10^"&amp;INT(LOG10(SeismicData[[#This Row],[genergy]])))</f>
        <v>10^4</v>
      </c>
      <c r="X727" t="str">
        <f>IF(OR(SeismicData[[#This Row],[genergy]]&lt;$AA$6,SeismicData[[#This Row],[genergy]]&gt;$AA$5),"Outlier","Normal")</f>
        <v>Normal</v>
      </c>
    </row>
    <row r="728" spans="1:24" x14ac:dyDescent="0.15">
      <c r="A728">
        <v>727</v>
      </c>
      <c r="B728" t="s">
        <v>20</v>
      </c>
      <c r="C728" t="s">
        <v>20</v>
      </c>
      <c r="D728" t="s">
        <v>21</v>
      </c>
      <c r="E728">
        <v>9670</v>
      </c>
      <c r="F728">
        <v>186</v>
      </c>
      <c r="G728">
        <v>-59</v>
      </c>
      <c r="H728">
        <v>-7</v>
      </c>
      <c r="I728" t="s">
        <v>20</v>
      </c>
      <c r="J728">
        <v>0</v>
      </c>
      <c r="K728">
        <v>0</v>
      </c>
      <c r="L728">
        <v>0</v>
      </c>
      <c r="M728">
        <v>0</v>
      </c>
      <c r="N728">
        <v>0</v>
      </c>
      <c r="O728">
        <v>0</v>
      </c>
      <c r="P728">
        <v>0</v>
      </c>
      <c r="Q728">
        <v>0</v>
      </c>
      <c r="R728">
        <v>0</v>
      </c>
      <c r="S728">
        <v>0</v>
      </c>
      <c r="T728">
        <v>0</v>
      </c>
      <c r="U728" t="str">
        <f>IF(SeismicData[[#This Row],[class]]=1,"Dangerous","Safe")</f>
        <v>Safe</v>
      </c>
      <c r="V728" t="str">
        <f>IF(SeismicData[[#This Row],[shift]]="W","Production","Non-Production")</f>
        <v>Non-Production</v>
      </c>
      <c r="W728" t="str">
        <f>IF(SeismicData[[#This Row],[genergy]]=0,"0","10^"&amp;INT(LOG10(SeismicData[[#This Row],[genergy]])))</f>
        <v>10^3</v>
      </c>
      <c r="X728" t="str">
        <f>IF(OR(SeismicData[[#This Row],[genergy]]&lt;$AA$6,SeismicData[[#This Row],[genergy]]&gt;$AA$5),"Outlier","Normal")</f>
        <v>Normal</v>
      </c>
    </row>
    <row r="729" spans="1:24" x14ac:dyDescent="0.15">
      <c r="A729">
        <v>728</v>
      </c>
      <c r="B729" t="s">
        <v>20</v>
      </c>
      <c r="C729" t="s">
        <v>20</v>
      </c>
      <c r="D729" t="s">
        <v>21</v>
      </c>
      <c r="E729">
        <v>9980</v>
      </c>
      <c r="F729">
        <v>170</v>
      </c>
      <c r="G729">
        <v>-54</v>
      </c>
      <c r="H729">
        <v>-13</v>
      </c>
      <c r="I729" t="s">
        <v>20</v>
      </c>
      <c r="J729">
        <v>1</v>
      </c>
      <c r="K729">
        <v>0</v>
      </c>
      <c r="L729">
        <v>1</v>
      </c>
      <c r="M729">
        <v>0</v>
      </c>
      <c r="N729">
        <v>0</v>
      </c>
      <c r="O729">
        <v>0</v>
      </c>
      <c r="P729">
        <v>0</v>
      </c>
      <c r="Q729">
        <v>0</v>
      </c>
      <c r="R729">
        <v>1000</v>
      </c>
      <c r="S729">
        <v>1000</v>
      </c>
      <c r="T729">
        <v>0</v>
      </c>
      <c r="U729" t="str">
        <f>IF(SeismicData[[#This Row],[class]]=1,"Dangerous","Safe")</f>
        <v>Safe</v>
      </c>
      <c r="V729" t="str">
        <f>IF(SeismicData[[#This Row],[shift]]="W","Production","Non-Production")</f>
        <v>Non-Production</v>
      </c>
      <c r="W729" t="str">
        <f>IF(SeismicData[[#This Row],[genergy]]=0,"0","10^"&amp;INT(LOG10(SeismicData[[#This Row],[genergy]])))</f>
        <v>10^3</v>
      </c>
      <c r="X729" t="str">
        <f>IF(OR(SeismicData[[#This Row],[genergy]]&lt;$AA$6,SeismicData[[#This Row],[genergy]]&gt;$AA$5),"Outlier","Normal")</f>
        <v>Normal</v>
      </c>
    </row>
    <row r="730" spans="1:24" x14ac:dyDescent="0.15">
      <c r="A730">
        <v>729</v>
      </c>
      <c r="B730" t="s">
        <v>20</v>
      </c>
      <c r="C730" t="s">
        <v>20</v>
      </c>
      <c r="D730" t="s">
        <v>21</v>
      </c>
      <c r="E730">
        <v>8760</v>
      </c>
      <c r="F730">
        <v>133</v>
      </c>
      <c r="G730">
        <v>-59</v>
      </c>
      <c r="H730">
        <v>-33</v>
      </c>
      <c r="I730" t="s">
        <v>20</v>
      </c>
      <c r="J730">
        <v>1</v>
      </c>
      <c r="K730">
        <v>1</v>
      </c>
      <c r="L730">
        <v>0</v>
      </c>
      <c r="M730">
        <v>0</v>
      </c>
      <c r="N730">
        <v>0</v>
      </c>
      <c r="O730">
        <v>0</v>
      </c>
      <c r="P730">
        <v>0</v>
      </c>
      <c r="Q730">
        <v>0</v>
      </c>
      <c r="R730">
        <v>600</v>
      </c>
      <c r="S730">
        <v>600</v>
      </c>
      <c r="T730">
        <v>0</v>
      </c>
      <c r="U730" t="str">
        <f>IF(SeismicData[[#This Row],[class]]=1,"Dangerous","Safe")</f>
        <v>Safe</v>
      </c>
      <c r="V730" t="str">
        <f>IF(SeismicData[[#This Row],[shift]]="W","Production","Non-Production")</f>
        <v>Non-Production</v>
      </c>
      <c r="W730" t="str">
        <f>IF(SeismicData[[#This Row],[genergy]]=0,"0","10^"&amp;INT(LOG10(SeismicData[[#This Row],[genergy]])))</f>
        <v>10^3</v>
      </c>
      <c r="X730" t="str">
        <f>IF(OR(SeismicData[[#This Row],[genergy]]&lt;$AA$6,SeismicData[[#This Row],[genergy]]&gt;$AA$5),"Outlier","Normal")</f>
        <v>Normal</v>
      </c>
    </row>
    <row r="731" spans="1:24" x14ac:dyDescent="0.15">
      <c r="A731">
        <v>730</v>
      </c>
      <c r="B731" t="s">
        <v>20</v>
      </c>
      <c r="C731" t="s">
        <v>20</v>
      </c>
      <c r="D731" t="s">
        <v>21</v>
      </c>
      <c r="E731">
        <v>7370</v>
      </c>
      <c r="F731">
        <v>110</v>
      </c>
      <c r="G731">
        <v>-63</v>
      </c>
      <c r="H731">
        <v>-46</v>
      </c>
      <c r="I731" t="s">
        <v>20</v>
      </c>
      <c r="J731">
        <v>0</v>
      </c>
      <c r="K731">
        <v>0</v>
      </c>
      <c r="L731">
        <v>0</v>
      </c>
      <c r="M731">
        <v>0</v>
      </c>
      <c r="N731">
        <v>0</v>
      </c>
      <c r="O731">
        <v>0</v>
      </c>
      <c r="P731">
        <v>0</v>
      </c>
      <c r="Q731">
        <v>0</v>
      </c>
      <c r="R731">
        <v>0</v>
      </c>
      <c r="S731">
        <v>0</v>
      </c>
      <c r="T731">
        <v>0</v>
      </c>
      <c r="U731" t="str">
        <f>IF(SeismicData[[#This Row],[class]]=1,"Dangerous","Safe")</f>
        <v>Safe</v>
      </c>
      <c r="V731" t="str">
        <f>IF(SeismicData[[#This Row],[shift]]="W","Production","Non-Production")</f>
        <v>Non-Production</v>
      </c>
      <c r="W731" t="str">
        <f>IF(SeismicData[[#This Row],[genergy]]=0,"0","10^"&amp;INT(LOG10(SeismicData[[#This Row],[genergy]])))</f>
        <v>10^3</v>
      </c>
      <c r="X731" t="str">
        <f>IF(OR(SeismicData[[#This Row],[genergy]]&lt;$AA$6,SeismicData[[#This Row],[genergy]]&gt;$AA$5),"Outlier","Normal")</f>
        <v>Normal</v>
      </c>
    </row>
    <row r="732" spans="1:24" x14ac:dyDescent="0.15">
      <c r="A732">
        <v>731</v>
      </c>
      <c r="B732" t="s">
        <v>20</v>
      </c>
      <c r="C732" t="s">
        <v>20</v>
      </c>
      <c r="D732" t="s">
        <v>21</v>
      </c>
      <c r="E732">
        <v>4580</v>
      </c>
      <c r="F732">
        <v>91</v>
      </c>
      <c r="G732">
        <v>-72</v>
      </c>
      <c r="H732">
        <v>-50</v>
      </c>
      <c r="I732" t="s">
        <v>20</v>
      </c>
      <c r="J732">
        <v>1</v>
      </c>
      <c r="K732">
        <v>0</v>
      </c>
      <c r="L732">
        <v>1</v>
      </c>
      <c r="M732">
        <v>0</v>
      </c>
      <c r="N732">
        <v>0</v>
      </c>
      <c r="O732">
        <v>0</v>
      </c>
      <c r="P732">
        <v>0</v>
      </c>
      <c r="Q732">
        <v>0</v>
      </c>
      <c r="R732">
        <v>1000</v>
      </c>
      <c r="S732">
        <v>1000</v>
      </c>
      <c r="T732">
        <v>0</v>
      </c>
      <c r="U732" t="str">
        <f>IF(SeismicData[[#This Row],[class]]=1,"Dangerous","Safe")</f>
        <v>Safe</v>
      </c>
      <c r="V732" t="str">
        <f>IF(SeismicData[[#This Row],[shift]]="W","Production","Non-Production")</f>
        <v>Non-Production</v>
      </c>
      <c r="W732" t="str">
        <f>IF(SeismicData[[#This Row],[genergy]]=0,"0","10^"&amp;INT(LOG10(SeismicData[[#This Row],[genergy]])))</f>
        <v>10^3</v>
      </c>
      <c r="X732" t="str">
        <f>IF(OR(SeismicData[[#This Row],[genergy]]&lt;$AA$6,SeismicData[[#This Row],[genergy]]&gt;$AA$5),"Outlier","Normal")</f>
        <v>Normal</v>
      </c>
    </row>
    <row r="733" spans="1:24" x14ac:dyDescent="0.15">
      <c r="A733">
        <v>732</v>
      </c>
      <c r="B733" t="s">
        <v>20</v>
      </c>
      <c r="C733" t="s">
        <v>20</v>
      </c>
      <c r="D733" t="s">
        <v>21</v>
      </c>
      <c r="E733">
        <v>4610</v>
      </c>
      <c r="F733">
        <v>78</v>
      </c>
      <c r="G733">
        <v>-68</v>
      </c>
      <c r="H733">
        <v>-55</v>
      </c>
      <c r="I733" t="s">
        <v>20</v>
      </c>
      <c r="J733">
        <v>0</v>
      </c>
      <c r="K733">
        <v>0</v>
      </c>
      <c r="L733">
        <v>0</v>
      </c>
      <c r="M733">
        <v>0</v>
      </c>
      <c r="N733">
        <v>0</v>
      </c>
      <c r="O733">
        <v>0</v>
      </c>
      <c r="P733">
        <v>0</v>
      </c>
      <c r="Q733">
        <v>0</v>
      </c>
      <c r="R733">
        <v>0</v>
      </c>
      <c r="S733">
        <v>0</v>
      </c>
      <c r="T733">
        <v>0</v>
      </c>
      <c r="U733" t="str">
        <f>IF(SeismicData[[#This Row],[class]]=1,"Dangerous","Safe")</f>
        <v>Safe</v>
      </c>
      <c r="V733" t="str">
        <f>IF(SeismicData[[#This Row],[shift]]="W","Production","Non-Production")</f>
        <v>Non-Production</v>
      </c>
      <c r="W733" t="str">
        <f>IF(SeismicData[[#This Row],[genergy]]=0,"0","10^"&amp;INT(LOG10(SeismicData[[#This Row],[genergy]])))</f>
        <v>10^3</v>
      </c>
      <c r="X733" t="str">
        <f>IF(OR(SeismicData[[#This Row],[genergy]]&lt;$AA$6,SeismicData[[#This Row],[genergy]]&gt;$AA$5),"Outlier","Normal")</f>
        <v>Normal</v>
      </c>
    </row>
    <row r="734" spans="1:24" x14ac:dyDescent="0.15">
      <c r="A734">
        <v>733</v>
      </c>
      <c r="B734" t="s">
        <v>20</v>
      </c>
      <c r="C734" t="s">
        <v>20</v>
      </c>
      <c r="D734" t="s">
        <v>21</v>
      </c>
      <c r="E734">
        <v>6040</v>
      </c>
      <c r="F734">
        <v>112</v>
      </c>
      <c r="G734">
        <v>-44</v>
      </c>
      <c r="H734">
        <v>-24</v>
      </c>
      <c r="I734" t="s">
        <v>20</v>
      </c>
      <c r="J734">
        <v>2</v>
      </c>
      <c r="K734">
        <v>1</v>
      </c>
      <c r="L734">
        <v>1</v>
      </c>
      <c r="M734">
        <v>0</v>
      </c>
      <c r="N734">
        <v>0</v>
      </c>
      <c r="O734">
        <v>0</v>
      </c>
      <c r="P734">
        <v>0</v>
      </c>
      <c r="Q734">
        <v>0</v>
      </c>
      <c r="R734">
        <v>2400</v>
      </c>
      <c r="S734">
        <v>2000</v>
      </c>
      <c r="T734">
        <v>1</v>
      </c>
      <c r="U734" t="str">
        <f>IF(SeismicData[[#This Row],[class]]=1,"Dangerous","Safe")</f>
        <v>Dangerous</v>
      </c>
      <c r="V734" t="str">
        <f>IF(SeismicData[[#This Row],[shift]]="W","Production","Non-Production")</f>
        <v>Non-Production</v>
      </c>
      <c r="W734" t="str">
        <f>IF(SeismicData[[#This Row],[genergy]]=0,"0","10^"&amp;INT(LOG10(SeismicData[[#This Row],[genergy]])))</f>
        <v>10^3</v>
      </c>
      <c r="X734" t="str">
        <f>IF(OR(SeismicData[[#This Row],[genergy]]&lt;$AA$6,SeismicData[[#This Row],[genergy]]&gt;$AA$5),"Outlier","Normal")</f>
        <v>Normal</v>
      </c>
    </row>
    <row r="735" spans="1:24" x14ac:dyDescent="0.15">
      <c r="A735">
        <v>734</v>
      </c>
      <c r="B735" t="s">
        <v>23</v>
      </c>
      <c r="C735" t="s">
        <v>20</v>
      </c>
      <c r="D735" t="s">
        <v>22</v>
      </c>
      <c r="E735">
        <v>68920</v>
      </c>
      <c r="F735">
        <v>1004</v>
      </c>
      <c r="G735">
        <v>-59</v>
      </c>
      <c r="H735">
        <v>-51</v>
      </c>
      <c r="I735" t="s">
        <v>20</v>
      </c>
      <c r="J735">
        <v>3</v>
      </c>
      <c r="K735">
        <v>0</v>
      </c>
      <c r="L735">
        <v>2</v>
      </c>
      <c r="M735">
        <v>1</v>
      </c>
      <c r="N735">
        <v>0</v>
      </c>
      <c r="O735">
        <v>0</v>
      </c>
      <c r="P735">
        <v>0</v>
      </c>
      <c r="Q735">
        <v>0</v>
      </c>
      <c r="R735">
        <v>66000</v>
      </c>
      <c r="S735">
        <v>60000</v>
      </c>
      <c r="T735">
        <v>0</v>
      </c>
      <c r="U735" t="str">
        <f>IF(SeismicData[[#This Row],[class]]=1,"Dangerous","Safe")</f>
        <v>Safe</v>
      </c>
      <c r="V735" t="str">
        <f>IF(SeismicData[[#This Row],[shift]]="W","Production","Non-Production")</f>
        <v>Production</v>
      </c>
      <c r="W735" t="str">
        <f>IF(SeismicData[[#This Row],[genergy]]=0,"0","10^"&amp;INT(LOG10(SeismicData[[#This Row],[genergy]])))</f>
        <v>10^4</v>
      </c>
      <c r="X735" t="str">
        <f>IF(OR(SeismicData[[#This Row],[genergy]]&lt;$AA$6,SeismicData[[#This Row],[genergy]]&gt;$AA$5),"Outlier","Normal")</f>
        <v>Normal</v>
      </c>
    </row>
    <row r="736" spans="1:24" x14ac:dyDescent="0.15">
      <c r="A736">
        <v>735</v>
      </c>
      <c r="B736" t="s">
        <v>23</v>
      </c>
      <c r="C736" t="s">
        <v>20</v>
      </c>
      <c r="D736" t="s">
        <v>22</v>
      </c>
      <c r="E736">
        <v>134870</v>
      </c>
      <c r="F736">
        <v>2096</v>
      </c>
      <c r="G736">
        <v>-17</v>
      </c>
      <c r="H736">
        <v>4</v>
      </c>
      <c r="I736" t="s">
        <v>20</v>
      </c>
      <c r="J736">
        <v>4</v>
      </c>
      <c r="K736">
        <v>2</v>
      </c>
      <c r="L736">
        <v>2</v>
      </c>
      <c r="M736">
        <v>0</v>
      </c>
      <c r="N736">
        <v>0</v>
      </c>
      <c r="O736">
        <v>0</v>
      </c>
      <c r="P736">
        <v>0</v>
      </c>
      <c r="Q736">
        <v>0</v>
      </c>
      <c r="R736">
        <v>5100</v>
      </c>
      <c r="S736">
        <v>3000</v>
      </c>
      <c r="T736">
        <v>0</v>
      </c>
      <c r="U736" t="str">
        <f>IF(SeismicData[[#This Row],[class]]=1,"Dangerous","Safe")</f>
        <v>Safe</v>
      </c>
      <c r="V736" t="str">
        <f>IF(SeismicData[[#This Row],[shift]]="W","Production","Non-Production")</f>
        <v>Production</v>
      </c>
      <c r="W736" t="str">
        <f>IF(SeismicData[[#This Row],[genergy]]=0,"0","10^"&amp;INT(LOG10(SeismicData[[#This Row],[genergy]])))</f>
        <v>10^5</v>
      </c>
      <c r="X736" t="str">
        <f>IF(OR(SeismicData[[#This Row],[genergy]]&lt;$AA$6,SeismicData[[#This Row],[genergy]]&gt;$AA$5),"Outlier","Normal")</f>
        <v>Outlier</v>
      </c>
    </row>
    <row r="737" spans="1:24" x14ac:dyDescent="0.15">
      <c r="A737">
        <v>736</v>
      </c>
      <c r="B737" t="s">
        <v>23</v>
      </c>
      <c r="C737" t="s">
        <v>20</v>
      </c>
      <c r="D737" t="s">
        <v>22</v>
      </c>
      <c r="E737">
        <v>71650</v>
      </c>
      <c r="F737">
        <v>1173</v>
      </c>
      <c r="G737">
        <v>-53</v>
      </c>
      <c r="H737">
        <v>-40</v>
      </c>
      <c r="I737" t="s">
        <v>20</v>
      </c>
      <c r="J737">
        <v>1</v>
      </c>
      <c r="K737">
        <v>0</v>
      </c>
      <c r="L737">
        <v>1</v>
      </c>
      <c r="M737">
        <v>0</v>
      </c>
      <c r="N737">
        <v>0</v>
      </c>
      <c r="O737">
        <v>0</v>
      </c>
      <c r="P737">
        <v>0</v>
      </c>
      <c r="Q737">
        <v>0</v>
      </c>
      <c r="R737">
        <v>7000</v>
      </c>
      <c r="S737">
        <v>7000</v>
      </c>
      <c r="T737">
        <v>0</v>
      </c>
      <c r="U737" t="str">
        <f>IF(SeismicData[[#This Row],[class]]=1,"Dangerous","Safe")</f>
        <v>Safe</v>
      </c>
      <c r="V737" t="str">
        <f>IF(SeismicData[[#This Row],[shift]]="W","Production","Non-Production")</f>
        <v>Production</v>
      </c>
      <c r="W737" t="str">
        <f>IF(SeismicData[[#This Row],[genergy]]=0,"0","10^"&amp;INT(LOG10(SeismicData[[#This Row],[genergy]])))</f>
        <v>10^4</v>
      </c>
      <c r="X737" t="str">
        <f>IF(OR(SeismicData[[#This Row],[genergy]]&lt;$AA$6,SeismicData[[#This Row],[genergy]]&gt;$AA$5),"Outlier","Normal")</f>
        <v>Normal</v>
      </c>
    </row>
    <row r="738" spans="1:24" x14ac:dyDescent="0.15">
      <c r="A738">
        <v>737</v>
      </c>
      <c r="B738" t="s">
        <v>20</v>
      </c>
      <c r="C738" t="s">
        <v>20</v>
      </c>
      <c r="D738" t="s">
        <v>22</v>
      </c>
      <c r="E738">
        <v>159910</v>
      </c>
      <c r="F738">
        <v>2345</v>
      </c>
      <c r="G738">
        <v>12</v>
      </c>
      <c r="H738">
        <v>23</v>
      </c>
      <c r="I738" t="s">
        <v>20</v>
      </c>
      <c r="J738">
        <v>3</v>
      </c>
      <c r="K738">
        <v>1</v>
      </c>
      <c r="L738">
        <v>2</v>
      </c>
      <c r="M738">
        <v>0</v>
      </c>
      <c r="N738">
        <v>0</v>
      </c>
      <c r="O738">
        <v>0</v>
      </c>
      <c r="P738">
        <v>0</v>
      </c>
      <c r="Q738">
        <v>0</v>
      </c>
      <c r="R738">
        <v>4400</v>
      </c>
      <c r="S738">
        <v>3000</v>
      </c>
      <c r="T738">
        <v>0</v>
      </c>
      <c r="U738" t="str">
        <f>IF(SeismicData[[#This Row],[class]]=1,"Dangerous","Safe")</f>
        <v>Safe</v>
      </c>
      <c r="V738" t="str">
        <f>IF(SeismicData[[#This Row],[shift]]="W","Production","Non-Production")</f>
        <v>Production</v>
      </c>
      <c r="W738" t="str">
        <f>IF(SeismicData[[#This Row],[genergy]]=0,"0","10^"&amp;INT(LOG10(SeismicData[[#This Row],[genergy]])))</f>
        <v>10^5</v>
      </c>
      <c r="X738" t="str">
        <f>IF(OR(SeismicData[[#This Row],[genergy]]&lt;$AA$6,SeismicData[[#This Row],[genergy]]&gt;$AA$5),"Outlier","Normal")</f>
        <v>Outlier</v>
      </c>
    </row>
    <row r="739" spans="1:24" x14ac:dyDescent="0.15">
      <c r="A739">
        <v>738</v>
      </c>
      <c r="B739" t="s">
        <v>20</v>
      </c>
      <c r="C739" t="s">
        <v>20</v>
      </c>
      <c r="D739" t="s">
        <v>22</v>
      </c>
      <c r="E739">
        <v>172530</v>
      </c>
      <c r="F739">
        <v>2873</v>
      </c>
      <c r="G739">
        <v>18</v>
      </c>
      <c r="H739">
        <v>44</v>
      </c>
      <c r="I739" t="s">
        <v>20</v>
      </c>
      <c r="J739">
        <v>3</v>
      </c>
      <c r="K739">
        <v>2</v>
      </c>
      <c r="L739">
        <v>1</v>
      </c>
      <c r="M739">
        <v>0</v>
      </c>
      <c r="N739">
        <v>0</v>
      </c>
      <c r="O739">
        <v>0</v>
      </c>
      <c r="P739">
        <v>0</v>
      </c>
      <c r="Q739">
        <v>0</v>
      </c>
      <c r="R739">
        <v>2300</v>
      </c>
      <c r="S739">
        <v>1000</v>
      </c>
      <c r="T739">
        <v>0</v>
      </c>
      <c r="U739" t="str">
        <f>IF(SeismicData[[#This Row],[class]]=1,"Dangerous","Safe")</f>
        <v>Safe</v>
      </c>
      <c r="V739" t="str">
        <f>IF(SeismicData[[#This Row],[shift]]="W","Production","Non-Production")</f>
        <v>Production</v>
      </c>
      <c r="W739" t="str">
        <f>IF(SeismicData[[#This Row],[genergy]]=0,"0","10^"&amp;INT(LOG10(SeismicData[[#This Row],[genergy]])))</f>
        <v>10^5</v>
      </c>
      <c r="X739" t="str">
        <f>IF(OR(SeismicData[[#This Row],[genergy]]&lt;$AA$6,SeismicData[[#This Row],[genergy]]&gt;$AA$5),"Outlier","Normal")</f>
        <v>Outlier</v>
      </c>
    </row>
    <row r="740" spans="1:24" x14ac:dyDescent="0.15">
      <c r="A740">
        <v>739</v>
      </c>
      <c r="B740" t="s">
        <v>20</v>
      </c>
      <c r="C740" t="s">
        <v>20</v>
      </c>
      <c r="D740" t="s">
        <v>22</v>
      </c>
      <c r="E740">
        <v>93120</v>
      </c>
      <c r="F740">
        <v>1238</v>
      </c>
      <c r="G740">
        <v>-32</v>
      </c>
      <c r="H740">
        <v>-38</v>
      </c>
      <c r="I740" t="s">
        <v>20</v>
      </c>
      <c r="J740">
        <v>1</v>
      </c>
      <c r="K740">
        <v>0</v>
      </c>
      <c r="L740">
        <v>1</v>
      </c>
      <c r="M740">
        <v>0</v>
      </c>
      <c r="N740">
        <v>0</v>
      </c>
      <c r="O740">
        <v>0</v>
      </c>
      <c r="P740">
        <v>0</v>
      </c>
      <c r="Q740">
        <v>0</v>
      </c>
      <c r="R740">
        <v>2000</v>
      </c>
      <c r="S740">
        <v>2000</v>
      </c>
      <c r="T740">
        <v>0</v>
      </c>
      <c r="U740" t="str">
        <f>IF(SeismicData[[#This Row],[class]]=1,"Dangerous","Safe")</f>
        <v>Safe</v>
      </c>
      <c r="V740" t="str">
        <f>IF(SeismicData[[#This Row],[shift]]="W","Production","Non-Production")</f>
        <v>Production</v>
      </c>
      <c r="W740" t="str">
        <f>IF(SeismicData[[#This Row],[genergy]]=0,"0","10^"&amp;INT(LOG10(SeismicData[[#This Row],[genergy]])))</f>
        <v>10^4</v>
      </c>
      <c r="X740" t="str">
        <f>IF(OR(SeismicData[[#This Row],[genergy]]&lt;$AA$6,SeismicData[[#This Row],[genergy]]&gt;$AA$5),"Outlier","Normal")</f>
        <v>Normal</v>
      </c>
    </row>
    <row r="741" spans="1:24" x14ac:dyDescent="0.15">
      <c r="A741">
        <v>740</v>
      </c>
      <c r="B741" t="s">
        <v>20</v>
      </c>
      <c r="C741" t="s">
        <v>20</v>
      </c>
      <c r="D741" t="s">
        <v>22</v>
      </c>
      <c r="E741">
        <v>27830</v>
      </c>
      <c r="F741">
        <v>190</v>
      </c>
      <c r="G741">
        <v>-79</v>
      </c>
      <c r="H741">
        <v>-90</v>
      </c>
      <c r="I741" t="s">
        <v>20</v>
      </c>
      <c r="J741">
        <v>4</v>
      </c>
      <c r="K741">
        <v>0</v>
      </c>
      <c r="L741">
        <v>4</v>
      </c>
      <c r="M741">
        <v>0</v>
      </c>
      <c r="N741">
        <v>0</v>
      </c>
      <c r="O741">
        <v>0</v>
      </c>
      <c r="P741">
        <v>0</v>
      </c>
      <c r="Q741">
        <v>0</v>
      </c>
      <c r="R741">
        <v>19000</v>
      </c>
      <c r="S741">
        <v>8000</v>
      </c>
      <c r="T741">
        <v>0</v>
      </c>
      <c r="U741" t="str">
        <f>IF(SeismicData[[#This Row],[class]]=1,"Dangerous","Safe")</f>
        <v>Safe</v>
      </c>
      <c r="V741" t="str">
        <f>IF(SeismicData[[#This Row],[shift]]="W","Production","Non-Production")</f>
        <v>Production</v>
      </c>
      <c r="W741" t="str">
        <f>IF(SeismicData[[#This Row],[genergy]]=0,"0","10^"&amp;INT(LOG10(SeismicData[[#This Row],[genergy]])))</f>
        <v>10^4</v>
      </c>
      <c r="X741" t="str">
        <f>IF(OR(SeismicData[[#This Row],[genergy]]&lt;$AA$6,SeismicData[[#This Row],[genergy]]&gt;$AA$5),"Outlier","Normal")</f>
        <v>Normal</v>
      </c>
    </row>
    <row r="742" spans="1:24" x14ac:dyDescent="0.15">
      <c r="A742">
        <v>741</v>
      </c>
      <c r="B742" t="s">
        <v>20</v>
      </c>
      <c r="C742" t="s">
        <v>20</v>
      </c>
      <c r="D742" t="s">
        <v>22</v>
      </c>
      <c r="E742">
        <v>44320</v>
      </c>
      <c r="F742">
        <v>269</v>
      </c>
      <c r="G742">
        <v>-64</v>
      </c>
      <c r="H742">
        <v>-85</v>
      </c>
      <c r="I742" t="s">
        <v>20</v>
      </c>
      <c r="J742">
        <v>2</v>
      </c>
      <c r="K742">
        <v>0</v>
      </c>
      <c r="L742">
        <v>2</v>
      </c>
      <c r="M742">
        <v>0</v>
      </c>
      <c r="N742">
        <v>0</v>
      </c>
      <c r="O742">
        <v>0</v>
      </c>
      <c r="P742">
        <v>0</v>
      </c>
      <c r="Q742">
        <v>0</v>
      </c>
      <c r="R742">
        <v>3000</v>
      </c>
      <c r="S742">
        <v>2000</v>
      </c>
      <c r="T742">
        <v>0</v>
      </c>
      <c r="U742" t="str">
        <f>IF(SeismicData[[#This Row],[class]]=1,"Dangerous","Safe")</f>
        <v>Safe</v>
      </c>
      <c r="V742" t="str">
        <f>IF(SeismicData[[#This Row],[shift]]="W","Production","Non-Production")</f>
        <v>Production</v>
      </c>
      <c r="W742" t="str">
        <f>IF(SeismicData[[#This Row],[genergy]]=0,"0","10^"&amp;INT(LOG10(SeismicData[[#This Row],[genergy]])))</f>
        <v>10^4</v>
      </c>
      <c r="X742" t="str">
        <f>IF(OR(SeismicData[[#This Row],[genergy]]&lt;$AA$6,SeismicData[[#This Row],[genergy]]&gt;$AA$5),"Outlier","Normal")</f>
        <v>Normal</v>
      </c>
    </row>
    <row r="743" spans="1:24" x14ac:dyDescent="0.15">
      <c r="A743">
        <v>742</v>
      </c>
      <c r="B743" t="s">
        <v>20</v>
      </c>
      <c r="C743" t="s">
        <v>20</v>
      </c>
      <c r="D743" t="s">
        <v>22</v>
      </c>
      <c r="E743">
        <v>26830</v>
      </c>
      <c r="F743">
        <v>192</v>
      </c>
      <c r="G743">
        <v>-77</v>
      </c>
      <c r="H743">
        <v>-88</v>
      </c>
      <c r="I743" t="s">
        <v>20</v>
      </c>
      <c r="J743">
        <v>1</v>
      </c>
      <c r="K743">
        <v>1</v>
      </c>
      <c r="L743">
        <v>0</v>
      </c>
      <c r="M743">
        <v>0</v>
      </c>
      <c r="N743">
        <v>0</v>
      </c>
      <c r="O743">
        <v>0</v>
      </c>
      <c r="P743">
        <v>0</v>
      </c>
      <c r="Q743">
        <v>0</v>
      </c>
      <c r="R743">
        <v>600</v>
      </c>
      <c r="S743">
        <v>600</v>
      </c>
      <c r="T743">
        <v>0</v>
      </c>
      <c r="U743" t="str">
        <f>IF(SeismicData[[#This Row],[class]]=1,"Dangerous","Safe")</f>
        <v>Safe</v>
      </c>
      <c r="V743" t="str">
        <f>IF(SeismicData[[#This Row],[shift]]="W","Production","Non-Production")</f>
        <v>Production</v>
      </c>
      <c r="W743" t="str">
        <f>IF(SeismicData[[#This Row],[genergy]]=0,"0","10^"&amp;INT(LOG10(SeismicData[[#This Row],[genergy]])))</f>
        <v>10^4</v>
      </c>
      <c r="X743" t="str">
        <f>IF(OR(SeismicData[[#This Row],[genergy]]&lt;$AA$6,SeismicData[[#This Row],[genergy]]&gt;$AA$5),"Outlier","Normal")</f>
        <v>Normal</v>
      </c>
    </row>
    <row r="744" spans="1:24" x14ac:dyDescent="0.15">
      <c r="A744">
        <v>743</v>
      </c>
      <c r="B744" t="s">
        <v>20</v>
      </c>
      <c r="C744" t="s">
        <v>20</v>
      </c>
      <c r="D744" t="s">
        <v>22</v>
      </c>
      <c r="E744">
        <v>29240</v>
      </c>
      <c r="F744">
        <v>217</v>
      </c>
      <c r="G744">
        <v>-71</v>
      </c>
      <c r="H744">
        <v>-85</v>
      </c>
      <c r="I744" t="s">
        <v>20</v>
      </c>
      <c r="J744">
        <v>2</v>
      </c>
      <c r="K744">
        <v>0</v>
      </c>
      <c r="L744">
        <v>2</v>
      </c>
      <c r="M744">
        <v>0</v>
      </c>
      <c r="N744">
        <v>0</v>
      </c>
      <c r="O744">
        <v>0</v>
      </c>
      <c r="P744">
        <v>0</v>
      </c>
      <c r="Q744">
        <v>0</v>
      </c>
      <c r="R744">
        <v>8000</v>
      </c>
      <c r="S744">
        <v>5000</v>
      </c>
      <c r="T744">
        <v>0</v>
      </c>
      <c r="U744" t="str">
        <f>IF(SeismicData[[#This Row],[class]]=1,"Dangerous","Safe")</f>
        <v>Safe</v>
      </c>
      <c r="V744" t="str">
        <f>IF(SeismicData[[#This Row],[shift]]="W","Production","Non-Production")</f>
        <v>Production</v>
      </c>
      <c r="W744" t="str">
        <f>IF(SeismicData[[#This Row],[genergy]]=0,"0","10^"&amp;INT(LOG10(SeismicData[[#This Row],[genergy]])))</f>
        <v>10^4</v>
      </c>
      <c r="X744" t="str">
        <f>IF(OR(SeismicData[[#This Row],[genergy]]&lt;$AA$6,SeismicData[[#This Row],[genergy]]&gt;$AA$5),"Outlier","Normal")</f>
        <v>Normal</v>
      </c>
    </row>
    <row r="745" spans="1:24" x14ac:dyDescent="0.15">
      <c r="A745">
        <v>744</v>
      </c>
      <c r="B745" t="s">
        <v>20</v>
      </c>
      <c r="C745" t="s">
        <v>20</v>
      </c>
      <c r="D745" t="s">
        <v>22</v>
      </c>
      <c r="E745">
        <v>47740</v>
      </c>
      <c r="F745">
        <v>276</v>
      </c>
      <c r="G745">
        <v>-42</v>
      </c>
      <c r="H745">
        <v>-76</v>
      </c>
      <c r="I745" t="s">
        <v>20</v>
      </c>
      <c r="J745">
        <v>4</v>
      </c>
      <c r="K745">
        <v>1</v>
      </c>
      <c r="L745">
        <v>3</v>
      </c>
      <c r="M745">
        <v>0</v>
      </c>
      <c r="N745">
        <v>0</v>
      </c>
      <c r="O745">
        <v>0</v>
      </c>
      <c r="P745">
        <v>0</v>
      </c>
      <c r="Q745">
        <v>0</v>
      </c>
      <c r="R745">
        <v>7800</v>
      </c>
      <c r="S745">
        <v>3000</v>
      </c>
      <c r="T745">
        <v>0</v>
      </c>
      <c r="U745" t="str">
        <f>IF(SeismicData[[#This Row],[class]]=1,"Dangerous","Safe")</f>
        <v>Safe</v>
      </c>
      <c r="V745" t="str">
        <f>IF(SeismicData[[#This Row],[shift]]="W","Production","Non-Production")</f>
        <v>Production</v>
      </c>
      <c r="W745" t="str">
        <f>IF(SeismicData[[#This Row],[genergy]]=0,"0","10^"&amp;INT(LOG10(SeismicData[[#This Row],[genergy]])))</f>
        <v>10^4</v>
      </c>
      <c r="X745" t="str">
        <f>IF(OR(SeismicData[[#This Row],[genergy]]&lt;$AA$6,SeismicData[[#This Row],[genergy]]&gt;$AA$5),"Outlier","Normal")</f>
        <v>Normal</v>
      </c>
    </row>
    <row r="746" spans="1:24" x14ac:dyDescent="0.15">
      <c r="A746">
        <v>745</v>
      </c>
      <c r="B746" t="s">
        <v>20</v>
      </c>
      <c r="C746" t="s">
        <v>20</v>
      </c>
      <c r="D746" t="s">
        <v>22</v>
      </c>
      <c r="E746">
        <v>36520</v>
      </c>
      <c r="F746">
        <v>209</v>
      </c>
      <c r="G746">
        <v>-55</v>
      </c>
      <c r="H746">
        <v>-81</v>
      </c>
      <c r="I746" t="s">
        <v>20</v>
      </c>
      <c r="J746">
        <v>3</v>
      </c>
      <c r="K746">
        <v>2</v>
      </c>
      <c r="L746">
        <v>1</v>
      </c>
      <c r="M746">
        <v>0</v>
      </c>
      <c r="N746">
        <v>0</v>
      </c>
      <c r="O746">
        <v>0</v>
      </c>
      <c r="P746">
        <v>0</v>
      </c>
      <c r="Q746">
        <v>0</v>
      </c>
      <c r="R746">
        <v>9800</v>
      </c>
      <c r="S746">
        <v>9000</v>
      </c>
      <c r="T746">
        <v>0</v>
      </c>
      <c r="U746" t="str">
        <f>IF(SeismicData[[#This Row],[class]]=1,"Dangerous","Safe")</f>
        <v>Safe</v>
      </c>
      <c r="V746" t="str">
        <f>IF(SeismicData[[#This Row],[shift]]="W","Production","Non-Production")</f>
        <v>Production</v>
      </c>
      <c r="W746" t="str">
        <f>IF(SeismicData[[#This Row],[genergy]]=0,"0","10^"&amp;INT(LOG10(SeismicData[[#This Row],[genergy]])))</f>
        <v>10^4</v>
      </c>
      <c r="X746" t="str">
        <f>IF(OR(SeismicData[[#This Row],[genergy]]&lt;$AA$6,SeismicData[[#This Row],[genergy]]&gt;$AA$5),"Outlier","Normal")</f>
        <v>Normal</v>
      </c>
    </row>
    <row r="747" spans="1:24" x14ac:dyDescent="0.15">
      <c r="A747">
        <v>746</v>
      </c>
      <c r="B747" t="s">
        <v>20</v>
      </c>
      <c r="C747" t="s">
        <v>20</v>
      </c>
      <c r="D747" t="s">
        <v>22</v>
      </c>
      <c r="E747">
        <v>28360</v>
      </c>
      <c r="F747">
        <v>181</v>
      </c>
      <c r="G747">
        <v>-60</v>
      </c>
      <c r="H747">
        <v>-80</v>
      </c>
      <c r="I747" t="s">
        <v>20</v>
      </c>
      <c r="J747">
        <v>2</v>
      </c>
      <c r="K747">
        <v>1</v>
      </c>
      <c r="L747">
        <v>1</v>
      </c>
      <c r="M747">
        <v>0</v>
      </c>
      <c r="N747">
        <v>0</v>
      </c>
      <c r="O747">
        <v>0</v>
      </c>
      <c r="P747">
        <v>0</v>
      </c>
      <c r="Q747">
        <v>0</v>
      </c>
      <c r="R747">
        <v>3800</v>
      </c>
      <c r="S747">
        <v>3000</v>
      </c>
      <c r="T747">
        <v>0</v>
      </c>
      <c r="U747" t="str">
        <f>IF(SeismicData[[#This Row],[class]]=1,"Dangerous","Safe")</f>
        <v>Safe</v>
      </c>
      <c r="V747" t="str">
        <f>IF(SeismicData[[#This Row],[shift]]="W","Production","Non-Production")</f>
        <v>Production</v>
      </c>
      <c r="W747" t="str">
        <f>IF(SeismicData[[#This Row],[genergy]]=0,"0","10^"&amp;INT(LOG10(SeismicData[[#This Row],[genergy]])))</f>
        <v>10^4</v>
      </c>
      <c r="X747" t="str">
        <f>IF(OR(SeismicData[[#This Row],[genergy]]&lt;$AA$6,SeismicData[[#This Row],[genergy]]&gt;$AA$5),"Outlier","Normal")</f>
        <v>Normal</v>
      </c>
    </row>
    <row r="748" spans="1:24" x14ac:dyDescent="0.15">
      <c r="A748">
        <v>747</v>
      </c>
      <c r="B748" t="s">
        <v>20</v>
      </c>
      <c r="C748" t="s">
        <v>20</v>
      </c>
      <c r="D748" t="s">
        <v>22</v>
      </c>
      <c r="E748">
        <v>29990</v>
      </c>
      <c r="F748">
        <v>203</v>
      </c>
      <c r="G748">
        <v>-55</v>
      </c>
      <c r="H748">
        <v>-75</v>
      </c>
      <c r="I748" t="s">
        <v>20</v>
      </c>
      <c r="J748">
        <v>3</v>
      </c>
      <c r="K748">
        <v>1</v>
      </c>
      <c r="L748">
        <v>2</v>
      </c>
      <c r="M748">
        <v>0</v>
      </c>
      <c r="N748">
        <v>0</v>
      </c>
      <c r="O748">
        <v>0</v>
      </c>
      <c r="P748">
        <v>0</v>
      </c>
      <c r="Q748">
        <v>0</v>
      </c>
      <c r="R748">
        <v>9400</v>
      </c>
      <c r="S748">
        <v>6000</v>
      </c>
      <c r="T748">
        <v>0</v>
      </c>
      <c r="U748" t="str">
        <f>IF(SeismicData[[#This Row],[class]]=1,"Dangerous","Safe")</f>
        <v>Safe</v>
      </c>
      <c r="V748" t="str">
        <f>IF(SeismicData[[#This Row],[shift]]="W","Production","Non-Production")</f>
        <v>Production</v>
      </c>
      <c r="W748" t="str">
        <f>IF(SeismicData[[#This Row],[genergy]]=0,"0","10^"&amp;INT(LOG10(SeismicData[[#This Row],[genergy]])))</f>
        <v>10^4</v>
      </c>
      <c r="X748" t="str">
        <f>IF(OR(SeismicData[[#This Row],[genergy]]&lt;$AA$6,SeismicData[[#This Row],[genergy]]&gt;$AA$5),"Outlier","Normal")</f>
        <v>Normal</v>
      </c>
    </row>
    <row r="749" spans="1:24" x14ac:dyDescent="0.15">
      <c r="A749">
        <v>748</v>
      </c>
      <c r="B749" t="s">
        <v>20</v>
      </c>
      <c r="C749" t="s">
        <v>20</v>
      </c>
      <c r="D749" t="s">
        <v>22</v>
      </c>
      <c r="E749">
        <v>21060</v>
      </c>
      <c r="F749">
        <v>106</v>
      </c>
      <c r="G749">
        <v>-61</v>
      </c>
      <c r="H749">
        <v>-82</v>
      </c>
      <c r="I749" t="s">
        <v>20</v>
      </c>
      <c r="J749">
        <v>0</v>
      </c>
      <c r="K749">
        <v>0</v>
      </c>
      <c r="L749">
        <v>0</v>
      </c>
      <c r="M749">
        <v>0</v>
      </c>
      <c r="N749">
        <v>0</v>
      </c>
      <c r="O749">
        <v>0</v>
      </c>
      <c r="P749">
        <v>0</v>
      </c>
      <c r="Q749">
        <v>0</v>
      </c>
      <c r="R749">
        <v>0</v>
      </c>
      <c r="S749">
        <v>0</v>
      </c>
      <c r="T749">
        <v>0</v>
      </c>
      <c r="U749" t="str">
        <f>IF(SeismicData[[#This Row],[class]]=1,"Dangerous","Safe")</f>
        <v>Safe</v>
      </c>
      <c r="V749" t="str">
        <f>IF(SeismicData[[#This Row],[shift]]="W","Production","Non-Production")</f>
        <v>Production</v>
      </c>
      <c r="W749" t="str">
        <f>IF(SeismicData[[#This Row],[genergy]]=0,"0","10^"&amp;INT(LOG10(SeismicData[[#This Row],[genergy]])))</f>
        <v>10^4</v>
      </c>
      <c r="X749" t="str">
        <f>IF(OR(SeismicData[[#This Row],[genergy]]&lt;$AA$6,SeismicData[[#This Row],[genergy]]&gt;$AA$5),"Outlier","Normal")</f>
        <v>Normal</v>
      </c>
    </row>
    <row r="750" spans="1:24" x14ac:dyDescent="0.15">
      <c r="A750">
        <v>749</v>
      </c>
      <c r="B750" t="s">
        <v>20</v>
      </c>
      <c r="C750" t="s">
        <v>20</v>
      </c>
      <c r="D750" t="s">
        <v>22</v>
      </c>
      <c r="E750">
        <v>18240</v>
      </c>
      <c r="F750">
        <v>87</v>
      </c>
      <c r="G750">
        <v>-53</v>
      </c>
      <c r="H750">
        <v>-72</v>
      </c>
      <c r="I750" t="s">
        <v>20</v>
      </c>
      <c r="J750">
        <v>2</v>
      </c>
      <c r="K750">
        <v>1</v>
      </c>
      <c r="L750">
        <v>1</v>
      </c>
      <c r="M750">
        <v>0</v>
      </c>
      <c r="N750">
        <v>0</v>
      </c>
      <c r="O750">
        <v>0</v>
      </c>
      <c r="P750">
        <v>0</v>
      </c>
      <c r="Q750">
        <v>0</v>
      </c>
      <c r="R750">
        <v>2500</v>
      </c>
      <c r="S750">
        <v>2000</v>
      </c>
      <c r="T750">
        <v>0</v>
      </c>
      <c r="U750" t="str">
        <f>IF(SeismicData[[#This Row],[class]]=1,"Dangerous","Safe")</f>
        <v>Safe</v>
      </c>
      <c r="V750" t="str">
        <f>IF(SeismicData[[#This Row],[shift]]="W","Production","Non-Production")</f>
        <v>Production</v>
      </c>
      <c r="W750" t="str">
        <f>IF(SeismicData[[#This Row],[genergy]]=0,"0","10^"&amp;INT(LOG10(SeismicData[[#This Row],[genergy]])))</f>
        <v>10^4</v>
      </c>
      <c r="X750" t="str">
        <f>IF(OR(SeismicData[[#This Row],[genergy]]&lt;$AA$6,SeismicData[[#This Row],[genergy]]&gt;$AA$5),"Outlier","Normal")</f>
        <v>Normal</v>
      </c>
    </row>
    <row r="751" spans="1:24" x14ac:dyDescent="0.15">
      <c r="A751">
        <v>750</v>
      </c>
      <c r="B751" t="s">
        <v>20</v>
      </c>
      <c r="C751" t="s">
        <v>20</v>
      </c>
      <c r="D751" t="s">
        <v>22</v>
      </c>
      <c r="E751">
        <v>33660</v>
      </c>
      <c r="F751">
        <v>248</v>
      </c>
      <c r="G751">
        <v>9</v>
      </c>
      <c r="H751">
        <v>28</v>
      </c>
      <c r="I751" t="s">
        <v>20</v>
      </c>
      <c r="J751">
        <v>4</v>
      </c>
      <c r="K751">
        <v>2</v>
      </c>
      <c r="L751">
        <v>2</v>
      </c>
      <c r="M751">
        <v>0</v>
      </c>
      <c r="N751">
        <v>0</v>
      </c>
      <c r="O751">
        <v>0</v>
      </c>
      <c r="P751">
        <v>0</v>
      </c>
      <c r="Q751">
        <v>0</v>
      </c>
      <c r="R751">
        <v>11100</v>
      </c>
      <c r="S751">
        <v>8000</v>
      </c>
      <c r="T751">
        <v>0</v>
      </c>
      <c r="U751" t="str">
        <f>IF(SeismicData[[#This Row],[class]]=1,"Dangerous","Safe")</f>
        <v>Safe</v>
      </c>
      <c r="V751" t="str">
        <f>IF(SeismicData[[#This Row],[shift]]="W","Production","Non-Production")</f>
        <v>Production</v>
      </c>
      <c r="W751" t="str">
        <f>IF(SeismicData[[#This Row],[genergy]]=0,"0","10^"&amp;INT(LOG10(SeismicData[[#This Row],[genergy]])))</f>
        <v>10^4</v>
      </c>
      <c r="X751" t="str">
        <f>IF(OR(SeismicData[[#This Row],[genergy]]&lt;$AA$6,SeismicData[[#This Row],[genergy]]&gt;$AA$5),"Outlier","Normal")</f>
        <v>Normal</v>
      </c>
    </row>
    <row r="752" spans="1:24" x14ac:dyDescent="0.15">
      <c r="A752">
        <v>751</v>
      </c>
      <c r="B752" t="s">
        <v>20</v>
      </c>
      <c r="C752" t="s">
        <v>20</v>
      </c>
      <c r="D752" t="s">
        <v>22</v>
      </c>
      <c r="E752">
        <v>21670</v>
      </c>
      <c r="F752">
        <v>132</v>
      </c>
      <c r="G752">
        <v>-31</v>
      </c>
      <c r="H752">
        <v>-34</v>
      </c>
      <c r="I752" t="s">
        <v>20</v>
      </c>
      <c r="J752">
        <v>3</v>
      </c>
      <c r="K752">
        <v>2</v>
      </c>
      <c r="L752">
        <v>1</v>
      </c>
      <c r="M752">
        <v>0</v>
      </c>
      <c r="N752">
        <v>0</v>
      </c>
      <c r="O752">
        <v>0</v>
      </c>
      <c r="P752">
        <v>0</v>
      </c>
      <c r="Q752">
        <v>0</v>
      </c>
      <c r="R752">
        <v>3400</v>
      </c>
      <c r="S752">
        <v>2000</v>
      </c>
      <c r="T752">
        <v>0</v>
      </c>
      <c r="U752" t="str">
        <f>IF(SeismicData[[#This Row],[class]]=1,"Dangerous","Safe")</f>
        <v>Safe</v>
      </c>
      <c r="V752" t="str">
        <f>IF(SeismicData[[#This Row],[shift]]="W","Production","Non-Production")</f>
        <v>Production</v>
      </c>
      <c r="W752" t="str">
        <f>IF(SeismicData[[#This Row],[genergy]]=0,"0","10^"&amp;INT(LOG10(SeismicData[[#This Row],[genergy]])))</f>
        <v>10^4</v>
      </c>
      <c r="X752" t="str">
        <f>IF(OR(SeismicData[[#This Row],[genergy]]&lt;$AA$6,SeismicData[[#This Row],[genergy]]&gt;$AA$5),"Outlier","Normal")</f>
        <v>Normal</v>
      </c>
    </row>
    <row r="753" spans="1:24" x14ac:dyDescent="0.15">
      <c r="A753">
        <v>752</v>
      </c>
      <c r="B753" t="s">
        <v>20</v>
      </c>
      <c r="C753" t="s">
        <v>20</v>
      </c>
      <c r="D753" t="s">
        <v>21</v>
      </c>
      <c r="E753">
        <v>5990</v>
      </c>
      <c r="F753">
        <v>53</v>
      </c>
      <c r="G753">
        <v>-42</v>
      </c>
      <c r="H753">
        <v>-64</v>
      </c>
      <c r="I753" t="s">
        <v>20</v>
      </c>
      <c r="J753">
        <v>0</v>
      </c>
      <c r="K753">
        <v>0</v>
      </c>
      <c r="L753">
        <v>0</v>
      </c>
      <c r="M753">
        <v>0</v>
      </c>
      <c r="N753">
        <v>0</v>
      </c>
      <c r="O753">
        <v>0</v>
      </c>
      <c r="P753">
        <v>0</v>
      </c>
      <c r="Q753">
        <v>0</v>
      </c>
      <c r="R753">
        <v>0</v>
      </c>
      <c r="S753">
        <v>0</v>
      </c>
      <c r="T753">
        <v>0</v>
      </c>
      <c r="U753" t="str">
        <f>IF(SeismicData[[#This Row],[class]]=1,"Dangerous","Safe")</f>
        <v>Safe</v>
      </c>
      <c r="V753" t="str">
        <f>IF(SeismicData[[#This Row],[shift]]="W","Production","Non-Production")</f>
        <v>Non-Production</v>
      </c>
      <c r="W753" t="str">
        <f>IF(SeismicData[[#This Row],[genergy]]=0,"0","10^"&amp;INT(LOG10(SeismicData[[#This Row],[genergy]])))</f>
        <v>10^3</v>
      </c>
      <c r="X753" t="str">
        <f>IF(OR(SeismicData[[#This Row],[genergy]]&lt;$AA$6,SeismicData[[#This Row],[genergy]]&gt;$AA$5),"Outlier","Normal")</f>
        <v>Normal</v>
      </c>
    </row>
    <row r="754" spans="1:24" x14ac:dyDescent="0.15">
      <c r="A754">
        <v>753</v>
      </c>
      <c r="B754" t="s">
        <v>20</v>
      </c>
      <c r="C754" t="s">
        <v>20</v>
      </c>
      <c r="D754" t="s">
        <v>21</v>
      </c>
      <c r="E754">
        <v>6430</v>
      </c>
      <c r="F754">
        <v>30</v>
      </c>
      <c r="G754">
        <v>-33</v>
      </c>
      <c r="H754">
        <v>-79</v>
      </c>
      <c r="I754" t="s">
        <v>20</v>
      </c>
      <c r="J754">
        <v>1</v>
      </c>
      <c r="K754">
        <v>1</v>
      </c>
      <c r="L754">
        <v>0</v>
      </c>
      <c r="M754">
        <v>0</v>
      </c>
      <c r="N754">
        <v>0</v>
      </c>
      <c r="O754">
        <v>0</v>
      </c>
      <c r="P754">
        <v>0</v>
      </c>
      <c r="Q754">
        <v>0</v>
      </c>
      <c r="R754">
        <v>300</v>
      </c>
      <c r="S754">
        <v>300</v>
      </c>
      <c r="T754">
        <v>0</v>
      </c>
      <c r="U754" t="str">
        <f>IF(SeismicData[[#This Row],[class]]=1,"Dangerous","Safe")</f>
        <v>Safe</v>
      </c>
      <c r="V754" t="str">
        <f>IF(SeismicData[[#This Row],[shift]]="W","Production","Non-Production")</f>
        <v>Non-Production</v>
      </c>
      <c r="W754" t="str">
        <f>IF(SeismicData[[#This Row],[genergy]]=0,"0","10^"&amp;INT(LOG10(SeismicData[[#This Row],[genergy]])))</f>
        <v>10^3</v>
      </c>
      <c r="X754" t="str">
        <f>IF(OR(SeismicData[[#This Row],[genergy]]&lt;$AA$6,SeismicData[[#This Row],[genergy]]&gt;$AA$5),"Outlier","Normal")</f>
        <v>Normal</v>
      </c>
    </row>
    <row r="755" spans="1:24" x14ac:dyDescent="0.15">
      <c r="A755">
        <v>754</v>
      </c>
      <c r="B755" t="s">
        <v>20</v>
      </c>
      <c r="C755" t="s">
        <v>20</v>
      </c>
      <c r="D755" t="s">
        <v>21</v>
      </c>
      <c r="E755">
        <v>3020</v>
      </c>
      <c r="F755">
        <v>19</v>
      </c>
      <c r="G755">
        <v>-66</v>
      </c>
      <c r="H755">
        <v>-85</v>
      </c>
      <c r="I755" t="s">
        <v>20</v>
      </c>
      <c r="J755">
        <v>1</v>
      </c>
      <c r="K755">
        <v>0</v>
      </c>
      <c r="L755">
        <v>1</v>
      </c>
      <c r="M755">
        <v>0</v>
      </c>
      <c r="N755">
        <v>0</v>
      </c>
      <c r="O755">
        <v>0</v>
      </c>
      <c r="P755">
        <v>0</v>
      </c>
      <c r="Q755">
        <v>0</v>
      </c>
      <c r="R755">
        <v>2000</v>
      </c>
      <c r="S755">
        <v>2000</v>
      </c>
      <c r="T755">
        <v>0</v>
      </c>
      <c r="U755" t="str">
        <f>IF(SeismicData[[#This Row],[class]]=1,"Dangerous","Safe")</f>
        <v>Safe</v>
      </c>
      <c r="V755" t="str">
        <f>IF(SeismicData[[#This Row],[shift]]="W","Production","Non-Production")</f>
        <v>Non-Production</v>
      </c>
      <c r="W755" t="str">
        <f>IF(SeismicData[[#This Row],[genergy]]=0,"0","10^"&amp;INT(LOG10(SeismicData[[#This Row],[genergy]])))</f>
        <v>10^3</v>
      </c>
      <c r="X755" t="str">
        <f>IF(OR(SeismicData[[#This Row],[genergy]]&lt;$AA$6,SeismicData[[#This Row],[genergy]]&gt;$AA$5),"Outlier","Normal")</f>
        <v>Normal</v>
      </c>
    </row>
    <row r="756" spans="1:24" x14ac:dyDescent="0.15">
      <c r="A756">
        <v>755</v>
      </c>
      <c r="B756" t="s">
        <v>20</v>
      </c>
      <c r="C756" t="s">
        <v>20</v>
      </c>
      <c r="D756" t="s">
        <v>22</v>
      </c>
      <c r="E756">
        <v>23400</v>
      </c>
      <c r="F756">
        <v>140</v>
      </c>
      <c r="G756">
        <v>-20</v>
      </c>
      <c r="H756">
        <v>-24</v>
      </c>
      <c r="I756" t="s">
        <v>20</v>
      </c>
      <c r="J756">
        <v>3</v>
      </c>
      <c r="K756">
        <v>3</v>
      </c>
      <c r="L756">
        <v>0</v>
      </c>
      <c r="M756">
        <v>0</v>
      </c>
      <c r="N756">
        <v>0</v>
      </c>
      <c r="O756">
        <v>0</v>
      </c>
      <c r="P756">
        <v>0</v>
      </c>
      <c r="Q756">
        <v>0</v>
      </c>
      <c r="R756">
        <v>2000</v>
      </c>
      <c r="S756">
        <v>800</v>
      </c>
      <c r="T756">
        <v>0</v>
      </c>
      <c r="U756" t="str">
        <f>IF(SeismicData[[#This Row],[class]]=1,"Dangerous","Safe")</f>
        <v>Safe</v>
      </c>
      <c r="V756" t="str">
        <f>IF(SeismicData[[#This Row],[shift]]="W","Production","Non-Production")</f>
        <v>Production</v>
      </c>
      <c r="W756" t="str">
        <f>IF(SeismicData[[#This Row],[genergy]]=0,"0","10^"&amp;INT(LOG10(SeismicData[[#This Row],[genergy]])))</f>
        <v>10^4</v>
      </c>
      <c r="X756" t="str">
        <f>IF(OR(SeismicData[[#This Row],[genergy]]&lt;$AA$6,SeismicData[[#This Row],[genergy]]&gt;$AA$5),"Outlier","Normal")</f>
        <v>Normal</v>
      </c>
    </row>
    <row r="757" spans="1:24" x14ac:dyDescent="0.15">
      <c r="A757">
        <v>756</v>
      </c>
      <c r="B757" t="s">
        <v>20</v>
      </c>
      <c r="C757" t="s">
        <v>20</v>
      </c>
      <c r="D757" t="s">
        <v>22</v>
      </c>
      <c r="E757">
        <v>45990</v>
      </c>
      <c r="F757">
        <v>349</v>
      </c>
      <c r="G757">
        <v>59</v>
      </c>
      <c r="H757">
        <v>94</v>
      </c>
      <c r="I757" t="s">
        <v>20</v>
      </c>
      <c r="J757">
        <v>3</v>
      </c>
      <c r="K757">
        <v>2</v>
      </c>
      <c r="L757">
        <v>1</v>
      </c>
      <c r="M757">
        <v>0</v>
      </c>
      <c r="N757">
        <v>0</v>
      </c>
      <c r="O757">
        <v>0</v>
      </c>
      <c r="P757">
        <v>0</v>
      </c>
      <c r="Q757">
        <v>0</v>
      </c>
      <c r="R757">
        <v>4200</v>
      </c>
      <c r="S757">
        <v>3000</v>
      </c>
      <c r="T757">
        <v>0</v>
      </c>
      <c r="U757" t="str">
        <f>IF(SeismicData[[#This Row],[class]]=1,"Dangerous","Safe")</f>
        <v>Safe</v>
      </c>
      <c r="V757" t="str">
        <f>IF(SeismicData[[#This Row],[shift]]="W","Production","Non-Production")</f>
        <v>Production</v>
      </c>
      <c r="W757" t="str">
        <f>IF(SeismicData[[#This Row],[genergy]]=0,"0","10^"&amp;INT(LOG10(SeismicData[[#This Row],[genergy]])))</f>
        <v>10^4</v>
      </c>
      <c r="X757" t="str">
        <f>IF(OR(SeismicData[[#This Row],[genergy]]&lt;$AA$6,SeismicData[[#This Row],[genergy]]&gt;$AA$5),"Outlier","Normal")</f>
        <v>Normal</v>
      </c>
    </row>
    <row r="758" spans="1:24" x14ac:dyDescent="0.15">
      <c r="A758">
        <v>757</v>
      </c>
      <c r="B758" t="s">
        <v>20</v>
      </c>
      <c r="C758" t="s">
        <v>20</v>
      </c>
      <c r="D758" t="s">
        <v>22</v>
      </c>
      <c r="E758">
        <v>19570</v>
      </c>
      <c r="F758">
        <v>153</v>
      </c>
      <c r="G758">
        <v>-36</v>
      </c>
      <c r="H758">
        <v>-21</v>
      </c>
      <c r="I758" t="s">
        <v>20</v>
      </c>
      <c r="J758">
        <v>1</v>
      </c>
      <c r="K758">
        <v>1</v>
      </c>
      <c r="L758">
        <v>0</v>
      </c>
      <c r="M758">
        <v>0</v>
      </c>
      <c r="N758">
        <v>0</v>
      </c>
      <c r="O758">
        <v>0</v>
      </c>
      <c r="P758">
        <v>0</v>
      </c>
      <c r="Q758">
        <v>0</v>
      </c>
      <c r="R758">
        <v>700</v>
      </c>
      <c r="S758">
        <v>700</v>
      </c>
      <c r="T758">
        <v>0</v>
      </c>
      <c r="U758" t="str">
        <f>IF(SeismicData[[#This Row],[class]]=1,"Dangerous","Safe")</f>
        <v>Safe</v>
      </c>
      <c r="V758" t="str">
        <f>IF(SeismicData[[#This Row],[shift]]="W","Production","Non-Production")</f>
        <v>Production</v>
      </c>
      <c r="W758" t="str">
        <f>IF(SeismicData[[#This Row],[genergy]]=0,"0","10^"&amp;INT(LOG10(SeismicData[[#This Row],[genergy]])))</f>
        <v>10^4</v>
      </c>
      <c r="X758" t="str">
        <f>IF(OR(SeismicData[[#This Row],[genergy]]&lt;$AA$6,SeismicData[[#This Row],[genergy]]&gt;$AA$5),"Outlier","Normal")</f>
        <v>Normal</v>
      </c>
    </row>
    <row r="759" spans="1:24" x14ac:dyDescent="0.15">
      <c r="A759">
        <v>758</v>
      </c>
      <c r="B759" t="s">
        <v>20</v>
      </c>
      <c r="C759" t="s">
        <v>20</v>
      </c>
      <c r="D759" t="s">
        <v>22</v>
      </c>
      <c r="E759">
        <v>32550</v>
      </c>
      <c r="F759">
        <v>167</v>
      </c>
      <c r="G759">
        <v>17</v>
      </c>
      <c r="H759">
        <v>-8</v>
      </c>
      <c r="I759" t="s">
        <v>20</v>
      </c>
      <c r="J759">
        <v>9</v>
      </c>
      <c r="K759">
        <v>5</v>
      </c>
      <c r="L759">
        <v>4</v>
      </c>
      <c r="M759">
        <v>0</v>
      </c>
      <c r="N759">
        <v>0</v>
      </c>
      <c r="O759">
        <v>0</v>
      </c>
      <c r="P759">
        <v>0</v>
      </c>
      <c r="Q759">
        <v>0</v>
      </c>
      <c r="R759">
        <v>13200</v>
      </c>
      <c r="S759">
        <v>6000</v>
      </c>
      <c r="T759">
        <v>0</v>
      </c>
      <c r="U759" t="str">
        <f>IF(SeismicData[[#This Row],[class]]=1,"Dangerous","Safe")</f>
        <v>Safe</v>
      </c>
      <c r="V759" t="str">
        <f>IF(SeismicData[[#This Row],[shift]]="W","Production","Non-Production")</f>
        <v>Production</v>
      </c>
      <c r="W759" t="str">
        <f>IF(SeismicData[[#This Row],[genergy]]=0,"0","10^"&amp;INT(LOG10(SeismicData[[#This Row],[genergy]])))</f>
        <v>10^4</v>
      </c>
      <c r="X759" t="str">
        <f>IF(OR(SeismicData[[#This Row],[genergy]]&lt;$AA$6,SeismicData[[#This Row],[genergy]]&gt;$AA$5),"Outlier","Normal")</f>
        <v>Normal</v>
      </c>
    </row>
    <row r="760" spans="1:24" x14ac:dyDescent="0.15">
      <c r="A760">
        <v>759</v>
      </c>
      <c r="B760" t="s">
        <v>20</v>
      </c>
      <c r="C760" t="s">
        <v>23</v>
      </c>
      <c r="D760" t="s">
        <v>22</v>
      </c>
      <c r="E760">
        <v>53860</v>
      </c>
      <c r="F760">
        <v>346</v>
      </c>
      <c r="G760">
        <v>96</v>
      </c>
      <c r="H760">
        <v>96</v>
      </c>
      <c r="I760" t="s">
        <v>20</v>
      </c>
      <c r="J760">
        <v>5</v>
      </c>
      <c r="K760">
        <v>1</v>
      </c>
      <c r="L760">
        <v>4</v>
      </c>
      <c r="M760">
        <v>0</v>
      </c>
      <c r="N760">
        <v>0</v>
      </c>
      <c r="O760">
        <v>0</v>
      </c>
      <c r="P760">
        <v>0</v>
      </c>
      <c r="Q760">
        <v>0</v>
      </c>
      <c r="R760">
        <v>13700</v>
      </c>
      <c r="S760">
        <v>9000</v>
      </c>
      <c r="T760">
        <v>0</v>
      </c>
      <c r="U760" t="str">
        <f>IF(SeismicData[[#This Row],[class]]=1,"Dangerous","Safe")</f>
        <v>Safe</v>
      </c>
      <c r="V760" t="str">
        <f>IF(SeismicData[[#This Row],[shift]]="W","Production","Non-Production")</f>
        <v>Production</v>
      </c>
      <c r="W760" t="str">
        <f>IF(SeismicData[[#This Row],[genergy]]=0,"0","10^"&amp;INT(LOG10(SeismicData[[#This Row],[genergy]])))</f>
        <v>10^4</v>
      </c>
      <c r="X760" t="str">
        <f>IF(OR(SeismicData[[#This Row],[genergy]]&lt;$AA$6,SeismicData[[#This Row],[genergy]]&gt;$AA$5),"Outlier","Normal")</f>
        <v>Normal</v>
      </c>
    </row>
    <row r="761" spans="1:24" x14ac:dyDescent="0.15">
      <c r="A761">
        <v>760</v>
      </c>
      <c r="B761" t="s">
        <v>20</v>
      </c>
      <c r="C761" t="s">
        <v>23</v>
      </c>
      <c r="D761" t="s">
        <v>22</v>
      </c>
      <c r="E761">
        <v>37810</v>
      </c>
      <c r="F761">
        <v>238</v>
      </c>
      <c r="G761">
        <v>26</v>
      </c>
      <c r="H761">
        <v>23</v>
      </c>
      <c r="I761" t="s">
        <v>20</v>
      </c>
      <c r="J761">
        <v>6</v>
      </c>
      <c r="K761">
        <v>5</v>
      </c>
      <c r="L761">
        <v>1</v>
      </c>
      <c r="M761">
        <v>0</v>
      </c>
      <c r="N761">
        <v>0</v>
      </c>
      <c r="O761">
        <v>0</v>
      </c>
      <c r="P761">
        <v>0</v>
      </c>
      <c r="Q761">
        <v>0</v>
      </c>
      <c r="R761">
        <v>5400</v>
      </c>
      <c r="S761">
        <v>2000</v>
      </c>
      <c r="T761">
        <v>0</v>
      </c>
      <c r="U761" t="str">
        <f>IF(SeismicData[[#This Row],[class]]=1,"Dangerous","Safe")</f>
        <v>Safe</v>
      </c>
      <c r="V761" t="str">
        <f>IF(SeismicData[[#This Row],[shift]]="W","Production","Non-Production")</f>
        <v>Production</v>
      </c>
      <c r="W761" t="str">
        <f>IF(SeismicData[[#This Row],[genergy]]=0,"0","10^"&amp;INT(LOG10(SeismicData[[#This Row],[genergy]])))</f>
        <v>10^4</v>
      </c>
      <c r="X761" t="str">
        <f>IF(OR(SeismicData[[#This Row],[genergy]]&lt;$AA$6,SeismicData[[#This Row],[genergy]]&gt;$AA$5),"Outlier","Normal")</f>
        <v>Normal</v>
      </c>
    </row>
    <row r="762" spans="1:24" x14ac:dyDescent="0.15">
      <c r="A762">
        <v>761</v>
      </c>
      <c r="B762" t="s">
        <v>20</v>
      </c>
      <c r="C762" t="s">
        <v>23</v>
      </c>
      <c r="D762" t="s">
        <v>22</v>
      </c>
      <c r="E762">
        <v>10130</v>
      </c>
      <c r="F762">
        <v>133</v>
      </c>
      <c r="G762">
        <v>-67</v>
      </c>
      <c r="H762">
        <v>-32</v>
      </c>
      <c r="I762" t="s">
        <v>20</v>
      </c>
      <c r="J762">
        <v>1</v>
      </c>
      <c r="K762">
        <v>0</v>
      </c>
      <c r="L762">
        <v>1</v>
      </c>
      <c r="M762">
        <v>0</v>
      </c>
      <c r="N762">
        <v>0</v>
      </c>
      <c r="O762">
        <v>0</v>
      </c>
      <c r="P762">
        <v>0</v>
      </c>
      <c r="Q762">
        <v>0</v>
      </c>
      <c r="R762">
        <v>2000</v>
      </c>
      <c r="S762">
        <v>2000</v>
      </c>
      <c r="T762">
        <v>0</v>
      </c>
      <c r="U762" t="str">
        <f>IF(SeismicData[[#This Row],[class]]=1,"Dangerous","Safe")</f>
        <v>Safe</v>
      </c>
      <c r="V762" t="str">
        <f>IF(SeismicData[[#This Row],[shift]]="W","Production","Non-Production")</f>
        <v>Production</v>
      </c>
      <c r="W762" t="str">
        <f>IF(SeismicData[[#This Row],[genergy]]=0,"0","10^"&amp;INT(LOG10(SeismicData[[#This Row],[genergy]])))</f>
        <v>10^4</v>
      </c>
      <c r="X762" t="str">
        <f>IF(OR(SeismicData[[#This Row],[genergy]]&lt;$AA$6,SeismicData[[#This Row],[genergy]]&gt;$AA$5),"Outlier","Normal")</f>
        <v>Normal</v>
      </c>
    </row>
    <row r="763" spans="1:24" x14ac:dyDescent="0.15">
      <c r="A763">
        <v>762</v>
      </c>
      <c r="B763" t="s">
        <v>20</v>
      </c>
      <c r="C763" t="s">
        <v>23</v>
      </c>
      <c r="D763" t="s">
        <v>22</v>
      </c>
      <c r="E763">
        <v>57860</v>
      </c>
      <c r="F763">
        <v>383</v>
      </c>
      <c r="G763">
        <v>95</v>
      </c>
      <c r="H763">
        <v>92</v>
      </c>
      <c r="I763" t="s">
        <v>20</v>
      </c>
      <c r="J763">
        <v>2</v>
      </c>
      <c r="K763">
        <v>1</v>
      </c>
      <c r="L763">
        <v>1</v>
      </c>
      <c r="M763">
        <v>0</v>
      </c>
      <c r="N763">
        <v>0</v>
      </c>
      <c r="O763">
        <v>0</v>
      </c>
      <c r="P763">
        <v>0</v>
      </c>
      <c r="Q763">
        <v>0</v>
      </c>
      <c r="R763">
        <v>4700</v>
      </c>
      <c r="S763">
        <v>4000</v>
      </c>
      <c r="T763">
        <v>0</v>
      </c>
      <c r="U763" t="str">
        <f>IF(SeismicData[[#This Row],[class]]=1,"Dangerous","Safe")</f>
        <v>Safe</v>
      </c>
      <c r="V763" t="str">
        <f>IF(SeismicData[[#This Row],[shift]]="W","Production","Non-Production")</f>
        <v>Production</v>
      </c>
      <c r="W763" t="str">
        <f>IF(SeismicData[[#This Row],[genergy]]=0,"0","10^"&amp;INT(LOG10(SeismicData[[#This Row],[genergy]])))</f>
        <v>10^4</v>
      </c>
      <c r="X763" t="str">
        <f>IF(OR(SeismicData[[#This Row],[genergy]]&lt;$AA$6,SeismicData[[#This Row],[genergy]]&gt;$AA$5),"Outlier","Normal")</f>
        <v>Normal</v>
      </c>
    </row>
    <row r="764" spans="1:24" x14ac:dyDescent="0.15">
      <c r="A764">
        <v>763</v>
      </c>
      <c r="B764" t="s">
        <v>20</v>
      </c>
      <c r="C764" t="s">
        <v>23</v>
      </c>
      <c r="D764" t="s">
        <v>22</v>
      </c>
      <c r="E764">
        <v>42470</v>
      </c>
      <c r="F764">
        <v>326</v>
      </c>
      <c r="G764">
        <v>26</v>
      </c>
      <c r="H764">
        <v>42</v>
      </c>
      <c r="I764" t="s">
        <v>20</v>
      </c>
      <c r="J764">
        <v>2</v>
      </c>
      <c r="K764">
        <v>2</v>
      </c>
      <c r="L764">
        <v>0</v>
      </c>
      <c r="M764">
        <v>0</v>
      </c>
      <c r="N764">
        <v>0</v>
      </c>
      <c r="O764">
        <v>0</v>
      </c>
      <c r="P764">
        <v>0</v>
      </c>
      <c r="Q764">
        <v>0</v>
      </c>
      <c r="R764">
        <v>1200</v>
      </c>
      <c r="S764">
        <v>700</v>
      </c>
      <c r="T764">
        <v>0</v>
      </c>
      <c r="U764" t="str">
        <f>IF(SeismicData[[#This Row],[class]]=1,"Dangerous","Safe")</f>
        <v>Safe</v>
      </c>
      <c r="V764" t="str">
        <f>IF(SeismicData[[#This Row],[shift]]="W","Production","Non-Production")</f>
        <v>Production</v>
      </c>
      <c r="W764" t="str">
        <f>IF(SeismicData[[#This Row],[genergy]]=0,"0","10^"&amp;INT(LOG10(SeismicData[[#This Row],[genergy]])))</f>
        <v>10^4</v>
      </c>
      <c r="X764" t="str">
        <f>IF(OR(SeismicData[[#This Row],[genergy]]&lt;$AA$6,SeismicData[[#This Row],[genergy]]&gt;$AA$5),"Outlier","Normal")</f>
        <v>Normal</v>
      </c>
    </row>
    <row r="765" spans="1:24" x14ac:dyDescent="0.15">
      <c r="A765">
        <v>764</v>
      </c>
      <c r="B765" t="s">
        <v>20</v>
      </c>
      <c r="C765" t="s">
        <v>23</v>
      </c>
      <c r="D765" t="s">
        <v>22</v>
      </c>
      <c r="E765">
        <v>42840</v>
      </c>
      <c r="F765">
        <v>248</v>
      </c>
      <c r="G765">
        <v>24</v>
      </c>
      <c r="H765">
        <v>5</v>
      </c>
      <c r="I765" t="s">
        <v>20</v>
      </c>
      <c r="J765">
        <v>3</v>
      </c>
      <c r="K765">
        <v>0</v>
      </c>
      <c r="L765">
        <v>3</v>
      </c>
      <c r="M765">
        <v>0</v>
      </c>
      <c r="N765">
        <v>0</v>
      </c>
      <c r="O765">
        <v>0</v>
      </c>
      <c r="P765">
        <v>0</v>
      </c>
      <c r="Q765">
        <v>0</v>
      </c>
      <c r="R765">
        <v>4000</v>
      </c>
      <c r="S765">
        <v>2000</v>
      </c>
      <c r="T765">
        <v>0</v>
      </c>
      <c r="U765" t="str">
        <f>IF(SeismicData[[#This Row],[class]]=1,"Dangerous","Safe")</f>
        <v>Safe</v>
      </c>
      <c r="V765" t="str">
        <f>IF(SeismicData[[#This Row],[shift]]="W","Production","Non-Production")</f>
        <v>Production</v>
      </c>
      <c r="W765" t="str">
        <f>IF(SeismicData[[#This Row],[genergy]]=0,"0","10^"&amp;INT(LOG10(SeismicData[[#This Row],[genergy]])))</f>
        <v>10^4</v>
      </c>
      <c r="X765" t="str">
        <f>IF(OR(SeismicData[[#This Row],[genergy]]&lt;$AA$6,SeismicData[[#This Row],[genergy]]&gt;$AA$5),"Outlier","Normal")</f>
        <v>Normal</v>
      </c>
    </row>
    <row r="766" spans="1:24" x14ac:dyDescent="0.15">
      <c r="A766">
        <v>765</v>
      </c>
      <c r="B766" t="s">
        <v>20</v>
      </c>
      <c r="C766" t="s">
        <v>23</v>
      </c>
      <c r="D766" t="s">
        <v>21</v>
      </c>
      <c r="E766">
        <v>13060</v>
      </c>
      <c r="F766">
        <v>81</v>
      </c>
      <c r="G766">
        <v>96</v>
      </c>
      <c r="H766">
        <v>-18</v>
      </c>
      <c r="I766" t="s">
        <v>20</v>
      </c>
      <c r="J766">
        <v>0</v>
      </c>
      <c r="K766">
        <v>0</v>
      </c>
      <c r="L766">
        <v>0</v>
      </c>
      <c r="M766">
        <v>0</v>
      </c>
      <c r="N766">
        <v>0</v>
      </c>
      <c r="O766">
        <v>0</v>
      </c>
      <c r="P766">
        <v>0</v>
      </c>
      <c r="Q766">
        <v>0</v>
      </c>
      <c r="R766">
        <v>0</v>
      </c>
      <c r="S766">
        <v>0</v>
      </c>
      <c r="T766">
        <v>0</v>
      </c>
      <c r="U766" t="str">
        <f>IF(SeismicData[[#This Row],[class]]=1,"Dangerous","Safe")</f>
        <v>Safe</v>
      </c>
      <c r="V766" t="str">
        <f>IF(SeismicData[[#This Row],[shift]]="W","Production","Non-Production")</f>
        <v>Non-Production</v>
      </c>
      <c r="W766" t="str">
        <f>IF(SeismicData[[#This Row],[genergy]]=0,"0","10^"&amp;INT(LOG10(SeismicData[[#This Row],[genergy]])))</f>
        <v>10^4</v>
      </c>
      <c r="X766" t="str">
        <f>IF(OR(SeismicData[[#This Row],[genergy]]&lt;$AA$6,SeismicData[[#This Row],[genergy]]&gt;$AA$5),"Outlier","Normal")</f>
        <v>Normal</v>
      </c>
    </row>
    <row r="767" spans="1:24" x14ac:dyDescent="0.15">
      <c r="A767">
        <v>766</v>
      </c>
      <c r="B767" t="s">
        <v>20</v>
      </c>
      <c r="C767" t="s">
        <v>23</v>
      </c>
      <c r="D767" t="s">
        <v>22</v>
      </c>
      <c r="E767">
        <v>15930</v>
      </c>
      <c r="F767">
        <v>177</v>
      </c>
      <c r="G767">
        <v>-57</v>
      </c>
      <c r="H767">
        <v>-29</v>
      </c>
      <c r="I767" t="s">
        <v>20</v>
      </c>
      <c r="J767">
        <v>2</v>
      </c>
      <c r="K767">
        <v>1</v>
      </c>
      <c r="L767">
        <v>1</v>
      </c>
      <c r="M767">
        <v>0</v>
      </c>
      <c r="N767">
        <v>0</v>
      </c>
      <c r="O767">
        <v>0</v>
      </c>
      <c r="P767">
        <v>0</v>
      </c>
      <c r="Q767">
        <v>0</v>
      </c>
      <c r="R767">
        <v>2600</v>
      </c>
      <c r="S767">
        <v>2000</v>
      </c>
      <c r="T767">
        <v>0</v>
      </c>
      <c r="U767" t="str">
        <f>IF(SeismicData[[#This Row],[class]]=1,"Dangerous","Safe")</f>
        <v>Safe</v>
      </c>
      <c r="V767" t="str">
        <f>IF(SeismicData[[#This Row],[shift]]="W","Production","Non-Production")</f>
        <v>Production</v>
      </c>
      <c r="W767" t="str">
        <f>IF(SeismicData[[#This Row],[genergy]]=0,"0","10^"&amp;INT(LOG10(SeismicData[[#This Row],[genergy]])))</f>
        <v>10^4</v>
      </c>
      <c r="X767" t="str">
        <f>IF(OR(SeismicData[[#This Row],[genergy]]&lt;$AA$6,SeismicData[[#This Row],[genergy]]&gt;$AA$5),"Outlier","Normal")</f>
        <v>Normal</v>
      </c>
    </row>
    <row r="768" spans="1:24" x14ac:dyDescent="0.15">
      <c r="A768">
        <v>767</v>
      </c>
      <c r="B768" t="s">
        <v>20</v>
      </c>
      <c r="C768" t="s">
        <v>23</v>
      </c>
      <c r="D768" t="s">
        <v>22</v>
      </c>
      <c r="E768">
        <v>60340</v>
      </c>
      <c r="F768">
        <v>495</v>
      </c>
      <c r="G768">
        <v>68</v>
      </c>
      <c r="H768">
        <v>96</v>
      </c>
      <c r="I768" t="s">
        <v>20</v>
      </c>
      <c r="J768">
        <v>5</v>
      </c>
      <c r="K768">
        <v>3</v>
      </c>
      <c r="L768">
        <v>2</v>
      </c>
      <c r="M768">
        <v>0</v>
      </c>
      <c r="N768">
        <v>0</v>
      </c>
      <c r="O768">
        <v>0</v>
      </c>
      <c r="P768">
        <v>0</v>
      </c>
      <c r="Q768">
        <v>0</v>
      </c>
      <c r="R768">
        <v>12500</v>
      </c>
      <c r="S768">
        <v>8000</v>
      </c>
      <c r="T768">
        <v>0</v>
      </c>
      <c r="U768" t="str">
        <f>IF(SeismicData[[#This Row],[class]]=1,"Dangerous","Safe")</f>
        <v>Safe</v>
      </c>
      <c r="V768" t="str">
        <f>IF(SeismicData[[#This Row],[shift]]="W","Production","Non-Production")</f>
        <v>Production</v>
      </c>
      <c r="W768" t="str">
        <f>IF(SeismicData[[#This Row],[genergy]]=0,"0","10^"&amp;INT(LOG10(SeismicData[[#This Row],[genergy]])))</f>
        <v>10^4</v>
      </c>
      <c r="X768" t="str">
        <f>IF(OR(SeismicData[[#This Row],[genergy]]&lt;$AA$6,SeismicData[[#This Row],[genergy]]&gt;$AA$5),"Outlier","Normal")</f>
        <v>Normal</v>
      </c>
    </row>
    <row r="769" spans="1:24" x14ac:dyDescent="0.15">
      <c r="A769">
        <v>768</v>
      </c>
      <c r="B769" t="s">
        <v>20</v>
      </c>
      <c r="C769" t="s">
        <v>23</v>
      </c>
      <c r="D769" t="s">
        <v>22</v>
      </c>
      <c r="E769">
        <v>39690</v>
      </c>
      <c r="F769">
        <v>416</v>
      </c>
      <c r="G769">
        <v>6</v>
      </c>
      <c r="H769">
        <v>56</v>
      </c>
      <c r="I769" t="s">
        <v>20</v>
      </c>
      <c r="J769">
        <v>2</v>
      </c>
      <c r="K769">
        <v>1</v>
      </c>
      <c r="L769">
        <v>1</v>
      </c>
      <c r="M769">
        <v>0</v>
      </c>
      <c r="N769">
        <v>0</v>
      </c>
      <c r="O769">
        <v>0</v>
      </c>
      <c r="P769">
        <v>0</v>
      </c>
      <c r="Q769">
        <v>0</v>
      </c>
      <c r="R769">
        <v>1700</v>
      </c>
      <c r="S769">
        <v>1000</v>
      </c>
      <c r="T769">
        <v>0</v>
      </c>
      <c r="U769" t="str">
        <f>IF(SeismicData[[#This Row],[class]]=1,"Dangerous","Safe")</f>
        <v>Safe</v>
      </c>
      <c r="V769" t="str">
        <f>IF(SeismicData[[#This Row],[shift]]="W","Production","Non-Production")</f>
        <v>Production</v>
      </c>
      <c r="W769" t="str">
        <f>IF(SeismicData[[#This Row],[genergy]]=0,"0","10^"&amp;INT(LOG10(SeismicData[[#This Row],[genergy]])))</f>
        <v>10^4</v>
      </c>
      <c r="X769" t="str">
        <f>IF(OR(SeismicData[[#This Row],[genergy]]&lt;$AA$6,SeismicData[[#This Row],[genergy]]&gt;$AA$5),"Outlier","Normal")</f>
        <v>Normal</v>
      </c>
    </row>
    <row r="770" spans="1:24" x14ac:dyDescent="0.15">
      <c r="A770">
        <v>769</v>
      </c>
      <c r="B770" t="s">
        <v>20</v>
      </c>
      <c r="C770" t="s">
        <v>23</v>
      </c>
      <c r="D770" t="s">
        <v>22</v>
      </c>
      <c r="E770">
        <v>32930</v>
      </c>
      <c r="F770">
        <v>271</v>
      </c>
      <c r="G770">
        <v>-16</v>
      </c>
      <c r="H770">
        <v>-7</v>
      </c>
      <c r="I770" t="s">
        <v>20</v>
      </c>
      <c r="J770">
        <v>1</v>
      </c>
      <c r="K770">
        <v>0</v>
      </c>
      <c r="L770">
        <v>1</v>
      </c>
      <c r="M770">
        <v>0</v>
      </c>
      <c r="N770">
        <v>0</v>
      </c>
      <c r="O770">
        <v>0</v>
      </c>
      <c r="P770">
        <v>0</v>
      </c>
      <c r="Q770">
        <v>0</v>
      </c>
      <c r="R770">
        <v>3000</v>
      </c>
      <c r="S770">
        <v>3000</v>
      </c>
      <c r="T770">
        <v>0</v>
      </c>
      <c r="U770" t="str">
        <f>IF(SeismicData[[#This Row],[class]]=1,"Dangerous","Safe")</f>
        <v>Safe</v>
      </c>
      <c r="V770" t="str">
        <f>IF(SeismicData[[#This Row],[shift]]="W","Production","Non-Production")</f>
        <v>Production</v>
      </c>
      <c r="W770" t="str">
        <f>IF(SeismicData[[#This Row],[genergy]]=0,"0","10^"&amp;INT(LOG10(SeismicData[[#This Row],[genergy]])))</f>
        <v>10^4</v>
      </c>
      <c r="X770" t="str">
        <f>IF(OR(SeismicData[[#This Row],[genergy]]&lt;$AA$6,SeismicData[[#This Row],[genergy]]&gt;$AA$5),"Outlier","Normal")</f>
        <v>Normal</v>
      </c>
    </row>
    <row r="771" spans="1:24" x14ac:dyDescent="0.15">
      <c r="A771">
        <v>770</v>
      </c>
      <c r="B771" t="s">
        <v>20</v>
      </c>
      <c r="C771" t="s">
        <v>20</v>
      </c>
      <c r="D771" t="s">
        <v>22</v>
      </c>
      <c r="E771">
        <v>18210</v>
      </c>
      <c r="F771">
        <v>150</v>
      </c>
      <c r="G771">
        <v>-54</v>
      </c>
      <c r="H771">
        <v>-51</v>
      </c>
      <c r="I771" t="s">
        <v>20</v>
      </c>
      <c r="J771">
        <v>3</v>
      </c>
      <c r="K771">
        <v>1</v>
      </c>
      <c r="L771">
        <v>2</v>
      </c>
      <c r="M771">
        <v>0</v>
      </c>
      <c r="N771">
        <v>0</v>
      </c>
      <c r="O771">
        <v>0</v>
      </c>
      <c r="P771">
        <v>0</v>
      </c>
      <c r="Q771">
        <v>0</v>
      </c>
      <c r="R771">
        <v>7700</v>
      </c>
      <c r="S771">
        <v>5000</v>
      </c>
      <c r="T771">
        <v>0</v>
      </c>
      <c r="U771" t="str">
        <f>IF(SeismicData[[#This Row],[class]]=1,"Dangerous","Safe")</f>
        <v>Safe</v>
      </c>
      <c r="V771" t="str">
        <f>IF(SeismicData[[#This Row],[shift]]="W","Production","Non-Production")</f>
        <v>Production</v>
      </c>
      <c r="W771" t="str">
        <f>IF(SeismicData[[#This Row],[genergy]]=0,"0","10^"&amp;INT(LOG10(SeismicData[[#This Row],[genergy]])))</f>
        <v>10^4</v>
      </c>
      <c r="X771" t="str">
        <f>IF(OR(SeismicData[[#This Row],[genergy]]&lt;$AA$6,SeismicData[[#This Row],[genergy]]&gt;$AA$5),"Outlier","Normal")</f>
        <v>Normal</v>
      </c>
    </row>
    <row r="772" spans="1:24" x14ac:dyDescent="0.15">
      <c r="A772">
        <v>771</v>
      </c>
      <c r="B772" t="s">
        <v>20</v>
      </c>
      <c r="C772" t="s">
        <v>20</v>
      </c>
      <c r="D772" t="s">
        <v>22</v>
      </c>
      <c r="E772">
        <v>24790</v>
      </c>
      <c r="F772">
        <v>236</v>
      </c>
      <c r="G772">
        <v>-31</v>
      </c>
      <c r="H772">
        <v>-17</v>
      </c>
      <c r="I772" t="s">
        <v>20</v>
      </c>
      <c r="J772">
        <v>1</v>
      </c>
      <c r="K772">
        <v>1</v>
      </c>
      <c r="L772">
        <v>0</v>
      </c>
      <c r="M772">
        <v>0</v>
      </c>
      <c r="N772">
        <v>0</v>
      </c>
      <c r="O772">
        <v>0</v>
      </c>
      <c r="P772">
        <v>0</v>
      </c>
      <c r="Q772">
        <v>0</v>
      </c>
      <c r="R772">
        <v>600</v>
      </c>
      <c r="S772">
        <v>600</v>
      </c>
      <c r="T772">
        <v>0</v>
      </c>
      <c r="U772" t="str">
        <f>IF(SeismicData[[#This Row],[class]]=1,"Dangerous","Safe")</f>
        <v>Safe</v>
      </c>
      <c r="V772" t="str">
        <f>IF(SeismicData[[#This Row],[shift]]="W","Production","Non-Production")</f>
        <v>Production</v>
      </c>
      <c r="W772" t="str">
        <f>IF(SeismicData[[#This Row],[genergy]]=0,"0","10^"&amp;INT(LOG10(SeismicData[[#This Row],[genergy]])))</f>
        <v>10^4</v>
      </c>
      <c r="X772" t="str">
        <f>IF(OR(SeismicData[[#This Row],[genergy]]&lt;$AA$6,SeismicData[[#This Row],[genergy]]&gt;$AA$5),"Outlier","Normal")</f>
        <v>Normal</v>
      </c>
    </row>
    <row r="773" spans="1:24" x14ac:dyDescent="0.15">
      <c r="A773">
        <v>772</v>
      </c>
      <c r="B773" t="s">
        <v>20</v>
      </c>
      <c r="C773" t="s">
        <v>20</v>
      </c>
      <c r="D773" t="s">
        <v>22</v>
      </c>
      <c r="E773">
        <v>43490</v>
      </c>
      <c r="F773">
        <v>352</v>
      </c>
      <c r="G773">
        <v>26</v>
      </c>
      <c r="H773">
        <v>24</v>
      </c>
      <c r="I773" t="s">
        <v>20</v>
      </c>
      <c r="J773">
        <v>0</v>
      </c>
      <c r="K773">
        <v>0</v>
      </c>
      <c r="L773">
        <v>0</v>
      </c>
      <c r="M773">
        <v>0</v>
      </c>
      <c r="N773">
        <v>0</v>
      </c>
      <c r="O773">
        <v>0</v>
      </c>
      <c r="P773">
        <v>0</v>
      </c>
      <c r="Q773">
        <v>0</v>
      </c>
      <c r="R773">
        <v>0</v>
      </c>
      <c r="S773">
        <v>0</v>
      </c>
      <c r="T773">
        <v>0</v>
      </c>
      <c r="U773" t="str">
        <f>IF(SeismicData[[#This Row],[class]]=1,"Dangerous","Safe")</f>
        <v>Safe</v>
      </c>
      <c r="V773" t="str">
        <f>IF(SeismicData[[#This Row],[shift]]="W","Production","Non-Production")</f>
        <v>Production</v>
      </c>
      <c r="W773" t="str">
        <f>IF(SeismicData[[#This Row],[genergy]]=0,"0","10^"&amp;INT(LOG10(SeismicData[[#This Row],[genergy]])))</f>
        <v>10^4</v>
      </c>
      <c r="X773" t="str">
        <f>IF(OR(SeismicData[[#This Row],[genergy]]&lt;$AA$6,SeismicData[[#This Row],[genergy]]&gt;$AA$5),"Outlier","Normal")</f>
        <v>Normal</v>
      </c>
    </row>
    <row r="774" spans="1:24" x14ac:dyDescent="0.15">
      <c r="A774">
        <v>773</v>
      </c>
      <c r="B774" t="s">
        <v>20</v>
      </c>
      <c r="C774" t="s">
        <v>20</v>
      </c>
      <c r="D774" t="s">
        <v>21</v>
      </c>
      <c r="E774">
        <v>10850</v>
      </c>
      <c r="F774">
        <v>131</v>
      </c>
      <c r="G774">
        <v>55</v>
      </c>
      <c r="H774">
        <v>49</v>
      </c>
      <c r="I774" t="s">
        <v>20</v>
      </c>
      <c r="J774">
        <v>0</v>
      </c>
      <c r="K774">
        <v>0</v>
      </c>
      <c r="L774">
        <v>0</v>
      </c>
      <c r="M774">
        <v>0</v>
      </c>
      <c r="N774">
        <v>0</v>
      </c>
      <c r="O774">
        <v>0</v>
      </c>
      <c r="P774">
        <v>0</v>
      </c>
      <c r="Q774">
        <v>0</v>
      </c>
      <c r="R774">
        <v>0</v>
      </c>
      <c r="S774">
        <v>0</v>
      </c>
      <c r="T774">
        <v>0</v>
      </c>
      <c r="U774" t="str">
        <f>IF(SeismicData[[#This Row],[class]]=1,"Dangerous","Safe")</f>
        <v>Safe</v>
      </c>
      <c r="V774" t="str">
        <f>IF(SeismicData[[#This Row],[shift]]="W","Production","Non-Production")</f>
        <v>Non-Production</v>
      </c>
      <c r="W774" t="str">
        <f>IF(SeismicData[[#This Row],[genergy]]=0,"0","10^"&amp;INT(LOG10(SeismicData[[#This Row],[genergy]])))</f>
        <v>10^4</v>
      </c>
      <c r="X774" t="str">
        <f>IF(OR(SeismicData[[#This Row],[genergy]]&lt;$AA$6,SeismicData[[#This Row],[genergy]]&gt;$AA$5),"Outlier","Normal")</f>
        <v>Normal</v>
      </c>
    </row>
    <row r="775" spans="1:24" x14ac:dyDescent="0.15">
      <c r="A775">
        <v>774</v>
      </c>
      <c r="B775" t="s">
        <v>20</v>
      </c>
      <c r="C775" t="s">
        <v>20</v>
      </c>
      <c r="D775" t="s">
        <v>21</v>
      </c>
      <c r="E775">
        <v>3770</v>
      </c>
      <c r="F775">
        <v>50</v>
      </c>
      <c r="G775">
        <v>-47</v>
      </c>
      <c r="H775">
        <v>-40</v>
      </c>
      <c r="I775" t="s">
        <v>20</v>
      </c>
      <c r="J775">
        <v>0</v>
      </c>
      <c r="K775">
        <v>0</v>
      </c>
      <c r="L775">
        <v>0</v>
      </c>
      <c r="M775">
        <v>0</v>
      </c>
      <c r="N775">
        <v>0</v>
      </c>
      <c r="O775">
        <v>0</v>
      </c>
      <c r="P775">
        <v>0</v>
      </c>
      <c r="Q775">
        <v>0</v>
      </c>
      <c r="R775">
        <v>0</v>
      </c>
      <c r="S775">
        <v>0</v>
      </c>
      <c r="T775">
        <v>0</v>
      </c>
      <c r="U775" t="str">
        <f>IF(SeismicData[[#This Row],[class]]=1,"Dangerous","Safe")</f>
        <v>Safe</v>
      </c>
      <c r="V775" t="str">
        <f>IF(SeismicData[[#This Row],[shift]]="W","Production","Non-Production")</f>
        <v>Non-Production</v>
      </c>
      <c r="W775" t="str">
        <f>IF(SeismicData[[#This Row],[genergy]]=0,"0","10^"&amp;INT(LOG10(SeismicData[[#This Row],[genergy]])))</f>
        <v>10^3</v>
      </c>
      <c r="X775" t="str">
        <f>IF(OR(SeismicData[[#This Row],[genergy]]&lt;$AA$6,SeismicData[[#This Row],[genergy]]&gt;$AA$5),"Outlier","Normal")</f>
        <v>Normal</v>
      </c>
    </row>
    <row r="776" spans="1:24" x14ac:dyDescent="0.15">
      <c r="A776">
        <v>775</v>
      </c>
      <c r="B776" t="s">
        <v>20</v>
      </c>
      <c r="C776" t="s">
        <v>20</v>
      </c>
      <c r="D776" t="s">
        <v>21</v>
      </c>
      <c r="E776">
        <v>3650</v>
      </c>
      <c r="F776">
        <v>41</v>
      </c>
      <c r="G776">
        <v>-44</v>
      </c>
      <c r="H776">
        <v>-46</v>
      </c>
      <c r="I776" t="s">
        <v>20</v>
      </c>
      <c r="J776">
        <v>1</v>
      </c>
      <c r="K776">
        <v>0</v>
      </c>
      <c r="L776">
        <v>1</v>
      </c>
      <c r="M776">
        <v>0</v>
      </c>
      <c r="N776">
        <v>0</v>
      </c>
      <c r="O776">
        <v>0</v>
      </c>
      <c r="P776">
        <v>0</v>
      </c>
      <c r="Q776">
        <v>0</v>
      </c>
      <c r="R776">
        <v>4000</v>
      </c>
      <c r="S776">
        <v>4000</v>
      </c>
      <c r="T776">
        <v>0</v>
      </c>
      <c r="U776" t="str">
        <f>IF(SeismicData[[#This Row],[class]]=1,"Dangerous","Safe")</f>
        <v>Safe</v>
      </c>
      <c r="V776" t="str">
        <f>IF(SeismicData[[#This Row],[shift]]="W","Production","Non-Production")</f>
        <v>Non-Production</v>
      </c>
      <c r="W776" t="str">
        <f>IF(SeismicData[[#This Row],[genergy]]=0,"0","10^"&amp;INT(LOG10(SeismicData[[#This Row],[genergy]])))</f>
        <v>10^3</v>
      </c>
      <c r="X776" t="str">
        <f>IF(OR(SeismicData[[#This Row],[genergy]]&lt;$AA$6,SeismicData[[#This Row],[genergy]]&gt;$AA$5),"Outlier","Normal")</f>
        <v>Normal</v>
      </c>
    </row>
    <row r="777" spans="1:24" x14ac:dyDescent="0.15">
      <c r="A777">
        <v>776</v>
      </c>
      <c r="B777" t="s">
        <v>20</v>
      </c>
      <c r="C777" t="s">
        <v>20</v>
      </c>
      <c r="D777" t="s">
        <v>22</v>
      </c>
      <c r="E777">
        <v>8380</v>
      </c>
      <c r="F777">
        <v>47</v>
      </c>
      <c r="G777">
        <v>-78</v>
      </c>
      <c r="H777">
        <v>-85</v>
      </c>
      <c r="I777" t="s">
        <v>20</v>
      </c>
      <c r="J777">
        <v>1</v>
      </c>
      <c r="K777">
        <v>0</v>
      </c>
      <c r="L777">
        <v>1</v>
      </c>
      <c r="M777">
        <v>0</v>
      </c>
      <c r="N777">
        <v>0</v>
      </c>
      <c r="O777">
        <v>0</v>
      </c>
      <c r="P777">
        <v>0</v>
      </c>
      <c r="Q777">
        <v>0</v>
      </c>
      <c r="R777">
        <v>6000</v>
      </c>
      <c r="S777">
        <v>6000</v>
      </c>
      <c r="T777">
        <v>0</v>
      </c>
      <c r="U777" t="str">
        <f>IF(SeismicData[[#This Row],[class]]=1,"Dangerous","Safe")</f>
        <v>Safe</v>
      </c>
      <c r="V777" t="str">
        <f>IF(SeismicData[[#This Row],[shift]]="W","Production","Non-Production")</f>
        <v>Production</v>
      </c>
      <c r="W777" t="str">
        <f>IF(SeismicData[[#This Row],[genergy]]=0,"0","10^"&amp;INT(LOG10(SeismicData[[#This Row],[genergy]])))</f>
        <v>10^3</v>
      </c>
      <c r="X777" t="str">
        <f>IF(OR(SeismicData[[#This Row],[genergy]]&lt;$AA$6,SeismicData[[#This Row],[genergy]]&gt;$AA$5),"Outlier","Normal")</f>
        <v>Normal</v>
      </c>
    </row>
    <row r="778" spans="1:24" x14ac:dyDescent="0.15">
      <c r="A778">
        <v>777</v>
      </c>
      <c r="B778" t="s">
        <v>20</v>
      </c>
      <c r="C778" t="s">
        <v>23</v>
      </c>
      <c r="D778" t="s">
        <v>22</v>
      </c>
      <c r="E778">
        <v>61110</v>
      </c>
      <c r="F778">
        <v>439</v>
      </c>
      <c r="G778">
        <v>86</v>
      </c>
      <c r="H778">
        <v>62</v>
      </c>
      <c r="I778" t="s">
        <v>20</v>
      </c>
      <c r="J778">
        <v>4</v>
      </c>
      <c r="K778">
        <v>4</v>
      </c>
      <c r="L778">
        <v>0</v>
      </c>
      <c r="M778">
        <v>0</v>
      </c>
      <c r="N778">
        <v>0</v>
      </c>
      <c r="O778">
        <v>0</v>
      </c>
      <c r="P778">
        <v>0</v>
      </c>
      <c r="Q778">
        <v>0</v>
      </c>
      <c r="R778">
        <v>1600</v>
      </c>
      <c r="S778">
        <v>600</v>
      </c>
      <c r="T778">
        <v>0</v>
      </c>
      <c r="U778" t="str">
        <f>IF(SeismicData[[#This Row],[class]]=1,"Dangerous","Safe")</f>
        <v>Safe</v>
      </c>
      <c r="V778" t="str">
        <f>IF(SeismicData[[#This Row],[shift]]="W","Production","Non-Production")</f>
        <v>Production</v>
      </c>
      <c r="W778" t="str">
        <f>IF(SeismicData[[#This Row],[genergy]]=0,"0","10^"&amp;INT(LOG10(SeismicData[[#This Row],[genergy]])))</f>
        <v>10^4</v>
      </c>
      <c r="X778" t="str">
        <f>IF(OR(SeismicData[[#This Row],[genergy]]&lt;$AA$6,SeismicData[[#This Row],[genergy]]&gt;$AA$5),"Outlier","Normal")</f>
        <v>Normal</v>
      </c>
    </row>
    <row r="779" spans="1:24" x14ac:dyDescent="0.15">
      <c r="A779">
        <v>778</v>
      </c>
      <c r="B779" t="s">
        <v>20</v>
      </c>
      <c r="C779" t="s">
        <v>23</v>
      </c>
      <c r="D779" t="s">
        <v>22</v>
      </c>
      <c r="E779">
        <v>39880</v>
      </c>
      <c r="F779">
        <v>342</v>
      </c>
      <c r="G779">
        <v>15</v>
      </c>
      <c r="H779">
        <v>21</v>
      </c>
      <c r="I779" t="s">
        <v>20</v>
      </c>
      <c r="J779">
        <v>3</v>
      </c>
      <c r="K779">
        <v>1</v>
      </c>
      <c r="L779">
        <v>2</v>
      </c>
      <c r="M779">
        <v>0</v>
      </c>
      <c r="N779">
        <v>0</v>
      </c>
      <c r="O779">
        <v>0</v>
      </c>
      <c r="P779">
        <v>0</v>
      </c>
      <c r="Q779">
        <v>0</v>
      </c>
      <c r="R779">
        <v>2800</v>
      </c>
      <c r="S779">
        <v>1000</v>
      </c>
      <c r="T779">
        <v>0</v>
      </c>
      <c r="U779" t="str">
        <f>IF(SeismicData[[#This Row],[class]]=1,"Dangerous","Safe")</f>
        <v>Safe</v>
      </c>
      <c r="V779" t="str">
        <f>IF(SeismicData[[#This Row],[shift]]="W","Production","Non-Production")</f>
        <v>Production</v>
      </c>
      <c r="W779" t="str">
        <f>IF(SeismicData[[#This Row],[genergy]]=0,"0","10^"&amp;INT(LOG10(SeismicData[[#This Row],[genergy]])))</f>
        <v>10^4</v>
      </c>
      <c r="X779" t="str">
        <f>IF(OR(SeismicData[[#This Row],[genergy]]&lt;$AA$6,SeismicData[[#This Row],[genergy]]&gt;$AA$5),"Outlier","Normal")</f>
        <v>Normal</v>
      </c>
    </row>
    <row r="780" spans="1:24" x14ac:dyDescent="0.15">
      <c r="A780">
        <v>779</v>
      </c>
      <c r="B780" t="s">
        <v>20</v>
      </c>
      <c r="C780" t="s">
        <v>23</v>
      </c>
      <c r="D780" t="s">
        <v>22</v>
      </c>
      <c r="E780">
        <v>19170</v>
      </c>
      <c r="F780">
        <v>158</v>
      </c>
      <c r="G780">
        <v>-44</v>
      </c>
      <c r="H780">
        <v>-46</v>
      </c>
      <c r="I780" t="s">
        <v>20</v>
      </c>
      <c r="J780">
        <v>2</v>
      </c>
      <c r="K780">
        <v>1</v>
      </c>
      <c r="L780">
        <v>1</v>
      </c>
      <c r="M780">
        <v>0</v>
      </c>
      <c r="N780">
        <v>0</v>
      </c>
      <c r="O780">
        <v>0</v>
      </c>
      <c r="P780">
        <v>0</v>
      </c>
      <c r="Q780">
        <v>0</v>
      </c>
      <c r="R780">
        <v>4500</v>
      </c>
      <c r="S780">
        <v>4000</v>
      </c>
      <c r="T780">
        <v>0</v>
      </c>
      <c r="U780" t="str">
        <f>IF(SeismicData[[#This Row],[class]]=1,"Dangerous","Safe")</f>
        <v>Safe</v>
      </c>
      <c r="V780" t="str">
        <f>IF(SeismicData[[#This Row],[shift]]="W","Production","Non-Production")</f>
        <v>Production</v>
      </c>
      <c r="W780" t="str">
        <f>IF(SeismicData[[#This Row],[genergy]]=0,"0","10^"&amp;INT(LOG10(SeismicData[[#This Row],[genergy]])))</f>
        <v>10^4</v>
      </c>
      <c r="X780" t="str">
        <f>IF(OR(SeismicData[[#This Row],[genergy]]&lt;$AA$6,SeismicData[[#This Row],[genergy]]&gt;$AA$5),"Outlier","Normal")</f>
        <v>Normal</v>
      </c>
    </row>
    <row r="781" spans="1:24" x14ac:dyDescent="0.15">
      <c r="A781">
        <v>780</v>
      </c>
      <c r="B781" t="s">
        <v>20</v>
      </c>
      <c r="C781" t="s">
        <v>20</v>
      </c>
      <c r="D781" t="s">
        <v>22</v>
      </c>
      <c r="E781">
        <v>17750</v>
      </c>
      <c r="F781">
        <v>151</v>
      </c>
      <c r="G781">
        <v>-49</v>
      </c>
      <c r="H781">
        <v>-48</v>
      </c>
      <c r="I781" t="s">
        <v>20</v>
      </c>
      <c r="J781">
        <v>1</v>
      </c>
      <c r="K781">
        <v>1</v>
      </c>
      <c r="L781">
        <v>0</v>
      </c>
      <c r="M781">
        <v>0</v>
      </c>
      <c r="N781">
        <v>0</v>
      </c>
      <c r="O781">
        <v>0</v>
      </c>
      <c r="P781">
        <v>0</v>
      </c>
      <c r="Q781">
        <v>0</v>
      </c>
      <c r="R781">
        <v>400</v>
      </c>
      <c r="S781">
        <v>400</v>
      </c>
      <c r="T781">
        <v>0</v>
      </c>
      <c r="U781" t="str">
        <f>IF(SeismicData[[#This Row],[class]]=1,"Dangerous","Safe")</f>
        <v>Safe</v>
      </c>
      <c r="V781" t="str">
        <f>IF(SeismicData[[#This Row],[shift]]="W","Production","Non-Production")</f>
        <v>Production</v>
      </c>
      <c r="W781" t="str">
        <f>IF(SeismicData[[#This Row],[genergy]]=0,"0","10^"&amp;INT(LOG10(SeismicData[[#This Row],[genergy]])))</f>
        <v>10^4</v>
      </c>
      <c r="X781" t="str">
        <f>IF(OR(SeismicData[[#This Row],[genergy]]&lt;$AA$6,SeismicData[[#This Row],[genergy]]&gt;$AA$5),"Outlier","Normal")</f>
        <v>Normal</v>
      </c>
    </row>
    <row r="782" spans="1:24" x14ac:dyDescent="0.15">
      <c r="A782">
        <v>781</v>
      </c>
      <c r="B782" t="s">
        <v>20</v>
      </c>
      <c r="C782" t="s">
        <v>20</v>
      </c>
      <c r="D782" t="s">
        <v>22</v>
      </c>
      <c r="E782">
        <v>41740</v>
      </c>
      <c r="F782">
        <v>331</v>
      </c>
      <c r="G782">
        <v>37</v>
      </c>
      <c r="H782">
        <v>29</v>
      </c>
      <c r="I782" t="s">
        <v>20</v>
      </c>
      <c r="J782">
        <v>2</v>
      </c>
      <c r="K782">
        <v>2</v>
      </c>
      <c r="L782">
        <v>0</v>
      </c>
      <c r="M782">
        <v>0</v>
      </c>
      <c r="N782">
        <v>0</v>
      </c>
      <c r="O782">
        <v>0</v>
      </c>
      <c r="P782">
        <v>0</v>
      </c>
      <c r="Q782">
        <v>0</v>
      </c>
      <c r="R782">
        <v>1100</v>
      </c>
      <c r="S782">
        <v>700</v>
      </c>
      <c r="T782">
        <v>0</v>
      </c>
      <c r="U782" t="str">
        <f>IF(SeismicData[[#This Row],[class]]=1,"Dangerous","Safe")</f>
        <v>Safe</v>
      </c>
      <c r="V782" t="str">
        <f>IF(SeismicData[[#This Row],[shift]]="W","Production","Non-Production")</f>
        <v>Production</v>
      </c>
      <c r="W782" t="str">
        <f>IF(SeismicData[[#This Row],[genergy]]=0,"0","10^"&amp;INT(LOG10(SeismicData[[#This Row],[genergy]])))</f>
        <v>10^4</v>
      </c>
      <c r="X782" t="str">
        <f>IF(OR(SeismicData[[#This Row],[genergy]]&lt;$AA$6,SeismicData[[#This Row],[genergy]]&gt;$AA$5),"Outlier","Normal")</f>
        <v>Normal</v>
      </c>
    </row>
    <row r="783" spans="1:24" x14ac:dyDescent="0.15">
      <c r="A783">
        <v>782</v>
      </c>
      <c r="B783" t="s">
        <v>20</v>
      </c>
      <c r="C783" t="s">
        <v>20</v>
      </c>
      <c r="D783" t="s">
        <v>22</v>
      </c>
      <c r="E783">
        <v>35800</v>
      </c>
      <c r="F783">
        <v>341</v>
      </c>
      <c r="G783">
        <v>16</v>
      </c>
      <c r="H783">
        <v>38</v>
      </c>
      <c r="I783" t="s">
        <v>20</v>
      </c>
      <c r="J783">
        <v>0</v>
      </c>
      <c r="K783">
        <v>0</v>
      </c>
      <c r="L783">
        <v>0</v>
      </c>
      <c r="M783">
        <v>0</v>
      </c>
      <c r="N783">
        <v>0</v>
      </c>
      <c r="O783">
        <v>0</v>
      </c>
      <c r="P783">
        <v>0</v>
      </c>
      <c r="Q783">
        <v>0</v>
      </c>
      <c r="R783">
        <v>0</v>
      </c>
      <c r="S783">
        <v>0</v>
      </c>
      <c r="T783">
        <v>0</v>
      </c>
      <c r="U783" t="str">
        <f>IF(SeismicData[[#This Row],[class]]=1,"Dangerous","Safe")</f>
        <v>Safe</v>
      </c>
      <c r="V783" t="str">
        <f>IF(SeismicData[[#This Row],[shift]]="W","Production","Non-Production")</f>
        <v>Production</v>
      </c>
      <c r="W783" t="str">
        <f>IF(SeismicData[[#This Row],[genergy]]=0,"0","10^"&amp;INT(LOG10(SeismicData[[#This Row],[genergy]])))</f>
        <v>10^4</v>
      </c>
      <c r="X783" t="str">
        <f>IF(OR(SeismicData[[#This Row],[genergy]]&lt;$AA$6,SeismicData[[#This Row],[genergy]]&gt;$AA$5),"Outlier","Normal")</f>
        <v>Normal</v>
      </c>
    </row>
    <row r="784" spans="1:24" x14ac:dyDescent="0.15">
      <c r="A784">
        <v>783</v>
      </c>
      <c r="B784" t="s">
        <v>20</v>
      </c>
      <c r="C784" t="s">
        <v>23</v>
      </c>
      <c r="D784" t="s">
        <v>22</v>
      </c>
      <c r="E784">
        <v>48820</v>
      </c>
      <c r="F784">
        <v>446</v>
      </c>
      <c r="G784">
        <v>57</v>
      </c>
      <c r="H784">
        <v>75</v>
      </c>
      <c r="I784" t="s">
        <v>23</v>
      </c>
      <c r="J784">
        <v>5</v>
      </c>
      <c r="K784">
        <v>4</v>
      </c>
      <c r="L784">
        <v>1</v>
      </c>
      <c r="M784">
        <v>0</v>
      </c>
      <c r="N784">
        <v>0</v>
      </c>
      <c r="O784">
        <v>0</v>
      </c>
      <c r="P784">
        <v>0</v>
      </c>
      <c r="Q784">
        <v>0</v>
      </c>
      <c r="R784">
        <v>3900</v>
      </c>
      <c r="S784">
        <v>2000</v>
      </c>
      <c r="T784">
        <v>0</v>
      </c>
      <c r="U784" t="str">
        <f>IF(SeismicData[[#This Row],[class]]=1,"Dangerous","Safe")</f>
        <v>Safe</v>
      </c>
      <c r="V784" t="str">
        <f>IF(SeismicData[[#This Row],[shift]]="W","Production","Non-Production")</f>
        <v>Production</v>
      </c>
      <c r="W784" t="str">
        <f>IF(SeismicData[[#This Row],[genergy]]=0,"0","10^"&amp;INT(LOG10(SeismicData[[#This Row],[genergy]])))</f>
        <v>10^4</v>
      </c>
      <c r="X784" t="str">
        <f>IF(OR(SeismicData[[#This Row],[genergy]]&lt;$AA$6,SeismicData[[#This Row],[genergy]]&gt;$AA$5),"Outlier","Normal")</f>
        <v>Normal</v>
      </c>
    </row>
    <row r="785" spans="1:24" x14ac:dyDescent="0.15">
      <c r="A785">
        <v>784</v>
      </c>
      <c r="B785" t="s">
        <v>20</v>
      </c>
      <c r="C785" t="s">
        <v>23</v>
      </c>
      <c r="D785" t="s">
        <v>22</v>
      </c>
      <c r="E785">
        <v>29470</v>
      </c>
      <c r="F785">
        <v>347</v>
      </c>
      <c r="G785">
        <v>-14</v>
      </c>
      <c r="H785">
        <v>22</v>
      </c>
      <c r="I785" t="s">
        <v>23</v>
      </c>
      <c r="J785">
        <v>0</v>
      </c>
      <c r="K785">
        <v>0</v>
      </c>
      <c r="L785">
        <v>0</v>
      </c>
      <c r="M785">
        <v>0</v>
      </c>
      <c r="N785">
        <v>0</v>
      </c>
      <c r="O785">
        <v>0</v>
      </c>
      <c r="P785">
        <v>0</v>
      </c>
      <c r="Q785">
        <v>0</v>
      </c>
      <c r="R785">
        <v>0</v>
      </c>
      <c r="S785">
        <v>0</v>
      </c>
      <c r="T785">
        <v>0</v>
      </c>
      <c r="U785" t="str">
        <f>IF(SeismicData[[#This Row],[class]]=1,"Dangerous","Safe")</f>
        <v>Safe</v>
      </c>
      <c r="V785" t="str">
        <f>IF(SeismicData[[#This Row],[shift]]="W","Production","Non-Production")</f>
        <v>Production</v>
      </c>
      <c r="W785" t="str">
        <f>IF(SeismicData[[#This Row],[genergy]]=0,"0","10^"&amp;INT(LOG10(SeismicData[[#This Row],[genergy]])))</f>
        <v>10^4</v>
      </c>
      <c r="X785" t="str">
        <f>IF(OR(SeismicData[[#This Row],[genergy]]&lt;$AA$6,SeismicData[[#This Row],[genergy]]&gt;$AA$5),"Outlier","Normal")</f>
        <v>Normal</v>
      </c>
    </row>
    <row r="786" spans="1:24" x14ac:dyDescent="0.15">
      <c r="A786">
        <v>785</v>
      </c>
      <c r="B786" t="s">
        <v>20</v>
      </c>
      <c r="C786" t="s">
        <v>23</v>
      </c>
      <c r="D786" t="s">
        <v>22</v>
      </c>
      <c r="E786">
        <v>23050</v>
      </c>
      <c r="F786">
        <v>202</v>
      </c>
      <c r="G786">
        <v>-33</v>
      </c>
      <c r="H786">
        <v>-32</v>
      </c>
      <c r="I786" t="s">
        <v>23</v>
      </c>
      <c r="J786">
        <v>4</v>
      </c>
      <c r="K786">
        <v>2</v>
      </c>
      <c r="L786">
        <v>2</v>
      </c>
      <c r="M786">
        <v>0</v>
      </c>
      <c r="N786">
        <v>0</v>
      </c>
      <c r="O786">
        <v>0</v>
      </c>
      <c r="P786">
        <v>0</v>
      </c>
      <c r="Q786">
        <v>0</v>
      </c>
      <c r="R786">
        <v>5100</v>
      </c>
      <c r="S786">
        <v>3000</v>
      </c>
      <c r="T786">
        <v>0</v>
      </c>
      <c r="U786" t="str">
        <f>IF(SeismicData[[#This Row],[class]]=1,"Dangerous","Safe")</f>
        <v>Safe</v>
      </c>
      <c r="V786" t="str">
        <f>IF(SeismicData[[#This Row],[shift]]="W","Production","Non-Production")</f>
        <v>Production</v>
      </c>
      <c r="W786" t="str">
        <f>IF(SeismicData[[#This Row],[genergy]]=0,"0","10^"&amp;INT(LOG10(SeismicData[[#This Row],[genergy]])))</f>
        <v>10^4</v>
      </c>
      <c r="X786" t="str">
        <f>IF(OR(SeismicData[[#This Row],[genergy]]&lt;$AA$6,SeismicData[[#This Row],[genergy]]&gt;$AA$5),"Outlier","Normal")</f>
        <v>Normal</v>
      </c>
    </row>
    <row r="787" spans="1:24" x14ac:dyDescent="0.15">
      <c r="A787">
        <v>786</v>
      </c>
      <c r="B787" t="s">
        <v>20</v>
      </c>
      <c r="C787" t="s">
        <v>23</v>
      </c>
      <c r="D787" t="s">
        <v>22</v>
      </c>
      <c r="E787">
        <v>37820</v>
      </c>
      <c r="F787">
        <v>347</v>
      </c>
      <c r="G787">
        <v>16</v>
      </c>
      <c r="H787">
        <v>24</v>
      </c>
      <c r="I787" t="s">
        <v>20</v>
      </c>
      <c r="J787">
        <v>3</v>
      </c>
      <c r="K787">
        <v>2</v>
      </c>
      <c r="L787">
        <v>1</v>
      </c>
      <c r="M787">
        <v>0</v>
      </c>
      <c r="N787">
        <v>0</v>
      </c>
      <c r="O787">
        <v>0</v>
      </c>
      <c r="P787">
        <v>0</v>
      </c>
      <c r="Q787">
        <v>0</v>
      </c>
      <c r="R787">
        <v>4000</v>
      </c>
      <c r="S787">
        <v>3000</v>
      </c>
      <c r="T787">
        <v>0</v>
      </c>
      <c r="U787" t="str">
        <f>IF(SeismicData[[#This Row],[class]]=1,"Dangerous","Safe")</f>
        <v>Safe</v>
      </c>
      <c r="V787" t="str">
        <f>IF(SeismicData[[#This Row],[shift]]="W","Production","Non-Production")</f>
        <v>Production</v>
      </c>
      <c r="W787" t="str">
        <f>IF(SeismicData[[#This Row],[genergy]]=0,"0","10^"&amp;INT(LOG10(SeismicData[[#This Row],[genergy]])))</f>
        <v>10^4</v>
      </c>
      <c r="X787" t="str">
        <f>IF(OR(SeismicData[[#This Row],[genergy]]&lt;$AA$6,SeismicData[[#This Row],[genergy]]&gt;$AA$5),"Outlier","Normal")</f>
        <v>Normal</v>
      </c>
    </row>
    <row r="788" spans="1:24" x14ac:dyDescent="0.15">
      <c r="A788">
        <v>787</v>
      </c>
      <c r="B788" t="s">
        <v>20</v>
      </c>
      <c r="C788" t="s">
        <v>23</v>
      </c>
      <c r="D788" t="s">
        <v>22</v>
      </c>
      <c r="E788">
        <v>33800</v>
      </c>
      <c r="F788">
        <v>316</v>
      </c>
      <c r="G788">
        <v>-5</v>
      </c>
      <c r="H788">
        <v>2</v>
      </c>
      <c r="I788" t="s">
        <v>20</v>
      </c>
      <c r="J788">
        <v>2</v>
      </c>
      <c r="K788">
        <v>1</v>
      </c>
      <c r="L788">
        <v>1</v>
      </c>
      <c r="M788">
        <v>0</v>
      </c>
      <c r="N788">
        <v>0</v>
      </c>
      <c r="O788">
        <v>0</v>
      </c>
      <c r="P788">
        <v>0</v>
      </c>
      <c r="Q788">
        <v>0</v>
      </c>
      <c r="R788">
        <v>3400</v>
      </c>
      <c r="S788">
        <v>3000</v>
      </c>
      <c r="T788">
        <v>0</v>
      </c>
      <c r="U788" t="str">
        <f>IF(SeismicData[[#This Row],[class]]=1,"Dangerous","Safe")</f>
        <v>Safe</v>
      </c>
      <c r="V788" t="str">
        <f>IF(SeismicData[[#This Row],[shift]]="W","Production","Non-Production")</f>
        <v>Production</v>
      </c>
      <c r="W788" t="str">
        <f>IF(SeismicData[[#This Row],[genergy]]=0,"0","10^"&amp;INT(LOG10(SeismicData[[#This Row],[genergy]])))</f>
        <v>10^4</v>
      </c>
      <c r="X788" t="str">
        <f>IF(OR(SeismicData[[#This Row],[genergy]]&lt;$AA$6,SeismicData[[#This Row],[genergy]]&gt;$AA$5),"Outlier","Normal")</f>
        <v>Normal</v>
      </c>
    </row>
    <row r="789" spans="1:24" x14ac:dyDescent="0.15">
      <c r="A789">
        <v>788</v>
      </c>
      <c r="B789" t="s">
        <v>20</v>
      </c>
      <c r="C789" t="s">
        <v>20</v>
      </c>
      <c r="D789" t="s">
        <v>22</v>
      </c>
      <c r="E789">
        <v>13830</v>
      </c>
      <c r="F789">
        <v>145</v>
      </c>
      <c r="G789">
        <v>-58</v>
      </c>
      <c r="H789">
        <v>-51</v>
      </c>
      <c r="I789" t="s">
        <v>20</v>
      </c>
      <c r="J789">
        <v>3</v>
      </c>
      <c r="K789">
        <v>2</v>
      </c>
      <c r="L789">
        <v>1</v>
      </c>
      <c r="M789">
        <v>0</v>
      </c>
      <c r="N789">
        <v>0</v>
      </c>
      <c r="O789">
        <v>0</v>
      </c>
      <c r="P789">
        <v>0</v>
      </c>
      <c r="Q789">
        <v>0</v>
      </c>
      <c r="R789">
        <v>3900</v>
      </c>
      <c r="S789">
        <v>3000</v>
      </c>
      <c r="T789">
        <v>0</v>
      </c>
      <c r="U789" t="str">
        <f>IF(SeismicData[[#This Row],[class]]=1,"Dangerous","Safe")</f>
        <v>Safe</v>
      </c>
      <c r="V789" t="str">
        <f>IF(SeismicData[[#This Row],[shift]]="W","Production","Non-Production")</f>
        <v>Production</v>
      </c>
      <c r="W789" t="str">
        <f>IF(SeismicData[[#This Row],[genergy]]=0,"0","10^"&amp;INT(LOG10(SeismicData[[#This Row],[genergy]])))</f>
        <v>10^4</v>
      </c>
      <c r="X789" t="str">
        <f>IF(OR(SeismicData[[#This Row],[genergy]]&lt;$AA$6,SeismicData[[#This Row],[genergy]]&gt;$AA$5),"Outlier","Normal")</f>
        <v>Normal</v>
      </c>
    </row>
    <row r="790" spans="1:24" x14ac:dyDescent="0.15">
      <c r="A790">
        <v>789</v>
      </c>
      <c r="B790" t="s">
        <v>20</v>
      </c>
      <c r="C790" t="s">
        <v>20</v>
      </c>
      <c r="D790" t="s">
        <v>22</v>
      </c>
      <c r="E790">
        <v>46170</v>
      </c>
      <c r="F790">
        <v>404</v>
      </c>
      <c r="G790">
        <v>53</v>
      </c>
      <c r="H790">
        <v>45</v>
      </c>
      <c r="I790" t="s">
        <v>20</v>
      </c>
      <c r="J790">
        <v>1</v>
      </c>
      <c r="K790">
        <v>1</v>
      </c>
      <c r="L790">
        <v>0</v>
      </c>
      <c r="M790">
        <v>0</v>
      </c>
      <c r="N790">
        <v>0</v>
      </c>
      <c r="O790">
        <v>0</v>
      </c>
      <c r="P790">
        <v>0</v>
      </c>
      <c r="Q790">
        <v>0</v>
      </c>
      <c r="R790">
        <v>700</v>
      </c>
      <c r="S790">
        <v>700</v>
      </c>
      <c r="T790">
        <v>0</v>
      </c>
      <c r="U790" t="str">
        <f>IF(SeismicData[[#This Row],[class]]=1,"Dangerous","Safe")</f>
        <v>Safe</v>
      </c>
      <c r="V790" t="str">
        <f>IF(SeismicData[[#This Row],[shift]]="W","Production","Non-Production")</f>
        <v>Production</v>
      </c>
      <c r="W790" t="str">
        <f>IF(SeismicData[[#This Row],[genergy]]=0,"0","10^"&amp;INT(LOG10(SeismicData[[#This Row],[genergy]])))</f>
        <v>10^4</v>
      </c>
      <c r="X790" t="str">
        <f>IF(OR(SeismicData[[#This Row],[genergy]]&lt;$AA$6,SeismicData[[#This Row],[genergy]]&gt;$AA$5),"Outlier","Normal")</f>
        <v>Normal</v>
      </c>
    </row>
    <row r="791" spans="1:24" x14ac:dyDescent="0.15">
      <c r="A791">
        <v>790</v>
      </c>
      <c r="B791" t="s">
        <v>20</v>
      </c>
      <c r="C791" t="s">
        <v>20</v>
      </c>
      <c r="D791" t="s">
        <v>22</v>
      </c>
      <c r="E791">
        <v>35510</v>
      </c>
      <c r="F791">
        <v>313</v>
      </c>
      <c r="G791">
        <v>8</v>
      </c>
      <c r="H791">
        <v>3</v>
      </c>
      <c r="I791" t="s">
        <v>20</v>
      </c>
      <c r="J791">
        <v>1</v>
      </c>
      <c r="K791">
        <v>1</v>
      </c>
      <c r="L791">
        <v>0</v>
      </c>
      <c r="M791">
        <v>0</v>
      </c>
      <c r="N791">
        <v>0</v>
      </c>
      <c r="O791">
        <v>0</v>
      </c>
      <c r="P791">
        <v>0</v>
      </c>
      <c r="Q791">
        <v>0</v>
      </c>
      <c r="R791">
        <v>500</v>
      </c>
      <c r="S791">
        <v>500</v>
      </c>
      <c r="T791">
        <v>0</v>
      </c>
      <c r="U791" t="str">
        <f>IF(SeismicData[[#This Row],[class]]=1,"Dangerous","Safe")</f>
        <v>Safe</v>
      </c>
      <c r="V791" t="str">
        <f>IF(SeismicData[[#This Row],[shift]]="W","Production","Non-Production")</f>
        <v>Production</v>
      </c>
      <c r="W791" t="str">
        <f>IF(SeismicData[[#This Row],[genergy]]=0,"0","10^"&amp;INT(LOG10(SeismicData[[#This Row],[genergy]])))</f>
        <v>10^4</v>
      </c>
      <c r="X791" t="str">
        <f>IF(OR(SeismicData[[#This Row],[genergy]]&lt;$AA$6,SeismicData[[#This Row],[genergy]]&gt;$AA$5),"Outlier","Normal")</f>
        <v>Normal</v>
      </c>
    </row>
    <row r="792" spans="1:24" x14ac:dyDescent="0.15">
      <c r="A792">
        <v>791</v>
      </c>
      <c r="B792" t="s">
        <v>20</v>
      </c>
      <c r="C792" t="s">
        <v>20</v>
      </c>
      <c r="D792" t="s">
        <v>22</v>
      </c>
      <c r="E792">
        <v>31040</v>
      </c>
      <c r="F792">
        <v>322</v>
      </c>
      <c r="G792">
        <v>-10</v>
      </c>
      <c r="H792">
        <v>1</v>
      </c>
      <c r="I792" t="s">
        <v>20</v>
      </c>
      <c r="J792">
        <v>5</v>
      </c>
      <c r="K792">
        <v>2</v>
      </c>
      <c r="L792">
        <v>3</v>
      </c>
      <c r="M792">
        <v>0</v>
      </c>
      <c r="N792">
        <v>0</v>
      </c>
      <c r="O792">
        <v>0</v>
      </c>
      <c r="P792">
        <v>0</v>
      </c>
      <c r="Q792">
        <v>0</v>
      </c>
      <c r="R792">
        <v>9000</v>
      </c>
      <c r="S792">
        <v>4000</v>
      </c>
      <c r="T792">
        <v>0</v>
      </c>
      <c r="U792" t="str">
        <f>IF(SeismicData[[#This Row],[class]]=1,"Dangerous","Safe")</f>
        <v>Safe</v>
      </c>
      <c r="V792" t="str">
        <f>IF(SeismicData[[#This Row],[shift]]="W","Production","Non-Production")</f>
        <v>Production</v>
      </c>
      <c r="W792" t="str">
        <f>IF(SeismicData[[#This Row],[genergy]]=0,"0","10^"&amp;INT(LOG10(SeismicData[[#This Row],[genergy]])))</f>
        <v>10^4</v>
      </c>
      <c r="X792" t="str">
        <f>IF(OR(SeismicData[[#This Row],[genergy]]&lt;$AA$6,SeismicData[[#This Row],[genergy]]&gt;$AA$5),"Outlier","Normal")</f>
        <v>Normal</v>
      </c>
    </row>
    <row r="793" spans="1:24" x14ac:dyDescent="0.15">
      <c r="A793">
        <v>792</v>
      </c>
      <c r="B793" t="s">
        <v>20</v>
      </c>
      <c r="C793" t="s">
        <v>20</v>
      </c>
      <c r="D793" t="s">
        <v>22</v>
      </c>
      <c r="E793">
        <v>47690</v>
      </c>
      <c r="F793">
        <v>518</v>
      </c>
      <c r="G793">
        <v>42</v>
      </c>
      <c r="H793">
        <v>63</v>
      </c>
      <c r="I793" t="s">
        <v>20</v>
      </c>
      <c r="J793">
        <v>6</v>
      </c>
      <c r="K793">
        <v>4</v>
      </c>
      <c r="L793">
        <v>2</v>
      </c>
      <c r="M793">
        <v>0</v>
      </c>
      <c r="N793">
        <v>0</v>
      </c>
      <c r="O793">
        <v>0</v>
      </c>
      <c r="P793">
        <v>0</v>
      </c>
      <c r="Q793">
        <v>0</v>
      </c>
      <c r="R793">
        <v>7400</v>
      </c>
      <c r="S793">
        <v>3000</v>
      </c>
      <c r="T793">
        <v>0</v>
      </c>
      <c r="U793" t="str">
        <f>IF(SeismicData[[#This Row],[class]]=1,"Dangerous","Safe")</f>
        <v>Safe</v>
      </c>
      <c r="V793" t="str">
        <f>IF(SeismicData[[#This Row],[shift]]="W","Production","Non-Production")</f>
        <v>Production</v>
      </c>
      <c r="W793" t="str">
        <f>IF(SeismicData[[#This Row],[genergy]]=0,"0","10^"&amp;INT(LOG10(SeismicData[[#This Row],[genergy]])))</f>
        <v>10^4</v>
      </c>
      <c r="X793" t="str">
        <f>IF(OR(SeismicData[[#This Row],[genergy]]&lt;$AA$6,SeismicData[[#This Row],[genergy]]&gt;$AA$5),"Outlier","Normal")</f>
        <v>Normal</v>
      </c>
    </row>
    <row r="794" spans="1:24" x14ac:dyDescent="0.15">
      <c r="A794">
        <v>793</v>
      </c>
      <c r="B794" t="s">
        <v>20</v>
      </c>
      <c r="C794" t="s">
        <v>20</v>
      </c>
      <c r="D794" t="s">
        <v>22</v>
      </c>
      <c r="E794">
        <v>28130</v>
      </c>
      <c r="F794">
        <v>347</v>
      </c>
      <c r="G794">
        <v>-19</v>
      </c>
      <c r="H794">
        <v>3</v>
      </c>
      <c r="I794" t="s">
        <v>20</v>
      </c>
      <c r="J794">
        <v>3</v>
      </c>
      <c r="K794">
        <v>2</v>
      </c>
      <c r="L794">
        <v>1</v>
      </c>
      <c r="M794">
        <v>0</v>
      </c>
      <c r="N794">
        <v>0</v>
      </c>
      <c r="O794">
        <v>0</v>
      </c>
      <c r="P794">
        <v>0</v>
      </c>
      <c r="Q794">
        <v>0</v>
      </c>
      <c r="R794">
        <v>3100</v>
      </c>
      <c r="S794">
        <v>2000</v>
      </c>
      <c r="T794">
        <v>0</v>
      </c>
      <c r="U794" t="str">
        <f>IF(SeismicData[[#This Row],[class]]=1,"Dangerous","Safe")</f>
        <v>Safe</v>
      </c>
      <c r="V794" t="str">
        <f>IF(SeismicData[[#This Row],[shift]]="W","Production","Non-Production")</f>
        <v>Production</v>
      </c>
      <c r="W794" t="str">
        <f>IF(SeismicData[[#This Row],[genergy]]=0,"0","10^"&amp;INT(LOG10(SeismicData[[#This Row],[genergy]])))</f>
        <v>10^4</v>
      </c>
      <c r="X794" t="str">
        <f>IF(OR(SeismicData[[#This Row],[genergy]]&lt;$AA$6,SeismicData[[#This Row],[genergy]]&gt;$AA$5),"Outlier","Normal")</f>
        <v>Normal</v>
      </c>
    </row>
    <row r="795" spans="1:24" x14ac:dyDescent="0.15">
      <c r="A795">
        <v>794</v>
      </c>
      <c r="B795" t="s">
        <v>20</v>
      </c>
      <c r="C795" t="s">
        <v>20</v>
      </c>
      <c r="D795" t="s">
        <v>21</v>
      </c>
      <c r="E795">
        <v>4760</v>
      </c>
      <c r="F795">
        <v>94</v>
      </c>
      <c r="G795">
        <v>-23</v>
      </c>
      <c r="H795">
        <v>37</v>
      </c>
      <c r="I795" t="s">
        <v>20</v>
      </c>
      <c r="J795">
        <v>0</v>
      </c>
      <c r="K795">
        <v>0</v>
      </c>
      <c r="L795">
        <v>0</v>
      </c>
      <c r="M795">
        <v>0</v>
      </c>
      <c r="N795">
        <v>0</v>
      </c>
      <c r="O795">
        <v>0</v>
      </c>
      <c r="P795">
        <v>0</v>
      </c>
      <c r="Q795">
        <v>0</v>
      </c>
      <c r="R795">
        <v>0</v>
      </c>
      <c r="S795">
        <v>0</v>
      </c>
      <c r="T795">
        <v>0</v>
      </c>
      <c r="U795" t="str">
        <f>IF(SeismicData[[#This Row],[class]]=1,"Dangerous","Safe")</f>
        <v>Safe</v>
      </c>
      <c r="V795" t="str">
        <f>IF(SeismicData[[#This Row],[shift]]="W","Production","Non-Production")</f>
        <v>Non-Production</v>
      </c>
      <c r="W795" t="str">
        <f>IF(SeismicData[[#This Row],[genergy]]=0,"0","10^"&amp;INT(LOG10(SeismicData[[#This Row],[genergy]])))</f>
        <v>10^3</v>
      </c>
      <c r="X795" t="str">
        <f>IF(OR(SeismicData[[#This Row],[genergy]]&lt;$AA$6,SeismicData[[#This Row],[genergy]]&gt;$AA$5),"Outlier","Normal")</f>
        <v>Normal</v>
      </c>
    </row>
    <row r="796" spans="1:24" x14ac:dyDescent="0.15">
      <c r="A796">
        <v>795</v>
      </c>
      <c r="B796" t="s">
        <v>20</v>
      </c>
      <c r="C796" t="s">
        <v>20</v>
      </c>
      <c r="D796" t="s">
        <v>21</v>
      </c>
      <c r="E796">
        <v>3860</v>
      </c>
      <c r="F796">
        <v>77</v>
      </c>
      <c r="G796">
        <v>-38</v>
      </c>
      <c r="H796">
        <v>12</v>
      </c>
      <c r="I796" t="s">
        <v>20</v>
      </c>
      <c r="J796">
        <v>0</v>
      </c>
      <c r="K796">
        <v>0</v>
      </c>
      <c r="L796">
        <v>0</v>
      </c>
      <c r="M796">
        <v>0</v>
      </c>
      <c r="N796">
        <v>0</v>
      </c>
      <c r="O796">
        <v>0</v>
      </c>
      <c r="P796">
        <v>0</v>
      </c>
      <c r="Q796">
        <v>0</v>
      </c>
      <c r="R796">
        <v>0</v>
      </c>
      <c r="S796">
        <v>0</v>
      </c>
      <c r="T796">
        <v>0</v>
      </c>
      <c r="U796" t="str">
        <f>IF(SeismicData[[#This Row],[class]]=1,"Dangerous","Safe")</f>
        <v>Safe</v>
      </c>
      <c r="V796" t="str">
        <f>IF(SeismicData[[#This Row],[shift]]="W","Production","Non-Production")</f>
        <v>Non-Production</v>
      </c>
      <c r="W796" t="str">
        <f>IF(SeismicData[[#This Row],[genergy]]=0,"0","10^"&amp;INT(LOG10(SeismicData[[#This Row],[genergy]])))</f>
        <v>10^3</v>
      </c>
      <c r="X796" t="str">
        <f>IF(OR(SeismicData[[#This Row],[genergy]]&lt;$AA$6,SeismicData[[#This Row],[genergy]]&gt;$AA$5),"Outlier","Normal")</f>
        <v>Normal</v>
      </c>
    </row>
    <row r="797" spans="1:24" x14ac:dyDescent="0.15">
      <c r="A797">
        <v>796</v>
      </c>
      <c r="B797" t="s">
        <v>20</v>
      </c>
      <c r="C797" t="s">
        <v>20</v>
      </c>
      <c r="D797" t="s">
        <v>21</v>
      </c>
      <c r="E797">
        <v>2210</v>
      </c>
      <c r="F797">
        <v>34</v>
      </c>
      <c r="G797">
        <v>-64</v>
      </c>
      <c r="H797">
        <v>-51</v>
      </c>
      <c r="I797" t="s">
        <v>20</v>
      </c>
      <c r="J797">
        <v>2</v>
      </c>
      <c r="K797">
        <v>1</v>
      </c>
      <c r="L797">
        <v>1</v>
      </c>
      <c r="M797">
        <v>0</v>
      </c>
      <c r="N797">
        <v>0</v>
      </c>
      <c r="O797">
        <v>0</v>
      </c>
      <c r="P797">
        <v>0</v>
      </c>
      <c r="Q797">
        <v>0</v>
      </c>
      <c r="R797">
        <v>3400</v>
      </c>
      <c r="S797">
        <v>3000</v>
      </c>
      <c r="T797">
        <v>0</v>
      </c>
      <c r="U797" t="str">
        <f>IF(SeismicData[[#This Row],[class]]=1,"Dangerous","Safe")</f>
        <v>Safe</v>
      </c>
      <c r="V797" t="str">
        <f>IF(SeismicData[[#This Row],[shift]]="W","Production","Non-Production")</f>
        <v>Non-Production</v>
      </c>
      <c r="W797" t="str">
        <f>IF(SeismicData[[#This Row],[genergy]]=0,"0","10^"&amp;INT(LOG10(SeismicData[[#This Row],[genergy]])))</f>
        <v>10^3</v>
      </c>
      <c r="X797" t="str">
        <f>IF(OR(SeismicData[[#This Row],[genergy]]&lt;$AA$6,SeismicData[[#This Row],[genergy]]&gt;$AA$5),"Outlier","Normal")</f>
        <v>Normal</v>
      </c>
    </row>
    <row r="798" spans="1:24" x14ac:dyDescent="0.15">
      <c r="A798">
        <v>797</v>
      </c>
      <c r="B798" t="s">
        <v>20</v>
      </c>
      <c r="C798" t="s">
        <v>20</v>
      </c>
      <c r="D798" t="s">
        <v>22</v>
      </c>
      <c r="E798">
        <v>12610</v>
      </c>
      <c r="F798">
        <v>157</v>
      </c>
      <c r="G798">
        <v>-61</v>
      </c>
      <c r="H798">
        <v>-52</v>
      </c>
      <c r="I798" t="s">
        <v>20</v>
      </c>
      <c r="J798">
        <v>1</v>
      </c>
      <c r="K798">
        <v>0</v>
      </c>
      <c r="L798">
        <v>1</v>
      </c>
      <c r="M798">
        <v>0</v>
      </c>
      <c r="N798">
        <v>0</v>
      </c>
      <c r="O798">
        <v>0</v>
      </c>
      <c r="P798">
        <v>0</v>
      </c>
      <c r="Q798">
        <v>0</v>
      </c>
      <c r="R798">
        <v>2000</v>
      </c>
      <c r="S798">
        <v>2000</v>
      </c>
      <c r="T798">
        <v>0</v>
      </c>
      <c r="U798" t="str">
        <f>IF(SeismicData[[#This Row],[class]]=1,"Dangerous","Safe")</f>
        <v>Safe</v>
      </c>
      <c r="V798" t="str">
        <f>IF(SeismicData[[#This Row],[shift]]="W","Production","Non-Production")</f>
        <v>Production</v>
      </c>
      <c r="W798" t="str">
        <f>IF(SeismicData[[#This Row],[genergy]]=0,"0","10^"&amp;INT(LOG10(SeismicData[[#This Row],[genergy]])))</f>
        <v>10^4</v>
      </c>
      <c r="X798" t="str">
        <f>IF(OR(SeismicData[[#This Row],[genergy]]&lt;$AA$6,SeismicData[[#This Row],[genergy]]&gt;$AA$5),"Outlier","Normal")</f>
        <v>Normal</v>
      </c>
    </row>
    <row r="799" spans="1:24" x14ac:dyDescent="0.15">
      <c r="A799">
        <v>798</v>
      </c>
      <c r="B799" t="s">
        <v>20</v>
      </c>
      <c r="C799" t="s">
        <v>20</v>
      </c>
      <c r="D799" t="s">
        <v>22</v>
      </c>
      <c r="E799">
        <v>39390</v>
      </c>
      <c r="F799">
        <v>460</v>
      </c>
      <c r="G799">
        <v>27</v>
      </c>
      <c r="H799">
        <v>50</v>
      </c>
      <c r="I799" t="s">
        <v>20</v>
      </c>
      <c r="J799">
        <v>6</v>
      </c>
      <c r="K799">
        <v>5</v>
      </c>
      <c r="L799">
        <v>1</v>
      </c>
      <c r="M799">
        <v>0</v>
      </c>
      <c r="N799">
        <v>0</v>
      </c>
      <c r="O799">
        <v>0</v>
      </c>
      <c r="P799">
        <v>0</v>
      </c>
      <c r="Q799">
        <v>0</v>
      </c>
      <c r="R799">
        <v>4800</v>
      </c>
      <c r="S799">
        <v>2000</v>
      </c>
      <c r="T799">
        <v>0</v>
      </c>
      <c r="U799" t="str">
        <f>IF(SeismicData[[#This Row],[class]]=1,"Dangerous","Safe")</f>
        <v>Safe</v>
      </c>
      <c r="V799" t="str">
        <f>IF(SeismicData[[#This Row],[shift]]="W","Production","Non-Production")</f>
        <v>Production</v>
      </c>
      <c r="W799" t="str">
        <f>IF(SeismicData[[#This Row],[genergy]]=0,"0","10^"&amp;INT(LOG10(SeismicData[[#This Row],[genergy]])))</f>
        <v>10^4</v>
      </c>
      <c r="X799" t="str">
        <f>IF(OR(SeismicData[[#This Row],[genergy]]&lt;$AA$6,SeismicData[[#This Row],[genergy]]&gt;$AA$5),"Outlier","Normal")</f>
        <v>Normal</v>
      </c>
    </row>
    <row r="800" spans="1:24" x14ac:dyDescent="0.15">
      <c r="A800">
        <v>799</v>
      </c>
      <c r="B800" t="s">
        <v>20</v>
      </c>
      <c r="C800" t="s">
        <v>20</v>
      </c>
      <c r="D800" t="s">
        <v>22</v>
      </c>
      <c r="E800">
        <v>19630</v>
      </c>
      <c r="F800">
        <v>295</v>
      </c>
      <c r="G800">
        <v>-40</v>
      </c>
      <c r="H800">
        <v>-11</v>
      </c>
      <c r="I800" t="s">
        <v>20</v>
      </c>
      <c r="J800">
        <v>3</v>
      </c>
      <c r="K800">
        <v>2</v>
      </c>
      <c r="L800">
        <v>1</v>
      </c>
      <c r="M800">
        <v>0</v>
      </c>
      <c r="N800">
        <v>0</v>
      </c>
      <c r="O800">
        <v>0</v>
      </c>
      <c r="P800">
        <v>0</v>
      </c>
      <c r="Q800">
        <v>0</v>
      </c>
      <c r="R800">
        <v>8300</v>
      </c>
      <c r="S800">
        <v>7000</v>
      </c>
      <c r="T800">
        <v>0</v>
      </c>
      <c r="U800" t="str">
        <f>IF(SeismicData[[#This Row],[class]]=1,"Dangerous","Safe")</f>
        <v>Safe</v>
      </c>
      <c r="V800" t="str">
        <f>IF(SeismicData[[#This Row],[shift]]="W","Production","Non-Production")</f>
        <v>Production</v>
      </c>
      <c r="W800" t="str">
        <f>IF(SeismicData[[#This Row],[genergy]]=0,"0","10^"&amp;INT(LOG10(SeismicData[[#This Row],[genergy]])))</f>
        <v>10^4</v>
      </c>
      <c r="X800" t="str">
        <f>IF(OR(SeismicData[[#This Row],[genergy]]&lt;$AA$6,SeismicData[[#This Row],[genergy]]&gt;$AA$5),"Outlier","Normal")</f>
        <v>Normal</v>
      </c>
    </row>
    <row r="801" spans="1:24" x14ac:dyDescent="0.15">
      <c r="A801">
        <v>800</v>
      </c>
      <c r="B801" t="s">
        <v>20</v>
      </c>
      <c r="C801" t="s">
        <v>20</v>
      </c>
      <c r="D801" t="s">
        <v>22</v>
      </c>
      <c r="E801">
        <v>26130</v>
      </c>
      <c r="F801">
        <v>260</v>
      </c>
      <c r="G801">
        <v>-15</v>
      </c>
      <c r="H801">
        <v>-21</v>
      </c>
      <c r="I801" t="s">
        <v>20</v>
      </c>
      <c r="J801">
        <v>6</v>
      </c>
      <c r="K801">
        <v>3</v>
      </c>
      <c r="L801">
        <v>3</v>
      </c>
      <c r="M801">
        <v>0</v>
      </c>
      <c r="N801">
        <v>0</v>
      </c>
      <c r="O801">
        <v>0</v>
      </c>
      <c r="P801">
        <v>0</v>
      </c>
      <c r="Q801">
        <v>0</v>
      </c>
      <c r="R801">
        <v>7700</v>
      </c>
      <c r="S801">
        <v>3000</v>
      </c>
      <c r="T801">
        <v>0</v>
      </c>
      <c r="U801" t="str">
        <f>IF(SeismicData[[#This Row],[class]]=1,"Dangerous","Safe")</f>
        <v>Safe</v>
      </c>
      <c r="V801" t="str">
        <f>IF(SeismicData[[#This Row],[shift]]="W","Production","Non-Production")</f>
        <v>Production</v>
      </c>
      <c r="W801" t="str">
        <f>IF(SeismicData[[#This Row],[genergy]]=0,"0","10^"&amp;INT(LOG10(SeismicData[[#This Row],[genergy]])))</f>
        <v>10^4</v>
      </c>
      <c r="X801" t="str">
        <f>IF(OR(SeismicData[[#This Row],[genergy]]&lt;$AA$6,SeismicData[[#This Row],[genergy]]&gt;$AA$5),"Outlier","Normal")</f>
        <v>Normal</v>
      </c>
    </row>
    <row r="802" spans="1:24" x14ac:dyDescent="0.15">
      <c r="A802">
        <v>801</v>
      </c>
      <c r="B802" t="s">
        <v>20</v>
      </c>
      <c r="C802" t="s">
        <v>20</v>
      </c>
      <c r="D802" t="s">
        <v>22</v>
      </c>
      <c r="E802">
        <v>19420</v>
      </c>
      <c r="F802">
        <v>279</v>
      </c>
      <c r="G802">
        <v>-35</v>
      </c>
      <c r="H802">
        <v>-13</v>
      </c>
      <c r="I802" t="s">
        <v>20</v>
      </c>
      <c r="J802">
        <v>4</v>
      </c>
      <c r="K802">
        <v>3</v>
      </c>
      <c r="L802">
        <v>1</v>
      </c>
      <c r="M802">
        <v>0</v>
      </c>
      <c r="N802">
        <v>0</v>
      </c>
      <c r="O802">
        <v>0</v>
      </c>
      <c r="P802">
        <v>0</v>
      </c>
      <c r="Q802">
        <v>0</v>
      </c>
      <c r="R802">
        <v>2800</v>
      </c>
      <c r="S802">
        <v>1000</v>
      </c>
      <c r="T802">
        <v>0</v>
      </c>
      <c r="U802" t="str">
        <f>IF(SeismicData[[#This Row],[class]]=1,"Dangerous","Safe")</f>
        <v>Safe</v>
      </c>
      <c r="V802" t="str">
        <f>IF(SeismicData[[#This Row],[shift]]="W","Production","Non-Production")</f>
        <v>Production</v>
      </c>
      <c r="W802" t="str">
        <f>IF(SeismicData[[#This Row],[genergy]]=0,"0","10^"&amp;INT(LOG10(SeismicData[[#This Row],[genergy]])))</f>
        <v>10^4</v>
      </c>
      <c r="X802" t="str">
        <f>IF(OR(SeismicData[[#This Row],[genergy]]&lt;$AA$6,SeismicData[[#This Row],[genergy]]&gt;$AA$5),"Outlier","Normal")</f>
        <v>Normal</v>
      </c>
    </row>
    <row r="803" spans="1:24" x14ac:dyDescent="0.15">
      <c r="A803">
        <v>802</v>
      </c>
      <c r="B803" t="s">
        <v>20</v>
      </c>
      <c r="C803" t="s">
        <v>20</v>
      </c>
      <c r="D803" t="s">
        <v>22</v>
      </c>
      <c r="E803">
        <v>18960</v>
      </c>
      <c r="F803">
        <v>178</v>
      </c>
      <c r="G803">
        <v>-38</v>
      </c>
      <c r="H803">
        <v>-47</v>
      </c>
      <c r="I803" t="s">
        <v>20</v>
      </c>
      <c r="J803">
        <v>3</v>
      </c>
      <c r="K803">
        <v>2</v>
      </c>
      <c r="L803">
        <v>1</v>
      </c>
      <c r="M803">
        <v>0</v>
      </c>
      <c r="N803">
        <v>0</v>
      </c>
      <c r="O803">
        <v>0</v>
      </c>
      <c r="P803">
        <v>0</v>
      </c>
      <c r="Q803">
        <v>0</v>
      </c>
      <c r="R803">
        <v>5800</v>
      </c>
      <c r="S803">
        <v>5000</v>
      </c>
      <c r="T803">
        <v>1</v>
      </c>
      <c r="U803" t="str">
        <f>IF(SeismicData[[#This Row],[class]]=1,"Dangerous","Safe")</f>
        <v>Dangerous</v>
      </c>
      <c r="V803" t="str">
        <f>IF(SeismicData[[#This Row],[shift]]="W","Production","Non-Production")</f>
        <v>Production</v>
      </c>
      <c r="W803" t="str">
        <f>IF(SeismicData[[#This Row],[genergy]]=0,"0","10^"&amp;INT(LOG10(SeismicData[[#This Row],[genergy]])))</f>
        <v>10^4</v>
      </c>
      <c r="X803" t="str">
        <f>IF(OR(SeismicData[[#This Row],[genergy]]&lt;$AA$6,SeismicData[[#This Row],[genergy]]&gt;$AA$5),"Outlier","Normal")</f>
        <v>Normal</v>
      </c>
    </row>
    <row r="804" spans="1:24" x14ac:dyDescent="0.15">
      <c r="A804">
        <v>803</v>
      </c>
      <c r="B804" t="s">
        <v>23</v>
      </c>
      <c r="C804" t="s">
        <v>23</v>
      </c>
      <c r="D804" t="s">
        <v>22</v>
      </c>
      <c r="E804">
        <v>26290</v>
      </c>
      <c r="F804">
        <v>104</v>
      </c>
      <c r="G804">
        <v>-6</v>
      </c>
      <c r="H804">
        <v>-67</v>
      </c>
      <c r="I804" t="s">
        <v>20</v>
      </c>
      <c r="J804">
        <v>5</v>
      </c>
      <c r="K804">
        <v>2</v>
      </c>
      <c r="L804">
        <v>2</v>
      </c>
      <c r="M804">
        <v>1</v>
      </c>
      <c r="N804">
        <v>0</v>
      </c>
      <c r="O804">
        <v>0</v>
      </c>
      <c r="P804">
        <v>0</v>
      </c>
      <c r="Q804">
        <v>0</v>
      </c>
      <c r="R804">
        <v>25300</v>
      </c>
      <c r="S804">
        <v>20000</v>
      </c>
      <c r="T804">
        <v>0</v>
      </c>
      <c r="U804" t="str">
        <f>IF(SeismicData[[#This Row],[class]]=1,"Dangerous","Safe")</f>
        <v>Safe</v>
      </c>
      <c r="V804" t="str">
        <f>IF(SeismicData[[#This Row],[shift]]="W","Production","Non-Production")</f>
        <v>Production</v>
      </c>
      <c r="W804" t="str">
        <f>IF(SeismicData[[#This Row],[genergy]]=0,"0","10^"&amp;INT(LOG10(SeismicData[[#This Row],[genergy]])))</f>
        <v>10^4</v>
      </c>
      <c r="X804" t="str">
        <f>IF(OR(SeismicData[[#This Row],[genergy]]&lt;$AA$6,SeismicData[[#This Row],[genergy]]&gt;$AA$5),"Outlier","Normal")</f>
        <v>Normal</v>
      </c>
    </row>
    <row r="805" spans="1:24" x14ac:dyDescent="0.15">
      <c r="A805">
        <v>804</v>
      </c>
      <c r="B805" t="s">
        <v>23</v>
      </c>
      <c r="C805" t="s">
        <v>23</v>
      </c>
      <c r="D805" t="s">
        <v>22</v>
      </c>
      <c r="E805">
        <v>18580</v>
      </c>
      <c r="F805">
        <v>121</v>
      </c>
      <c r="G805">
        <v>-31</v>
      </c>
      <c r="H805">
        <v>-59</v>
      </c>
      <c r="I805" t="s">
        <v>20</v>
      </c>
      <c r="J805">
        <v>2</v>
      </c>
      <c r="K805">
        <v>2</v>
      </c>
      <c r="L805">
        <v>0</v>
      </c>
      <c r="M805">
        <v>0</v>
      </c>
      <c r="N805">
        <v>0</v>
      </c>
      <c r="O805">
        <v>0</v>
      </c>
      <c r="P805">
        <v>0</v>
      </c>
      <c r="Q805">
        <v>0</v>
      </c>
      <c r="R805">
        <v>1200</v>
      </c>
      <c r="S805">
        <v>800</v>
      </c>
      <c r="T805">
        <v>0</v>
      </c>
      <c r="U805" t="str">
        <f>IF(SeismicData[[#This Row],[class]]=1,"Dangerous","Safe")</f>
        <v>Safe</v>
      </c>
      <c r="V805" t="str">
        <f>IF(SeismicData[[#This Row],[shift]]="W","Production","Non-Production")</f>
        <v>Production</v>
      </c>
      <c r="W805" t="str">
        <f>IF(SeismicData[[#This Row],[genergy]]=0,"0","10^"&amp;INT(LOG10(SeismicData[[#This Row],[genergy]])))</f>
        <v>10^4</v>
      </c>
      <c r="X805" t="str">
        <f>IF(OR(SeismicData[[#This Row],[genergy]]&lt;$AA$6,SeismicData[[#This Row],[genergy]]&gt;$AA$5),"Outlier","Normal")</f>
        <v>Normal</v>
      </c>
    </row>
    <row r="806" spans="1:24" x14ac:dyDescent="0.15">
      <c r="A806">
        <v>805</v>
      </c>
      <c r="B806" t="s">
        <v>23</v>
      </c>
      <c r="C806" t="s">
        <v>23</v>
      </c>
      <c r="D806" t="s">
        <v>22</v>
      </c>
      <c r="E806">
        <v>9130</v>
      </c>
      <c r="F806">
        <v>68</v>
      </c>
      <c r="G806">
        <v>-64</v>
      </c>
      <c r="H806">
        <v>-75</v>
      </c>
      <c r="I806" t="s">
        <v>20</v>
      </c>
      <c r="J806">
        <v>3</v>
      </c>
      <c r="K806">
        <v>2</v>
      </c>
      <c r="L806">
        <v>1</v>
      </c>
      <c r="M806">
        <v>0</v>
      </c>
      <c r="N806">
        <v>0</v>
      </c>
      <c r="O806">
        <v>0</v>
      </c>
      <c r="P806">
        <v>0</v>
      </c>
      <c r="Q806">
        <v>0</v>
      </c>
      <c r="R806">
        <v>2000</v>
      </c>
      <c r="S806">
        <v>1000</v>
      </c>
      <c r="T806">
        <v>0</v>
      </c>
      <c r="U806" t="str">
        <f>IF(SeismicData[[#This Row],[class]]=1,"Dangerous","Safe")</f>
        <v>Safe</v>
      </c>
      <c r="V806" t="str">
        <f>IF(SeismicData[[#This Row],[shift]]="W","Production","Non-Production")</f>
        <v>Production</v>
      </c>
      <c r="W806" t="str">
        <f>IF(SeismicData[[#This Row],[genergy]]=0,"0","10^"&amp;INT(LOG10(SeismicData[[#This Row],[genergy]])))</f>
        <v>10^3</v>
      </c>
      <c r="X806" t="str">
        <f>IF(OR(SeismicData[[#This Row],[genergy]]&lt;$AA$6,SeismicData[[#This Row],[genergy]]&gt;$AA$5),"Outlier","Normal")</f>
        <v>Normal</v>
      </c>
    </row>
    <row r="807" spans="1:24" x14ac:dyDescent="0.15">
      <c r="A807">
        <v>806</v>
      </c>
      <c r="B807" t="s">
        <v>20</v>
      </c>
      <c r="C807" t="s">
        <v>23</v>
      </c>
      <c r="D807" t="s">
        <v>21</v>
      </c>
      <c r="E807">
        <v>6340</v>
      </c>
      <c r="F807">
        <v>18</v>
      </c>
      <c r="G807">
        <v>10</v>
      </c>
      <c r="H807">
        <v>-70</v>
      </c>
      <c r="I807" t="s">
        <v>20</v>
      </c>
      <c r="J807">
        <v>2</v>
      </c>
      <c r="K807">
        <v>1</v>
      </c>
      <c r="L807">
        <v>1</v>
      </c>
      <c r="M807">
        <v>0</v>
      </c>
      <c r="N807">
        <v>0</v>
      </c>
      <c r="O807">
        <v>0</v>
      </c>
      <c r="P807">
        <v>0</v>
      </c>
      <c r="Q807">
        <v>0</v>
      </c>
      <c r="R807">
        <v>9300</v>
      </c>
      <c r="S807">
        <v>9000</v>
      </c>
      <c r="T807">
        <v>0</v>
      </c>
      <c r="U807" t="str">
        <f>IF(SeismicData[[#This Row],[class]]=1,"Dangerous","Safe")</f>
        <v>Safe</v>
      </c>
      <c r="V807" t="str">
        <f>IF(SeismicData[[#This Row],[shift]]="W","Production","Non-Production")</f>
        <v>Non-Production</v>
      </c>
      <c r="W807" t="str">
        <f>IF(SeismicData[[#This Row],[genergy]]=0,"0","10^"&amp;INT(LOG10(SeismicData[[#This Row],[genergy]])))</f>
        <v>10^3</v>
      </c>
      <c r="X807" t="str">
        <f>IF(OR(SeismicData[[#This Row],[genergy]]&lt;$AA$6,SeismicData[[#This Row],[genergy]]&gt;$AA$5),"Outlier","Normal")</f>
        <v>Normal</v>
      </c>
    </row>
    <row r="808" spans="1:24" x14ac:dyDescent="0.15">
      <c r="A808">
        <v>807</v>
      </c>
      <c r="B808" t="s">
        <v>20</v>
      </c>
      <c r="C808" t="s">
        <v>23</v>
      </c>
      <c r="D808" t="s">
        <v>21</v>
      </c>
      <c r="E808">
        <v>1200</v>
      </c>
      <c r="F808">
        <v>15</v>
      </c>
      <c r="G808">
        <v>-79</v>
      </c>
      <c r="H808">
        <v>-74</v>
      </c>
      <c r="I808" t="s">
        <v>20</v>
      </c>
      <c r="J808">
        <v>0</v>
      </c>
      <c r="K808">
        <v>0</v>
      </c>
      <c r="L808">
        <v>0</v>
      </c>
      <c r="M808">
        <v>0</v>
      </c>
      <c r="N808">
        <v>0</v>
      </c>
      <c r="O808">
        <v>0</v>
      </c>
      <c r="P808">
        <v>0</v>
      </c>
      <c r="Q808">
        <v>0</v>
      </c>
      <c r="R808">
        <v>0</v>
      </c>
      <c r="S808">
        <v>0</v>
      </c>
      <c r="T808">
        <v>0</v>
      </c>
      <c r="U808" t="str">
        <f>IF(SeismicData[[#This Row],[class]]=1,"Dangerous","Safe")</f>
        <v>Safe</v>
      </c>
      <c r="V808" t="str">
        <f>IF(SeismicData[[#This Row],[shift]]="W","Production","Non-Production")</f>
        <v>Non-Production</v>
      </c>
      <c r="W808" t="str">
        <f>IF(SeismicData[[#This Row],[genergy]]=0,"0","10^"&amp;INT(LOG10(SeismicData[[#This Row],[genergy]])))</f>
        <v>10^3</v>
      </c>
      <c r="X808" t="str">
        <f>IF(OR(SeismicData[[#This Row],[genergy]]&lt;$AA$6,SeismicData[[#This Row],[genergy]]&gt;$AA$5),"Outlier","Normal")</f>
        <v>Normal</v>
      </c>
    </row>
    <row r="809" spans="1:24" x14ac:dyDescent="0.15">
      <c r="A809">
        <v>808</v>
      </c>
      <c r="B809" t="s">
        <v>20</v>
      </c>
      <c r="C809" t="s">
        <v>23</v>
      </c>
      <c r="D809" t="s">
        <v>21</v>
      </c>
      <c r="E809">
        <v>1020</v>
      </c>
      <c r="F809">
        <v>10</v>
      </c>
      <c r="G809">
        <v>-81</v>
      </c>
      <c r="H809">
        <v>-82</v>
      </c>
      <c r="I809" t="s">
        <v>20</v>
      </c>
      <c r="J809">
        <v>0</v>
      </c>
      <c r="K809">
        <v>0</v>
      </c>
      <c r="L809">
        <v>0</v>
      </c>
      <c r="M809">
        <v>0</v>
      </c>
      <c r="N809">
        <v>0</v>
      </c>
      <c r="O809">
        <v>0</v>
      </c>
      <c r="P809">
        <v>0</v>
      </c>
      <c r="Q809">
        <v>0</v>
      </c>
      <c r="R809">
        <v>0</v>
      </c>
      <c r="S809">
        <v>0</v>
      </c>
      <c r="T809">
        <v>0</v>
      </c>
      <c r="U809" t="str">
        <f>IF(SeismicData[[#This Row],[class]]=1,"Dangerous","Safe")</f>
        <v>Safe</v>
      </c>
      <c r="V809" t="str">
        <f>IF(SeismicData[[#This Row],[shift]]="W","Production","Non-Production")</f>
        <v>Non-Production</v>
      </c>
      <c r="W809" t="str">
        <f>IF(SeismicData[[#This Row],[genergy]]=0,"0","10^"&amp;INT(LOG10(SeismicData[[#This Row],[genergy]])))</f>
        <v>10^3</v>
      </c>
      <c r="X809" t="str">
        <f>IF(OR(SeismicData[[#This Row],[genergy]]&lt;$AA$6,SeismicData[[#This Row],[genergy]]&gt;$AA$5),"Outlier","Normal")</f>
        <v>Normal</v>
      </c>
    </row>
    <row r="810" spans="1:24" x14ac:dyDescent="0.15">
      <c r="A810">
        <v>809</v>
      </c>
      <c r="B810" t="s">
        <v>20</v>
      </c>
      <c r="C810" t="s">
        <v>20</v>
      </c>
      <c r="D810" t="s">
        <v>21</v>
      </c>
      <c r="E810">
        <v>2360</v>
      </c>
      <c r="F810">
        <v>16</v>
      </c>
      <c r="G810">
        <v>-54</v>
      </c>
      <c r="H810">
        <v>-71</v>
      </c>
      <c r="I810" t="s">
        <v>20</v>
      </c>
      <c r="J810">
        <v>0</v>
      </c>
      <c r="K810">
        <v>0</v>
      </c>
      <c r="L810">
        <v>0</v>
      </c>
      <c r="M810">
        <v>0</v>
      </c>
      <c r="N810">
        <v>0</v>
      </c>
      <c r="O810">
        <v>0</v>
      </c>
      <c r="P810">
        <v>0</v>
      </c>
      <c r="Q810">
        <v>0</v>
      </c>
      <c r="R810">
        <v>0</v>
      </c>
      <c r="S810">
        <v>0</v>
      </c>
      <c r="T810">
        <v>0</v>
      </c>
      <c r="U810" t="str">
        <f>IF(SeismicData[[#This Row],[class]]=1,"Dangerous","Safe")</f>
        <v>Safe</v>
      </c>
      <c r="V810" t="str">
        <f>IF(SeismicData[[#This Row],[shift]]="W","Production","Non-Production")</f>
        <v>Non-Production</v>
      </c>
      <c r="W810" t="str">
        <f>IF(SeismicData[[#This Row],[genergy]]=0,"0","10^"&amp;INT(LOG10(SeismicData[[#This Row],[genergy]])))</f>
        <v>10^3</v>
      </c>
      <c r="X810" t="str">
        <f>IF(OR(SeismicData[[#This Row],[genergy]]&lt;$AA$6,SeismicData[[#This Row],[genergy]]&gt;$AA$5),"Outlier","Normal")</f>
        <v>Normal</v>
      </c>
    </row>
    <row r="811" spans="1:24" x14ac:dyDescent="0.15">
      <c r="A811">
        <v>810</v>
      </c>
      <c r="B811" t="s">
        <v>20</v>
      </c>
      <c r="C811" t="s">
        <v>20</v>
      </c>
      <c r="D811" t="s">
        <v>21</v>
      </c>
      <c r="E811">
        <v>1070</v>
      </c>
      <c r="F811">
        <v>17</v>
      </c>
      <c r="G811">
        <v>-73</v>
      </c>
      <c r="H811">
        <v>-65</v>
      </c>
      <c r="I811" t="s">
        <v>20</v>
      </c>
      <c r="J811">
        <v>0</v>
      </c>
      <c r="K811">
        <v>0</v>
      </c>
      <c r="L811">
        <v>0</v>
      </c>
      <c r="M811">
        <v>0</v>
      </c>
      <c r="N811">
        <v>0</v>
      </c>
      <c r="O811">
        <v>0</v>
      </c>
      <c r="P811">
        <v>0</v>
      </c>
      <c r="Q811">
        <v>0</v>
      </c>
      <c r="R811">
        <v>0</v>
      </c>
      <c r="S811">
        <v>0</v>
      </c>
      <c r="T811">
        <v>0</v>
      </c>
      <c r="U811" t="str">
        <f>IF(SeismicData[[#This Row],[class]]=1,"Dangerous","Safe")</f>
        <v>Safe</v>
      </c>
      <c r="V811" t="str">
        <f>IF(SeismicData[[#This Row],[shift]]="W","Production","Non-Production")</f>
        <v>Non-Production</v>
      </c>
      <c r="W811" t="str">
        <f>IF(SeismicData[[#This Row],[genergy]]=0,"0","10^"&amp;INT(LOG10(SeismicData[[#This Row],[genergy]])))</f>
        <v>10^3</v>
      </c>
      <c r="X811" t="str">
        <f>IF(OR(SeismicData[[#This Row],[genergy]]&lt;$AA$6,SeismicData[[#This Row],[genergy]]&gt;$AA$5),"Outlier","Normal")</f>
        <v>Normal</v>
      </c>
    </row>
    <row r="812" spans="1:24" x14ac:dyDescent="0.15">
      <c r="A812">
        <v>811</v>
      </c>
      <c r="B812" t="s">
        <v>20</v>
      </c>
      <c r="C812" t="s">
        <v>20</v>
      </c>
      <c r="D812" t="s">
        <v>21</v>
      </c>
      <c r="E812">
        <v>500</v>
      </c>
      <c r="F812">
        <v>7</v>
      </c>
      <c r="G812">
        <v>-83</v>
      </c>
      <c r="H812">
        <v>-82</v>
      </c>
      <c r="I812" t="s">
        <v>20</v>
      </c>
      <c r="J812">
        <v>0</v>
      </c>
      <c r="K812">
        <v>0</v>
      </c>
      <c r="L812">
        <v>0</v>
      </c>
      <c r="M812">
        <v>0</v>
      </c>
      <c r="N812">
        <v>0</v>
      </c>
      <c r="O812">
        <v>0</v>
      </c>
      <c r="P812">
        <v>0</v>
      </c>
      <c r="Q812">
        <v>0</v>
      </c>
      <c r="R812">
        <v>0</v>
      </c>
      <c r="S812">
        <v>0</v>
      </c>
      <c r="T812">
        <v>0</v>
      </c>
      <c r="U812" t="str">
        <f>IF(SeismicData[[#This Row],[class]]=1,"Dangerous","Safe")</f>
        <v>Safe</v>
      </c>
      <c r="V812" t="str">
        <f>IF(SeismicData[[#This Row],[shift]]="W","Production","Non-Production")</f>
        <v>Non-Production</v>
      </c>
      <c r="W812" t="str">
        <f>IF(SeismicData[[#This Row],[genergy]]=0,"0","10^"&amp;INT(LOG10(SeismicData[[#This Row],[genergy]])))</f>
        <v>10^2</v>
      </c>
      <c r="X812" t="str">
        <f>IF(OR(SeismicData[[#This Row],[genergy]]&lt;$AA$6,SeismicData[[#This Row],[genergy]]&gt;$AA$5),"Outlier","Normal")</f>
        <v>Normal</v>
      </c>
    </row>
    <row r="813" spans="1:24" x14ac:dyDescent="0.15">
      <c r="A813">
        <v>812</v>
      </c>
      <c r="B813" t="s">
        <v>20</v>
      </c>
      <c r="C813" t="s">
        <v>20</v>
      </c>
      <c r="D813" t="s">
        <v>21</v>
      </c>
      <c r="E813">
        <v>340</v>
      </c>
      <c r="F813">
        <v>6</v>
      </c>
      <c r="G813">
        <v>-87</v>
      </c>
      <c r="H813">
        <v>-85</v>
      </c>
      <c r="I813" t="s">
        <v>20</v>
      </c>
      <c r="J813">
        <v>0</v>
      </c>
      <c r="K813">
        <v>0</v>
      </c>
      <c r="L813">
        <v>0</v>
      </c>
      <c r="M813">
        <v>0</v>
      </c>
      <c r="N813">
        <v>0</v>
      </c>
      <c r="O813">
        <v>0</v>
      </c>
      <c r="P813">
        <v>0</v>
      </c>
      <c r="Q813">
        <v>0</v>
      </c>
      <c r="R813">
        <v>0</v>
      </c>
      <c r="S813">
        <v>0</v>
      </c>
      <c r="T813">
        <v>0</v>
      </c>
      <c r="U813" t="str">
        <f>IF(SeismicData[[#This Row],[class]]=1,"Dangerous","Safe")</f>
        <v>Safe</v>
      </c>
      <c r="V813" t="str">
        <f>IF(SeismicData[[#This Row],[shift]]="W","Production","Non-Production")</f>
        <v>Non-Production</v>
      </c>
      <c r="W813" t="str">
        <f>IF(SeismicData[[#This Row],[genergy]]=0,"0","10^"&amp;INT(LOG10(SeismicData[[#This Row],[genergy]])))</f>
        <v>10^2</v>
      </c>
      <c r="X813" t="str">
        <f>IF(OR(SeismicData[[#This Row],[genergy]]&lt;$AA$6,SeismicData[[#This Row],[genergy]]&gt;$AA$5),"Outlier","Normal")</f>
        <v>Normal</v>
      </c>
    </row>
    <row r="814" spans="1:24" x14ac:dyDescent="0.15">
      <c r="A814">
        <v>813</v>
      </c>
      <c r="B814" t="s">
        <v>20</v>
      </c>
      <c r="C814" t="s">
        <v>20</v>
      </c>
      <c r="D814" t="s">
        <v>21</v>
      </c>
      <c r="E814">
        <v>100</v>
      </c>
      <c r="F814">
        <v>4</v>
      </c>
      <c r="G814">
        <v>-96</v>
      </c>
      <c r="H814">
        <v>-90</v>
      </c>
      <c r="I814" t="s">
        <v>20</v>
      </c>
      <c r="J814">
        <v>0</v>
      </c>
      <c r="K814">
        <v>0</v>
      </c>
      <c r="L814">
        <v>0</v>
      </c>
      <c r="M814">
        <v>0</v>
      </c>
      <c r="N814">
        <v>0</v>
      </c>
      <c r="O814">
        <v>0</v>
      </c>
      <c r="P814">
        <v>0</v>
      </c>
      <c r="Q814">
        <v>0</v>
      </c>
      <c r="R814">
        <v>0</v>
      </c>
      <c r="S814">
        <v>0</v>
      </c>
      <c r="T814">
        <v>0</v>
      </c>
      <c r="U814" t="str">
        <f>IF(SeismicData[[#This Row],[class]]=1,"Dangerous","Safe")</f>
        <v>Safe</v>
      </c>
      <c r="V814" t="str">
        <f>IF(SeismicData[[#This Row],[shift]]="W","Production","Non-Production")</f>
        <v>Non-Production</v>
      </c>
      <c r="W814" t="str">
        <f>IF(SeismicData[[#This Row],[genergy]]=0,"0","10^"&amp;INT(LOG10(SeismicData[[#This Row],[genergy]])))</f>
        <v>10^2</v>
      </c>
      <c r="X814" t="str">
        <f>IF(OR(SeismicData[[#This Row],[genergy]]&lt;$AA$6,SeismicData[[#This Row],[genergy]]&gt;$AA$5),"Outlier","Normal")</f>
        <v>Normal</v>
      </c>
    </row>
    <row r="815" spans="1:24" x14ac:dyDescent="0.15">
      <c r="A815">
        <v>814</v>
      </c>
      <c r="B815" t="s">
        <v>20</v>
      </c>
      <c r="C815" t="s">
        <v>20</v>
      </c>
      <c r="D815" t="s">
        <v>21</v>
      </c>
      <c r="E815">
        <v>720</v>
      </c>
      <c r="F815">
        <v>2</v>
      </c>
      <c r="G815">
        <v>-62</v>
      </c>
      <c r="H815">
        <v>-95</v>
      </c>
      <c r="I815" t="s">
        <v>20</v>
      </c>
      <c r="J815">
        <v>0</v>
      </c>
      <c r="K815">
        <v>0</v>
      </c>
      <c r="L815">
        <v>0</v>
      </c>
      <c r="M815">
        <v>0</v>
      </c>
      <c r="N815">
        <v>0</v>
      </c>
      <c r="O815">
        <v>0</v>
      </c>
      <c r="P815">
        <v>0</v>
      </c>
      <c r="Q815">
        <v>0</v>
      </c>
      <c r="R815">
        <v>0</v>
      </c>
      <c r="S815">
        <v>0</v>
      </c>
      <c r="T815">
        <v>0</v>
      </c>
      <c r="U815" t="str">
        <f>IF(SeismicData[[#This Row],[class]]=1,"Dangerous","Safe")</f>
        <v>Safe</v>
      </c>
      <c r="V815" t="str">
        <f>IF(SeismicData[[#This Row],[shift]]="W","Production","Non-Production")</f>
        <v>Non-Production</v>
      </c>
      <c r="W815" t="str">
        <f>IF(SeismicData[[#This Row],[genergy]]=0,"0","10^"&amp;INT(LOG10(SeismicData[[#This Row],[genergy]])))</f>
        <v>10^2</v>
      </c>
      <c r="X815" t="str">
        <f>IF(OR(SeismicData[[#This Row],[genergy]]&lt;$AA$6,SeismicData[[#This Row],[genergy]]&gt;$AA$5),"Outlier","Normal")</f>
        <v>Normal</v>
      </c>
    </row>
    <row r="816" spans="1:24" x14ac:dyDescent="0.15">
      <c r="A816">
        <v>815</v>
      </c>
      <c r="B816" t="s">
        <v>20</v>
      </c>
      <c r="C816" t="s">
        <v>20</v>
      </c>
      <c r="D816" t="s">
        <v>21</v>
      </c>
      <c r="E816">
        <v>950</v>
      </c>
      <c r="F816">
        <v>4</v>
      </c>
      <c r="G816">
        <v>-40</v>
      </c>
      <c r="H816">
        <v>-90</v>
      </c>
      <c r="I816" t="s">
        <v>20</v>
      </c>
      <c r="J816">
        <v>0</v>
      </c>
      <c r="K816">
        <v>0</v>
      </c>
      <c r="L816">
        <v>0</v>
      </c>
      <c r="M816">
        <v>0</v>
      </c>
      <c r="N816">
        <v>0</v>
      </c>
      <c r="O816">
        <v>0</v>
      </c>
      <c r="P816">
        <v>0</v>
      </c>
      <c r="Q816">
        <v>0</v>
      </c>
      <c r="R816">
        <v>0</v>
      </c>
      <c r="S816">
        <v>0</v>
      </c>
      <c r="T816">
        <v>0</v>
      </c>
      <c r="U816" t="str">
        <f>IF(SeismicData[[#This Row],[class]]=1,"Dangerous","Safe")</f>
        <v>Safe</v>
      </c>
      <c r="V816" t="str">
        <f>IF(SeismicData[[#This Row],[shift]]="W","Production","Non-Production")</f>
        <v>Non-Production</v>
      </c>
      <c r="W816" t="str">
        <f>IF(SeismicData[[#This Row],[genergy]]=0,"0","10^"&amp;INT(LOG10(SeismicData[[#This Row],[genergy]])))</f>
        <v>10^2</v>
      </c>
      <c r="X816" t="str">
        <f>IF(OR(SeismicData[[#This Row],[genergy]]&lt;$AA$6,SeismicData[[#This Row],[genergy]]&gt;$AA$5),"Outlier","Normal")</f>
        <v>Normal</v>
      </c>
    </row>
    <row r="817" spans="1:24" x14ac:dyDescent="0.15">
      <c r="A817">
        <v>816</v>
      </c>
      <c r="B817" t="s">
        <v>20</v>
      </c>
      <c r="C817" t="s">
        <v>20</v>
      </c>
      <c r="D817" t="s">
        <v>21</v>
      </c>
      <c r="E817">
        <v>430</v>
      </c>
      <c r="F817">
        <v>3</v>
      </c>
      <c r="G817">
        <v>-71</v>
      </c>
      <c r="H817">
        <v>-92</v>
      </c>
      <c r="I817" t="s">
        <v>20</v>
      </c>
      <c r="J817">
        <v>0</v>
      </c>
      <c r="K817">
        <v>0</v>
      </c>
      <c r="L817">
        <v>0</v>
      </c>
      <c r="M817">
        <v>0</v>
      </c>
      <c r="N817">
        <v>0</v>
      </c>
      <c r="O817">
        <v>0</v>
      </c>
      <c r="P817">
        <v>0</v>
      </c>
      <c r="Q817">
        <v>0</v>
      </c>
      <c r="R817">
        <v>0</v>
      </c>
      <c r="S817">
        <v>0</v>
      </c>
      <c r="T817">
        <v>0</v>
      </c>
      <c r="U817" t="str">
        <f>IF(SeismicData[[#This Row],[class]]=1,"Dangerous","Safe")</f>
        <v>Safe</v>
      </c>
      <c r="V817" t="str">
        <f>IF(SeismicData[[#This Row],[shift]]="W","Production","Non-Production")</f>
        <v>Non-Production</v>
      </c>
      <c r="W817" t="str">
        <f>IF(SeismicData[[#This Row],[genergy]]=0,"0","10^"&amp;INT(LOG10(SeismicData[[#This Row],[genergy]])))</f>
        <v>10^2</v>
      </c>
      <c r="X817" t="str">
        <f>IF(OR(SeismicData[[#This Row],[genergy]]&lt;$AA$6,SeismicData[[#This Row],[genergy]]&gt;$AA$5),"Outlier","Normal")</f>
        <v>Normal</v>
      </c>
    </row>
    <row r="818" spans="1:24" x14ac:dyDescent="0.15">
      <c r="A818">
        <v>817</v>
      </c>
      <c r="B818" t="s">
        <v>20</v>
      </c>
      <c r="C818" t="s">
        <v>20</v>
      </c>
      <c r="D818" t="s">
        <v>21</v>
      </c>
      <c r="E818">
        <v>290</v>
      </c>
      <c r="F818">
        <v>3</v>
      </c>
      <c r="G818">
        <v>-67</v>
      </c>
      <c r="H818">
        <v>-92</v>
      </c>
      <c r="I818" t="s">
        <v>20</v>
      </c>
      <c r="J818">
        <v>1</v>
      </c>
      <c r="K818">
        <v>0</v>
      </c>
      <c r="L818">
        <v>1</v>
      </c>
      <c r="M818">
        <v>0</v>
      </c>
      <c r="N818">
        <v>0</v>
      </c>
      <c r="O818">
        <v>0</v>
      </c>
      <c r="P818">
        <v>0</v>
      </c>
      <c r="Q818">
        <v>0</v>
      </c>
      <c r="R818">
        <v>3000</v>
      </c>
      <c r="S818">
        <v>3000</v>
      </c>
      <c r="T818">
        <v>0</v>
      </c>
      <c r="U818" t="str">
        <f>IF(SeismicData[[#This Row],[class]]=1,"Dangerous","Safe")</f>
        <v>Safe</v>
      </c>
      <c r="V818" t="str">
        <f>IF(SeismicData[[#This Row],[shift]]="W","Production","Non-Production")</f>
        <v>Non-Production</v>
      </c>
      <c r="W818" t="str">
        <f>IF(SeismicData[[#This Row],[genergy]]=0,"0","10^"&amp;INT(LOG10(SeismicData[[#This Row],[genergy]])))</f>
        <v>10^2</v>
      </c>
      <c r="X818" t="str">
        <f>IF(OR(SeismicData[[#This Row],[genergy]]&lt;$AA$6,SeismicData[[#This Row],[genergy]]&gt;$AA$5),"Outlier","Normal")</f>
        <v>Normal</v>
      </c>
    </row>
    <row r="819" spans="1:24" x14ac:dyDescent="0.15">
      <c r="A819">
        <v>818</v>
      </c>
      <c r="B819" t="s">
        <v>20</v>
      </c>
      <c r="C819" t="s">
        <v>20</v>
      </c>
      <c r="D819" t="s">
        <v>21</v>
      </c>
      <c r="E819">
        <v>3330</v>
      </c>
      <c r="F819">
        <v>37</v>
      </c>
      <c r="G819">
        <v>-42</v>
      </c>
      <c r="H819">
        <v>-39</v>
      </c>
      <c r="I819" t="s">
        <v>20</v>
      </c>
      <c r="J819">
        <v>2</v>
      </c>
      <c r="K819">
        <v>2</v>
      </c>
      <c r="L819">
        <v>0</v>
      </c>
      <c r="M819">
        <v>0</v>
      </c>
      <c r="N819">
        <v>0</v>
      </c>
      <c r="O819">
        <v>0</v>
      </c>
      <c r="P819">
        <v>0</v>
      </c>
      <c r="Q819">
        <v>0</v>
      </c>
      <c r="R819">
        <v>1200</v>
      </c>
      <c r="S819">
        <v>900</v>
      </c>
      <c r="T819">
        <v>0</v>
      </c>
      <c r="U819" t="str">
        <f>IF(SeismicData[[#This Row],[class]]=1,"Dangerous","Safe")</f>
        <v>Safe</v>
      </c>
      <c r="V819" t="str">
        <f>IF(SeismicData[[#This Row],[shift]]="W","Production","Non-Production")</f>
        <v>Non-Production</v>
      </c>
      <c r="W819" t="str">
        <f>IF(SeismicData[[#This Row],[genergy]]=0,"0","10^"&amp;INT(LOG10(SeismicData[[#This Row],[genergy]])))</f>
        <v>10^3</v>
      </c>
      <c r="X819" t="str">
        <f>IF(OR(SeismicData[[#This Row],[genergy]]&lt;$AA$6,SeismicData[[#This Row],[genergy]]&gt;$AA$5),"Outlier","Normal")</f>
        <v>Normal</v>
      </c>
    </row>
    <row r="820" spans="1:24" x14ac:dyDescent="0.15">
      <c r="A820">
        <v>819</v>
      </c>
      <c r="B820" t="s">
        <v>20</v>
      </c>
      <c r="C820" t="s">
        <v>20</v>
      </c>
      <c r="D820" t="s">
        <v>22</v>
      </c>
      <c r="E820">
        <v>11740</v>
      </c>
      <c r="F820">
        <v>46</v>
      </c>
      <c r="G820">
        <v>-90</v>
      </c>
      <c r="H820">
        <v>-96</v>
      </c>
      <c r="I820" t="s">
        <v>20</v>
      </c>
      <c r="J820">
        <v>1</v>
      </c>
      <c r="K820">
        <v>0</v>
      </c>
      <c r="L820">
        <v>1</v>
      </c>
      <c r="M820">
        <v>0</v>
      </c>
      <c r="N820">
        <v>0</v>
      </c>
      <c r="O820">
        <v>0</v>
      </c>
      <c r="P820">
        <v>0</v>
      </c>
      <c r="Q820">
        <v>0</v>
      </c>
      <c r="R820">
        <v>4000</v>
      </c>
      <c r="S820">
        <v>4000</v>
      </c>
      <c r="T820">
        <v>0</v>
      </c>
      <c r="U820" t="str">
        <f>IF(SeismicData[[#This Row],[class]]=1,"Dangerous","Safe")</f>
        <v>Safe</v>
      </c>
      <c r="V820" t="str">
        <f>IF(SeismicData[[#This Row],[shift]]="W","Production","Non-Production")</f>
        <v>Production</v>
      </c>
      <c r="W820" t="str">
        <f>IF(SeismicData[[#This Row],[genergy]]=0,"0","10^"&amp;INT(LOG10(SeismicData[[#This Row],[genergy]])))</f>
        <v>10^4</v>
      </c>
      <c r="X820" t="str">
        <f>IF(OR(SeismicData[[#This Row],[genergy]]&lt;$AA$6,SeismicData[[#This Row],[genergy]]&gt;$AA$5),"Outlier","Normal")</f>
        <v>Normal</v>
      </c>
    </row>
    <row r="821" spans="1:24" x14ac:dyDescent="0.15">
      <c r="A821">
        <v>820</v>
      </c>
      <c r="B821" t="s">
        <v>20</v>
      </c>
      <c r="C821" t="s">
        <v>20</v>
      </c>
      <c r="D821" t="s">
        <v>21</v>
      </c>
      <c r="E821">
        <v>850</v>
      </c>
      <c r="F821">
        <v>6</v>
      </c>
      <c r="G821">
        <v>-85</v>
      </c>
      <c r="H821">
        <v>-90</v>
      </c>
      <c r="I821" t="s">
        <v>20</v>
      </c>
      <c r="J821">
        <v>0</v>
      </c>
      <c r="K821">
        <v>0</v>
      </c>
      <c r="L821">
        <v>0</v>
      </c>
      <c r="M821">
        <v>0</v>
      </c>
      <c r="N821">
        <v>0</v>
      </c>
      <c r="O821">
        <v>0</v>
      </c>
      <c r="P821">
        <v>0</v>
      </c>
      <c r="Q821">
        <v>0</v>
      </c>
      <c r="R821">
        <v>0</v>
      </c>
      <c r="S821">
        <v>0</v>
      </c>
      <c r="T821">
        <v>0</v>
      </c>
      <c r="U821" t="str">
        <f>IF(SeismicData[[#This Row],[class]]=1,"Dangerous","Safe")</f>
        <v>Safe</v>
      </c>
      <c r="V821" t="str">
        <f>IF(SeismicData[[#This Row],[shift]]="W","Production","Non-Production")</f>
        <v>Non-Production</v>
      </c>
      <c r="W821" t="str">
        <f>IF(SeismicData[[#This Row],[genergy]]=0,"0","10^"&amp;INT(LOG10(SeismicData[[#This Row],[genergy]])))</f>
        <v>10^2</v>
      </c>
      <c r="X821" t="str">
        <f>IF(OR(SeismicData[[#This Row],[genergy]]&lt;$AA$6,SeismicData[[#This Row],[genergy]]&gt;$AA$5),"Outlier","Normal")</f>
        <v>Normal</v>
      </c>
    </row>
    <row r="822" spans="1:24" x14ac:dyDescent="0.15">
      <c r="A822">
        <v>821</v>
      </c>
      <c r="B822" t="s">
        <v>20</v>
      </c>
      <c r="C822" t="s">
        <v>20</v>
      </c>
      <c r="D822" t="s">
        <v>22</v>
      </c>
      <c r="E822">
        <v>5240</v>
      </c>
      <c r="F822">
        <v>18</v>
      </c>
      <c r="G822">
        <v>-96</v>
      </c>
      <c r="H822">
        <v>-96</v>
      </c>
      <c r="I822" t="s">
        <v>20</v>
      </c>
      <c r="J822">
        <v>1</v>
      </c>
      <c r="K822">
        <v>1</v>
      </c>
      <c r="L822">
        <v>0</v>
      </c>
      <c r="M822">
        <v>0</v>
      </c>
      <c r="N822">
        <v>0</v>
      </c>
      <c r="O822">
        <v>0</v>
      </c>
      <c r="P822">
        <v>0</v>
      </c>
      <c r="Q822">
        <v>0</v>
      </c>
      <c r="R822">
        <v>600</v>
      </c>
      <c r="S822">
        <v>600</v>
      </c>
      <c r="T822">
        <v>0</v>
      </c>
      <c r="U822" t="str">
        <f>IF(SeismicData[[#This Row],[class]]=1,"Dangerous","Safe")</f>
        <v>Safe</v>
      </c>
      <c r="V822" t="str">
        <f>IF(SeismicData[[#This Row],[shift]]="W","Production","Non-Production")</f>
        <v>Production</v>
      </c>
      <c r="W822" t="str">
        <f>IF(SeismicData[[#This Row],[genergy]]=0,"0","10^"&amp;INT(LOG10(SeismicData[[#This Row],[genergy]])))</f>
        <v>10^3</v>
      </c>
      <c r="X822" t="str">
        <f>IF(OR(SeismicData[[#This Row],[genergy]]&lt;$AA$6,SeismicData[[#This Row],[genergy]]&gt;$AA$5),"Outlier","Normal")</f>
        <v>Normal</v>
      </c>
    </row>
    <row r="823" spans="1:24" x14ac:dyDescent="0.15">
      <c r="A823">
        <v>822</v>
      </c>
      <c r="B823" t="s">
        <v>20</v>
      </c>
      <c r="C823" t="s">
        <v>20</v>
      </c>
      <c r="D823" t="s">
        <v>22</v>
      </c>
      <c r="E823">
        <v>17910</v>
      </c>
      <c r="F823">
        <v>86</v>
      </c>
      <c r="G823">
        <v>-85</v>
      </c>
      <c r="H823">
        <v>-79</v>
      </c>
      <c r="I823" t="s">
        <v>20</v>
      </c>
      <c r="J823">
        <v>4</v>
      </c>
      <c r="K823">
        <v>0</v>
      </c>
      <c r="L823">
        <v>4</v>
      </c>
      <c r="M823">
        <v>0</v>
      </c>
      <c r="N823">
        <v>0</v>
      </c>
      <c r="O823">
        <v>0</v>
      </c>
      <c r="P823">
        <v>0</v>
      </c>
      <c r="Q823">
        <v>0</v>
      </c>
      <c r="R823">
        <v>12000</v>
      </c>
      <c r="S823">
        <v>6000</v>
      </c>
      <c r="T823">
        <v>0</v>
      </c>
      <c r="U823" t="str">
        <f>IF(SeismicData[[#This Row],[class]]=1,"Dangerous","Safe")</f>
        <v>Safe</v>
      </c>
      <c r="V823" t="str">
        <f>IF(SeismicData[[#This Row],[shift]]="W","Production","Non-Production")</f>
        <v>Production</v>
      </c>
      <c r="W823" t="str">
        <f>IF(SeismicData[[#This Row],[genergy]]=0,"0","10^"&amp;INT(LOG10(SeismicData[[#This Row],[genergy]])))</f>
        <v>10^4</v>
      </c>
      <c r="X823" t="str">
        <f>IF(OR(SeismicData[[#This Row],[genergy]]&lt;$AA$6,SeismicData[[#This Row],[genergy]]&gt;$AA$5),"Outlier","Normal")</f>
        <v>Normal</v>
      </c>
    </row>
    <row r="824" spans="1:24" x14ac:dyDescent="0.15">
      <c r="A824">
        <v>823</v>
      </c>
      <c r="B824" t="s">
        <v>20</v>
      </c>
      <c r="C824" t="s">
        <v>20</v>
      </c>
      <c r="D824" t="s">
        <v>22</v>
      </c>
      <c r="E824">
        <v>145440</v>
      </c>
      <c r="F824">
        <v>358</v>
      </c>
      <c r="G824">
        <v>-3</v>
      </c>
      <c r="H824">
        <v>-28</v>
      </c>
      <c r="I824" t="s">
        <v>20</v>
      </c>
      <c r="J824">
        <v>0</v>
      </c>
      <c r="K824">
        <v>0</v>
      </c>
      <c r="L824">
        <v>0</v>
      </c>
      <c r="M824">
        <v>0</v>
      </c>
      <c r="N824">
        <v>0</v>
      </c>
      <c r="O824">
        <v>0</v>
      </c>
      <c r="P824">
        <v>0</v>
      </c>
      <c r="Q824">
        <v>0</v>
      </c>
      <c r="R824">
        <v>0</v>
      </c>
      <c r="S824">
        <v>0</v>
      </c>
      <c r="T824">
        <v>0</v>
      </c>
      <c r="U824" t="str">
        <f>IF(SeismicData[[#This Row],[class]]=1,"Dangerous","Safe")</f>
        <v>Safe</v>
      </c>
      <c r="V824" t="str">
        <f>IF(SeismicData[[#This Row],[shift]]="W","Production","Non-Production")</f>
        <v>Production</v>
      </c>
      <c r="W824" t="str">
        <f>IF(SeismicData[[#This Row],[genergy]]=0,"0","10^"&amp;INT(LOG10(SeismicData[[#This Row],[genergy]])))</f>
        <v>10^5</v>
      </c>
      <c r="X824" t="str">
        <f>IF(OR(SeismicData[[#This Row],[genergy]]&lt;$AA$6,SeismicData[[#This Row],[genergy]]&gt;$AA$5),"Outlier","Normal")</f>
        <v>Outlier</v>
      </c>
    </row>
    <row r="825" spans="1:24" x14ac:dyDescent="0.15">
      <c r="A825">
        <v>824</v>
      </c>
      <c r="B825" t="s">
        <v>20</v>
      </c>
      <c r="C825" t="s">
        <v>23</v>
      </c>
      <c r="D825" t="s">
        <v>21</v>
      </c>
      <c r="E825">
        <v>67480</v>
      </c>
      <c r="F825">
        <v>141</v>
      </c>
      <c r="G825">
        <v>-10</v>
      </c>
      <c r="H825">
        <v>-44</v>
      </c>
      <c r="I825" t="s">
        <v>20</v>
      </c>
      <c r="J825">
        <v>3</v>
      </c>
      <c r="K825">
        <v>2</v>
      </c>
      <c r="L825">
        <v>1</v>
      </c>
      <c r="M825">
        <v>0</v>
      </c>
      <c r="N825">
        <v>0</v>
      </c>
      <c r="O825">
        <v>0</v>
      </c>
      <c r="P825">
        <v>0</v>
      </c>
      <c r="Q825">
        <v>0</v>
      </c>
      <c r="R825">
        <v>2800</v>
      </c>
      <c r="S825">
        <v>2000</v>
      </c>
      <c r="T825">
        <v>0</v>
      </c>
      <c r="U825" t="str">
        <f>IF(SeismicData[[#This Row],[class]]=1,"Dangerous","Safe")</f>
        <v>Safe</v>
      </c>
      <c r="V825" t="str">
        <f>IF(SeismicData[[#This Row],[shift]]="W","Production","Non-Production")</f>
        <v>Non-Production</v>
      </c>
      <c r="W825" t="str">
        <f>IF(SeismicData[[#This Row],[genergy]]=0,"0","10^"&amp;INT(LOG10(SeismicData[[#This Row],[genergy]])))</f>
        <v>10^4</v>
      </c>
      <c r="X825" t="str">
        <f>IF(OR(SeismicData[[#This Row],[genergy]]&lt;$AA$6,SeismicData[[#This Row],[genergy]]&gt;$AA$5),"Outlier","Normal")</f>
        <v>Normal</v>
      </c>
    </row>
    <row r="826" spans="1:24" x14ac:dyDescent="0.15">
      <c r="A826">
        <v>825</v>
      </c>
      <c r="B826" t="s">
        <v>20</v>
      </c>
      <c r="C826" t="s">
        <v>23</v>
      </c>
      <c r="D826" t="s">
        <v>22</v>
      </c>
      <c r="E826">
        <v>239660</v>
      </c>
      <c r="F826">
        <v>501</v>
      </c>
      <c r="G826">
        <v>60</v>
      </c>
      <c r="H826">
        <v>3</v>
      </c>
      <c r="I826" t="s">
        <v>20</v>
      </c>
      <c r="J826">
        <v>1</v>
      </c>
      <c r="K826">
        <v>0</v>
      </c>
      <c r="L826">
        <v>1</v>
      </c>
      <c r="M826">
        <v>0</v>
      </c>
      <c r="N826">
        <v>0</v>
      </c>
      <c r="O826">
        <v>0</v>
      </c>
      <c r="P826">
        <v>0</v>
      </c>
      <c r="Q826">
        <v>0</v>
      </c>
      <c r="R826">
        <v>8000</v>
      </c>
      <c r="S826">
        <v>8000</v>
      </c>
      <c r="T826">
        <v>0</v>
      </c>
      <c r="U826" t="str">
        <f>IF(SeismicData[[#This Row],[class]]=1,"Dangerous","Safe")</f>
        <v>Safe</v>
      </c>
      <c r="V826" t="str">
        <f>IF(SeismicData[[#This Row],[shift]]="W","Production","Non-Production")</f>
        <v>Production</v>
      </c>
      <c r="W826" t="str">
        <f>IF(SeismicData[[#This Row],[genergy]]=0,"0","10^"&amp;INT(LOG10(SeismicData[[#This Row],[genergy]])))</f>
        <v>10^5</v>
      </c>
      <c r="X826" t="str">
        <f>IF(OR(SeismicData[[#This Row],[genergy]]&lt;$AA$6,SeismicData[[#This Row],[genergy]]&gt;$AA$5),"Outlier","Normal")</f>
        <v>Outlier</v>
      </c>
    </row>
    <row r="827" spans="1:24" x14ac:dyDescent="0.15">
      <c r="A827">
        <v>826</v>
      </c>
      <c r="B827" t="s">
        <v>20</v>
      </c>
      <c r="C827" t="s">
        <v>23</v>
      </c>
      <c r="D827" t="s">
        <v>22</v>
      </c>
      <c r="E827">
        <v>229690</v>
      </c>
      <c r="F827">
        <v>485</v>
      </c>
      <c r="G827">
        <v>45</v>
      </c>
      <c r="H827">
        <v>0</v>
      </c>
      <c r="I827" t="s">
        <v>20</v>
      </c>
      <c r="J827">
        <v>4</v>
      </c>
      <c r="K827">
        <v>3</v>
      </c>
      <c r="L827">
        <v>1</v>
      </c>
      <c r="M827">
        <v>0</v>
      </c>
      <c r="N827">
        <v>0</v>
      </c>
      <c r="O827">
        <v>0</v>
      </c>
      <c r="P827">
        <v>0</v>
      </c>
      <c r="Q827">
        <v>0</v>
      </c>
      <c r="R827">
        <v>2500</v>
      </c>
      <c r="S827">
        <v>1000</v>
      </c>
      <c r="T827">
        <v>0</v>
      </c>
      <c r="U827" t="str">
        <f>IF(SeismicData[[#This Row],[class]]=1,"Dangerous","Safe")</f>
        <v>Safe</v>
      </c>
      <c r="V827" t="str">
        <f>IF(SeismicData[[#This Row],[shift]]="W","Production","Non-Production")</f>
        <v>Production</v>
      </c>
      <c r="W827" t="str">
        <f>IF(SeismicData[[#This Row],[genergy]]=0,"0","10^"&amp;INT(LOG10(SeismicData[[#This Row],[genergy]])))</f>
        <v>10^5</v>
      </c>
      <c r="X827" t="str">
        <f>IF(OR(SeismicData[[#This Row],[genergy]]&lt;$AA$6,SeismicData[[#This Row],[genergy]]&gt;$AA$5),"Outlier","Normal")</f>
        <v>Outlier</v>
      </c>
    </row>
    <row r="828" spans="1:24" x14ac:dyDescent="0.15">
      <c r="A828">
        <v>827</v>
      </c>
      <c r="B828" t="s">
        <v>20</v>
      </c>
      <c r="C828" t="s">
        <v>23</v>
      </c>
      <c r="D828" t="s">
        <v>21</v>
      </c>
      <c r="E828">
        <v>49410</v>
      </c>
      <c r="F828">
        <v>74</v>
      </c>
      <c r="G828">
        <v>-33</v>
      </c>
      <c r="H828">
        <v>-69</v>
      </c>
      <c r="I828" t="s">
        <v>20</v>
      </c>
      <c r="J828">
        <v>2</v>
      </c>
      <c r="K828">
        <v>0</v>
      </c>
      <c r="L828">
        <v>2</v>
      </c>
      <c r="M828">
        <v>0</v>
      </c>
      <c r="N828">
        <v>0</v>
      </c>
      <c r="O828">
        <v>0</v>
      </c>
      <c r="P828">
        <v>0</v>
      </c>
      <c r="Q828">
        <v>0</v>
      </c>
      <c r="R828">
        <v>6000</v>
      </c>
      <c r="S828">
        <v>3000</v>
      </c>
      <c r="T828">
        <v>0</v>
      </c>
      <c r="U828" t="str">
        <f>IF(SeismicData[[#This Row],[class]]=1,"Dangerous","Safe")</f>
        <v>Safe</v>
      </c>
      <c r="V828" t="str">
        <f>IF(SeismicData[[#This Row],[shift]]="W","Production","Non-Production")</f>
        <v>Non-Production</v>
      </c>
      <c r="W828" t="str">
        <f>IF(SeismicData[[#This Row],[genergy]]=0,"0","10^"&amp;INT(LOG10(SeismicData[[#This Row],[genergy]])))</f>
        <v>10^4</v>
      </c>
      <c r="X828" t="str">
        <f>IF(OR(SeismicData[[#This Row],[genergy]]&lt;$AA$6,SeismicData[[#This Row],[genergy]]&gt;$AA$5),"Outlier","Normal")</f>
        <v>Normal</v>
      </c>
    </row>
    <row r="829" spans="1:24" x14ac:dyDescent="0.15">
      <c r="A829">
        <v>828</v>
      </c>
      <c r="B829" t="s">
        <v>20</v>
      </c>
      <c r="C829" t="s">
        <v>23</v>
      </c>
      <c r="D829" t="s">
        <v>22</v>
      </c>
      <c r="E829">
        <v>197620</v>
      </c>
      <c r="F829">
        <v>406</v>
      </c>
      <c r="G829">
        <v>19</v>
      </c>
      <c r="H829">
        <v>-16</v>
      </c>
      <c r="I829" t="s">
        <v>20</v>
      </c>
      <c r="J829">
        <v>0</v>
      </c>
      <c r="K829">
        <v>0</v>
      </c>
      <c r="L829">
        <v>0</v>
      </c>
      <c r="M829">
        <v>0</v>
      </c>
      <c r="N829">
        <v>0</v>
      </c>
      <c r="O829">
        <v>0</v>
      </c>
      <c r="P829">
        <v>0</v>
      </c>
      <c r="Q829">
        <v>0</v>
      </c>
      <c r="R829">
        <v>0</v>
      </c>
      <c r="S829">
        <v>0</v>
      </c>
      <c r="T829">
        <v>0</v>
      </c>
      <c r="U829" t="str">
        <f>IF(SeismicData[[#This Row],[class]]=1,"Dangerous","Safe")</f>
        <v>Safe</v>
      </c>
      <c r="V829" t="str">
        <f>IF(SeismicData[[#This Row],[shift]]="W","Production","Non-Production")</f>
        <v>Production</v>
      </c>
      <c r="W829" t="str">
        <f>IF(SeismicData[[#This Row],[genergy]]=0,"0","10^"&amp;INT(LOG10(SeismicData[[#This Row],[genergy]])))</f>
        <v>10^5</v>
      </c>
      <c r="X829" t="str">
        <f>IF(OR(SeismicData[[#This Row],[genergy]]&lt;$AA$6,SeismicData[[#This Row],[genergy]]&gt;$AA$5),"Outlier","Normal")</f>
        <v>Outlier</v>
      </c>
    </row>
    <row r="830" spans="1:24" x14ac:dyDescent="0.15">
      <c r="A830">
        <v>829</v>
      </c>
      <c r="B830" t="s">
        <v>20</v>
      </c>
      <c r="C830" t="s">
        <v>23</v>
      </c>
      <c r="D830" t="s">
        <v>21</v>
      </c>
      <c r="E830">
        <v>68200</v>
      </c>
      <c r="F830">
        <v>137</v>
      </c>
      <c r="G830">
        <v>-5</v>
      </c>
      <c r="H830">
        <v>-38</v>
      </c>
      <c r="I830" t="s">
        <v>20</v>
      </c>
      <c r="J830">
        <v>0</v>
      </c>
      <c r="K830">
        <v>0</v>
      </c>
      <c r="L830">
        <v>0</v>
      </c>
      <c r="M830">
        <v>0</v>
      </c>
      <c r="N830">
        <v>0</v>
      </c>
      <c r="O830">
        <v>0</v>
      </c>
      <c r="P830">
        <v>0</v>
      </c>
      <c r="Q830">
        <v>0</v>
      </c>
      <c r="R830">
        <v>0</v>
      </c>
      <c r="S830">
        <v>0</v>
      </c>
      <c r="T830">
        <v>0</v>
      </c>
      <c r="U830" t="str">
        <f>IF(SeismicData[[#This Row],[class]]=1,"Dangerous","Safe")</f>
        <v>Safe</v>
      </c>
      <c r="V830" t="str">
        <f>IF(SeismicData[[#This Row],[shift]]="W","Production","Non-Production")</f>
        <v>Non-Production</v>
      </c>
      <c r="W830" t="str">
        <f>IF(SeismicData[[#This Row],[genergy]]=0,"0","10^"&amp;INT(LOG10(SeismicData[[#This Row],[genergy]])))</f>
        <v>10^4</v>
      </c>
      <c r="X830" t="str">
        <f>IF(OR(SeismicData[[#This Row],[genergy]]&lt;$AA$6,SeismicData[[#This Row],[genergy]]&gt;$AA$5),"Outlier","Normal")</f>
        <v>Normal</v>
      </c>
    </row>
    <row r="831" spans="1:24" x14ac:dyDescent="0.15">
      <c r="A831">
        <v>830</v>
      </c>
      <c r="B831" t="s">
        <v>20</v>
      </c>
      <c r="C831" t="s">
        <v>23</v>
      </c>
      <c r="D831" t="s">
        <v>21</v>
      </c>
      <c r="E831">
        <v>53380</v>
      </c>
      <c r="F831">
        <v>108</v>
      </c>
      <c r="G831">
        <v>-13</v>
      </c>
      <c r="H831">
        <v>-8</v>
      </c>
      <c r="I831" t="s">
        <v>20</v>
      </c>
      <c r="J831">
        <v>3</v>
      </c>
      <c r="K831">
        <v>2</v>
      </c>
      <c r="L831">
        <v>1</v>
      </c>
      <c r="M831">
        <v>0</v>
      </c>
      <c r="N831">
        <v>0</v>
      </c>
      <c r="O831">
        <v>0</v>
      </c>
      <c r="P831">
        <v>0</v>
      </c>
      <c r="Q831">
        <v>0</v>
      </c>
      <c r="R831">
        <v>1700</v>
      </c>
      <c r="S831">
        <v>1000</v>
      </c>
      <c r="T831">
        <v>0</v>
      </c>
      <c r="U831" t="str">
        <f>IF(SeismicData[[#This Row],[class]]=1,"Dangerous","Safe")</f>
        <v>Safe</v>
      </c>
      <c r="V831" t="str">
        <f>IF(SeismicData[[#This Row],[shift]]="W","Production","Non-Production")</f>
        <v>Non-Production</v>
      </c>
      <c r="W831" t="str">
        <f>IF(SeismicData[[#This Row],[genergy]]=0,"0","10^"&amp;INT(LOG10(SeismicData[[#This Row],[genergy]])))</f>
        <v>10^4</v>
      </c>
      <c r="X831" t="str">
        <f>IF(OR(SeismicData[[#This Row],[genergy]]&lt;$AA$6,SeismicData[[#This Row],[genergy]]&gt;$AA$5),"Outlier","Normal")</f>
        <v>Normal</v>
      </c>
    </row>
    <row r="832" spans="1:24" x14ac:dyDescent="0.15">
      <c r="A832">
        <v>831</v>
      </c>
      <c r="B832" t="s">
        <v>20</v>
      </c>
      <c r="C832" t="s">
        <v>23</v>
      </c>
      <c r="D832" t="s">
        <v>22</v>
      </c>
      <c r="E832">
        <v>179710</v>
      </c>
      <c r="F832">
        <v>274</v>
      </c>
      <c r="G832">
        <v>5</v>
      </c>
      <c r="H832">
        <v>-42</v>
      </c>
      <c r="I832" t="s">
        <v>20</v>
      </c>
      <c r="J832">
        <v>4</v>
      </c>
      <c r="K832">
        <v>3</v>
      </c>
      <c r="L832">
        <v>1</v>
      </c>
      <c r="M832">
        <v>0</v>
      </c>
      <c r="N832">
        <v>0</v>
      </c>
      <c r="O832">
        <v>0</v>
      </c>
      <c r="P832">
        <v>0</v>
      </c>
      <c r="Q832">
        <v>0</v>
      </c>
      <c r="R832">
        <v>3000</v>
      </c>
      <c r="S832">
        <v>2000</v>
      </c>
      <c r="T832">
        <v>0</v>
      </c>
      <c r="U832" t="str">
        <f>IF(SeismicData[[#This Row],[class]]=1,"Dangerous","Safe")</f>
        <v>Safe</v>
      </c>
      <c r="V832" t="str">
        <f>IF(SeismicData[[#This Row],[shift]]="W","Production","Non-Production")</f>
        <v>Production</v>
      </c>
      <c r="W832" t="str">
        <f>IF(SeismicData[[#This Row],[genergy]]=0,"0","10^"&amp;INT(LOG10(SeismicData[[#This Row],[genergy]])))</f>
        <v>10^5</v>
      </c>
      <c r="X832" t="str">
        <f>IF(OR(SeismicData[[#This Row],[genergy]]&lt;$AA$6,SeismicData[[#This Row],[genergy]]&gt;$AA$5),"Outlier","Normal")</f>
        <v>Outlier</v>
      </c>
    </row>
    <row r="833" spans="1:24" x14ac:dyDescent="0.15">
      <c r="A833">
        <v>832</v>
      </c>
      <c r="B833" t="s">
        <v>20</v>
      </c>
      <c r="C833" t="s">
        <v>23</v>
      </c>
      <c r="D833" t="s">
        <v>21</v>
      </c>
      <c r="E833">
        <v>29650</v>
      </c>
      <c r="F833">
        <v>93</v>
      </c>
      <c r="G833">
        <v>-51</v>
      </c>
      <c r="H833">
        <v>-20</v>
      </c>
      <c r="I833" t="s">
        <v>20</v>
      </c>
      <c r="J833">
        <v>0</v>
      </c>
      <c r="K833">
        <v>0</v>
      </c>
      <c r="L833">
        <v>0</v>
      </c>
      <c r="M833">
        <v>0</v>
      </c>
      <c r="N833">
        <v>0</v>
      </c>
      <c r="O833">
        <v>0</v>
      </c>
      <c r="P833">
        <v>0</v>
      </c>
      <c r="Q833">
        <v>0</v>
      </c>
      <c r="R833">
        <v>0</v>
      </c>
      <c r="S833">
        <v>0</v>
      </c>
      <c r="T833">
        <v>0</v>
      </c>
      <c r="U833" t="str">
        <f>IF(SeismicData[[#This Row],[class]]=1,"Dangerous","Safe")</f>
        <v>Safe</v>
      </c>
      <c r="V833" t="str">
        <f>IF(SeismicData[[#This Row],[shift]]="W","Production","Non-Production")</f>
        <v>Non-Production</v>
      </c>
      <c r="W833" t="str">
        <f>IF(SeismicData[[#This Row],[genergy]]=0,"0","10^"&amp;INT(LOG10(SeismicData[[#This Row],[genergy]])))</f>
        <v>10^4</v>
      </c>
      <c r="X833" t="str">
        <f>IF(OR(SeismicData[[#This Row],[genergy]]&lt;$AA$6,SeismicData[[#This Row],[genergy]]&gt;$AA$5),"Outlier","Normal")</f>
        <v>Normal</v>
      </c>
    </row>
    <row r="834" spans="1:24" x14ac:dyDescent="0.15">
      <c r="A834">
        <v>833</v>
      </c>
      <c r="B834" t="s">
        <v>20</v>
      </c>
      <c r="C834" t="s">
        <v>23</v>
      </c>
      <c r="D834" t="s">
        <v>22</v>
      </c>
      <c r="E834">
        <v>111510</v>
      </c>
      <c r="F834">
        <v>169</v>
      </c>
      <c r="G834">
        <v>-36</v>
      </c>
      <c r="H834">
        <v>-63</v>
      </c>
      <c r="I834" t="s">
        <v>20</v>
      </c>
      <c r="J834">
        <v>2</v>
      </c>
      <c r="K834">
        <v>0</v>
      </c>
      <c r="L834">
        <v>2</v>
      </c>
      <c r="M834">
        <v>0</v>
      </c>
      <c r="N834">
        <v>0</v>
      </c>
      <c r="O834">
        <v>0</v>
      </c>
      <c r="P834">
        <v>0</v>
      </c>
      <c r="Q834">
        <v>0</v>
      </c>
      <c r="R834">
        <v>5000</v>
      </c>
      <c r="S834">
        <v>3000</v>
      </c>
      <c r="T834">
        <v>0</v>
      </c>
      <c r="U834" t="str">
        <f>IF(SeismicData[[#This Row],[class]]=1,"Dangerous","Safe")</f>
        <v>Safe</v>
      </c>
      <c r="V834" t="str">
        <f>IF(SeismicData[[#This Row],[shift]]="W","Production","Non-Production")</f>
        <v>Production</v>
      </c>
      <c r="W834" t="str">
        <f>IF(SeismicData[[#This Row],[genergy]]=0,"0","10^"&amp;INT(LOG10(SeismicData[[#This Row],[genergy]])))</f>
        <v>10^5</v>
      </c>
      <c r="X834" t="str">
        <f>IF(OR(SeismicData[[#This Row],[genergy]]&lt;$AA$6,SeismicData[[#This Row],[genergy]]&gt;$AA$5),"Outlier","Normal")</f>
        <v>Normal</v>
      </c>
    </row>
    <row r="835" spans="1:24" x14ac:dyDescent="0.15">
      <c r="A835">
        <v>834</v>
      </c>
      <c r="B835" t="s">
        <v>20</v>
      </c>
      <c r="C835" t="s">
        <v>23</v>
      </c>
      <c r="D835" t="s">
        <v>21</v>
      </c>
      <c r="E835">
        <v>18400</v>
      </c>
      <c r="F835">
        <v>46</v>
      </c>
      <c r="G835">
        <v>-68</v>
      </c>
      <c r="H835">
        <v>-60</v>
      </c>
      <c r="I835" t="s">
        <v>20</v>
      </c>
      <c r="J835">
        <v>0</v>
      </c>
      <c r="K835">
        <v>0</v>
      </c>
      <c r="L835">
        <v>0</v>
      </c>
      <c r="M835">
        <v>0</v>
      </c>
      <c r="N835">
        <v>0</v>
      </c>
      <c r="O835">
        <v>0</v>
      </c>
      <c r="P835">
        <v>0</v>
      </c>
      <c r="Q835">
        <v>0</v>
      </c>
      <c r="R835">
        <v>0</v>
      </c>
      <c r="S835">
        <v>0</v>
      </c>
      <c r="T835">
        <v>0</v>
      </c>
      <c r="U835" t="str">
        <f>IF(SeismicData[[#This Row],[class]]=1,"Dangerous","Safe")</f>
        <v>Safe</v>
      </c>
      <c r="V835" t="str">
        <f>IF(SeismicData[[#This Row],[shift]]="W","Production","Non-Production")</f>
        <v>Non-Production</v>
      </c>
      <c r="W835" t="str">
        <f>IF(SeismicData[[#This Row],[genergy]]=0,"0","10^"&amp;INT(LOG10(SeismicData[[#This Row],[genergy]])))</f>
        <v>10^4</v>
      </c>
      <c r="X835" t="str">
        <f>IF(OR(SeismicData[[#This Row],[genergy]]&lt;$AA$6,SeismicData[[#This Row],[genergy]]&gt;$AA$5),"Outlier","Normal")</f>
        <v>Normal</v>
      </c>
    </row>
    <row r="836" spans="1:24" x14ac:dyDescent="0.15">
      <c r="A836">
        <v>835</v>
      </c>
      <c r="B836" t="s">
        <v>20</v>
      </c>
      <c r="C836" t="s">
        <v>23</v>
      </c>
      <c r="D836" t="s">
        <v>21</v>
      </c>
      <c r="E836">
        <v>6980</v>
      </c>
      <c r="F836">
        <v>30</v>
      </c>
      <c r="G836">
        <v>-87</v>
      </c>
      <c r="H836">
        <v>-72</v>
      </c>
      <c r="I836" t="s">
        <v>20</v>
      </c>
      <c r="J836">
        <v>0</v>
      </c>
      <c r="K836">
        <v>0</v>
      </c>
      <c r="L836">
        <v>0</v>
      </c>
      <c r="M836">
        <v>0</v>
      </c>
      <c r="N836">
        <v>0</v>
      </c>
      <c r="O836">
        <v>0</v>
      </c>
      <c r="P836">
        <v>0</v>
      </c>
      <c r="Q836">
        <v>0</v>
      </c>
      <c r="R836">
        <v>0</v>
      </c>
      <c r="S836">
        <v>0</v>
      </c>
      <c r="T836">
        <v>0</v>
      </c>
      <c r="U836" t="str">
        <f>IF(SeismicData[[#This Row],[class]]=1,"Dangerous","Safe")</f>
        <v>Safe</v>
      </c>
      <c r="V836" t="str">
        <f>IF(SeismicData[[#This Row],[shift]]="W","Production","Non-Production")</f>
        <v>Non-Production</v>
      </c>
      <c r="W836" t="str">
        <f>IF(SeismicData[[#This Row],[genergy]]=0,"0","10^"&amp;INT(LOG10(SeismicData[[#This Row],[genergy]])))</f>
        <v>10^3</v>
      </c>
      <c r="X836" t="str">
        <f>IF(OR(SeismicData[[#This Row],[genergy]]&lt;$AA$6,SeismicData[[#This Row],[genergy]]&gt;$AA$5),"Outlier","Normal")</f>
        <v>Normal</v>
      </c>
    </row>
    <row r="837" spans="1:24" x14ac:dyDescent="0.15">
      <c r="A837">
        <v>836</v>
      </c>
      <c r="B837" t="s">
        <v>20</v>
      </c>
      <c r="C837" t="s">
        <v>23</v>
      </c>
      <c r="D837" t="s">
        <v>21</v>
      </c>
      <c r="E837">
        <v>13120</v>
      </c>
      <c r="F837">
        <v>19</v>
      </c>
      <c r="G837">
        <v>-73</v>
      </c>
      <c r="H837">
        <v>-81</v>
      </c>
      <c r="I837" t="s">
        <v>20</v>
      </c>
      <c r="J837">
        <v>0</v>
      </c>
      <c r="K837">
        <v>0</v>
      </c>
      <c r="L837">
        <v>0</v>
      </c>
      <c r="M837">
        <v>0</v>
      </c>
      <c r="N837">
        <v>0</v>
      </c>
      <c r="O837">
        <v>0</v>
      </c>
      <c r="P837">
        <v>0</v>
      </c>
      <c r="Q837">
        <v>0</v>
      </c>
      <c r="R837">
        <v>0</v>
      </c>
      <c r="S837">
        <v>0</v>
      </c>
      <c r="T837">
        <v>0</v>
      </c>
      <c r="U837" t="str">
        <f>IF(SeismicData[[#This Row],[class]]=1,"Dangerous","Safe")</f>
        <v>Safe</v>
      </c>
      <c r="V837" t="str">
        <f>IF(SeismicData[[#This Row],[shift]]="W","Production","Non-Production")</f>
        <v>Non-Production</v>
      </c>
      <c r="W837" t="str">
        <f>IF(SeismicData[[#This Row],[genergy]]=0,"0","10^"&amp;INT(LOG10(SeismicData[[#This Row],[genergy]])))</f>
        <v>10^4</v>
      </c>
      <c r="X837" t="str">
        <f>IF(OR(SeismicData[[#This Row],[genergy]]&lt;$AA$6,SeismicData[[#This Row],[genergy]]&gt;$AA$5),"Outlier","Normal")</f>
        <v>Normal</v>
      </c>
    </row>
    <row r="838" spans="1:24" x14ac:dyDescent="0.15">
      <c r="A838">
        <v>837</v>
      </c>
      <c r="B838" t="s">
        <v>20</v>
      </c>
      <c r="C838" t="s">
        <v>20</v>
      </c>
      <c r="D838" t="s">
        <v>21</v>
      </c>
      <c r="E838">
        <v>9050</v>
      </c>
      <c r="F838">
        <v>17</v>
      </c>
      <c r="G838">
        <v>-79</v>
      </c>
      <c r="H838">
        <v>-81</v>
      </c>
      <c r="I838" t="s">
        <v>20</v>
      </c>
      <c r="J838">
        <v>0</v>
      </c>
      <c r="K838">
        <v>0</v>
      </c>
      <c r="L838">
        <v>0</v>
      </c>
      <c r="M838">
        <v>0</v>
      </c>
      <c r="N838">
        <v>0</v>
      </c>
      <c r="O838">
        <v>0</v>
      </c>
      <c r="P838">
        <v>0</v>
      </c>
      <c r="Q838">
        <v>0</v>
      </c>
      <c r="R838">
        <v>0</v>
      </c>
      <c r="S838">
        <v>0</v>
      </c>
      <c r="T838">
        <v>0</v>
      </c>
      <c r="U838" t="str">
        <f>IF(SeismicData[[#This Row],[class]]=1,"Dangerous","Safe")</f>
        <v>Safe</v>
      </c>
      <c r="V838" t="str">
        <f>IF(SeismicData[[#This Row],[shift]]="W","Production","Non-Production")</f>
        <v>Non-Production</v>
      </c>
      <c r="W838" t="str">
        <f>IF(SeismicData[[#This Row],[genergy]]=0,"0","10^"&amp;INT(LOG10(SeismicData[[#This Row],[genergy]])))</f>
        <v>10^3</v>
      </c>
      <c r="X838" t="str">
        <f>IF(OR(SeismicData[[#This Row],[genergy]]&lt;$AA$6,SeismicData[[#This Row],[genergy]]&gt;$AA$5),"Outlier","Normal")</f>
        <v>Normal</v>
      </c>
    </row>
    <row r="839" spans="1:24" x14ac:dyDescent="0.15">
      <c r="A839">
        <v>838</v>
      </c>
      <c r="B839" t="s">
        <v>20</v>
      </c>
      <c r="C839" t="s">
        <v>20</v>
      </c>
      <c r="D839" t="s">
        <v>21</v>
      </c>
      <c r="E839">
        <v>15400</v>
      </c>
      <c r="F839">
        <v>24</v>
      </c>
      <c r="G839">
        <v>-59</v>
      </c>
      <c r="H839">
        <v>-69</v>
      </c>
      <c r="I839" t="s">
        <v>20</v>
      </c>
      <c r="J839">
        <v>1</v>
      </c>
      <c r="K839">
        <v>0</v>
      </c>
      <c r="L839">
        <v>1</v>
      </c>
      <c r="M839">
        <v>0</v>
      </c>
      <c r="N839">
        <v>0</v>
      </c>
      <c r="O839">
        <v>0</v>
      </c>
      <c r="P839">
        <v>0</v>
      </c>
      <c r="Q839">
        <v>0</v>
      </c>
      <c r="R839">
        <v>1000</v>
      </c>
      <c r="S839">
        <v>1000</v>
      </c>
      <c r="T839">
        <v>0</v>
      </c>
      <c r="U839" t="str">
        <f>IF(SeismicData[[#This Row],[class]]=1,"Dangerous","Safe")</f>
        <v>Safe</v>
      </c>
      <c r="V839" t="str">
        <f>IF(SeismicData[[#This Row],[shift]]="W","Production","Non-Production")</f>
        <v>Non-Production</v>
      </c>
      <c r="W839" t="str">
        <f>IF(SeismicData[[#This Row],[genergy]]=0,"0","10^"&amp;INT(LOG10(SeismicData[[#This Row],[genergy]])))</f>
        <v>10^4</v>
      </c>
      <c r="X839" t="str">
        <f>IF(OR(SeismicData[[#This Row],[genergy]]&lt;$AA$6,SeismicData[[#This Row],[genergy]]&gt;$AA$5),"Outlier","Normal")</f>
        <v>Normal</v>
      </c>
    </row>
    <row r="840" spans="1:24" x14ac:dyDescent="0.15">
      <c r="A840">
        <v>839</v>
      </c>
      <c r="B840" t="s">
        <v>20</v>
      </c>
      <c r="C840" t="s">
        <v>20</v>
      </c>
      <c r="D840" t="s">
        <v>21</v>
      </c>
      <c r="E840">
        <v>38800</v>
      </c>
      <c r="F840">
        <v>38</v>
      </c>
      <c r="G840">
        <v>17</v>
      </c>
      <c r="H840">
        <v>-45</v>
      </c>
      <c r="I840" t="s">
        <v>20</v>
      </c>
      <c r="J840">
        <v>2</v>
      </c>
      <c r="K840">
        <v>1</v>
      </c>
      <c r="L840">
        <v>1</v>
      </c>
      <c r="M840">
        <v>0</v>
      </c>
      <c r="N840">
        <v>0</v>
      </c>
      <c r="O840">
        <v>0</v>
      </c>
      <c r="P840">
        <v>0</v>
      </c>
      <c r="Q840">
        <v>0</v>
      </c>
      <c r="R840">
        <v>1700</v>
      </c>
      <c r="S840">
        <v>1000</v>
      </c>
      <c r="T840">
        <v>0</v>
      </c>
      <c r="U840" t="str">
        <f>IF(SeismicData[[#This Row],[class]]=1,"Dangerous","Safe")</f>
        <v>Safe</v>
      </c>
      <c r="V840" t="str">
        <f>IF(SeismicData[[#This Row],[shift]]="W","Production","Non-Production")</f>
        <v>Non-Production</v>
      </c>
      <c r="W840" t="str">
        <f>IF(SeismicData[[#This Row],[genergy]]=0,"0","10^"&amp;INT(LOG10(SeismicData[[#This Row],[genergy]])))</f>
        <v>10^4</v>
      </c>
      <c r="X840" t="str">
        <f>IF(OR(SeismicData[[#This Row],[genergy]]&lt;$AA$6,SeismicData[[#This Row],[genergy]]&gt;$AA$5),"Outlier","Normal")</f>
        <v>Normal</v>
      </c>
    </row>
    <row r="841" spans="1:24" x14ac:dyDescent="0.15">
      <c r="A841">
        <v>840</v>
      </c>
      <c r="B841" t="s">
        <v>20</v>
      </c>
      <c r="C841" t="s">
        <v>20</v>
      </c>
      <c r="D841" t="s">
        <v>22</v>
      </c>
      <c r="E841">
        <v>104210</v>
      </c>
      <c r="F841">
        <v>185</v>
      </c>
      <c r="G841">
        <v>-39</v>
      </c>
      <c r="H841">
        <v>-56</v>
      </c>
      <c r="I841" t="s">
        <v>20</v>
      </c>
      <c r="J841">
        <v>2</v>
      </c>
      <c r="K841">
        <v>2</v>
      </c>
      <c r="L841">
        <v>0</v>
      </c>
      <c r="M841">
        <v>0</v>
      </c>
      <c r="N841">
        <v>0</v>
      </c>
      <c r="O841">
        <v>0</v>
      </c>
      <c r="P841">
        <v>0</v>
      </c>
      <c r="Q841">
        <v>0</v>
      </c>
      <c r="R841">
        <v>500</v>
      </c>
      <c r="S841">
        <v>300</v>
      </c>
      <c r="T841">
        <v>0</v>
      </c>
      <c r="U841" t="str">
        <f>IF(SeismicData[[#This Row],[class]]=1,"Dangerous","Safe")</f>
        <v>Safe</v>
      </c>
      <c r="V841" t="str">
        <f>IF(SeismicData[[#This Row],[shift]]="W","Production","Non-Production")</f>
        <v>Production</v>
      </c>
      <c r="W841" t="str">
        <f>IF(SeismicData[[#This Row],[genergy]]=0,"0","10^"&amp;INT(LOG10(SeismicData[[#This Row],[genergy]])))</f>
        <v>10^5</v>
      </c>
      <c r="X841" t="str">
        <f>IF(OR(SeismicData[[#This Row],[genergy]]&lt;$AA$6,SeismicData[[#This Row],[genergy]]&gt;$AA$5),"Outlier","Normal")</f>
        <v>Normal</v>
      </c>
    </row>
    <row r="842" spans="1:24" x14ac:dyDescent="0.15">
      <c r="A842">
        <v>841</v>
      </c>
      <c r="B842" t="s">
        <v>20</v>
      </c>
      <c r="C842" t="s">
        <v>20</v>
      </c>
      <c r="D842" t="s">
        <v>22</v>
      </c>
      <c r="E842">
        <v>73930</v>
      </c>
      <c r="F842">
        <v>94</v>
      </c>
      <c r="G842">
        <v>-55</v>
      </c>
      <c r="H842">
        <v>-76</v>
      </c>
      <c r="I842" t="s">
        <v>20</v>
      </c>
      <c r="J842">
        <v>1</v>
      </c>
      <c r="K842">
        <v>0</v>
      </c>
      <c r="L842">
        <v>1</v>
      </c>
      <c r="M842">
        <v>0</v>
      </c>
      <c r="N842">
        <v>0</v>
      </c>
      <c r="O842">
        <v>0</v>
      </c>
      <c r="P842">
        <v>0</v>
      </c>
      <c r="Q842">
        <v>0</v>
      </c>
      <c r="R842">
        <v>1000</v>
      </c>
      <c r="S842">
        <v>1000</v>
      </c>
      <c r="T842">
        <v>0</v>
      </c>
      <c r="U842" t="str">
        <f>IF(SeismicData[[#This Row],[class]]=1,"Dangerous","Safe")</f>
        <v>Safe</v>
      </c>
      <c r="V842" t="str">
        <f>IF(SeismicData[[#This Row],[shift]]="W","Production","Non-Production")</f>
        <v>Production</v>
      </c>
      <c r="W842" t="str">
        <f>IF(SeismicData[[#This Row],[genergy]]=0,"0","10^"&amp;INT(LOG10(SeismicData[[#This Row],[genergy]])))</f>
        <v>10^4</v>
      </c>
      <c r="X842" t="str">
        <f>IF(OR(SeismicData[[#This Row],[genergy]]&lt;$AA$6,SeismicData[[#This Row],[genergy]]&gt;$AA$5),"Outlier","Normal")</f>
        <v>Normal</v>
      </c>
    </row>
    <row r="843" spans="1:24" x14ac:dyDescent="0.15">
      <c r="A843">
        <v>842</v>
      </c>
      <c r="B843" t="s">
        <v>20</v>
      </c>
      <c r="C843" t="s">
        <v>20</v>
      </c>
      <c r="D843" t="s">
        <v>21</v>
      </c>
      <c r="E843">
        <v>42300</v>
      </c>
      <c r="F843">
        <v>55</v>
      </c>
      <c r="G843">
        <v>37</v>
      </c>
      <c r="H843">
        <v>-10</v>
      </c>
      <c r="I843" t="s">
        <v>20</v>
      </c>
      <c r="J843">
        <v>1</v>
      </c>
      <c r="K843">
        <v>0</v>
      </c>
      <c r="L843">
        <v>1</v>
      </c>
      <c r="M843">
        <v>0</v>
      </c>
      <c r="N843">
        <v>0</v>
      </c>
      <c r="O843">
        <v>0</v>
      </c>
      <c r="P843">
        <v>0</v>
      </c>
      <c r="Q843">
        <v>0</v>
      </c>
      <c r="R843">
        <v>4000</v>
      </c>
      <c r="S843">
        <v>4000</v>
      </c>
      <c r="T843">
        <v>0</v>
      </c>
      <c r="U843" t="str">
        <f>IF(SeismicData[[#This Row],[class]]=1,"Dangerous","Safe")</f>
        <v>Safe</v>
      </c>
      <c r="V843" t="str">
        <f>IF(SeismicData[[#This Row],[shift]]="W","Production","Non-Production")</f>
        <v>Non-Production</v>
      </c>
      <c r="W843" t="str">
        <f>IF(SeismicData[[#This Row],[genergy]]=0,"0","10^"&amp;INT(LOG10(SeismicData[[#This Row],[genergy]])))</f>
        <v>10^4</v>
      </c>
      <c r="X843" t="str">
        <f>IF(OR(SeismicData[[#This Row],[genergy]]&lt;$AA$6,SeismicData[[#This Row],[genergy]]&gt;$AA$5),"Outlier","Normal")</f>
        <v>Normal</v>
      </c>
    </row>
    <row r="844" spans="1:24" x14ac:dyDescent="0.15">
      <c r="A844">
        <v>843</v>
      </c>
      <c r="B844" t="s">
        <v>20</v>
      </c>
      <c r="C844" t="s">
        <v>20</v>
      </c>
      <c r="D844" t="s">
        <v>22</v>
      </c>
      <c r="E844">
        <v>178220</v>
      </c>
      <c r="F844">
        <v>371</v>
      </c>
      <c r="G844">
        <v>13</v>
      </c>
      <c r="H844">
        <v>7</v>
      </c>
      <c r="I844" t="s">
        <v>20</v>
      </c>
      <c r="J844">
        <v>2</v>
      </c>
      <c r="K844">
        <v>2</v>
      </c>
      <c r="L844">
        <v>0</v>
      </c>
      <c r="M844">
        <v>0</v>
      </c>
      <c r="N844">
        <v>0</v>
      </c>
      <c r="O844">
        <v>0</v>
      </c>
      <c r="P844">
        <v>0</v>
      </c>
      <c r="Q844">
        <v>0</v>
      </c>
      <c r="R844">
        <v>800</v>
      </c>
      <c r="S844">
        <v>400</v>
      </c>
      <c r="T844">
        <v>0</v>
      </c>
      <c r="U844" t="str">
        <f>IF(SeismicData[[#This Row],[class]]=1,"Dangerous","Safe")</f>
        <v>Safe</v>
      </c>
      <c r="V844" t="str">
        <f>IF(SeismicData[[#This Row],[shift]]="W","Production","Non-Production")</f>
        <v>Production</v>
      </c>
      <c r="W844" t="str">
        <f>IF(SeismicData[[#This Row],[genergy]]=0,"0","10^"&amp;INT(LOG10(SeismicData[[#This Row],[genergy]])))</f>
        <v>10^5</v>
      </c>
      <c r="X844" t="str">
        <f>IF(OR(SeismicData[[#This Row],[genergy]]&lt;$AA$6,SeismicData[[#This Row],[genergy]]&gt;$AA$5),"Outlier","Normal")</f>
        <v>Outlier</v>
      </c>
    </row>
    <row r="845" spans="1:24" x14ac:dyDescent="0.15">
      <c r="A845">
        <v>844</v>
      </c>
      <c r="B845" t="s">
        <v>20</v>
      </c>
      <c r="C845" t="s">
        <v>23</v>
      </c>
      <c r="D845" t="s">
        <v>22</v>
      </c>
      <c r="E845">
        <v>121520</v>
      </c>
      <c r="F845">
        <v>247</v>
      </c>
      <c r="G845">
        <v>-25</v>
      </c>
      <c r="H845">
        <v>-26</v>
      </c>
      <c r="I845" t="s">
        <v>20</v>
      </c>
      <c r="J845">
        <v>1</v>
      </c>
      <c r="K845">
        <v>1</v>
      </c>
      <c r="L845">
        <v>0</v>
      </c>
      <c r="M845">
        <v>0</v>
      </c>
      <c r="N845">
        <v>0</v>
      </c>
      <c r="O845">
        <v>0</v>
      </c>
      <c r="P845">
        <v>0</v>
      </c>
      <c r="Q845">
        <v>0</v>
      </c>
      <c r="R845">
        <v>400</v>
      </c>
      <c r="S845">
        <v>400</v>
      </c>
      <c r="T845">
        <v>0</v>
      </c>
      <c r="U845" t="str">
        <f>IF(SeismicData[[#This Row],[class]]=1,"Dangerous","Safe")</f>
        <v>Safe</v>
      </c>
      <c r="V845" t="str">
        <f>IF(SeismicData[[#This Row],[shift]]="W","Production","Non-Production")</f>
        <v>Production</v>
      </c>
      <c r="W845" t="str">
        <f>IF(SeismicData[[#This Row],[genergy]]=0,"0","10^"&amp;INT(LOG10(SeismicData[[#This Row],[genergy]])))</f>
        <v>10^5</v>
      </c>
      <c r="X845" t="str">
        <f>IF(OR(SeismicData[[#This Row],[genergy]]&lt;$AA$6,SeismicData[[#This Row],[genergy]]&gt;$AA$5),"Outlier","Normal")</f>
        <v>Outlier</v>
      </c>
    </row>
    <row r="846" spans="1:24" x14ac:dyDescent="0.15">
      <c r="A846">
        <v>845</v>
      </c>
      <c r="B846" t="s">
        <v>20</v>
      </c>
      <c r="C846" t="s">
        <v>23</v>
      </c>
      <c r="D846" t="s">
        <v>21</v>
      </c>
      <c r="E846">
        <v>22270</v>
      </c>
      <c r="F846">
        <v>53</v>
      </c>
      <c r="G846">
        <v>-23</v>
      </c>
      <c r="H846">
        <v>-3</v>
      </c>
      <c r="I846" t="s">
        <v>20</v>
      </c>
      <c r="J846">
        <v>1</v>
      </c>
      <c r="K846">
        <v>0</v>
      </c>
      <c r="L846">
        <v>1</v>
      </c>
      <c r="M846">
        <v>0</v>
      </c>
      <c r="N846">
        <v>0</v>
      </c>
      <c r="O846">
        <v>0</v>
      </c>
      <c r="P846">
        <v>0</v>
      </c>
      <c r="Q846">
        <v>0</v>
      </c>
      <c r="R846">
        <v>4000</v>
      </c>
      <c r="S846">
        <v>4000</v>
      </c>
      <c r="T846">
        <v>0</v>
      </c>
      <c r="U846" t="str">
        <f>IF(SeismicData[[#This Row],[class]]=1,"Dangerous","Safe")</f>
        <v>Safe</v>
      </c>
      <c r="V846" t="str">
        <f>IF(SeismicData[[#This Row],[shift]]="W","Production","Non-Production")</f>
        <v>Non-Production</v>
      </c>
      <c r="W846" t="str">
        <f>IF(SeismicData[[#This Row],[genergy]]=0,"0","10^"&amp;INT(LOG10(SeismicData[[#This Row],[genergy]])))</f>
        <v>10^4</v>
      </c>
      <c r="X846" t="str">
        <f>IF(OR(SeismicData[[#This Row],[genergy]]&lt;$AA$6,SeismicData[[#This Row],[genergy]]&gt;$AA$5),"Outlier","Normal")</f>
        <v>Normal</v>
      </c>
    </row>
    <row r="847" spans="1:24" x14ac:dyDescent="0.15">
      <c r="A847">
        <v>846</v>
      </c>
      <c r="B847" t="s">
        <v>20</v>
      </c>
      <c r="C847" t="s">
        <v>23</v>
      </c>
      <c r="D847" t="s">
        <v>22</v>
      </c>
      <c r="E847">
        <v>254510</v>
      </c>
      <c r="F847">
        <v>417</v>
      </c>
      <c r="G847">
        <v>61</v>
      </c>
      <c r="H847">
        <v>35</v>
      </c>
      <c r="I847" t="s">
        <v>20</v>
      </c>
      <c r="J847">
        <v>2</v>
      </c>
      <c r="K847">
        <v>2</v>
      </c>
      <c r="L847">
        <v>0</v>
      </c>
      <c r="M847">
        <v>0</v>
      </c>
      <c r="N847">
        <v>0</v>
      </c>
      <c r="O847">
        <v>0</v>
      </c>
      <c r="P847">
        <v>0</v>
      </c>
      <c r="Q847">
        <v>0</v>
      </c>
      <c r="R847">
        <v>500</v>
      </c>
      <c r="S847">
        <v>300</v>
      </c>
      <c r="T847">
        <v>0</v>
      </c>
      <c r="U847" t="str">
        <f>IF(SeismicData[[#This Row],[class]]=1,"Dangerous","Safe")</f>
        <v>Safe</v>
      </c>
      <c r="V847" t="str">
        <f>IF(SeismicData[[#This Row],[shift]]="W","Production","Non-Production")</f>
        <v>Production</v>
      </c>
      <c r="W847" t="str">
        <f>IF(SeismicData[[#This Row],[genergy]]=0,"0","10^"&amp;INT(LOG10(SeismicData[[#This Row],[genergy]])))</f>
        <v>10^5</v>
      </c>
      <c r="X847" t="str">
        <f>IF(OR(SeismicData[[#This Row],[genergy]]&lt;$AA$6,SeismicData[[#This Row],[genergy]]&gt;$AA$5),"Outlier","Normal")</f>
        <v>Outlier</v>
      </c>
    </row>
    <row r="848" spans="1:24" x14ac:dyDescent="0.15">
      <c r="A848">
        <v>847</v>
      </c>
      <c r="B848" t="s">
        <v>20</v>
      </c>
      <c r="C848" t="s">
        <v>23</v>
      </c>
      <c r="D848" t="s">
        <v>22</v>
      </c>
      <c r="E848">
        <v>180530</v>
      </c>
      <c r="F848">
        <v>324</v>
      </c>
      <c r="G848">
        <v>7</v>
      </c>
      <c r="H848">
        <v>3</v>
      </c>
      <c r="I848" t="s">
        <v>20</v>
      </c>
      <c r="J848">
        <v>0</v>
      </c>
      <c r="K848">
        <v>0</v>
      </c>
      <c r="L848">
        <v>0</v>
      </c>
      <c r="M848">
        <v>0</v>
      </c>
      <c r="N848">
        <v>0</v>
      </c>
      <c r="O848">
        <v>0</v>
      </c>
      <c r="P848">
        <v>0</v>
      </c>
      <c r="Q848">
        <v>0</v>
      </c>
      <c r="R848">
        <v>0</v>
      </c>
      <c r="S848">
        <v>0</v>
      </c>
      <c r="T848">
        <v>0</v>
      </c>
      <c r="U848" t="str">
        <f>IF(SeismicData[[#This Row],[class]]=1,"Dangerous","Safe")</f>
        <v>Safe</v>
      </c>
      <c r="V848" t="str">
        <f>IF(SeismicData[[#This Row],[shift]]="W","Production","Non-Production")</f>
        <v>Production</v>
      </c>
      <c r="W848" t="str">
        <f>IF(SeismicData[[#This Row],[genergy]]=0,"0","10^"&amp;INT(LOG10(SeismicData[[#This Row],[genergy]])))</f>
        <v>10^5</v>
      </c>
      <c r="X848" t="str">
        <f>IF(OR(SeismicData[[#This Row],[genergy]]&lt;$AA$6,SeismicData[[#This Row],[genergy]]&gt;$AA$5),"Outlier","Normal")</f>
        <v>Outlier</v>
      </c>
    </row>
    <row r="849" spans="1:24" x14ac:dyDescent="0.15">
      <c r="A849">
        <v>848</v>
      </c>
      <c r="B849" t="s">
        <v>20</v>
      </c>
      <c r="C849" t="s">
        <v>23</v>
      </c>
      <c r="D849" t="s">
        <v>21</v>
      </c>
      <c r="E849">
        <v>24750</v>
      </c>
      <c r="F849">
        <v>62</v>
      </c>
      <c r="G849">
        <v>-1</v>
      </c>
      <c r="H849">
        <v>28</v>
      </c>
      <c r="I849" t="s">
        <v>20</v>
      </c>
      <c r="J849">
        <v>1</v>
      </c>
      <c r="K849">
        <v>0</v>
      </c>
      <c r="L849">
        <v>1</v>
      </c>
      <c r="M849">
        <v>0</v>
      </c>
      <c r="N849">
        <v>0</v>
      </c>
      <c r="O849">
        <v>0</v>
      </c>
      <c r="P849">
        <v>0</v>
      </c>
      <c r="Q849">
        <v>0</v>
      </c>
      <c r="R849">
        <v>2000</v>
      </c>
      <c r="S849">
        <v>2000</v>
      </c>
      <c r="T849">
        <v>0</v>
      </c>
      <c r="U849" t="str">
        <f>IF(SeismicData[[#This Row],[class]]=1,"Dangerous","Safe")</f>
        <v>Safe</v>
      </c>
      <c r="V849" t="str">
        <f>IF(SeismicData[[#This Row],[shift]]="W","Production","Non-Production")</f>
        <v>Non-Production</v>
      </c>
      <c r="W849" t="str">
        <f>IF(SeismicData[[#This Row],[genergy]]=0,"0","10^"&amp;INT(LOG10(SeismicData[[#This Row],[genergy]])))</f>
        <v>10^4</v>
      </c>
      <c r="X849" t="str">
        <f>IF(OR(SeismicData[[#This Row],[genergy]]&lt;$AA$6,SeismicData[[#This Row],[genergy]]&gt;$AA$5),"Outlier","Normal")</f>
        <v>Normal</v>
      </c>
    </row>
    <row r="850" spans="1:24" x14ac:dyDescent="0.15">
      <c r="A850">
        <v>849</v>
      </c>
      <c r="B850" t="s">
        <v>20</v>
      </c>
      <c r="C850" t="s">
        <v>23</v>
      </c>
      <c r="D850" t="s">
        <v>22</v>
      </c>
      <c r="E850">
        <v>362360</v>
      </c>
      <c r="F850">
        <v>575</v>
      </c>
      <c r="G850">
        <v>122</v>
      </c>
      <c r="H850">
        <v>93</v>
      </c>
      <c r="I850" t="s">
        <v>23</v>
      </c>
      <c r="J850">
        <v>4</v>
      </c>
      <c r="K850">
        <v>2</v>
      </c>
      <c r="L850">
        <v>2</v>
      </c>
      <c r="M850">
        <v>0</v>
      </c>
      <c r="N850">
        <v>0</v>
      </c>
      <c r="O850">
        <v>0</v>
      </c>
      <c r="P850">
        <v>0</v>
      </c>
      <c r="Q850">
        <v>0</v>
      </c>
      <c r="R850">
        <v>10400</v>
      </c>
      <c r="S850">
        <v>7000</v>
      </c>
      <c r="T850">
        <v>0</v>
      </c>
      <c r="U850" t="str">
        <f>IF(SeismicData[[#This Row],[class]]=1,"Dangerous","Safe")</f>
        <v>Safe</v>
      </c>
      <c r="V850" t="str">
        <f>IF(SeismicData[[#This Row],[shift]]="W","Production","Non-Production")</f>
        <v>Production</v>
      </c>
      <c r="W850" t="str">
        <f>IF(SeismicData[[#This Row],[genergy]]=0,"0","10^"&amp;INT(LOG10(SeismicData[[#This Row],[genergy]])))</f>
        <v>10^5</v>
      </c>
      <c r="X850" t="str">
        <f>IF(OR(SeismicData[[#This Row],[genergy]]&lt;$AA$6,SeismicData[[#This Row],[genergy]]&gt;$AA$5),"Outlier","Normal")</f>
        <v>Outlier</v>
      </c>
    </row>
    <row r="851" spans="1:24" x14ac:dyDescent="0.15">
      <c r="A851">
        <v>850</v>
      </c>
      <c r="B851" t="s">
        <v>20</v>
      </c>
      <c r="C851" t="s">
        <v>23</v>
      </c>
      <c r="D851" t="s">
        <v>22</v>
      </c>
      <c r="E851">
        <v>140610</v>
      </c>
      <c r="F851">
        <v>254</v>
      </c>
      <c r="G851">
        <v>-20</v>
      </c>
      <c r="H851">
        <v>-17</v>
      </c>
      <c r="I851" t="s">
        <v>23</v>
      </c>
      <c r="J851">
        <v>1</v>
      </c>
      <c r="K851">
        <v>1</v>
      </c>
      <c r="L851">
        <v>0</v>
      </c>
      <c r="M851">
        <v>0</v>
      </c>
      <c r="N851">
        <v>0</v>
      </c>
      <c r="O851">
        <v>0</v>
      </c>
      <c r="P851">
        <v>0</v>
      </c>
      <c r="Q851">
        <v>0</v>
      </c>
      <c r="R851">
        <v>800</v>
      </c>
      <c r="S851">
        <v>800</v>
      </c>
      <c r="T851">
        <v>0</v>
      </c>
      <c r="U851" t="str">
        <f>IF(SeismicData[[#This Row],[class]]=1,"Dangerous","Safe")</f>
        <v>Safe</v>
      </c>
      <c r="V851" t="str">
        <f>IF(SeismicData[[#This Row],[shift]]="W","Production","Non-Production")</f>
        <v>Production</v>
      </c>
      <c r="W851" t="str">
        <f>IF(SeismicData[[#This Row],[genergy]]=0,"0","10^"&amp;INT(LOG10(SeismicData[[#This Row],[genergy]])))</f>
        <v>10^5</v>
      </c>
      <c r="X851" t="str">
        <f>IF(OR(SeismicData[[#This Row],[genergy]]&lt;$AA$6,SeismicData[[#This Row],[genergy]]&gt;$AA$5),"Outlier","Normal")</f>
        <v>Outlier</v>
      </c>
    </row>
    <row r="852" spans="1:24" x14ac:dyDescent="0.15">
      <c r="A852">
        <v>851</v>
      </c>
      <c r="B852" t="s">
        <v>20</v>
      </c>
      <c r="C852" t="s">
        <v>23</v>
      </c>
      <c r="D852" t="s">
        <v>21</v>
      </c>
      <c r="E852">
        <v>26720</v>
      </c>
      <c r="F852">
        <v>53</v>
      </c>
      <c r="G852">
        <v>21</v>
      </c>
      <c r="H852">
        <v>21</v>
      </c>
      <c r="I852" t="s">
        <v>23</v>
      </c>
      <c r="J852">
        <v>1</v>
      </c>
      <c r="K852">
        <v>0</v>
      </c>
      <c r="L852">
        <v>1</v>
      </c>
      <c r="M852">
        <v>0</v>
      </c>
      <c r="N852">
        <v>0</v>
      </c>
      <c r="O852">
        <v>0</v>
      </c>
      <c r="P852">
        <v>0</v>
      </c>
      <c r="Q852">
        <v>0</v>
      </c>
      <c r="R852">
        <v>1000</v>
      </c>
      <c r="S852">
        <v>1000</v>
      </c>
      <c r="T852">
        <v>0</v>
      </c>
      <c r="U852" t="str">
        <f>IF(SeismicData[[#This Row],[class]]=1,"Dangerous","Safe")</f>
        <v>Safe</v>
      </c>
      <c r="V852" t="str">
        <f>IF(SeismicData[[#This Row],[shift]]="W","Production","Non-Production")</f>
        <v>Non-Production</v>
      </c>
      <c r="W852" t="str">
        <f>IF(SeismicData[[#This Row],[genergy]]=0,"0","10^"&amp;INT(LOG10(SeismicData[[#This Row],[genergy]])))</f>
        <v>10^4</v>
      </c>
      <c r="X852" t="str">
        <f>IF(OR(SeismicData[[#This Row],[genergy]]&lt;$AA$6,SeismicData[[#This Row],[genergy]]&gt;$AA$5),"Outlier","Normal")</f>
        <v>Normal</v>
      </c>
    </row>
    <row r="853" spans="1:24" x14ac:dyDescent="0.15">
      <c r="A853">
        <v>852</v>
      </c>
      <c r="B853" t="s">
        <v>20</v>
      </c>
      <c r="C853" t="s">
        <v>23</v>
      </c>
      <c r="D853" t="s">
        <v>22</v>
      </c>
      <c r="E853">
        <v>211440</v>
      </c>
      <c r="F853">
        <v>403</v>
      </c>
      <c r="G853">
        <v>24</v>
      </c>
      <c r="H853">
        <v>38</v>
      </c>
      <c r="I853" t="s">
        <v>20</v>
      </c>
      <c r="J853">
        <v>4</v>
      </c>
      <c r="K853">
        <v>2</v>
      </c>
      <c r="L853">
        <v>2</v>
      </c>
      <c r="M853">
        <v>0</v>
      </c>
      <c r="N853">
        <v>0</v>
      </c>
      <c r="O853">
        <v>0</v>
      </c>
      <c r="P853">
        <v>0</v>
      </c>
      <c r="Q853">
        <v>0</v>
      </c>
      <c r="R853">
        <v>7300</v>
      </c>
      <c r="S853">
        <v>4000</v>
      </c>
      <c r="T853">
        <v>0</v>
      </c>
      <c r="U853" t="str">
        <f>IF(SeismicData[[#This Row],[class]]=1,"Dangerous","Safe")</f>
        <v>Safe</v>
      </c>
      <c r="V853" t="str">
        <f>IF(SeismicData[[#This Row],[shift]]="W","Production","Non-Production")</f>
        <v>Production</v>
      </c>
      <c r="W853" t="str">
        <f>IF(SeismicData[[#This Row],[genergy]]=0,"0","10^"&amp;INT(LOG10(SeismicData[[#This Row],[genergy]])))</f>
        <v>10^5</v>
      </c>
      <c r="X853" t="str">
        <f>IF(OR(SeismicData[[#This Row],[genergy]]&lt;$AA$6,SeismicData[[#This Row],[genergy]]&gt;$AA$5),"Outlier","Normal")</f>
        <v>Outlier</v>
      </c>
    </row>
    <row r="854" spans="1:24" x14ac:dyDescent="0.15">
      <c r="A854">
        <v>853</v>
      </c>
      <c r="B854" t="s">
        <v>20</v>
      </c>
      <c r="C854" t="s">
        <v>23</v>
      </c>
      <c r="D854" t="s">
        <v>22</v>
      </c>
      <c r="E854">
        <v>189170</v>
      </c>
      <c r="F854">
        <v>371</v>
      </c>
      <c r="G854">
        <v>9</v>
      </c>
      <c r="H854">
        <v>22</v>
      </c>
      <c r="I854" t="s">
        <v>20</v>
      </c>
      <c r="J854">
        <v>1</v>
      </c>
      <c r="K854">
        <v>0</v>
      </c>
      <c r="L854">
        <v>1</v>
      </c>
      <c r="M854">
        <v>0</v>
      </c>
      <c r="N854">
        <v>0</v>
      </c>
      <c r="O854">
        <v>0</v>
      </c>
      <c r="P854">
        <v>0</v>
      </c>
      <c r="Q854">
        <v>0</v>
      </c>
      <c r="R854">
        <v>1000</v>
      </c>
      <c r="S854">
        <v>1000</v>
      </c>
      <c r="T854">
        <v>0</v>
      </c>
      <c r="U854" t="str">
        <f>IF(SeismicData[[#This Row],[class]]=1,"Dangerous","Safe")</f>
        <v>Safe</v>
      </c>
      <c r="V854" t="str">
        <f>IF(SeismicData[[#This Row],[shift]]="W","Production","Non-Production")</f>
        <v>Production</v>
      </c>
      <c r="W854" t="str">
        <f>IF(SeismicData[[#This Row],[genergy]]=0,"0","10^"&amp;INT(LOG10(SeismicData[[#This Row],[genergy]])))</f>
        <v>10^5</v>
      </c>
      <c r="X854" t="str">
        <f>IF(OR(SeismicData[[#This Row],[genergy]]&lt;$AA$6,SeismicData[[#This Row],[genergy]]&gt;$AA$5),"Outlier","Normal")</f>
        <v>Outlier</v>
      </c>
    </row>
    <row r="855" spans="1:24" x14ac:dyDescent="0.15">
      <c r="A855">
        <v>854</v>
      </c>
      <c r="B855" t="s">
        <v>20</v>
      </c>
      <c r="C855" t="s">
        <v>23</v>
      </c>
      <c r="D855" t="s">
        <v>22</v>
      </c>
      <c r="E855">
        <v>232470</v>
      </c>
      <c r="F855">
        <v>361</v>
      </c>
      <c r="G855">
        <v>28</v>
      </c>
      <c r="H855">
        <v>11</v>
      </c>
      <c r="I855" t="s">
        <v>20</v>
      </c>
      <c r="J855">
        <v>3</v>
      </c>
      <c r="K855">
        <v>2</v>
      </c>
      <c r="L855">
        <v>1</v>
      </c>
      <c r="M855">
        <v>0</v>
      </c>
      <c r="N855">
        <v>0</v>
      </c>
      <c r="O855">
        <v>0</v>
      </c>
      <c r="P855">
        <v>0</v>
      </c>
      <c r="Q855">
        <v>0</v>
      </c>
      <c r="R855">
        <v>4000</v>
      </c>
      <c r="S855">
        <v>3000</v>
      </c>
      <c r="T855">
        <v>0</v>
      </c>
      <c r="U855" t="str">
        <f>IF(SeismicData[[#This Row],[class]]=1,"Dangerous","Safe")</f>
        <v>Safe</v>
      </c>
      <c r="V855" t="str">
        <f>IF(SeismicData[[#This Row],[shift]]="W","Production","Non-Production")</f>
        <v>Production</v>
      </c>
      <c r="W855" t="str">
        <f>IF(SeismicData[[#This Row],[genergy]]=0,"0","10^"&amp;INT(LOG10(SeismicData[[#This Row],[genergy]])))</f>
        <v>10^5</v>
      </c>
      <c r="X855" t="str">
        <f>IF(OR(SeismicData[[#This Row],[genergy]]&lt;$AA$6,SeismicData[[#This Row],[genergy]]&gt;$AA$5),"Outlier","Normal")</f>
        <v>Outlier</v>
      </c>
    </row>
    <row r="856" spans="1:24" x14ac:dyDescent="0.15">
      <c r="A856">
        <v>855</v>
      </c>
      <c r="B856" t="s">
        <v>20</v>
      </c>
      <c r="C856" t="s">
        <v>23</v>
      </c>
      <c r="D856" t="s">
        <v>22</v>
      </c>
      <c r="E856">
        <v>240350</v>
      </c>
      <c r="F856">
        <v>458</v>
      </c>
      <c r="G856">
        <v>24</v>
      </c>
      <c r="H856">
        <v>34</v>
      </c>
      <c r="I856" t="s">
        <v>20</v>
      </c>
      <c r="J856">
        <v>4</v>
      </c>
      <c r="K856">
        <v>3</v>
      </c>
      <c r="L856">
        <v>1</v>
      </c>
      <c r="M856">
        <v>0</v>
      </c>
      <c r="N856">
        <v>0</v>
      </c>
      <c r="O856">
        <v>0</v>
      </c>
      <c r="P856">
        <v>0</v>
      </c>
      <c r="Q856">
        <v>0</v>
      </c>
      <c r="R856">
        <v>3000</v>
      </c>
      <c r="S856">
        <v>2000</v>
      </c>
      <c r="T856">
        <v>0</v>
      </c>
      <c r="U856" t="str">
        <f>IF(SeismicData[[#This Row],[class]]=1,"Dangerous","Safe")</f>
        <v>Safe</v>
      </c>
      <c r="V856" t="str">
        <f>IF(SeismicData[[#This Row],[shift]]="W","Production","Non-Production")</f>
        <v>Production</v>
      </c>
      <c r="W856" t="str">
        <f>IF(SeismicData[[#This Row],[genergy]]=0,"0","10^"&amp;INT(LOG10(SeismicData[[#This Row],[genergy]])))</f>
        <v>10^5</v>
      </c>
      <c r="X856" t="str">
        <f>IF(OR(SeismicData[[#This Row],[genergy]]&lt;$AA$6,SeismicData[[#This Row],[genergy]]&gt;$AA$5),"Outlier","Normal")</f>
        <v>Outlier</v>
      </c>
    </row>
    <row r="857" spans="1:24" x14ac:dyDescent="0.15">
      <c r="A857">
        <v>856</v>
      </c>
      <c r="B857" t="s">
        <v>20</v>
      </c>
      <c r="C857" t="s">
        <v>23</v>
      </c>
      <c r="D857" t="s">
        <v>21</v>
      </c>
      <c r="E857">
        <v>40820</v>
      </c>
      <c r="F857">
        <v>78</v>
      </c>
      <c r="G857">
        <v>87</v>
      </c>
      <c r="H857">
        <v>95</v>
      </c>
      <c r="I857" t="s">
        <v>20</v>
      </c>
      <c r="J857">
        <v>0</v>
      </c>
      <c r="K857">
        <v>0</v>
      </c>
      <c r="L857">
        <v>0</v>
      </c>
      <c r="M857">
        <v>0</v>
      </c>
      <c r="N857">
        <v>0</v>
      </c>
      <c r="O857">
        <v>0</v>
      </c>
      <c r="P857">
        <v>0</v>
      </c>
      <c r="Q857">
        <v>0</v>
      </c>
      <c r="R857">
        <v>0</v>
      </c>
      <c r="S857">
        <v>0</v>
      </c>
      <c r="T857">
        <v>0</v>
      </c>
      <c r="U857" t="str">
        <f>IF(SeismicData[[#This Row],[class]]=1,"Dangerous","Safe")</f>
        <v>Safe</v>
      </c>
      <c r="V857" t="str">
        <f>IF(SeismicData[[#This Row],[shift]]="W","Production","Non-Production")</f>
        <v>Non-Production</v>
      </c>
      <c r="W857" t="str">
        <f>IF(SeismicData[[#This Row],[genergy]]=0,"0","10^"&amp;INT(LOG10(SeismicData[[#This Row],[genergy]])))</f>
        <v>10^4</v>
      </c>
      <c r="X857" t="str">
        <f>IF(OR(SeismicData[[#This Row],[genergy]]&lt;$AA$6,SeismicData[[#This Row],[genergy]]&gt;$AA$5),"Outlier","Normal")</f>
        <v>Normal</v>
      </c>
    </row>
    <row r="858" spans="1:24" x14ac:dyDescent="0.15">
      <c r="A858">
        <v>857</v>
      </c>
      <c r="B858" t="s">
        <v>20</v>
      </c>
      <c r="C858" t="s">
        <v>23</v>
      </c>
      <c r="D858" t="s">
        <v>21</v>
      </c>
      <c r="E858">
        <v>19790</v>
      </c>
      <c r="F858">
        <v>43</v>
      </c>
      <c r="G858">
        <v>-18</v>
      </c>
      <c r="H858">
        <v>0</v>
      </c>
      <c r="I858" t="s">
        <v>20</v>
      </c>
      <c r="J858">
        <v>0</v>
      </c>
      <c r="K858">
        <v>0</v>
      </c>
      <c r="L858">
        <v>0</v>
      </c>
      <c r="M858">
        <v>0</v>
      </c>
      <c r="N858">
        <v>0</v>
      </c>
      <c r="O858">
        <v>0</v>
      </c>
      <c r="P858">
        <v>0</v>
      </c>
      <c r="Q858">
        <v>0</v>
      </c>
      <c r="R858">
        <v>0</v>
      </c>
      <c r="S858">
        <v>0</v>
      </c>
      <c r="T858">
        <v>0</v>
      </c>
      <c r="U858" t="str">
        <f>IF(SeismicData[[#This Row],[class]]=1,"Dangerous","Safe")</f>
        <v>Safe</v>
      </c>
      <c r="V858" t="str">
        <f>IF(SeismicData[[#This Row],[shift]]="W","Production","Non-Production")</f>
        <v>Non-Production</v>
      </c>
      <c r="W858" t="str">
        <f>IF(SeismicData[[#This Row],[genergy]]=0,"0","10^"&amp;INT(LOG10(SeismicData[[#This Row],[genergy]])))</f>
        <v>10^4</v>
      </c>
      <c r="X858" t="str">
        <f>IF(OR(SeismicData[[#This Row],[genergy]]&lt;$AA$6,SeismicData[[#This Row],[genergy]]&gt;$AA$5),"Outlier","Normal")</f>
        <v>Normal</v>
      </c>
    </row>
    <row r="859" spans="1:24" x14ac:dyDescent="0.15">
      <c r="A859">
        <v>858</v>
      </c>
      <c r="B859" t="s">
        <v>20</v>
      </c>
      <c r="C859" t="s">
        <v>23</v>
      </c>
      <c r="D859" t="s">
        <v>21</v>
      </c>
      <c r="E859">
        <v>11230</v>
      </c>
      <c r="F859">
        <v>26</v>
      </c>
      <c r="G859">
        <v>-56</v>
      </c>
      <c r="H859">
        <v>-41</v>
      </c>
      <c r="I859" t="s">
        <v>20</v>
      </c>
      <c r="J859">
        <v>0</v>
      </c>
      <c r="K859">
        <v>0</v>
      </c>
      <c r="L859">
        <v>0</v>
      </c>
      <c r="M859">
        <v>0</v>
      </c>
      <c r="N859">
        <v>0</v>
      </c>
      <c r="O859">
        <v>0</v>
      </c>
      <c r="P859">
        <v>0</v>
      </c>
      <c r="Q859">
        <v>0</v>
      </c>
      <c r="R859">
        <v>0</v>
      </c>
      <c r="S859">
        <v>0</v>
      </c>
      <c r="T859">
        <v>0</v>
      </c>
      <c r="U859" t="str">
        <f>IF(SeismicData[[#This Row],[class]]=1,"Dangerous","Safe")</f>
        <v>Safe</v>
      </c>
      <c r="V859" t="str">
        <f>IF(SeismicData[[#This Row],[shift]]="W","Production","Non-Production")</f>
        <v>Non-Production</v>
      </c>
      <c r="W859" t="str">
        <f>IF(SeismicData[[#This Row],[genergy]]=0,"0","10^"&amp;INT(LOG10(SeismicData[[#This Row],[genergy]])))</f>
        <v>10^4</v>
      </c>
      <c r="X859" t="str">
        <f>IF(OR(SeismicData[[#This Row],[genergy]]&lt;$AA$6,SeismicData[[#This Row],[genergy]]&gt;$AA$5),"Outlier","Normal")</f>
        <v>Normal</v>
      </c>
    </row>
    <row r="860" spans="1:24" x14ac:dyDescent="0.15">
      <c r="A860">
        <v>859</v>
      </c>
      <c r="B860" t="s">
        <v>20</v>
      </c>
      <c r="C860" t="s">
        <v>23</v>
      </c>
      <c r="D860" t="s">
        <v>21</v>
      </c>
      <c r="E860">
        <v>19120</v>
      </c>
      <c r="F860">
        <v>36</v>
      </c>
      <c r="G860">
        <v>-24</v>
      </c>
      <c r="H860">
        <v>-20</v>
      </c>
      <c r="I860" t="s">
        <v>20</v>
      </c>
      <c r="J860">
        <v>0</v>
      </c>
      <c r="K860">
        <v>0</v>
      </c>
      <c r="L860">
        <v>0</v>
      </c>
      <c r="M860">
        <v>0</v>
      </c>
      <c r="N860">
        <v>0</v>
      </c>
      <c r="O860">
        <v>0</v>
      </c>
      <c r="P860">
        <v>0</v>
      </c>
      <c r="Q860">
        <v>0</v>
      </c>
      <c r="R860">
        <v>0</v>
      </c>
      <c r="S860">
        <v>0</v>
      </c>
      <c r="T860">
        <v>0</v>
      </c>
      <c r="U860" t="str">
        <f>IF(SeismicData[[#This Row],[class]]=1,"Dangerous","Safe")</f>
        <v>Safe</v>
      </c>
      <c r="V860" t="str">
        <f>IF(SeismicData[[#This Row],[shift]]="W","Production","Non-Production")</f>
        <v>Non-Production</v>
      </c>
      <c r="W860" t="str">
        <f>IF(SeismicData[[#This Row],[genergy]]=0,"0","10^"&amp;INT(LOG10(SeismicData[[#This Row],[genergy]])))</f>
        <v>10^4</v>
      </c>
      <c r="X860" t="str">
        <f>IF(OR(SeismicData[[#This Row],[genergy]]&lt;$AA$6,SeismicData[[#This Row],[genergy]]&gt;$AA$5),"Outlier","Normal")</f>
        <v>Normal</v>
      </c>
    </row>
    <row r="861" spans="1:24" x14ac:dyDescent="0.15">
      <c r="A861">
        <v>860</v>
      </c>
      <c r="B861" t="s">
        <v>20</v>
      </c>
      <c r="C861" t="s">
        <v>23</v>
      </c>
      <c r="D861" t="s">
        <v>21</v>
      </c>
      <c r="E861">
        <v>12120</v>
      </c>
      <c r="F861">
        <v>24</v>
      </c>
      <c r="G861">
        <v>-54</v>
      </c>
      <c r="H861">
        <v>-49</v>
      </c>
      <c r="I861" t="s">
        <v>20</v>
      </c>
      <c r="J861">
        <v>1</v>
      </c>
      <c r="K861">
        <v>1</v>
      </c>
      <c r="L861">
        <v>0</v>
      </c>
      <c r="M861">
        <v>0</v>
      </c>
      <c r="N861">
        <v>0</v>
      </c>
      <c r="O861">
        <v>0</v>
      </c>
      <c r="P861">
        <v>0</v>
      </c>
      <c r="Q861">
        <v>0</v>
      </c>
      <c r="R861">
        <v>300</v>
      </c>
      <c r="S861">
        <v>300</v>
      </c>
      <c r="T861">
        <v>0</v>
      </c>
      <c r="U861" t="str">
        <f>IF(SeismicData[[#This Row],[class]]=1,"Dangerous","Safe")</f>
        <v>Safe</v>
      </c>
      <c r="V861" t="str">
        <f>IF(SeismicData[[#This Row],[shift]]="W","Production","Non-Production")</f>
        <v>Non-Production</v>
      </c>
      <c r="W861" t="str">
        <f>IF(SeismicData[[#This Row],[genergy]]=0,"0","10^"&amp;INT(LOG10(SeismicData[[#This Row],[genergy]])))</f>
        <v>10^4</v>
      </c>
      <c r="X861" t="str">
        <f>IF(OR(SeismicData[[#This Row],[genergy]]&lt;$AA$6,SeismicData[[#This Row],[genergy]]&gt;$AA$5),"Outlier","Normal")</f>
        <v>Normal</v>
      </c>
    </row>
    <row r="862" spans="1:24" x14ac:dyDescent="0.15">
      <c r="A862">
        <v>861</v>
      </c>
      <c r="B862" t="s">
        <v>20</v>
      </c>
      <c r="C862" t="s">
        <v>23</v>
      </c>
      <c r="D862" t="s">
        <v>22</v>
      </c>
      <c r="E862">
        <v>147570</v>
      </c>
      <c r="F862">
        <v>259</v>
      </c>
      <c r="G862">
        <v>-30</v>
      </c>
      <c r="H862">
        <v>-31</v>
      </c>
      <c r="I862" t="s">
        <v>20</v>
      </c>
      <c r="J862">
        <v>3</v>
      </c>
      <c r="K862">
        <v>2</v>
      </c>
      <c r="L862">
        <v>1</v>
      </c>
      <c r="M862">
        <v>0</v>
      </c>
      <c r="N862">
        <v>0</v>
      </c>
      <c r="O862">
        <v>0</v>
      </c>
      <c r="P862">
        <v>0</v>
      </c>
      <c r="Q862">
        <v>0</v>
      </c>
      <c r="R862">
        <v>2000</v>
      </c>
      <c r="S862">
        <v>1000</v>
      </c>
      <c r="T862">
        <v>0</v>
      </c>
      <c r="U862" t="str">
        <f>IF(SeismicData[[#This Row],[class]]=1,"Dangerous","Safe")</f>
        <v>Safe</v>
      </c>
      <c r="V862" t="str">
        <f>IF(SeismicData[[#This Row],[shift]]="W","Production","Non-Production")</f>
        <v>Production</v>
      </c>
      <c r="W862" t="str">
        <f>IF(SeismicData[[#This Row],[genergy]]=0,"0","10^"&amp;INT(LOG10(SeismicData[[#This Row],[genergy]])))</f>
        <v>10^5</v>
      </c>
      <c r="X862" t="str">
        <f>IF(OR(SeismicData[[#This Row],[genergy]]&lt;$AA$6,SeismicData[[#This Row],[genergy]]&gt;$AA$5),"Outlier","Normal")</f>
        <v>Outlier</v>
      </c>
    </row>
    <row r="863" spans="1:24" x14ac:dyDescent="0.15">
      <c r="A863">
        <v>862</v>
      </c>
      <c r="B863" t="s">
        <v>20</v>
      </c>
      <c r="C863" t="s">
        <v>20</v>
      </c>
      <c r="D863" t="s">
        <v>22</v>
      </c>
      <c r="E863">
        <v>140890</v>
      </c>
      <c r="F863">
        <v>230</v>
      </c>
      <c r="G863">
        <v>-32</v>
      </c>
      <c r="H863">
        <v>-37</v>
      </c>
      <c r="I863" t="s">
        <v>20</v>
      </c>
      <c r="J863">
        <v>2</v>
      </c>
      <c r="K863">
        <v>2</v>
      </c>
      <c r="L863">
        <v>0</v>
      </c>
      <c r="M863">
        <v>0</v>
      </c>
      <c r="N863">
        <v>0</v>
      </c>
      <c r="O863">
        <v>0</v>
      </c>
      <c r="P863">
        <v>0</v>
      </c>
      <c r="Q863">
        <v>0</v>
      </c>
      <c r="R863">
        <v>600</v>
      </c>
      <c r="S863">
        <v>400</v>
      </c>
      <c r="T863">
        <v>0</v>
      </c>
      <c r="U863" t="str">
        <f>IF(SeismicData[[#This Row],[class]]=1,"Dangerous","Safe")</f>
        <v>Safe</v>
      </c>
      <c r="V863" t="str">
        <f>IF(SeismicData[[#This Row],[shift]]="W","Production","Non-Production")</f>
        <v>Production</v>
      </c>
      <c r="W863" t="str">
        <f>IF(SeismicData[[#This Row],[genergy]]=0,"0","10^"&amp;INT(LOG10(SeismicData[[#This Row],[genergy]])))</f>
        <v>10^5</v>
      </c>
      <c r="X863" t="str">
        <f>IF(OR(SeismicData[[#This Row],[genergy]]&lt;$AA$6,SeismicData[[#This Row],[genergy]]&gt;$AA$5),"Outlier","Normal")</f>
        <v>Outlier</v>
      </c>
    </row>
    <row r="864" spans="1:24" x14ac:dyDescent="0.15">
      <c r="A864">
        <v>863</v>
      </c>
      <c r="B864" t="s">
        <v>20</v>
      </c>
      <c r="C864" t="s">
        <v>20</v>
      </c>
      <c r="D864" t="s">
        <v>21</v>
      </c>
      <c r="E864">
        <v>16210</v>
      </c>
      <c r="F864">
        <v>44</v>
      </c>
      <c r="G864">
        <v>-37</v>
      </c>
      <c r="H864">
        <v>-6</v>
      </c>
      <c r="I864" t="s">
        <v>20</v>
      </c>
      <c r="J864">
        <v>1</v>
      </c>
      <c r="K864">
        <v>0</v>
      </c>
      <c r="L864">
        <v>1</v>
      </c>
      <c r="M864">
        <v>0</v>
      </c>
      <c r="N864">
        <v>0</v>
      </c>
      <c r="O864">
        <v>0</v>
      </c>
      <c r="P864">
        <v>0</v>
      </c>
      <c r="Q864">
        <v>0</v>
      </c>
      <c r="R864">
        <v>9000</v>
      </c>
      <c r="S864">
        <v>9000</v>
      </c>
      <c r="T864">
        <v>0</v>
      </c>
      <c r="U864" t="str">
        <f>IF(SeismicData[[#This Row],[class]]=1,"Dangerous","Safe")</f>
        <v>Safe</v>
      </c>
      <c r="V864" t="str">
        <f>IF(SeismicData[[#This Row],[shift]]="W","Production","Non-Production")</f>
        <v>Non-Production</v>
      </c>
      <c r="W864" t="str">
        <f>IF(SeismicData[[#This Row],[genergy]]=0,"0","10^"&amp;INT(LOG10(SeismicData[[#This Row],[genergy]])))</f>
        <v>10^4</v>
      </c>
      <c r="X864" t="str">
        <f>IF(OR(SeismicData[[#This Row],[genergy]]&lt;$AA$6,SeismicData[[#This Row],[genergy]]&gt;$AA$5),"Outlier","Normal")</f>
        <v>Normal</v>
      </c>
    </row>
    <row r="865" spans="1:24" x14ac:dyDescent="0.15">
      <c r="A865">
        <v>864</v>
      </c>
      <c r="B865" t="s">
        <v>20</v>
      </c>
      <c r="C865" t="s">
        <v>20</v>
      </c>
      <c r="D865" t="s">
        <v>22</v>
      </c>
      <c r="E865">
        <v>122030</v>
      </c>
      <c r="F865">
        <v>211</v>
      </c>
      <c r="G865">
        <v>-42</v>
      </c>
      <c r="H865">
        <v>-42</v>
      </c>
      <c r="I865" t="s">
        <v>20</v>
      </c>
      <c r="J865">
        <v>1</v>
      </c>
      <c r="K865">
        <v>1</v>
      </c>
      <c r="L865">
        <v>0</v>
      </c>
      <c r="M865">
        <v>0</v>
      </c>
      <c r="N865">
        <v>0</v>
      </c>
      <c r="O865">
        <v>0</v>
      </c>
      <c r="P865">
        <v>0</v>
      </c>
      <c r="Q865">
        <v>0</v>
      </c>
      <c r="R865">
        <v>500</v>
      </c>
      <c r="S865">
        <v>500</v>
      </c>
      <c r="T865">
        <v>0</v>
      </c>
      <c r="U865" t="str">
        <f>IF(SeismicData[[#This Row],[class]]=1,"Dangerous","Safe")</f>
        <v>Safe</v>
      </c>
      <c r="V865" t="str">
        <f>IF(SeismicData[[#This Row],[shift]]="W","Production","Non-Production")</f>
        <v>Production</v>
      </c>
      <c r="W865" t="str">
        <f>IF(SeismicData[[#This Row],[genergy]]=0,"0","10^"&amp;INT(LOG10(SeismicData[[#This Row],[genergy]])))</f>
        <v>10^5</v>
      </c>
      <c r="X865" t="str">
        <f>IF(OR(SeismicData[[#This Row],[genergy]]&lt;$AA$6,SeismicData[[#This Row],[genergy]]&gt;$AA$5),"Outlier","Normal")</f>
        <v>Outlier</v>
      </c>
    </row>
    <row r="866" spans="1:24" x14ac:dyDescent="0.15">
      <c r="A866">
        <v>865</v>
      </c>
      <c r="B866" t="s">
        <v>20</v>
      </c>
      <c r="C866" t="s">
        <v>20</v>
      </c>
      <c r="D866" t="s">
        <v>22</v>
      </c>
      <c r="E866">
        <v>154470</v>
      </c>
      <c r="F866">
        <v>263</v>
      </c>
      <c r="G866">
        <v>-21</v>
      </c>
      <c r="H866">
        <v>-24</v>
      </c>
      <c r="I866" t="s">
        <v>20</v>
      </c>
      <c r="J866">
        <v>3</v>
      </c>
      <c r="K866">
        <v>1</v>
      </c>
      <c r="L866">
        <v>2</v>
      </c>
      <c r="M866">
        <v>0</v>
      </c>
      <c r="N866">
        <v>0</v>
      </c>
      <c r="O866">
        <v>0</v>
      </c>
      <c r="P866">
        <v>0</v>
      </c>
      <c r="Q866">
        <v>0</v>
      </c>
      <c r="R866">
        <v>8400</v>
      </c>
      <c r="S866">
        <v>6000</v>
      </c>
      <c r="T866">
        <v>0</v>
      </c>
      <c r="U866" t="str">
        <f>IF(SeismicData[[#This Row],[class]]=1,"Dangerous","Safe")</f>
        <v>Safe</v>
      </c>
      <c r="V866" t="str">
        <f>IF(SeismicData[[#This Row],[shift]]="W","Production","Non-Production")</f>
        <v>Production</v>
      </c>
      <c r="W866" t="str">
        <f>IF(SeismicData[[#This Row],[genergy]]=0,"0","10^"&amp;INT(LOG10(SeismicData[[#This Row],[genergy]])))</f>
        <v>10^5</v>
      </c>
      <c r="X866" t="str">
        <f>IF(OR(SeismicData[[#This Row],[genergy]]&lt;$AA$6,SeismicData[[#This Row],[genergy]]&gt;$AA$5),"Outlier","Normal")</f>
        <v>Outlier</v>
      </c>
    </row>
    <row r="867" spans="1:24" x14ac:dyDescent="0.15">
      <c r="A867">
        <v>866</v>
      </c>
      <c r="B867" t="s">
        <v>20</v>
      </c>
      <c r="C867" t="s">
        <v>20</v>
      </c>
      <c r="D867" t="s">
        <v>22</v>
      </c>
      <c r="E867">
        <v>54980</v>
      </c>
      <c r="F867">
        <v>115</v>
      </c>
      <c r="G867">
        <v>-72</v>
      </c>
      <c r="H867">
        <v>-66</v>
      </c>
      <c r="I867" t="s">
        <v>20</v>
      </c>
      <c r="J867">
        <v>1</v>
      </c>
      <c r="K867">
        <v>1</v>
      </c>
      <c r="L867">
        <v>0</v>
      </c>
      <c r="M867">
        <v>0</v>
      </c>
      <c r="N867">
        <v>0</v>
      </c>
      <c r="O867">
        <v>0</v>
      </c>
      <c r="P867">
        <v>0</v>
      </c>
      <c r="Q867">
        <v>0</v>
      </c>
      <c r="R867">
        <v>600</v>
      </c>
      <c r="S867">
        <v>600</v>
      </c>
      <c r="T867">
        <v>0</v>
      </c>
      <c r="U867" t="str">
        <f>IF(SeismicData[[#This Row],[class]]=1,"Dangerous","Safe")</f>
        <v>Safe</v>
      </c>
      <c r="V867" t="str">
        <f>IF(SeismicData[[#This Row],[shift]]="W","Production","Non-Production")</f>
        <v>Production</v>
      </c>
      <c r="W867" t="str">
        <f>IF(SeismicData[[#This Row],[genergy]]=0,"0","10^"&amp;INT(LOG10(SeismicData[[#This Row],[genergy]])))</f>
        <v>10^4</v>
      </c>
      <c r="X867" t="str">
        <f>IF(OR(SeismicData[[#This Row],[genergy]]&lt;$AA$6,SeismicData[[#This Row],[genergy]]&gt;$AA$5),"Outlier","Normal")</f>
        <v>Normal</v>
      </c>
    </row>
    <row r="868" spans="1:24" x14ac:dyDescent="0.15">
      <c r="A868">
        <v>867</v>
      </c>
      <c r="B868" t="s">
        <v>20</v>
      </c>
      <c r="C868" t="s">
        <v>20</v>
      </c>
      <c r="D868" t="s">
        <v>22</v>
      </c>
      <c r="E868">
        <v>103460</v>
      </c>
      <c r="F868">
        <v>208</v>
      </c>
      <c r="G868">
        <v>-37</v>
      </c>
      <c r="H868">
        <v>-29</v>
      </c>
      <c r="I868" t="s">
        <v>20</v>
      </c>
      <c r="J868">
        <v>0</v>
      </c>
      <c r="K868">
        <v>0</v>
      </c>
      <c r="L868">
        <v>0</v>
      </c>
      <c r="M868">
        <v>0</v>
      </c>
      <c r="N868">
        <v>0</v>
      </c>
      <c r="O868">
        <v>0</v>
      </c>
      <c r="P868">
        <v>0</v>
      </c>
      <c r="Q868">
        <v>0</v>
      </c>
      <c r="R868">
        <v>0</v>
      </c>
      <c r="S868">
        <v>0</v>
      </c>
      <c r="T868">
        <v>0</v>
      </c>
      <c r="U868" t="str">
        <f>IF(SeismicData[[#This Row],[class]]=1,"Dangerous","Safe")</f>
        <v>Safe</v>
      </c>
      <c r="V868" t="str">
        <f>IF(SeismicData[[#This Row],[shift]]="W","Production","Non-Production")</f>
        <v>Production</v>
      </c>
      <c r="W868" t="str">
        <f>IF(SeismicData[[#This Row],[genergy]]=0,"0","10^"&amp;INT(LOG10(SeismicData[[#This Row],[genergy]])))</f>
        <v>10^5</v>
      </c>
      <c r="X868" t="str">
        <f>IF(OR(SeismicData[[#This Row],[genergy]]&lt;$AA$6,SeismicData[[#This Row],[genergy]]&gt;$AA$5),"Outlier","Normal")</f>
        <v>Normal</v>
      </c>
    </row>
    <row r="869" spans="1:24" x14ac:dyDescent="0.15">
      <c r="A869">
        <v>868</v>
      </c>
      <c r="B869" t="s">
        <v>20</v>
      </c>
      <c r="C869" t="s">
        <v>20</v>
      </c>
      <c r="D869" t="s">
        <v>22</v>
      </c>
      <c r="E869">
        <v>85240</v>
      </c>
      <c r="F869">
        <v>140</v>
      </c>
      <c r="G869">
        <v>-47</v>
      </c>
      <c r="H869">
        <v>-51</v>
      </c>
      <c r="I869" t="s">
        <v>20</v>
      </c>
      <c r="J869">
        <v>1</v>
      </c>
      <c r="K869">
        <v>1</v>
      </c>
      <c r="L869">
        <v>0</v>
      </c>
      <c r="M869">
        <v>0</v>
      </c>
      <c r="N869">
        <v>0</v>
      </c>
      <c r="O869">
        <v>0</v>
      </c>
      <c r="P869">
        <v>0</v>
      </c>
      <c r="Q869">
        <v>0</v>
      </c>
      <c r="R869">
        <v>200</v>
      </c>
      <c r="S869">
        <v>200</v>
      </c>
      <c r="T869">
        <v>0</v>
      </c>
      <c r="U869" t="str">
        <f>IF(SeismicData[[#This Row],[class]]=1,"Dangerous","Safe")</f>
        <v>Safe</v>
      </c>
      <c r="V869" t="str">
        <f>IF(SeismicData[[#This Row],[shift]]="W","Production","Non-Production")</f>
        <v>Production</v>
      </c>
      <c r="W869" t="str">
        <f>IF(SeismicData[[#This Row],[genergy]]=0,"0","10^"&amp;INT(LOG10(SeismicData[[#This Row],[genergy]])))</f>
        <v>10^4</v>
      </c>
      <c r="X869" t="str">
        <f>IF(OR(SeismicData[[#This Row],[genergy]]&lt;$AA$6,SeismicData[[#This Row],[genergy]]&gt;$AA$5),"Outlier","Normal")</f>
        <v>Normal</v>
      </c>
    </row>
    <row r="870" spans="1:24" x14ac:dyDescent="0.15">
      <c r="A870">
        <v>869</v>
      </c>
      <c r="B870" t="s">
        <v>20</v>
      </c>
      <c r="C870" t="s">
        <v>20</v>
      </c>
      <c r="D870" t="s">
        <v>21</v>
      </c>
      <c r="E870">
        <v>39890</v>
      </c>
      <c r="F870">
        <v>66</v>
      </c>
      <c r="G870">
        <v>69</v>
      </c>
      <c r="H870">
        <v>39</v>
      </c>
      <c r="I870" t="s">
        <v>20</v>
      </c>
      <c r="J870">
        <v>1</v>
      </c>
      <c r="K870">
        <v>1</v>
      </c>
      <c r="L870">
        <v>0</v>
      </c>
      <c r="M870">
        <v>0</v>
      </c>
      <c r="N870">
        <v>0</v>
      </c>
      <c r="O870">
        <v>0</v>
      </c>
      <c r="P870">
        <v>0</v>
      </c>
      <c r="Q870">
        <v>0</v>
      </c>
      <c r="R870">
        <v>400</v>
      </c>
      <c r="S870">
        <v>400</v>
      </c>
      <c r="T870">
        <v>0</v>
      </c>
      <c r="U870" t="str">
        <f>IF(SeismicData[[#This Row],[class]]=1,"Dangerous","Safe")</f>
        <v>Safe</v>
      </c>
      <c r="V870" t="str">
        <f>IF(SeismicData[[#This Row],[shift]]="W","Production","Non-Production")</f>
        <v>Non-Production</v>
      </c>
      <c r="W870" t="str">
        <f>IF(SeismicData[[#This Row],[genergy]]=0,"0","10^"&amp;INT(LOG10(SeismicData[[#This Row],[genergy]])))</f>
        <v>10^4</v>
      </c>
      <c r="X870" t="str">
        <f>IF(OR(SeismicData[[#This Row],[genergy]]&lt;$AA$6,SeismicData[[#This Row],[genergy]]&gt;$AA$5),"Outlier","Normal")</f>
        <v>Normal</v>
      </c>
    </row>
    <row r="871" spans="1:24" x14ac:dyDescent="0.15">
      <c r="A871">
        <v>870</v>
      </c>
      <c r="B871" t="s">
        <v>20</v>
      </c>
      <c r="C871" t="s">
        <v>20</v>
      </c>
      <c r="D871" t="s">
        <v>22</v>
      </c>
      <c r="E871">
        <v>120690</v>
      </c>
      <c r="F871">
        <v>150</v>
      </c>
      <c r="G871">
        <v>-18</v>
      </c>
      <c r="H871">
        <v>-43</v>
      </c>
      <c r="I871" t="s">
        <v>20</v>
      </c>
      <c r="J871">
        <v>0</v>
      </c>
      <c r="K871">
        <v>0</v>
      </c>
      <c r="L871">
        <v>0</v>
      </c>
      <c r="M871">
        <v>0</v>
      </c>
      <c r="N871">
        <v>0</v>
      </c>
      <c r="O871">
        <v>0</v>
      </c>
      <c r="P871">
        <v>0</v>
      </c>
      <c r="Q871">
        <v>0</v>
      </c>
      <c r="R871">
        <v>0</v>
      </c>
      <c r="S871">
        <v>0</v>
      </c>
      <c r="T871">
        <v>0</v>
      </c>
      <c r="U871" t="str">
        <f>IF(SeismicData[[#This Row],[class]]=1,"Dangerous","Safe")</f>
        <v>Safe</v>
      </c>
      <c r="V871" t="str">
        <f>IF(SeismicData[[#This Row],[shift]]="W","Production","Non-Production")</f>
        <v>Production</v>
      </c>
      <c r="W871" t="str">
        <f>IF(SeismicData[[#This Row],[genergy]]=0,"0","10^"&amp;INT(LOG10(SeismicData[[#This Row],[genergy]])))</f>
        <v>10^5</v>
      </c>
      <c r="X871" t="str">
        <f>IF(OR(SeismicData[[#This Row],[genergy]]&lt;$AA$6,SeismicData[[#This Row],[genergy]]&gt;$AA$5),"Outlier","Normal")</f>
        <v>Outlier</v>
      </c>
    </row>
    <row r="872" spans="1:24" x14ac:dyDescent="0.15">
      <c r="A872">
        <v>871</v>
      </c>
      <c r="B872" t="s">
        <v>20</v>
      </c>
      <c r="C872" t="s">
        <v>20</v>
      </c>
      <c r="D872" t="s">
        <v>22</v>
      </c>
      <c r="E872">
        <v>70740</v>
      </c>
      <c r="F872">
        <v>154</v>
      </c>
      <c r="G872">
        <v>-50</v>
      </c>
      <c r="H872">
        <v>-36</v>
      </c>
      <c r="I872" t="s">
        <v>20</v>
      </c>
      <c r="J872">
        <v>0</v>
      </c>
      <c r="K872">
        <v>0</v>
      </c>
      <c r="L872">
        <v>0</v>
      </c>
      <c r="M872">
        <v>0</v>
      </c>
      <c r="N872">
        <v>0</v>
      </c>
      <c r="O872">
        <v>0</v>
      </c>
      <c r="P872">
        <v>0</v>
      </c>
      <c r="Q872">
        <v>0</v>
      </c>
      <c r="R872">
        <v>0</v>
      </c>
      <c r="S872">
        <v>0</v>
      </c>
      <c r="T872">
        <v>0</v>
      </c>
      <c r="U872" t="str">
        <f>IF(SeismicData[[#This Row],[class]]=1,"Dangerous","Safe")</f>
        <v>Safe</v>
      </c>
      <c r="V872" t="str">
        <f>IF(SeismicData[[#This Row],[shift]]="W","Production","Non-Production")</f>
        <v>Production</v>
      </c>
      <c r="W872" t="str">
        <f>IF(SeismicData[[#This Row],[genergy]]=0,"0","10^"&amp;INT(LOG10(SeismicData[[#This Row],[genergy]])))</f>
        <v>10^4</v>
      </c>
      <c r="X872" t="str">
        <f>IF(OR(SeismicData[[#This Row],[genergy]]&lt;$AA$6,SeismicData[[#This Row],[genergy]]&gt;$AA$5),"Outlier","Normal")</f>
        <v>Normal</v>
      </c>
    </row>
    <row r="873" spans="1:24" x14ac:dyDescent="0.15">
      <c r="A873">
        <v>872</v>
      </c>
      <c r="B873" t="s">
        <v>20</v>
      </c>
      <c r="C873" t="s">
        <v>20</v>
      </c>
      <c r="D873" t="s">
        <v>22</v>
      </c>
      <c r="E873">
        <v>82480</v>
      </c>
      <c r="F873">
        <v>172</v>
      </c>
      <c r="G873">
        <v>-34</v>
      </c>
      <c r="H873">
        <v>-21</v>
      </c>
      <c r="I873" t="s">
        <v>20</v>
      </c>
      <c r="J873">
        <v>1</v>
      </c>
      <c r="K873">
        <v>0</v>
      </c>
      <c r="L873">
        <v>1</v>
      </c>
      <c r="M873">
        <v>0</v>
      </c>
      <c r="N873">
        <v>0</v>
      </c>
      <c r="O873">
        <v>0</v>
      </c>
      <c r="P873">
        <v>0</v>
      </c>
      <c r="Q873">
        <v>0</v>
      </c>
      <c r="R873">
        <v>1000</v>
      </c>
      <c r="S873">
        <v>1000</v>
      </c>
      <c r="T873">
        <v>0</v>
      </c>
      <c r="U873" t="str">
        <f>IF(SeismicData[[#This Row],[class]]=1,"Dangerous","Safe")</f>
        <v>Safe</v>
      </c>
      <c r="V873" t="str">
        <f>IF(SeismicData[[#This Row],[shift]]="W","Production","Non-Production")</f>
        <v>Production</v>
      </c>
      <c r="W873" t="str">
        <f>IF(SeismicData[[#This Row],[genergy]]=0,"0","10^"&amp;INT(LOG10(SeismicData[[#This Row],[genergy]])))</f>
        <v>10^4</v>
      </c>
      <c r="X873" t="str">
        <f>IF(OR(SeismicData[[#This Row],[genergy]]&lt;$AA$6,SeismicData[[#This Row],[genergy]]&gt;$AA$5),"Outlier","Normal")</f>
        <v>Normal</v>
      </c>
    </row>
    <row r="874" spans="1:24" x14ac:dyDescent="0.15">
      <c r="A874">
        <v>873</v>
      </c>
      <c r="B874" t="s">
        <v>20</v>
      </c>
      <c r="C874" t="s">
        <v>20</v>
      </c>
      <c r="D874" t="s">
        <v>22</v>
      </c>
      <c r="E874">
        <v>161390</v>
      </c>
      <c r="F874">
        <v>314</v>
      </c>
      <c r="G874">
        <v>49</v>
      </c>
      <c r="H874">
        <v>65</v>
      </c>
      <c r="I874" t="s">
        <v>20</v>
      </c>
      <c r="J874">
        <v>0</v>
      </c>
      <c r="K874">
        <v>0</v>
      </c>
      <c r="L874">
        <v>0</v>
      </c>
      <c r="M874">
        <v>0</v>
      </c>
      <c r="N874">
        <v>0</v>
      </c>
      <c r="O874">
        <v>0</v>
      </c>
      <c r="P874">
        <v>0</v>
      </c>
      <c r="Q874">
        <v>0</v>
      </c>
      <c r="R874">
        <v>0</v>
      </c>
      <c r="S874">
        <v>0</v>
      </c>
      <c r="T874">
        <v>0</v>
      </c>
      <c r="U874" t="str">
        <f>IF(SeismicData[[#This Row],[class]]=1,"Dangerous","Safe")</f>
        <v>Safe</v>
      </c>
      <c r="V874" t="str">
        <f>IF(SeismicData[[#This Row],[shift]]="W","Production","Non-Production")</f>
        <v>Production</v>
      </c>
      <c r="W874" t="str">
        <f>IF(SeismicData[[#This Row],[genergy]]=0,"0","10^"&amp;INT(LOG10(SeismicData[[#This Row],[genergy]])))</f>
        <v>10^5</v>
      </c>
      <c r="X874" t="str">
        <f>IF(OR(SeismicData[[#This Row],[genergy]]&lt;$AA$6,SeismicData[[#This Row],[genergy]]&gt;$AA$5),"Outlier","Normal")</f>
        <v>Outlier</v>
      </c>
    </row>
    <row r="875" spans="1:24" x14ac:dyDescent="0.15">
      <c r="A875">
        <v>874</v>
      </c>
      <c r="B875" t="s">
        <v>20</v>
      </c>
      <c r="C875" t="s">
        <v>20</v>
      </c>
      <c r="D875" t="s">
        <v>22</v>
      </c>
      <c r="E875">
        <v>101050</v>
      </c>
      <c r="F875">
        <v>213</v>
      </c>
      <c r="G875">
        <v>-8</v>
      </c>
      <c r="H875">
        <v>9</v>
      </c>
      <c r="I875" t="s">
        <v>20</v>
      </c>
      <c r="J875">
        <v>0</v>
      </c>
      <c r="K875">
        <v>0</v>
      </c>
      <c r="L875">
        <v>0</v>
      </c>
      <c r="M875">
        <v>0</v>
      </c>
      <c r="N875">
        <v>0</v>
      </c>
      <c r="O875">
        <v>0</v>
      </c>
      <c r="P875">
        <v>0</v>
      </c>
      <c r="Q875">
        <v>0</v>
      </c>
      <c r="R875">
        <v>0</v>
      </c>
      <c r="S875">
        <v>0</v>
      </c>
      <c r="T875">
        <v>0</v>
      </c>
      <c r="U875" t="str">
        <f>IF(SeismicData[[#This Row],[class]]=1,"Dangerous","Safe")</f>
        <v>Safe</v>
      </c>
      <c r="V875" t="str">
        <f>IF(SeismicData[[#This Row],[shift]]="W","Production","Non-Production")</f>
        <v>Production</v>
      </c>
      <c r="W875" t="str">
        <f>IF(SeismicData[[#This Row],[genergy]]=0,"0","10^"&amp;INT(LOG10(SeismicData[[#This Row],[genergy]])))</f>
        <v>10^5</v>
      </c>
      <c r="X875" t="str">
        <f>IF(OR(SeismicData[[#This Row],[genergy]]&lt;$AA$6,SeismicData[[#This Row],[genergy]]&gt;$AA$5),"Outlier","Normal")</f>
        <v>Normal</v>
      </c>
    </row>
    <row r="876" spans="1:24" x14ac:dyDescent="0.15">
      <c r="A876">
        <v>875</v>
      </c>
      <c r="B876" t="s">
        <v>20</v>
      </c>
      <c r="C876" t="s">
        <v>20</v>
      </c>
      <c r="D876" t="s">
        <v>22</v>
      </c>
      <c r="E876">
        <v>60100</v>
      </c>
      <c r="F876">
        <v>94</v>
      </c>
      <c r="G876">
        <v>-43</v>
      </c>
      <c r="H876">
        <v>-52</v>
      </c>
      <c r="I876" t="s">
        <v>20</v>
      </c>
      <c r="J876">
        <v>2</v>
      </c>
      <c r="K876">
        <v>2</v>
      </c>
      <c r="L876">
        <v>0</v>
      </c>
      <c r="M876">
        <v>0</v>
      </c>
      <c r="N876">
        <v>0</v>
      </c>
      <c r="O876">
        <v>0</v>
      </c>
      <c r="P876">
        <v>0</v>
      </c>
      <c r="Q876">
        <v>0</v>
      </c>
      <c r="R876">
        <v>1000</v>
      </c>
      <c r="S876">
        <v>800</v>
      </c>
      <c r="T876">
        <v>0</v>
      </c>
      <c r="U876" t="str">
        <f>IF(SeismicData[[#This Row],[class]]=1,"Dangerous","Safe")</f>
        <v>Safe</v>
      </c>
      <c r="V876" t="str">
        <f>IF(SeismicData[[#This Row],[shift]]="W","Production","Non-Production")</f>
        <v>Production</v>
      </c>
      <c r="W876" t="str">
        <f>IF(SeismicData[[#This Row],[genergy]]=0,"0","10^"&amp;INT(LOG10(SeismicData[[#This Row],[genergy]])))</f>
        <v>10^4</v>
      </c>
      <c r="X876" t="str">
        <f>IF(OR(SeismicData[[#This Row],[genergy]]&lt;$AA$6,SeismicData[[#This Row],[genergy]]&gt;$AA$5),"Outlier","Normal")</f>
        <v>Normal</v>
      </c>
    </row>
    <row r="877" spans="1:24" x14ac:dyDescent="0.15">
      <c r="A877">
        <v>876</v>
      </c>
      <c r="B877" t="s">
        <v>20</v>
      </c>
      <c r="C877" t="s">
        <v>20</v>
      </c>
      <c r="D877" t="s">
        <v>22</v>
      </c>
      <c r="E877">
        <v>82460</v>
      </c>
      <c r="F877">
        <v>154</v>
      </c>
      <c r="G877">
        <v>-17</v>
      </c>
      <c r="H877">
        <v>-16</v>
      </c>
      <c r="I877" t="s">
        <v>20</v>
      </c>
      <c r="J877">
        <v>0</v>
      </c>
      <c r="K877">
        <v>0</v>
      </c>
      <c r="L877">
        <v>0</v>
      </c>
      <c r="M877">
        <v>0</v>
      </c>
      <c r="N877">
        <v>0</v>
      </c>
      <c r="O877">
        <v>0</v>
      </c>
      <c r="P877">
        <v>0</v>
      </c>
      <c r="Q877">
        <v>0</v>
      </c>
      <c r="R877">
        <v>0</v>
      </c>
      <c r="S877">
        <v>0</v>
      </c>
      <c r="T877">
        <v>0</v>
      </c>
      <c r="U877" t="str">
        <f>IF(SeismicData[[#This Row],[class]]=1,"Dangerous","Safe")</f>
        <v>Safe</v>
      </c>
      <c r="V877" t="str">
        <f>IF(SeismicData[[#This Row],[shift]]="W","Production","Non-Production")</f>
        <v>Production</v>
      </c>
      <c r="W877" t="str">
        <f>IF(SeismicData[[#This Row],[genergy]]=0,"0","10^"&amp;INT(LOG10(SeismicData[[#This Row],[genergy]])))</f>
        <v>10^4</v>
      </c>
      <c r="X877" t="str">
        <f>IF(OR(SeismicData[[#This Row],[genergy]]&lt;$AA$6,SeismicData[[#This Row],[genergy]]&gt;$AA$5),"Outlier","Normal")</f>
        <v>Normal</v>
      </c>
    </row>
    <row r="878" spans="1:24" x14ac:dyDescent="0.15">
      <c r="A878">
        <v>877</v>
      </c>
      <c r="B878" t="s">
        <v>20</v>
      </c>
      <c r="C878" t="s">
        <v>20</v>
      </c>
      <c r="D878" t="s">
        <v>22</v>
      </c>
      <c r="E878">
        <v>65320</v>
      </c>
      <c r="F878">
        <v>128</v>
      </c>
      <c r="G878">
        <v>-29</v>
      </c>
      <c r="H878">
        <v>-25</v>
      </c>
      <c r="I878" t="s">
        <v>20</v>
      </c>
      <c r="J878">
        <v>1</v>
      </c>
      <c r="K878">
        <v>1</v>
      </c>
      <c r="L878">
        <v>0</v>
      </c>
      <c r="M878">
        <v>0</v>
      </c>
      <c r="N878">
        <v>0</v>
      </c>
      <c r="O878">
        <v>0</v>
      </c>
      <c r="P878">
        <v>0</v>
      </c>
      <c r="Q878">
        <v>0</v>
      </c>
      <c r="R878">
        <v>800</v>
      </c>
      <c r="S878">
        <v>800</v>
      </c>
      <c r="T878">
        <v>0</v>
      </c>
      <c r="U878" t="str">
        <f>IF(SeismicData[[#This Row],[class]]=1,"Dangerous","Safe")</f>
        <v>Safe</v>
      </c>
      <c r="V878" t="str">
        <f>IF(SeismicData[[#This Row],[shift]]="W","Production","Non-Production")</f>
        <v>Production</v>
      </c>
      <c r="W878" t="str">
        <f>IF(SeismicData[[#This Row],[genergy]]=0,"0","10^"&amp;INT(LOG10(SeismicData[[#This Row],[genergy]])))</f>
        <v>10^4</v>
      </c>
      <c r="X878" t="str">
        <f>IF(OR(SeismicData[[#This Row],[genergy]]&lt;$AA$6,SeismicData[[#This Row],[genergy]]&gt;$AA$5),"Outlier","Normal")</f>
        <v>Normal</v>
      </c>
    </row>
    <row r="879" spans="1:24" x14ac:dyDescent="0.15">
      <c r="A879">
        <v>878</v>
      </c>
      <c r="B879" t="s">
        <v>20</v>
      </c>
      <c r="C879" t="s">
        <v>20</v>
      </c>
      <c r="D879" t="s">
        <v>21</v>
      </c>
      <c r="E879">
        <v>18870</v>
      </c>
      <c r="F879">
        <v>47</v>
      </c>
      <c r="G879">
        <v>-19</v>
      </c>
      <c r="H879">
        <v>-3</v>
      </c>
      <c r="I879" t="s">
        <v>20</v>
      </c>
      <c r="J879">
        <v>2</v>
      </c>
      <c r="K879">
        <v>1</v>
      </c>
      <c r="L879">
        <v>1</v>
      </c>
      <c r="M879">
        <v>0</v>
      </c>
      <c r="N879">
        <v>0</v>
      </c>
      <c r="O879">
        <v>0</v>
      </c>
      <c r="P879">
        <v>0</v>
      </c>
      <c r="Q879">
        <v>0</v>
      </c>
      <c r="R879">
        <v>4800</v>
      </c>
      <c r="S879">
        <v>4000</v>
      </c>
      <c r="T879">
        <v>0</v>
      </c>
      <c r="U879" t="str">
        <f>IF(SeismicData[[#This Row],[class]]=1,"Dangerous","Safe")</f>
        <v>Safe</v>
      </c>
      <c r="V879" t="str">
        <f>IF(SeismicData[[#This Row],[shift]]="W","Production","Non-Production")</f>
        <v>Non-Production</v>
      </c>
      <c r="W879" t="str">
        <f>IF(SeismicData[[#This Row],[genergy]]=0,"0","10^"&amp;INT(LOG10(SeismicData[[#This Row],[genergy]])))</f>
        <v>10^4</v>
      </c>
      <c r="X879" t="str">
        <f>IF(OR(SeismicData[[#This Row],[genergy]]&lt;$AA$6,SeismicData[[#This Row],[genergy]]&gt;$AA$5),"Outlier","Normal")</f>
        <v>Normal</v>
      </c>
    </row>
    <row r="880" spans="1:24" x14ac:dyDescent="0.15">
      <c r="A880">
        <v>879</v>
      </c>
      <c r="B880" t="s">
        <v>20</v>
      </c>
      <c r="C880" t="s">
        <v>20</v>
      </c>
      <c r="D880" t="s">
        <v>21</v>
      </c>
      <c r="E880">
        <v>21900</v>
      </c>
      <c r="F880">
        <v>60</v>
      </c>
      <c r="G880">
        <v>-5</v>
      </c>
      <c r="H880">
        <v>25</v>
      </c>
      <c r="I880" t="s">
        <v>20</v>
      </c>
      <c r="J880">
        <v>0</v>
      </c>
      <c r="K880">
        <v>0</v>
      </c>
      <c r="L880">
        <v>0</v>
      </c>
      <c r="M880">
        <v>0</v>
      </c>
      <c r="N880">
        <v>0</v>
      </c>
      <c r="O880">
        <v>0</v>
      </c>
      <c r="P880">
        <v>0</v>
      </c>
      <c r="Q880">
        <v>0</v>
      </c>
      <c r="R880">
        <v>0</v>
      </c>
      <c r="S880">
        <v>0</v>
      </c>
      <c r="T880">
        <v>0</v>
      </c>
      <c r="U880" t="str">
        <f>IF(SeismicData[[#This Row],[class]]=1,"Dangerous","Safe")</f>
        <v>Safe</v>
      </c>
      <c r="V880" t="str">
        <f>IF(SeismicData[[#This Row],[shift]]="W","Production","Non-Production")</f>
        <v>Non-Production</v>
      </c>
      <c r="W880" t="str">
        <f>IF(SeismicData[[#This Row],[genergy]]=0,"0","10^"&amp;INT(LOG10(SeismicData[[#This Row],[genergy]])))</f>
        <v>10^4</v>
      </c>
      <c r="X880" t="str">
        <f>IF(OR(SeismicData[[#This Row],[genergy]]&lt;$AA$6,SeismicData[[#This Row],[genergy]]&gt;$AA$5),"Outlier","Normal")</f>
        <v>Normal</v>
      </c>
    </row>
    <row r="881" spans="1:24" x14ac:dyDescent="0.15">
      <c r="A881">
        <v>880</v>
      </c>
      <c r="B881" t="s">
        <v>20</v>
      </c>
      <c r="C881" t="s">
        <v>20</v>
      </c>
      <c r="D881" t="s">
        <v>21</v>
      </c>
      <c r="E881">
        <v>20700</v>
      </c>
      <c r="F881">
        <v>37</v>
      </c>
      <c r="G881">
        <v>-9</v>
      </c>
      <c r="H881">
        <v>-22</v>
      </c>
      <c r="I881" t="s">
        <v>20</v>
      </c>
      <c r="J881">
        <v>0</v>
      </c>
      <c r="K881">
        <v>0</v>
      </c>
      <c r="L881">
        <v>0</v>
      </c>
      <c r="M881">
        <v>0</v>
      </c>
      <c r="N881">
        <v>0</v>
      </c>
      <c r="O881">
        <v>0</v>
      </c>
      <c r="P881">
        <v>0</v>
      </c>
      <c r="Q881">
        <v>0</v>
      </c>
      <c r="R881">
        <v>0</v>
      </c>
      <c r="S881">
        <v>0</v>
      </c>
      <c r="T881">
        <v>0</v>
      </c>
      <c r="U881" t="str">
        <f>IF(SeismicData[[#This Row],[class]]=1,"Dangerous","Safe")</f>
        <v>Safe</v>
      </c>
      <c r="V881" t="str">
        <f>IF(SeismicData[[#This Row],[shift]]="W","Production","Non-Production")</f>
        <v>Non-Production</v>
      </c>
      <c r="W881" t="str">
        <f>IF(SeismicData[[#This Row],[genergy]]=0,"0","10^"&amp;INT(LOG10(SeismicData[[#This Row],[genergy]])))</f>
        <v>10^4</v>
      </c>
      <c r="X881" t="str">
        <f>IF(OR(SeismicData[[#This Row],[genergy]]&lt;$AA$6,SeismicData[[#This Row],[genergy]]&gt;$AA$5),"Outlier","Normal")</f>
        <v>Normal</v>
      </c>
    </row>
    <row r="882" spans="1:24" x14ac:dyDescent="0.15">
      <c r="A882">
        <v>881</v>
      </c>
      <c r="B882" t="s">
        <v>20</v>
      </c>
      <c r="C882" t="s">
        <v>20</v>
      </c>
      <c r="D882" t="s">
        <v>22</v>
      </c>
      <c r="E882">
        <v>51950</v>
      </c>
      <c r="F882">
        <v>144</v>
      </c>
      <c r="G882">
        <v>-44</v>
      </c>
      <c r="H882">
        <v>-17</v>
      </c>
      <c r="I882" t="s">
        <v>20</v>
      </c>
      <c r="J882">
        <v>2</v>
      </c>
      <c r="K882">
        <v>0</v>
      </c>
      <c r="L882">
        <v>2</v>
      </c>
      <c r="M882">
        <v>0</v>
      </c>
      <c r="N882">
        <v>0</v>
      </c>
      <c r="O882">
        <v>0</v>
      </c>
      <c r="P882">
        <v>0</v>
      </c>
      <c r="Q882">
        <v>0</v>
      </c>
      <c r="R882">
        <v>3000</v>
      </c>
      <c r="S882">
        <v>2000</v>
      </c>
      <c r="T882">
        <v>0</v>
      </c>
      <c r="U882" t="str">
        <f>IF(SeismicData[[#This Row],[class]]=1,"Dangerous","Safe")</f>
        <v>Safe</v>
      </c>
      <c r="V882" t="str">
        <f>IF(SeismicData[[#This Row],[shift]]="W","Production","Non-Production")</f>
        <v>Production</v>
      </c>
      <c r="W882" t="str">
        <f>IF(SeismicData[[#This Row],[genergy]]=0,"0","10^"&amp;INT(LOG10(SeismicData[[#This Row],[genergy]])))</f>
        <v>10^4</v>
      </c>
      <c r="X882" t="str">
        <f>IF(OR(SeismicData[[#This Row],[genergy]]&lt;$AA$6,SeismicData[[#This Row],[genergy]]&gt;$AA$5),"Outlier","Normal")</f>
        <v>Normal</v>
      </c>
    </row>
    <row r="883" spans="1:24" x14ac:dyDescent="0.15">
      <c r="A883">
        <v>882</v>
      </c>
      <c r="B883" t="s">
        <v>20</v>
      </c>
      <c r="C883" t="s">
        <v>20</v>
      </c>
      <c r="D883" t="s">
        <v>22</v>
      </c>
      <c r="E883">
        <v>129190</v>
      </c>
      <c r="F883">
        <v>278</v>
      </c>
      <c r="G883">
        <v>47</v>
      </c>
      <c r="H883">
        <v>67</v>
      </c>
      <c r="I883" t="s">
        <v>20</v>
      </c>
      <c r="J883">
        <v>4</v>
      </c>
      <c r="K883">
        <v>1</v>
      </c>
      <c r="L883">
        <v>3</v>
      </c>
      <c r="M883">
        <v>0</v>
      </c>
      <c r="N883">
        <v>0</v>
      </c>
      <c r="O883">
        <v>0</v>
      </c>
      <c r="P883">
        <v>0</v>
      </c>
      <c r="Q883">
        <v>0</v>
      </c>
      <c r="R883">
        <v>13500</v>
      </c>
      <c r="S883">
        <v>8000</v>
      </c>
      <c r="T883">
        <v>0</v>
      </c>
      <c r="U883" t="str">
        <f>IF(SeismicData[[#This Row],[class]]=1,"Dangerous","Safe")</f>
        <v>Safe</v>
      </c>
      <c r="V883" t="str">
        <f>IF(SeismicData[[#This Row],[shift]]="W","Production","Non-Production")</f>
        <v>Production</v>
      </c>
      <c r="W883" t="str">
        <f>IF(SeismicData[[#This Row],[genergy]]=0,"0","10^"&amp;INT(LOG10(SeismicData[[#This Row],[genergy]])))</f>
        <v>10^5</v>
      </c>
      <c r="X883" t="str">
        <f>IF(OR(SeismicData[[#This Row],[genergy]]&lt;$AA$6,SeismicData[[#This Row],[genergy]]&gt;$AA$5),"Outlier","Normal")</f>
        <v>Outlier</v>
      </c>
    </row>
    <row r="884" spans="1:24" x14ac:dyDescent="0.15">
      <c r="A884">
        <v>883</v>
      </c>
      <c r="B884" t="s">
        <v>20</v>
      </c>
      <c r="C884" t="s">
        <v>20</v>
      </c>
      <c r="D884" t="s">
        <v>22</v>
      </c>
      <c r="E884">
        <v>125340</v>
      </c>
      <c r="F884">
        <v>292</v>
      </c>
      <c r="G884">
        <v>35</v>
      </c>
      <c r="H884">
        <v>62</v>
      </c>
      <c r="I884" t="s">
        <v>20</v>
      </c>
      <c r="J884">
        <v>0</v>
      </c>
      <c r="K884">
        <v>0</v>
      </c>
      <c r="L884">
        <v>0</v>
      </c>
      <c r="M884">
        <v>0</v>
      </c>
      <c r="N884">
        <v>0</v>
      </c>
      <c r="O884">
        <v>0</v>
      </c>
      <c r="P884">
        <v>0</v>
      </c>
      <c r="Q884">
        <v>0</v>
      </c>
      <c r="R884">
        <v>0</v>
      </c>
      <c r="S884">
        <v>0</v>
      </c>
      <c r="T884">
        <v>0</v>
      </c>
      <c r="U884" t="str">
        <f>IF(SeismicData[[#This Row],[class]]=1,"Dangerous","Safe")</f>
        <v>Safe</v>
      </c>
      <c r="V884" t="str">
        <f>IF(SeismicData[[#This Row],[shift]]="W","Production","Non-Production")</f>
        <v>Production</v>
      </c>
      <c r="W884" t="str">
        <f>IF(SeismicData[[#This Row],[genergy]]=0,"0","10^"&amp;INT(LOG10(SeismicData[[#This Row],[genergy]])))</f>
        <v>10^5</v>
      </c>
      <c r="X884" t="str">
        <f>IF(OR(SeismicData[[#This Row],[genergy]]&lt;$AA$6,SeismicData[[#This Row],[genergy]]&gt;$AA$5),"Outlier","Normal")</f>
        <v>Outlier</v>
      </c>
    </row>
    <row r="885" spans="1:24" x14ac:dyDescent="0.15">
      <c r="A885">
        <v>884</v>
      </c>
      <c r="B885" t="s">
        <v>20</v>
      </c>
      <c r="C885" t="s">
        <v>20</v>
      </c>
      <c r="D885" t="s">
        <v>22</v>
      </c>
      <c r="E885">
        <v>48630</v>
      </c>
      <c r="F885">
        <v>126</v>
      </c>
      <c r="G885">
        <v>-48</v>
      </c>
      <c r="H885">
        <v>-35</v>
      </c>
      <c r="I885" t="s">
        <v>20</v>
      </c>
      <c r="J885">
        <v>0</v>
      </c>
      <c r="K885">
        <v>0</v>
      </c>
      <c r="L885">
        <v>0</v>
      </c>
      <c r="M885">
        <v>0</v>
      </c>
      <c r="N885">
        <v>0</v>
      </c>
      <c r="O885">
        <v>0</v>
      </c>
      <c r="P885">
        <v>0</v>
      </c>
      <c r="Q885">
        <v>0</v>
      </c>
      <c r="R885">
        <v>0</v>
      </c>
      <c r="S885">
        <v>0</v>
      </c>
      <c r="T885">
        <v>0</v>
      </c>
      <c r="U885" t="str">
        <f>IF(SeismicData[[#This Row],[class]]=1,"Dangerous","Safe")</f>
        <v>Safe</v>
      </c>
      <c r="V885" t="str">
        <f>IF(SeismicData[[#This Row],[shift]]="W","Production","Non-Production")</f>
        <v>Production</v>
      </c>
      <c r="W885" t="str">
        <f>IF(SeismicData[[#This Row],[genergy]]=0,"0","10^"&amp;INT(LOG10(SeismicData[[#This Row],[genergy]])))</f>
        <v>10^4</v>
      </c>
      <c r="X885" t="str">
        <f>IF(OR(SeismicData[[#This Row],[genergy]]&lt;$AA$6,SeismicData[[#This Row],[genergy]]&gt;$AA$5),"Outlier","Normal")</f>
        <v>Normal</v>
      </c>
    </row>
    <row r="886" spans="1:24" x14ac:dyDescent="0.15">
      <c r="A886">
        <v>885</v>
      </c>
      <c r="B886" t="s">
        <v>20</v>
      </c>
      <c r="C886" t="s">
        <v>20</v>
      </c>
      <c r="D886" t="s">
        <v>21</v>
      </c>
      <c r="E886">
        <v>39660</v>
      </c>
      <c r="F886">
        <v>86</v>
      </c>
      <c r="G886">
        <v>80</v>
      </c>
      <c r="H886">
        <v>87</v>
      </c>
      <c r="I886" t="s">
        <v>20</v>
      </c>
      <c r="J886">
        <v>0</v>
      </c>
      <c r="K886">
        <v>0</v>
      </c>
      <c r="L886">
        <v>0</v>
      </c>
      <c r="M886">
        <v>0</v>
      </c>
      <c r="N886">
        <v>0</v>
      </c>
      <c r="O886">
        <v>0</v>
      </c>
      <c r="P886">
        <v>0</v>
      </c>
      <c r="Q886">
        <v>0</v>
      </c>
      <c r="R886">
        <v>0</v>
      </c>
      <c r="S886">
        <v>0</v>
      </c>
      <c r="T886">
        <v>0</v>
      </c>
      <c r="U886" t="str">
        <f>IF(SeismicData[[#This Row],[class]]=1,"Dangerous","Safe")</f>
        <v>Safe</v>
      </c>
      <c r="V886" t="str">
        <f>IF(SeismicData[[#This Row],[shift]]="W","Production","Non-Production")</f>
        <v>Non-Production</v>
      </c>
      <c r="W886" t="str">
        <f>IF(SeismicData[[#This Row],[genergy]]=0,"0","10^"&amp;INT(LOG10(SeismicData[[#This Row],[genergy]])))</f>
        <v>10^4</v>
      </c>
      <c r="X886" t="str">
        <f>IF(OR(SeismicData[[#This Row],[genergy]]&lt;$AA$6,SeismicData[[#This Row],[genergy]]&gt;$AA$5),"Outlier","Normal")</f>
        <v>Normal</v>
      </c>
    </row>
    <row r="887" spans="1:24" x14ac:dyDescent="0.15">
      <c r="A887">
        <v>886</v>
      </c>
      <c r="B887" t="s">
        <v>20</v>
      </c>
      <c r="C887" t="s">
        <v>20</v>
      </c>
      <c r="D887" t="s">
        <v>22</v>
      </c>
      <c r="E887">
        <v>101040</v>
      </c>
      <c r="F887">
        <v>213</v>
      </c>
      <c r="G887">
        <v>11</v>
      </c>
      <c r="H887">
        <v>11</v>
      </c>
      <c r="I887" t="s">
        <v>20</v>
      </c>
      <c r="J887">
        <v>2</v>
      </c>
      <c r="K887">
        <v>1</v>
      </c>
      <c r="L887">
        <v>1</v>
      </c>
      <c r="M887">
        <v>0</v>
      </c>
      <c r="N887">
        <v>0</v>
      </c>
      <c r="O887">
        <v>0</v>
      </c>
      <c r="P887">
        <v>0</v>
      </c>
      <c r="Q887">
        <v>0</v>
      </c>
      <c r="R887">
        <v>1700</v>
      </c>
      <c r="S887">
        <v>1000</v>
      </c>
      <c r="T887">
        <v>0</v>
      </c>
      <c r="U887" t="str">
        <f>IF(SeismicData[[#This Row],[class]]=1,"Dangerous","Safe")</f>
        <v>Safe</v>
      </c>
      <c r="V887" t="str">
        <f>IF(SeismicData[[#This Row],[shift]]="W","Production","Non-Production")</f>
        <v>Production</v>
      </c>
      <c r="W887" t="str">
        <f>IF(SeismicData[[#This Row],[genergy]]=0,"0","10^"&amp;INT(LOG10(SeismicData[[#This Row],[genergy]])))</f>
        <v>10^5</v>
      </c>
      <c r="X887" t="str">
        <f>IF(OR(SeismicData[[#This Row],[genergy]]&lt;$AA$6,SeismicData[[#This Row],[genergy]]&gt;$AA$5),"Outlier","Normal")</f>
        <v>Normal</v>
      </c>
    </row>
    <row r="888" spans="1:24" x14ac:dyDescent="0.15">
      <c r="A888">
        <v>887</v>
      </c>
      <c r="B888" t="s">
        <v>20</v>
      </c>
      <c r="C888" t="s">
        <v>20</v>
      </c>
      <c r="D888" t="s">
        <v>22</v>
      </c>
      <c r="E888">
        <v>20090</v>
      </c>
      <c r="F888">
        <v>74</v>
      </c>
      <c r="G888">
        <v>-78</v>
      </c>
      <c r="H888">
        <v>-62</v>
      </c>
      <c r="I888" t="s">
        <v>20</v>
      </c>
      <c r="J888">
        <v>0</v>
      </c>
      <c r="K888">
        <v>0</v>
      </c>
      <c r="L888">
        <v>0</v>
      </c>
      <c r="M888">
        <v>0</v>
      </c>
      <c r="N888">
        <v>0</v>
      </c>
      <c r="O888">
        <v>0</v>
      </c>
      <c r="P888">
        <v>0</v>
      </c>
      <c r="Q888">
        <v>0</v>
      </c>
      <c r="R888">
        <v>0</v>
      </c>
      <c r="S888">
        <v>0</v>
      </c>
      <c r="T888">
        <v>0</v>
      </c>
      <c r="U888" t="str">
        <f>IF(SeismicData[[#This Row],[class]]=1,"Dangerous","Safe")</f>
        <v>Safe</v>
      </c>
      <c r="V888" t="str">
        <f>IF(SeismicData[[#This Row],[shift]]="W","Production","Non-Production")</f>
        <v>Production</v>
      </c>
      <c r="W888" t="str">
        <f>IF(SeismicData[[#This Row],[genergy]]=0,"0","10^"&amp;INT(LOG10(SeismicData[[#This Row],[genergy]])))</f>
        <v>10^4</v>
      </c>
      <c r="X888" t="str">
        <f>IF(OR(SeismicData[[#This Row],[genergy]]&lt;$AA$6,SeismicData[[#This Row],[genergy]]&gt;$AA$5),"Outlier","Normal")</f>
        <v>Normal</v>
      </c>
    </row>
    <row r="889" spans="1:24" x14ac:dyDescent="0.15">
      <c r="A889">
        <v>888</v>
      </c>
      <c r="B889" t="s">
        <v>20</v>
      </c>
      <c r="C889" t="s">
        <v>20</v>
      </c>
      <c r="D889" t="s">
        <v>22</v>
      </c>
      <c r="E889">
        <v>105160</v>
      </c>
      <c r="F889">
        <v>284</v>
      </c>
      <c r="G889">
        <v>34</v>
      </c>
      <c r="H889">
        <v>66</v>
      </c>
      <c r="I889" t="s">
        <v>20</v>
      </c>
      <c r="J889">
        <v>1</v>
      </c>
      <c r="K889">
        <v>0</v>
      </c>
      <c r="L889">
        <v>1</v>
      </c>
      <c r="M889">
        <v>0</v>
      </c>
      <c r="N889">
        <v>0</v>
      </c>
      <c r="O889">
        <v>0</v>
      </c>
      <c r="P889">
        <v>0</v>
      </c>
      <c r="Q889">
        <v>0</v>
      </c>
      <c r="R889">
        <v>6000</v>
      </c>
      <c r="S889">
        <v>6000</v>
      </c>
      <c r="T889">
        <v>0</v>
      </c>
      <c r="U889" t="str">
        <f>IF(SeismicData[[#This Row],[class]]=1,"Dangerous","Safe")</f>
        <v>Safe</v>
      </c>
      <c r="V889" t="str">
        <f>IF(SeismicData[[#This Row],[shift]]="W","Production","Non-Production")</f>
        <v>Production</v>
      </c>
      <c r="W889" t="str">
        <f>IF(SeismicData[[#This Row],[genergy]]=0,"0","10^"&amp;INT(LOG10(SeismicData[[#This Row],[genergy]])))</f>
        <v>10^5</v>
      </c>
      <c r="X889" t="str">
        <f>IF(OR(SeismicData[[#This Row],[genergy]]&lt;$AA$6,SeismicData[[#This Row],[genergy]]&gt;$AA$5),"Outlier","Normal")</f>
        <v>Normal</v>
      </c>
    </row>
    <row r="890" spans="1:24" x14ac:dyDescent="0.15">
      <c r="A890">
        <v>889</v>
      </c>
      <c r="B890" t="s">
        <v>20</v>
      </c>
      <c r="C890" t="s">
        <v>20</v>
      </c>
      <c r="D890" t="s">
        <v>22</v>
      </c>
      <c r="E890">
        <v>35200</v>
      </c>
      <c r="F890">
        <v>93</v>
      </c>
      <c r="G890">
        <v>-55</v>
      </c>
      <c r="H890">
        <v>-48</v>
      </c>
      <c r="I890" t="s">
        <v>20</v>
      </c>
      <c r="J890">
        <v>1</v>
      </c>
      <c r="K890">
        <v>0</v>
      </c>
      <c r="L890">
        <v>1</v>
      </c>
      <c r="M890">
        <v>0</v>
      </c>
      <c r="N890">
        <v>0</v>
      </c>
      <c r="O890">
        <v>0</v>
      </c>
      <c r="P890">
        <v>0</v>
      </c>
      <c r="Q890">
        <v>0</v>
      </c>
      <c r="R890">
        <v>5000</v>
      </c>
      <c r="S890">
        <v>5000</v>
      </c>
      <c r="T890">
        <v>0</v>
      </c>
      <c r="U890" t="str">
        <f>IF(SeismicData[[#This Row],[class]]=1,"Dangerous","Safe")</f>
        <v>Safe</v>
      </c>
      <c r="V890" t="str">
        <f>IF(SeismicData[[#This Row],[shift]]="W","Production","Non-Production")</f>
        <v>Production</v>
      </c>
      <c r="W890" t="str">
        <f>IF(SeismicData[[#This Row],[genergy]]=0,"0","10^"&amp;INT(LOG10(SeismicData[[#This Row],[genergy]])))</f>
        <v>10^4</v>
      </c>
      <c r="X890" t="str">
        <f>IF(OR(SeismicData[[#This Row],[genergy]]&lt;$AA$6,SeismicData[[#This Row],[genergy]]&gt;$AA$5),"Outlier","Normal")</f>
        <v>Normal</v>
      </c>
    </row>
    <row r="891" spans="1:24" x14ac:dyDescent="0.15">
      <c r="A891">
        <v>890</v>
      </c>
      <c r="B891" t="s">
        <v>20</v>
      </c>
      <c r="C891" t="s">
        <v>20</v>
      </c>
      <c r="D891" t="s">
        <v>21</v>
      </c>
      <c r="E891">
        <v>22300</v>
      </c>
      <c r="F891">
        <v>55</v>
      </c>
      <c r="G891">
        <v>2</v>
      </c>
      <c r="H891">
        <v>17</v>
      </c>
      <c r="I891" t="s">
        <v>20</v>
      </c>
      <c r="J891">
        <v>0</v>
      </c>
      <c r="K891">
        <v>0</v>
      </c>
      <c r="L891">
        <v>0</v>
      </c>
      <c r="M891">
        <v>0</v>
      </c>
      <c r="N891">
        <v>0</v>
      </c>
      <c r="O891">
        <v>0</v>
      </c>
      <c r="P891">
        <v>0</v>
      </c>
      <c r="Q891">
        <v>0</v>
      </c>
      <c r="R891">
        <v>0</v>
      </c>
      <c r="S891">
        <v>0</v>
      </c>
      <c r="T891">
        <v>0</v>
      </c>
      <c r="U891" t="str">
        <f>IF(SeismicData[[#This Row],[class]]=1,"Dangerous","Safe")</f>
        <v>Safe</v>
      </c>
      <c r="V891" t="str">
        <f>IF(SeismicData[[#This Row],[shift]]="W","Production","Non-Production")</f>
        <v>Non-Production</v>
      </c>
      <c r="W891" t="str">
        <f>IF(SeismicData[[#This Row],[genergy]]=0,"0","10^"&amp;INT(LOG10(SeismicData[[#This Row],[genergy]])))</f>
        <v>10^4</v>
      </c>
      <c r="X891" t="str">
        <f>IF(OR(SeismicData[[#This Row],[genergy]]&lt;$AA$6,SeismicData[[#This Row],[genergy]]&gt;$AA$5),"Outlier","Normal")</f>
        <v>Normal</v>
      </c>
    </row>
    <row r="892" spans="1:24" x14ac:dyDescent="0.15">
      <c r="A892">
        <v>891</v>
      </c>
      <c r="B892" t="s">
        <v>20</v>
      </c>
      <c r="C892" t="s">
        <v>20</v>
      </c>
      <c r="D892" t="s">
        <v>21</v>
      </c>
      <c r="E892">
        <v>30650</v>
      </c>
      <c r="F892">
        <v>80</v>
      </c>
      <c r="G892">
        <v>38</v>
      </c>
      <c r="H892">
        <v>66</v>
      </c>
      <c r="I892" t="s">
        <v>20</v>
      </c>
      <c r="J892">
        <v>1</v>
      </c>
      <c r="K892">
        <v>1</v>
      </c>
      <c r="L892">
        <v>0</v>
      </c>
      <c r="M892">
        <v>0</v>
      </c>
      <c r="N892">
        <v>0</v>
      </c>
      <c r="O892">
        <v>0</v>
      </c>
      <c r="P892">
        <v>0</v>
      </c>
      <c r="Q892">
        <v>0</v>
      </c>
      <c r="R892">
        <v>500</v>
      </c>
      <c r="S892">
        <v>500</v>
      </c>
      <c r="T892">
        <v>0</v>
      </c>
      <c r="U892" t="str">
        <f>IF(SeismicData[[#This Row],[class]]=1,"Dangerous","Safe")</f>
        <v>Safe</v>
      </c>
      <c r="V892" t="str">
        <f>IF(SeismicData[[#This Row],[shift]]="W","Production","Non-Production")</f>
        <v>Non-Production</v>
      </c>
      <c r="W892" t="str">
        <f>IF(SeismicData[[#This Row],[genergy]]=0,"0","10^"&amp;INT(LOG10(SeismicData[[#This Row],[genergy]])))</f>
        <v>10^4</v>
      </c>
      <c r="X892" t="str">
        <f>IF(OR(SeismicData[[#This Row],[genergy]]&lt;$AA$6,SeismicData[[#This Row],[genergy]]&gt;$AA$5),"Outlier","Normal")</f>
        <v>Normal</v>
      </c>
    </row>
    <row r="893" spans="1:24" x14ac:dyDescent="0.15">
      <c r="A893">
        <v>892</v>
      </c>
      <c r="B893" t="s">
        <v>20</v>
      </c>
      <c r="C893" t="s">
        <v>23</v>
      </c>
      <c r="D893" t="s">
        <v>21</v>
      </c>
      <c r="E893">
        <v>20840</v>
      </c>
      <c r="F893">
        <v>52</v>
      </c>
      <c r="G893">
        <v>-14</v>
      </c>
      <c r="H893">
        <v>-3</v>
      </c>
      <c r="I893" t="s">
        <v>20</v>
      </c>
      <c r="J893">
        <v>0</v>
      </c>
      <c r="K893">
        <v>0</v>
      </c>
      <c r="L893">
        <v>0</v>
      </c>
      <c r="M893">
        <v>0</v>
      </c>
      <c r="N893">
        <v>0</v>
      </c>
      <c r="O893">
        <v>0</v>
      </c>
      <c r="P893">
        <v>0</v>
      </c>
      <c r="Q893">
        <v>0</v>
      </c>
      <c r="R893">
        <v>0</v>
      </c>
      <c r="S893">
        <v>0</v>
      </c>
      <c r="T893">
        <v>0</v>
      </c>
      <c r="U893" t="str">
        <f>IF(SeismicData[[#This Row],[class]]=1,"Dangerous","Safe")</f>
        <v>Safe</v>
      </c>
      <c r="V893" t="str">
        <f>IF(SeismicData[[#This Row],[shift]]="W","Production","Non-Production")</f>
        <v>Non-Production</v>
      </c>
      <c r="W893" t="str">
        <f>IF(SeismicData[[#This Row],[genergy]]=0,"0","10^"&amp;INT(LOG10(SeismicData[[#This Row],[genergy]])))</f>
        <v>10^4</v>
      </c>
      <c r="X893" t="str">
        <f>IF(OR(SeismicData[[#This Row],[genergy]]&lt;$AA$6,SeismicData[[#This Row],[genergy]]&gt;$AA$5),"Outlier","Normal")</f>
        <v>Normal</v>
      </c>
    </row>
    <row r="894" spans="1:24" x14ac:dyDescent="0.15">
      <c r="A894">
        <v>893</v>
      </c>
      <c r="B894" t="s">
        <v>20</v>
      </c>
      <c r="C894" t="s">
        <v>23</v>
      </c>
      <c r="D894" t="s">
        <v>21</v>
      </c>
      <c r="E894">
        <v>29560</v>
      </c>
      <c r="F894">
        <v>112</v>
      </c>
      <c r="G894">
        <v>22</v>
      </c>
      <c r="H894">
        <v>103</v>
      </c>
      <c r="I894" t="s">
        <v>23</v>
      </c>
      <c r="J894">
        <v>0</v>
      </c>
      <c r="K894">
        <v>0</v>
      </c>
      <c r="L894">
        <v>0</v>
      </c>
      <c r="M894">
        <v>0</v>
      </c>
      <c r="N894">
        <v>0</v>
      </c>
      <c r="O894">
        <v>0</v>
      </c>
      <c r="P894">
        <v>0</v>
      </c>
      <c r="Q894">
        <v>0</v>
      </c>
      <c r="R894">
        <v>0</v>
      </c>
      <c r="S894">
        <v>0</v>
      </c>
      <c r="T894">
        <v>0</v>
      </c>
      <c r="U894" t="str">
        <f>IF(SeismicData[[#This Row],[class]]=1,"Dangerous","Safe")</f>
        <v>Safe</v>
      </c>
      <c r="V894" t="str">
        <f>IF(SeismicData[[#This Row],[shift]]="W","Production","Non-Production")</f>
        <v>Non-Production</v>
      </c>
      <c r="W894" t="str">
        <f>IF(SeismicData[[#This Row],[genergy]]=0,"0","10^"&amp;INT(LOG10(SeismicData[[#This Row],[genergy]])))</f>
        <v>10^4</v>
      </c>
      <c r="X894" t="str">
        <f>IF(OR(SeismicData[[#This Row],[genergy]]&lt;$AA$6,SeismicData[[#This Row],[genergy]]&gt;$AA$5),"Outlier","Normal")</f>
        <v>Normal</v>
      </c>
    </row>
    <row r="895" spans="1:24" x14ac:dyDescent="0.15">
      <c r="A895">
        <v>894</v>
      </c>
      <c r="B895" t="s">
        <v>20</v>
      </c>
      <c r="C895" t="s">
        <v>23</v>
      </c>
      <c r="D895" t="s">
        <v>21</v>
      </c>
      <c r="E895">
        <v>28210</v>
      </c>
      <c r="F895">
        <v>83</v>
      </c>
      <c r="G895">
        <v>8</v>
      </c>
      <c r="H895">
        <v>30</v>
      </c>
      <c r="I895" t="s">
        <v>20</v>
      </c>
      <c r="J895">
        <v>1</v>
      </c>
      <c r="K895">
        <v>0</v>
      </c>
      <c r="L895">
        <v>1</v>
      </c>
      <c r="M895">
        <v>0</v>
      </c>
      <c r="N895">
        <v>0</v>
      </c>
      <c r="O895">
        <v>0</v>
      </c>
      <c r="P895">
        <v>0</v>
      </c>
      <c r="Q895">
        <v>0</v>
      </c>
      <c r="R895">
        <v>3000</v>
      </c>
      <c r="S895">
        <v>3000</v>
      </c>
      <c r="T895">
        <v>0</v>
      </c>
      <c r="U895" t="str">
        <f>IF(SeismicData[[#This Row],[class]]=1,"Dangerous","Safe")</f>
        <v>Safe</v>
      </c>
      <c r="V895" t="str">
        <f>IF(SeismicData[[#This Row],[shift]]="W","Production","Non-Production")</f>
        <v>Non-Production</v>
      </c>
      <c r="W895" t="str">
        <f>IF(SeismicData[[#This Row],[genergy]]=0,"0","10^"&amp;INT(LOG10(SeismicData[[#This Row],[genergy]])))</f>
        <v>10^4</v>
      </c>
      <c r="X895" t="str">
        <f>IF(OR(SeismicData[[#This Row],[genergy]]&lt;$AA$6,SeismicData[[#This Row],[genergy]]&gt;$AA$5),"Outlier","Normal")</f>
        <v>Normal</v>
      </c>
    </row>
    <row r="896" spans="1:24" x14ac:dyDescent="0.15">
      <c r="A896">
        <v>895</v>
      </c>
      <c r="B896" t="s">
        <v>20</v>
      </c>
      <c r="C896" t="s">
        <v>23</v>
      </c>
      <c r="D896" t="s">
        <v>21</v>
      </c>
      <c r="E896">
        <v>14350</v>
      </c>
      <c r="F896">
        <v>36</v>
      </c>
      <c r="G896">
        <v>-47</v>
      </c>
      <c r="H896">
        <v>-47</v>
      </c>
      <c r="I896" t="s">
        <v>20</v>
      </c>
      <c r="J896">
        <v>0</v>
      </c>
      <c r="K896">
        <v>0</v>
      </c>
      <c r="L896">
        <v>0</v>
      </c>
      <c r="M896">
        <v>0</v>
      </c>
      <c r="N896">
        <v>0</v>
      </c>
      <c r="O896">
        <v>0</v>
      </c>
      <c r="P896">
        <v>0</v>
      </c>
      <c r="Q896">
        <v>0</v>
      </c>
      <c r="R896">
        <v>0</v>
      </c>
      <c r="S896">
        <v>0</v>
      </c>
      <c r="T896">
        <v>0</v>
      </c>
      <c r="U896" t="str">
        <f>IF(SeismicData[[#This Row],[class]]=1,"Dangerous","Safe")</f>
        <v>Safe</v>
      </c>
      <c r="V896" t="str">
        <f>IF(SeismicData[[#This Row],[shift]]="W","Production","Non-Production")</f>
        <v>Non-Production</v>
      </c>
      <c r="W896" t="str">
        <f>IF(SeismicData[[#This Row],[genergy]]=0,"0","10^"&amp;INT(LOG10(SeismicData[[#This Row],[genergy]])))</f>
        <v>10^4</v>
      </c>
      <c r="X896" t="str">
        <f>IF(OR(SeismicData[[#This Row],[genergy]]&lt;$AA$6,SeismicData[[#This Row],[genergy]]&gt;$AA$5),"Outlier","Normal")</f>
        <v>Normal</v>
      </c>
    </row>
    <row r="897" spans="1:24" x14ac:dyDescent="0.15">
      <c r="A897">
        <v>896</v>
      </c>
      <c r="B897" t="s">
        <v>20</v>
      </c>
      <c r="C897" t="s">
        <v>23</v>
      </c>
      <c r="D897" t="s">
        <v>21</v>
      </c>
      <c r="E897">
        <v>32830</v>
      </c>
      <c r="F897">
        <v>85</v>
      </c>
      <c r="G897">
        <v>33</v>
      </c>
      <c r="H897">
        <v>31</v>
      </c>
      <c r="I897" t="s">
        <v>20</v>
      </c>
      <c r="J897">
        <v>0</v>
      </c>
      <c r="K897">
        <v>0</v>
      </c>
      <c r="L897">
        <v>0</v>
      </c>
      <c r="M897">
        <v>0</v>
      </c>
      <c r="N897">
        <v>0</v>
      </c>
      <c r="O897">
        <v>0</v>
      </c>
      <c r="P897">
        <v>0</v>
      </c>
      <c r="Q897">
        <v>0</v>
      </c>
      <c r="R897">
        <v>0</v>
      </c>
      <c r="S897">
        <v>0</v>
      </c>
      <c r="T897">
        <v>0</v>
      </c>
      <c r="U897" t="str">
        <f>IF(SeismicData[[#This Row],[class]]=1,"Dangerous","Safe")</f>
        <v>Safe</v>
      </c>
      <c r="V897" t="str">
        <f>IF(SeismicData[[#This Row],[shift]]="W","Production","Non-Production")</f>
        <v>Non-Production</v>
      </c>
      <c r="W897" t="str">
        <f>IF(SeismicData[[#This Row],[genergy]]=0,"0","10^"&amp;INT(LOG10(SeismicData[[#This Row],[genergy]])))</f>
        <v>10^4</v>
      </c>
      <c r="X897" t="str">
        <f>IF(OR(SeismicData[[#This Row],[genergy]]&lt;$AA$6,SeismicData[[#This Row],[genergy]]&gt;$AA$5),"Outlier","Normal")</f>
        <v>Normal</v>
      </c>
    </row>
    <row r="898" spans="1:24" x14ac:dyDescent="0.15">
      <c r="A898">
        <v>897</v>
      </c>
      <c r="B898" t="s">
        <v>20</v>
      </c>
      <c r="C898" t="s">
        <v>23</v>
      </c>
      <c r="D898" t="s">
        <v>22</v>
      </c>
      <c r="E898">
        <v>66640</v>
      </c>
      <c r="F898">
        <v>155</v>
      </c>
      <c r="G898">
        <v>-13</v>
      </c>
      <c r="H898">
        <v>-13</v>
      </c>
      <c r="I898" t="s">
        <v>20</v>
      </c>
      <c r="J898">
        <v>1</v>
      </c>
      <c r="K898">
        <v>1</v>
      </c>
      <c r="L898">
        <v>0</v>
      </c>
      <c r="M898">
        <v>0</v>
      </c>
      <c r="N898">
        <v>0</v>
      </c>
      <c r="O898">
        <v>0</v>
      </c>
      <c r="P898">
        <v>0</v>
      </c>
      <c r="Q898">
        <v>0</v>
      </c>
      <c r="R898">
        <v>400</v>
      </c>
      <c r="S898">
        <v>400</v>
      </c>
      <c r="T898">
        <v>0</v>
      </c>
      <c r="U898" t="str">
        <f>IF(SeismicData[[#This Row],[class]]=1,"Dangerous","Safe")</f>
        <v>Safe</v>
      </c>
      <c r="V898" t="str">
        <f>IF(SeismicData[[#This Row],[shift]]="W","Production","Non-Production")</f>
        <v>Production</v>
      </c>
      <c r="W898" t="str">
        <f>IF(SeismicData[[#This Row],[genergy]]=0,"0","10^"&amp;INT(LOG10(SeismicData[[#This Row],[genergy]])))</f>
        <v>10^4</v>
      </c>
      <c r="X898" t="str">
        <f>IF(OR(SeismicData[[#This Row],[genergy]]&lt;$AA$6,SeismicData[[#This Row],[genergy]]&gt;$AA$5),"Outlier","Normal")</f>
        <v>Normal</v>
      </c>
    </row>
    <row r="899" spans="1:24" x14ac:dyDescent="0.15">
      <c r="A899">
        <v>898</v>
      </c>
      <c r="B899" t="s">
        <v>20</v>
      </c>
      <c r="C899" t="s">
        <v>23</v>
      </c>
      <c r="D899" t="s">
        <v>21</v>
      </c>
      <c r="E899">
        <v>48440</v>
      </c>
      <c r="F899">
        <v>76</v>
      </c>
      <c r="G899">
        <v>86</v>
      </c>
      <c r="H899">
        <v>11</v>
      </c>
      <c r="I899" t="s">
        <v>20</v>
      </c>
      <c r="J899">
        <v>0</v>
      </c>
      <c r="K899">
        <v>0</v>
      </c>
      <c r="L899">
        <v>0</v>
      </c>
      <c r="M899">
        <v>0</v>
      </c>
      <c r="N899">
        <v>0</v>
      </c>
      <c r="O899">
        <v>0</v>
      </c>
      <c r="P899">
        <v>0</v>
      </c>
      <c r="Q899">
        <v>0</v>
      </c>
      <c r="R899">
        <v>0</v>
      </c>
      <c r="S899">
        <v>0</v>
      </c>
      <c r="T899">
        <v>0</v>
      </c>
      <c r="U899" t="str">
        <f>IF(SeismicData[[#This Row],[class]]=1,"Dangerous","Safe")</f>
        <v>Safe</v>
      </c>
      <c r="V899" t="str">
        <f>IF(SeismicData[[#This Row],[shift]]="W","Production","Non-Production")</f>
        <v>Non-Production</v>
      </c>
      <c r="W899" t="str">
        <f>IF(SeismicData[[#This Row],[genergy]]=0,"0","10^"&amp;INT(LOG10(SeismicData[[#This Row],[genergy]])))</f>
        <v>10^4</v>
      </c>
      <c r="X899" t="str">
        <f>IF(OR(SeismicData[[#This Row],[genergy]]&lt;$AA$6,SeismicData[[#This Row],[genergy]]&gt;$AA$5),"Outlier","Normal")</f>
        <v>Normal</v>
      </c>
    </row>
    <row r="900" spans="1:24" x14ac:dyDescent="0.15">
      <c r="A900">
        <v>899</v>
      </c>
      <c r="B900" t="s">
        <v>20</v>
      </c>
      <c r="C900" t="s">
        <v>23</v>
      </c>
      <c r="D900" t="s">
        <v>21</v>
      </c>
      <c r="E900">
        <v>26470</v>
      </c>
      <c r="F900">
        <v>37</v>
      </c>
      <c r="G900">
        <v>-8</v>
      </c>
      <c r="H900">
        <v>-47</v>
      </c>
      <c r="I900" t="s">
        <v>20</v>
      </c>
      <c r="J900">
        <v>2</v>
      </c>
      <c r="K900">
        <v>2</v>
      </c>
      <c r="L900">
        <v>0</v>
      </c>
      <c r="M900">
        <v>0</v>
      </c>
      <c r="N900">
        <v>0</v>
      </c>
      <c r="O900">
        <v>0</v>
      </c>
      <c r="P900">
        <v>0</v>
      </c>
      <c r="Q900">
        <v>0</v>
      </c>
      <c r="R900">
        <v>900</v>
      </c>
      <c r="S900">
        <v>600</v>
      </c>
      <c r="T900">
        <v>0</v>
      </c>
      <c r="U900" t="str">
        <f>IF(SeismicData[[#This Row],[class]]=1,"Dangerous","Safe")</f>
        <v>Safe</v>
      </c>
      <c r="V900" t="str">
        <f>IF(SeismicData[[#This Row],[shift]]="W","Production","Non-Production")</f>
        <v>Non-Production</v>
      </c>
      <c r="W900" t="str">
        <f>IF(SeismicData[[#This Row],[genergy]]=0,"0","10^"&amp;INT(LOG10(SeismicData[[#This Row],[genergy]])))</f>
        <v>10^4</v>
      </c>
      <c r="X900" t="str">
        <f>IF(OR(SeismicData[[#This Row],[genergy]]&lt;$AA$6,SeismicData[[#This Row],[genergy]]&gt;$AA$5),"Outlier","Normal")</f>
        <v>Normal</v>
      </c>
    </row>
    <row r="901" spans="1:24" x14ac:dyDescent="0.15">
      <c r="A901">
        <v>900</v>
      </c>
      <c r="B901" t="s">
        <v>20</v>
      </c>
      <c r="C901" t="s">
        <v>23</v>
      </c>
      <c r="D901" t="s">
        <v>21</v>
      </c>
      <c r="E901">
        <v>3430</v>
      </c>
      <c r="F901">
        <v>18</v>
      </c>
      <c r="G901">
        <v>-88</v>
      </c>
      <c r="H901">
        <v>-74</v>
      </c>
      <c r="I901" t="s">
        <v>20</v>
      </c>
      <c r="J901">
        <v>0</v>
      </c>
      <c r="K901">
        <v>0</v>
      </c>
      <c r="L901">
        <v>0</v>
      </c>
      <c r="M901">
        <v>0</v>
      </c>
      <c r="N901">
        <v>0</v>
      </c>
      <c r="O901">
        <v>0</v>
      </c>
      <c r="P901">
        <v>0</v>
      </c>
      <c r="Q901">
        <v>0</v>
      </c>
      <c r="R901">
        <v>0</v>
      </c>
      <c r="S901">
        <v>0</v>
      </c>
      <c r="T901">
        <v>0</v>
      </c>
      <c r="U901" t="str">
        <f>IF(SeismicData[[#This Row],[class]]=1,"Dangerous","Safe")</f>
        <v>Safe</v>
      </c>
      <c r="V901" t="str">
        <f>IF(SeismicData[[#This Row],[shift]]="W","Production","Non-Production")</f>
        <v>Non-Production</v>
      </c>
      <c r="W901" t="str">
        <f>IF(SeismicData[[#This Row],[genergy]]=0,"0","10^"&amp;INT(LOG10(SeismicData[[#This Row],[genergy]])))</f>
        <v>10^3</v>
      </c>
      <c r="X901" t="str">
        <f>IF(OR(SeismicData[[#This Row],[genergy]]&lt;$AA$6,SeismicData[[#This Row],[genergy]]&gt;$AA$5),"Outlier","Normal")</f>
        <v>Normal</v>
      </c>
    </row>
    <row r="902" spans="1:24" x14ac:dyDescent="0.15">
      <c r="A902">
        <v>901</v>
      </c>
      <c r="B902" t="s">
        <v>20</v>
      </c>
      <c r="C902" t="s">
        <v>23</v>
      </c>
      <c r="D902" t="s">
        <v>21</v>
      </c>
      <c r="E902">
        <v>12270</v>
      </c>
      <c r="F902">
        <v>24</v>
      </c>
      <c r="G902">
        <v>-52</v>
      </c>
      <c r="H902">
        <v>-62</v>
      </c>
      <c r="I902" t="s">
        <v>20</v>
      </c>
      <c r="J902">
        <v>0</v>
      </c>
      <c r="K902">
        <v>0</v>
      </c>
      <c r="L902">
        <v>0</v>
      </c>
      <c r="M902">
        <v>0</v>
      </c>
      <c r="N902">
        <v>0</v>
      </c>
      <c r="O902">
        <v>0</v>
      </c>
      <c r="P902">
        <v>0</v>
      </c>
      <c r="Q902">
        <v>0</v>
      </c>
      <c r="R902">
        <v>0</v>
      </c>
      <c r="S902">
        <v>0</v>
      </c>
      <c r="T902">
        <v>0</v>
      </c>
      <c r="U902" t="str">
        <f>IF(SeismicData[[#This Row],[class]]=1,"Dangerous","Safe")</f>
        <v>Safe</v>
      </c>
      <c r="V902" t="str">
        <f>IF(SeismicData[[#This Row],[shift]]="W","Production","Non-Production")</f>
        <v>Non-Production</v>
      </c>
      <c r="W902" t="str">
        <f>IF(SeismicData[[#This Row],[genergy]]=0,"0","10^"&amp;INT(LOG10(SeismicData[[#This Row],[genergy]])))</f>
        <v>10^4</v>
      </c>
      <c r="X902" t="str">
        <f>IF(OR(SeismicData[[#This Row],[genergy]]&lt;$AA$6,SeismicData[[#This Row],[genergy]]&gt;$AA$5),"Outlier","Normal")</f>
        <v>Normal</v>
      </c>
    </row>
    <row r="903" spans="1:24" x14ac:dyDescent="0.15">
      <c r="A903">
        <v>902</v>
      </c>
      <c r="B903" t="s">
        <v>20</v>
      </c>
      <c r="C903" t="s">
        <v>23</v>
      </c>
      <c r="D903" t="s">
        <v>21</v>
      </c>
      <c r="E903">
        <v>34050</v>
      </c>
      <c r="F903">
        <v>68</v>
      </c>
      <c r="G903">
        <v>38</v>
      </c>
      <c r="H903">
        <v>13</v>
      </c>
      <c r="I903" t="s">
        <v>20</v>
      </c>
      <c r="J903">
        <v>0</v>
      </c>
      <c r="K903">
        <v>0</v>
      </c>
      <c r="L903">
        <v>0</v>
      </c>
      <c r="M903">
        <v>0</v>
      </c>
      <c r="N903">
        <v>0</v>
      </c>
      <c r="O903">
        <v>0</v>
      </c>
      <c r="P903">
        <v>0</v>
      </c>
      <c r="Q903">
        <v>0</v>
      </c>
      <c r="R903">
        <v>0</v>
      </c>
      <c r="S903">
        <v>0</v>
      </c>
      <c r="T903">
        <v>0</v>
      </c>
      <c r="U903" t="str">
        <f>IF(SeismicData[[#This Row],[class]]=1,"Dangerous","Safe")</f>
        <v>Safe</v>
      </c>
      <c r="V903" t="str">
        <f>IF(SeismicData[[#This Row],[shift]]="W","Production","Non-Production")</f>
        <v>Non-Production</v>
      </c>
      <c r="W903" t="str">
        <f>IF(SeismicData[[#This Row],[genergy]]=0,"0","10^"&amp;INT(LOG10(SeismicData[[#This Row],[genergy]])))</f>
        <v>10^4</v>
      </c>
      <c r="X903" t="str">
        <f>IF(OR(SeismicData[[#This Row],[genergy]]&lt;$AA$6,SeismicData[[#This Row],[genergy]]&gt;$AA$5),"Outlier","Normal")</f>
        <v>Normal</v>
      </c>
    </row>
    <row r="904" spans="1:24" x14ac:dyDescent="0.15">
      <c r="A904">
        <v>903</v>
      </c>
      <c r="B904" t="s">
        <v>20</v>
      </c>
      <c r="C904" t="s">
        <v>20</v>
      </c>
      <c r="D904" t="s">
        <v>21</v>
      </c>
      <c r="E904">
        <v>28020</v>
      </c>
      <c r="F904">
        <v>51</v>
      </c>
      <c r="G904">
        <v>12</v>
      </c>
      <c r="H904">
        <v>-14</v>
      </c>
      <c r="I904" t="s">
        <v>20</v>
      </c>
      <c r="J904">
        <v>0</v>
      </c>
      <c r="K904">
        <v>0</v>
      </c>
      <c r="L904">
        <v>0</v>
      </c>
      <c r="M904">
        <v>0</v>
      </c>
      <c r="N904">
        <v>0</v>
      </c>
      <c r="O904">
        <v>0</v>
      </c>
      <c r="P904">
        <v>0</v>
      </c>
      <c r="Q904">
        <v>0</v>
      </c>
      <c r="R904">
        <v>0</v>
      </c>
      <c r="S904">
        <v>0</v>
      </c>
      <c r="T904">
        <v>0</v>
      </c>
      <c r="U904" t="str">
        <f>IF(SeismicData[[#This Row],[class]]=1,"Dangerous","Safe")</f>
        <v>Safe</v>
      </c>
      <c r="V904" t="str">
        <f>IF(SeismicData[[#This Row],[shift]]="W","Production","Non-Production")</f>
        <v>Non-Production</v>
      </c>
      <c r="W904" t="str">
        <f>IF(SeismicData[[#This Row],[genergy]]=0,"0","10^"&amp;INT(LOG10(SeismicData[[#This Row],[genergy]])))</f>
        <v>10^4</v>
      </c>
      <c r="X904" t="str">
        <f>IF(OR(SeismicData[[#This Row],[genergy]]&lt;$AA$6,SeismicData[[#This Row],[genergy]]&gt;$AA$5),"Outlier","Normal")</f>
        <v>Normal</v>
      </c>
    </row>
    <row r="905" spans="1:24" x14ac:dyDescent="0.15">
      <c r="A905">
        <v>904</v>
      </c>
      <c r="B905" t="s">
        <v>20</v>
      </c>
      <c r="C905" t="s">
        <v>23</v>
      </c>
      <c r="D905" t="s">
        <v>21</v>
      </c>
      <c r="E905">
        <v>44790</v>
      </c>
      <c r="F905">
        <v>57</v>
      </c>
      <c r="G905">
        <v>74</v>
      </c>
      <c r="H905">
        <v>-3</v>
      </c>
      <c r="I905" t="s">
        <v>20</v>
      </c>
      <c r="J905">
        <v>0</v>
      </c>
      <c r="K905">
        <v>0</v>
      </c>
      <c r="L905">
        <v>0</v>
      </c>
      <c r="M905">
        <v>0</v>
      </c>
      <c r="N905">
        <v>0</v>
      </c>
      <c r="O905">
        <v>0</v>
      </c>
      <c r="P905">
        <v>0</v>
      </c>
      <c r="Q905">
        <v>0</v>
      </c>
      <c r="R905">
        <v>0</v>
      </c>
      <c r="S905">
        <v>0</v>
      </c>
      <c r="T905">
        <v>0</v>
      </c>
      <c r="U905" t="str">
        <f>IF(SeismicData[[#This Row],[class]]=1,"Dangerous","Safe")</f>
        <v>Safe</v>
      </c>
      <c r="V905" t="str">
        <f>IF(SeismicData[[#This Row],[shift]]="W","Production","Non-Production")</f>
        <v>Non-Production</v>
      </c>
      <c r="W905" t="str">
        <f>IF(SeismicData[[#This Row],[genergy]]=0,"0","10^"&amp;INT(LOG10(SeismicData[[#This Row],[genergy]])))</f>
        <v>10^4</v>
      </c>
      <c r="X905" t="str">
        <f>IF(OR(SeismicData[[#This Row],[genergy]]&lt;$AA$6,SeismicData[[#This Row],[genergy]]&gt;$AA$5),"Outlier","Normal")</f>
        <v>Normal</v>
      </c>
    </row>
    <row r="906" spans="1:24" x14ac:dyDescent="0.15">
      <c r="A906">
        <v>905</v>
      </c>
      <c r="B906" t="s">
        <v>20</v>
      </c>
      <c r="C906" t="s">
        <v>23</v>
      </c>
      <c r="D906" t="s">
        <v>22</v>
      </c>
      <c r="E906">
        <v>68130</v>
      </c>
      <c r="F906">
        <v>162</v>
      </c>
      <c r="G906">
        <v>-9</v>
      </c>
      <c r="H906">
        <v>-9</v>
      </c>
      <c r="I906" t="s">
        <v>20</v>
      </c>
      <c r="J906">
        <v>2</v>
      </c>
      <c r="K906">
        <v>2</v>
      </c>
      <c r="L906">
        <v>0</v>
      </c>
      <c r="M906">
        <v>0</v>
      </c>
      <c r="N906">
        <v>0</v>
      </c>
      <c r="O906">
        <v>0</v>
      </c>
      <c r="P906">
        <v>0</v>
      </c>
      <c r="Q906">
        <v>0</v>
      </c>
      <c r="R906">
        <v>1000</v>
      </c>
      <c r="S906">
        <v>600</v>
      </c>
      <c r="T906">
        <v>0</v>
      </c>
      <c r="U906" t="str">
        <f>IF(SeismicData[[#This Row],[class]]=1,"Dangerous","Safe")</f>
        <v>Safe</v>
      </c>
      <c r="V906" t="str">
        <f>IF(SeismicData[[#This Row],[shift]]="W","Production","Non-Production")</f>
        <v>Production</v>
      </c>
      <c r="W906" t="str">
        <f>IF(SeismicData[[#This Row],[genergy]]=0,"0","10^"&amp;INT(LOG10(SeismicData[[#This Row],[genergy]])))</f>
        <v>10^4</v>
      </c>
      <c r="X906" t="str">
        <f>IF(OR(SeismicData[[#This Row],[genergy]]&lt;$AA$6,SeismicData[[#This Row],[genergy]]&gt;$AA$5),"Outlier","Normal")</f>
        <v>Normal</v>
      </c>
    </row>
    <row r="907" spans="1:24" x14ac:dyDescent="0.15">
      <c r="A907">
        <v>906</v>
      </c>
      <c r="B907" t="s">
        <v>20</v>
      </c>
      <c r="C907" t="s">
        <v>23</v>
      </c>
      <c r="D907" t="s">
        <v>22</v>
      </c>
      <c r="E907">
        <v>107250</v>
      </c>
      <c r="F907">
        <v>168</v>
      </c>
      <c r="G907">
        <v>43</v>
      </c>
      <c r="H907">
        <v>-8</v>
      </c>
      <c r="I907" t="s">
        <v>20</v>
      </c>
      <c r="J907">
        <v>0</v>
      </c>
      <c r="K907">
        <v>0</v>
      </c>
      <c r="L907">
        <v>0</v>
      </c>
      <c r="M907">
        <v>0</v>
      </c>
      <c r="N907">
        <v>0</v>
      </c>
      <c r="O907">
        <v>0</v>
      </c>
      <c r="P907">
        <v>0</v>
      </c>
      <c r="Q907">
        <v>0</v>
      </c>
      <c r="R907">
        <v>0</v>
      </c>
      <c r="S907">
        <v>0</v>
      </c>
      <c r="T907">
        <v>0</v>
      </c>
      <c r="U907" t="str">
        <f>IF(SeismicData[[#This Row],[class]]=1,"Dangerous","Safe")</f>
        <v>Safe</v>
      </c>
      <c r="V907" t="str">
        <f>IF(SeismicData[[#This Row],[shift]]="W","Production","Non-Production")</f>
        <v>Production</v>
      </c>
      <c r="W907" t="str">
        <f>IF(SeismicData[[#This Row],[genergy]]=0,"0","10^"&amp;INT(LOG10(SeismicData[[#This Row],[genergy]])))</f>
        <v>10^5</v>
      </c>
      <c r="X907" t="str">
        <f>IF(OR(SeismicData[[#This Row],[genergy]]&lt;$AA$6,SeismicData[[#This Row],[genergy]]&gt;$AA$5),"Outlier","Normal")</f>
        <v>Normal</v>
      </c>
    </row>
    <row r="908" spans="1:24" x14ac:dyDescent="0.15">
      <c r="A908">
        <v>907</v>
      </c>
      <c r="B908" t="s">
        <v>20</v>
      </c>
      <c r="C908" t="s">
        <v>23</v>
      </c>
      <c r="D908" t="s">
        <v>21</v>
      </c>
      <c r="E908">
        <v>72460</v>
      </c>
      <c r="F908">
        <v>150</v>
      </c>
      <c r="G908">
        <v>166</v>
      </c>
      <c r="H908">
        <v>180</v>
      </c>
      <c r="I908" t="s">
        <v>23</v>
      </c>
      <c r="J908">
        <v>1</v>
      </c>
      <c r="K908">
        <v>0</v>
      </c>
      <c r="L908">
        <v>1</v>
      </c>
      <c r="M908">
        <v>0</v>
      </c>
      <c r="N908">
        <v>0</v>
      </c>
      <c r="O908">
        <v>0</v>
      </c>
      <c r="P908">
        <v>0</v>
      </c>
      <c r="Q908">
        <v>0</v>
      </c>
      <c r="R908">
        <v>1000</v>
      </c>
      <c r="S908">
        <v>1000</v>
      </c>
      <c r="T908">
        <v>0</v>
      </c>
      <c r="U908" t="str">
        <f>IF(SeismicData[[#This Row],[class]]=1,"Dangerous","Safe")</f>
        <v>Safe</v>
      </c>
      <c r="V908" t="str">
        <f>IF(SeismicData[[#This Row],[shift]]="W","Production","Non-Production")</f>
        <v>Non-Production</v>
      </c>
      <c r="W908" t="str">
        <f>IF(SeismicData[[#This Row],[genergy]]=0,"0","10^"&amp;INT(LOG10(SeismicData[[#This Row],[genergy]])))</f>
        <v>10^4</v>
      </c>
      <c r="X908" t="str">
        <f>IF(OR(SeismicData[[#This Row],[genergy]]&lt;$AA$6,SeismicData[[#This Row],[genergy]]&gt;$AA$5),"Outlier","Normal")</f>
        <v>Normal</v>
      </c>
    </row>
    <row r="909" spans="1:24" x14ac:dyDescent="0.15">
      <c r="A909">
        <v>908</v>
      </c>
      <c r="B909" t="s">
        <v>20</v>
      </c>
      <c r="C909" t="s">
        <v>23</v>
      </c>
      <c r="D909" t="s">
        <v>21</v>
      </c>
      <c r="E909">
        <v>58410</v>
      </c>
      <c r="F909">
        <v>113</v>
      </c>
      <c r="G909">
        <v>84</v>
      </c>
      <c r="H909">
        <v>88</v>
      </c>
      <c r="I909" t="s">
        <v>20</v>
      </c>
      <c r="J909">
        <v>0</v>
      </c>
      <c r="K909">
        <v>0</v>
      </c>
      <c r="L909">
        <v>0</v>
      </c>
      <c r="M909">
        <v>0</v>
      </c>
      <c r="N909">
        <v>0</v>
      </c>
      <c r="O909">
        <v>0</v>
      </c>
      <c r="P909">
        <v>0</v>
      </c>
      <c r="Q909">
        <v>0</v>
      </c>
      <c r="R909">
        <v>0</v>
      </c>
      <c r="S909">
        <v>0</v>
      </c>
      <c r="T909">
        <v>0</v>
      </c>
      <c r="U909" t="str">
        <f>IF(SeismicData[[#This Row],[class]]=1,"Dangerous","Safe")</f>
        <v>Safe</v>
      </c>
      <c r="V909" t="str">
        <f>IF(SeismicData[[#This Row],[shift]]="W","Production","Non-Production")</f>
        <v>Non-Production</v>
      </c>
      <c r="W909" t="str">
        <f>IF(SeismicData[[#This Row],[genergy]]=0,"0","10^"&amp;INT(LOG10(SeismicData[[#This Row],[genergy]])))</f>
        <v>10^4</v>
      </c>
      <c r="X909" t="str">
        <f>IF(OR(SeismicData[[#This Row],[genergy]]&lt;$AA$6,SeismicData[[#This Row],[genergy]]&gt;$AA$5),"Outlier","Normal")</f>
        <v>Normal</v>
      </c>
    </row>
    <row r="910" spans="1:24" x14ac:dyDescent="0.15">
      <c r="A910">
        <v>909</v>
      </c>
      <c r="B910" t="s">
        <v>20</v>
      </c>
      <c r="C910" t="s">
        <v>23</v>
      </c>
      <c r="D910" t="s">
        <v>21</v>
      </c>
      <c r="E910">
        <v>52000</v>
      </c>
      <c r="F910">
        <v>134</v>
      </c>
      <c r="G910">
        <v>44</v>
      </c>
      <c r="H910">
        <v>97</v>
      </c>
      <c r="I910" t="s">
        <v>20</v>
      </c>
      <c r="J910">
        <v>0</v>
      </c>
      <c r="K910">
        <v>0</v>
      </c>
      <c r="L910">
        <v>0</v>
      </c>
      <c r="M910">
        <v>0</v>
      </c>
      <c r="N910">
        <v>0</v>
      </c>
      <c r="O910">
        <v>0</v>
      </c>
      <c r="P910">
        <v>0</v>
      </c>
      <c r="Q910">
        <v>0</v>
      </c>
      <c r="R910">
        <v>0</v>
      </c>
      <c r="S910">
        <v>0</v>
      </c>
      <c r="T910">
        <v>1</v>
      </c>
      <c r="U910" t="str">
        <f>IF(SeismicData[[#This Row],[class]]=1,"Dangerous","Safe")</f>
        <v>Dangerous</v>
      </c>
      <c r="V910" t="str">
        <f>IF(SeismicData[[#This Row],[shift]]="W","Production","Non-Production")</f>
        <v>Non-Production</v>
      </c>
      <c r="W910" t="str">
        <f>IF(SeismicData[[#This Row],[genergy]]=0,"0","10^"&amp;INT(LOG10(SeismicData[[#This Row],[genergy]])))</f>
        <v>10^4</v>
      </c>
      <c r="X910" t="str">
        <f>IF(OR(SeismicData[[#This Row],[genergy]]&lt;$AA$6,SeismicData[[#This Row],[genergy]]&gt;$AA$5),"Outlier","Normal")</f>
        <v>Normal</v>
      </c>
    </row>
    <row r="911" spans="1:24" x14ac:dyDescent="0.15">
      <c r="A911">
        <v>910</v>
      </c>
      <c r="B911" t="s">
        <v>23</v>
      </c>
      <c r="C911" t="s">
        <v>23</v>
      </c>
      <c r="D911" t="s">
        <v>21</v>
      </c>
      <c r="E911">
        <v>48590</v>
      </c>
      <c r="F911">
        <v>134</v>
      </c>
      <c r="G911">
        <v>28</v>
      </c>
      <c r="H911">
        <v>84</v>
      </c>
      <c r="I911" t="s">
        <v>23</v>
      </c>
      <c r="J911">
        <v>1</v>
      </c>
      <c r="K911">
        <v>0</v>
      </c>
      <c r="L911">
        <v>0</v>
      </c>
      <c r="M911">
        <v>1</v>
      </c>
      <c r="N911">
        <v>0</v>
      </c>
      <c r="O911">
        <v>0</v>
      </c>
      <c r="P911">
        <v>0</v>
      </c>
      <c r="Q911">
        <v>0</v>
      </c>
      <c r="R911">
        <v>20000</v>
      </c>
      <c r="S911">
        <v>20000</v>
      </c>
      <c r="T911">
        <v>0</v>
      </c>
      <c r="U911" t="str">
        <f>IF(SeismicData[[#This Row],[class]]=1,"Dangerous","Safe")</f>
        <v>Safe</v>
      </c>
      <c r="V911" t="str">
        <f>IF(SeismicData[[#This Row],[shift]]="W","Production","Non-Production")</f>
        <v>Non-Production</v>
      </c>
      <c r="W911" t="str">
        <f>IF(SeismicData[[#This Row],[genergy]]=0,"0","10^"&amp;INT(LOG10(SeismicData[[#This Row],[genergy]])))</f>
        <v>10^4</v>
      </c>
      <c r="X911" t="str">
        <f>IF(OR(SeismicData[[#This Row],[genergy]]&lt;$AA$6,SeismicData[[#This Row],[genergy]]&gt;$AA$5),"Outlier","Normal")</f>
        <v>Normal</v>
      </c>
    </row>
    <row r="912" spans="1:24" x14ac:dyDescent="0.15">
      <c r="A912">
        <v>911</v>
      </c>
      <c r="B912" t="s">
        <v>23</v>
      </c>
      <c r="C912" t="s">
        <v>23</v>
      </c>
      <c r="D912" t="s">
        <v>21</v>
      </c>
      <c r="E912">
        <v>19370</v>
      </c>
      <c r="F912">
        <v>63</v>
      </c>
      <c r="G912">
        <v>-49</v>
      </c>
      <c r="H912">
        <v>-20</v>
      </c>
      <c r="I912" t="s">
        <v>23</v>
      </c>
      <c r="J912">
        <v>0</v>
      </c>
      <c r="K912">
        <v>0</v>
      </c>
      <c r="L912">
        <v>0</v>
      </c>
      <c r="M912">
        <v>0</v>
      </c>
      <c r="N912">
        <v>0</v>
      </c>
      <c r="O912">
        <v>0</v>
      </c>
      <c r="P912">
        <v>0</v>
      </c>
      <c r="Q912">
        <v>0</v>
      </c>
      <c r="R912">
        <v>0</v>
      </c>
      <c r="S912">
        <v>0</v>
      </c>
      <c r="T912">
        <v>0</v>
      </c>
      <c r="U912" t="str">
        <f>IF(SeismicData[[#This Row],[class]]=1,"Dangerous","Safe")</f>
        <v>Safe</v>
      </c>
      <c r="V912" t="str">
        <f>IF(SeismicData[[#This Row],[shift]]="W","Production","Non-Production")</f>
        <v>Non-Production</v>
      </c>
      <c r="W912" t="str">
        <f>IF(SeismicData[[#This Row],[genergy]]=0,"0","10^"&amp;INT(LOG10(SeismicData[[#This Row],[genergy]])))</f>
        <v>10^4</v>
      </c>
      <c r="X912" t="str">
        <f>IF(OR(SeismicData[[#This Row],[genergy]]&lt;$AA$6,SeismicData[[#This Row],[genergy]]&gt;$AA$5),"Outlier","Normal")</f>
        <v>Normal</v>
      </c>
    </row>
    <row r="913" spans="1:24" x14ac:dyDescent="0.15">
      <c r="A913">
        <v>912</v>
      </c>
      <c r="B913" t="s">
        <v>23</v>
      </c>
      <c r="C913" t="s">
        <v>23</v>
      </c>
      <c r="D913" t="s">
        <v>21</v>
      </c>
      <c r="E913">
        <v>14770</v>
      </c>
      <c r="F913">
        <v>48</v>
      </c>
      <c r="G913">
        <v>-60</v>
      </c>
      <c r="H913">
        <v>-41</v>
      </c>
      <c r="I913" t="s">
        <v>23</v>
      </c>
      <c r="J913">
        <v>0</v>
      </c>
      <c r="K913">
        <v>0</v>
      </c>
      <c r="L913">
        <v>0</v>
      </c>
      <c r="M913">
        <v>0</v>
      </c>
      <c r="N913">
        <v>0</v>
      </c>
      <c r="O913">
        <v>0</v>
      </c>
      <c r="P913">
        <v>0</v>
      </c>
      <c r="Q913">
        <v>0</v>
      </c>
      <c r="R913">
        <v>0</v>
      </c>
      <c r="S913">
        <v>0</v>
      </c>
      <c r="T913">
        <v>0</v>
      </c>
      <c r="U913" t="str">
        <f>IF(SeismicData[[#This Row],[class]]=1,"Dangerous","Safe")</f>
        <v>Safe</v>
      </c>
      <c r="V913" t="str">
        <f>IF(SeismicData[[#This Row],[shift]]="W","Production","Non-Production")</f>
        <v>Non-Production</v>
      </c>
      <c r="W913" t="str">
        <f>IF(SeismicData[[#This Row],[genergy]]=0,"0","10^"&amp;INT(LOG10(SeismicData[[#This Row],[genergy]])))</f>
        <v>10^4</v>
      </c>
      <c r="X913" t="str">
        <f>IF(OR(SeismicData[[#This Row],[genergy]]&lt;$AA$6,SeismicData[[#This Row],[genergy]]&gt;$AA$5),"Outlier","Normal")</f>
        <v>Normal</v>
      </c>
    </row>
    <row r="914" spans="1:24" x14ac:dyDescent="0.15">
      <c r="A914">
        <v>913</v>
      </c>
      <c r="B914" t="s">
        <v>20</v>
      </c>
      <c r="C914" t="s">
        <v>23</v>
      </c>
      <c r="D914" t="s">
        <v>21</v>
      </c>
      <c r="E914">
        <v>15050</v>
      </c>
      <c r="F914">
        <v>52</v>
      </c>
      <c r="G914">
        <v>-61</v>
      </c>
      <c r="H914">
        <v>-38</v>
      </c>
      <c r="I914" t="s">
        <v>20</v>
      </c>
      <c r="J914">
        <v>0</v>
      </c>
      <c r="K914">
        <v>0</v>
      </c>
      <c r="L914">
        <v>0</v>
      </c>
      <c r="M914">
        <v>0</v>
      </c>
      <c r="N914">
        <v>0</v>
      </c>
      <c r="O914">
        <v>0</v>
      </c>
      <c r="P914">
        <v>0</v>
      </c>
      <c r="Q914">
        <v>0</v>
      </c>
      <c r="R914">
        <v>0</v>
      </c>
      <c r="S914">
        <v>0</v>
      </c>
      <c r="T914">
        <v>0</v>
      </c>
      <c r="U914" t="str">
        <f>IF(SeismicData[[#This Row],[class]]=1,"Dangerous","Safe")</f>
        <v>Safe</v>
      </c>
      <c r="V914" t="str">
        <f>IF(SeismicData[[#This Row],[shift]]="W","Production","Non-Production")</f>
        <v>Non-Production</v>
      </c>
      <c r="W914" t="str">
        <f>IF(SeismicData[[#This Row],[genergy]]=0,"0","10^"&amp;INT(LOG10(SeismicData[[#This Row],[genergy]])))</f>
        <v>10^4</v>
      </c>
      <c r="X914" t="str">
        <f>IF(OR(SeismicData[[#This Row],[genergy]]&lt;$AA$6,SeismicData[[#This Row],[genergy]]&gt;$AA$5),"Outlier","Normal")</f>
        <v>Normal</v>
      </c>
    </row>
    <row r="915" spans="1:24" x14ac:dyDescent="0.15">
      <c r="A915">
        <v>914</v>
      </c>
      <c r="B915" t="s">
        <v>20</v>
      </c>
      <c r="C915" t="s">
        <v>23</v>
      </c>
      <c r="D915" t="s">
        <v>21</v>
      </c>
      <c r="E915">
        <v>18800</v>
      </c>
      <c r="F915">
        <v>67</v>
      </c>
      <c r="G915">
        <v>-51</v>
      </c>
      <c r="H915">
        <v>-23</v>
      </c>
      <c r="I915" t="s">
        <v>20</v>
      </c>
      <c r="J915">
        <v>0</v>
      </c>
      <c r="K915">
        <v>0</v>
      </c>
      <c r="L915">
        <v>0</v>
      </c>
      <c r="M915">
        <v>0</v>
      </c>
      <c r="N915">
        <v>0</v>
      </c>
      <c r="O915">
        <v>0</v>
      </c>
      <c r="P915">
        <v>0</v>
      </c>
      <c r="Q915">
        <v>0</v>
      </c>
      <c r="R915">
        <v>0</v>
      </c>
      <c r="S915">
        <v>0</v>
      </c>
      <c r="T915">
        <v>0</v>
      </c>
      <c r="U915" t="str">
        <f>IF(SeismicData[[#This Row],[class]]=1,"Dangerous","Safe")</f>
        <v>Safe</v>
      </c>
      <c r="V915" t="str">
        <f>IF(SeismicData[[#This Row],[shift]]="W","Production","Non-Production")</f>
        <v>Non-Production</v>
      </c>
      <c r="W915" t="str">
        <f>IF(SeismicData[[#This Row],[genergy]]=0,"0","10^"&amp;INT(LOG10(SeismicData[[#This Row],[genergy]])))</f>
        <v>10^4</v>
      </c>
      <c r="X915" t="str">
        <f>IF(OR(SeismicData[[#This Row],[genergy]]&lt;$AA$6,SeismicData[[#This Row],[genergy]]&gt;$AA$5),"Outlier","Normal")</f>
        <v>Normal</v>
      </c>
    </row>
    <row r="916" spans="1:24" x14ac:dyDescent="0.15">
      <c r="A916">
        <v>915</v>
      </c>
      <c r="B916" t="s">
        <v>20</v>
      </c>
      <c r="C916" t="s">
        <v>20</v>
      </c>
      <c r="D916" t="s">
        <v>21</v>
      </c>
      <c r="E916">
        <v>29500</v>
      </c>
      <c r="F916">
        <v>92</v>
      </c>
      <c r="G916">
        <v>-21</v>
      </c>
      <c r="H916">
        <v>6</v>
      </c>
      <c r="I916" t="s">
        <v>20</v>
      </c>
      <c r="J916">
        <v>1</v>
      </c>
      <c r="K916">
        <v>1</v>
      </c>
      <c r="L916">
        <v>0</v>
      </c>
      <c r="M916">
        <v>0</v>
      </c>
      <c r="N916">
        <v>0</v>
      </c>
      <c r="O916">
        <v>0</v>
      </c>
      <c r="P916">
        <v>0</v>
      </c>
      <c r="Q916">
        <v>0</v>
      </c>
      <c r="R916">
        <v>300</v>
      </c>
      <c r="S916">
        <v>300</v>
      </c>
      <c r="T916">
        <v>0</v>
      </c>
      <c r="U916" t="str">
        <f>IF(SeismicData[[#This Row],[class]]=1,"Dangerous","Safe")</f>
        <v>Safe</v>
      </c>
      <c r="V916" t="str">
        <f>IF(SeismicData[[#This Row],[shift]]="W","Production","Non-Production")</f>
        <v>Non-Production</v>
      </c>
      <c r="W916" t="str">
        <f>IF(SeismicData[[#This Row],[genergy]]=0,"0","10^"&amp;INT(LOG10(SeismicData[[#This Row],[genergy]])))</f>
        <v>10^4</v>
      </c>
      <c r="X916" t="str">
        <f>IF(OR(SeismicData[[#This Row],[genergy]]&lt;$AA$6,SeismicData[[#This Row],[genergy]]&gt;$AA$5),"Outlier","Normal")</f>
        <v>Normal</v>
      </c>
    </row>
    <row r="917" spans="1:24" x14ac:dyDescent="0.15">
      <c r="A917">
        <v>916</v>
      </c>
      <c r="B917" t="s">
        <v>20</v>
      </c>
      <c r="C917" t="s">
        <v>20</v>
      </c>
      <c r="D917" t="s">
        <v>21</v>
      </c>
      <c r="E917">
        <v>12950</v>
      </c>
      <c r="F917">
        <v>41</v>
      </c>
      <c r="G917">
        <v>-65</v>
      </c>
      <c r="H917">
        <v>-55</v>
      </c>
      <c r="I917" t="s">
        <v>20</v>
      </c>
      <c r="J917">
        <v>0</v>
      </c>
      <c r="K917">
        <v>0</v>
      </c>
      <c r="L917">
        <v>0</v>
      </c>
      <c r="M917">
        <v>0</v>
      </c>
      <c r="N917">
        <v>0</v>
      </c>
      <c r="O917">
        <v>0</v>
      </c>
      <c r="P917">
        <v>0</v>
      </c>
      <c r="Q917">
        <v>0</v>
      </c>
      <c r="R917">
        <v>0</v>
      </c>
      <c r="S917">
        <v>0</v>
      </c>
      <c r="T917">
        <v>0</v>
      </c>
      <c r="U917" t="str">
        <f>IF(SeismicData[[#This Row],[class]]=1,"Dangerous","Safe")</f>
        <v>Safe</v>
      </c>
      <c r="V917" t="str">
        <f>IF(SeismicData[[#This Row],[shift]]="W","Production","Non-Production")</f>
        <v>Non-Production</v>
      </c>
      <c r="W917" t="str">
        <f>IF(SeismicData[[#This Row],[genergy]]=0,"0","10^"&amp;INT(LOG10(SeismicData[[#This Row],[genergy]])))</f>
        <v>10^4</v>
      </c>
      <c r="X917" t="str">
        <f>IF(OR(SeismicData[[#This Row],[genergy]]&lt;$AA$6,SeismicData[[#This Row],[genergy]]&gt;$AA$5),"Outlier","Normal")</f>
        <v>Normal</v>
      </c>
    </row>
    <row r="918" spans="1:24" x14ac:dyDescent="0.15">
      <c r="A918">
        <v>917</v>
      </c>
      <c r="B918" t="s">
        <v>20</v>
      </c>
      <c r="C918" t="s">
        <v>20</v>
      </c>
      <c r="D918" t="s">
        <v>21</v>
      </c>
      <c r="E918">
        <v>20730</v>
      </c>
      <c r="F918">
        <v>48</v>
      </c>
      <c r="G918">
        <v>-39</v>
      </c>
      <c r="H918">
        <v>-46</v>
      </c>
      <c r="I918" t="s">
        <v>20</v>
      </c>
      <c r="J918">
        <v>1</v>
      </c>
      <c r="K918">
        <v>1</v>
      </c>
      <c r="L918">
        <v>0</v>
      </c>
      <c r="M918">
        <v>0</v>
      </c>
      <c r="N918">
        <v>0</v>
      </c>
      <c r="O918">
        <v>0</v>
      </c>
      <c r="P918">
        <v>0</v>
      </c>
      <c r="Q918">
        <v>0</v>
      </c>
      <c r="R918">
        <v>400</v>
      </c>
      <c r="S918">
        <v>400</v>
      </c>
      <c r="T918">
        <v>0</v>
      </c>
      <c r="U918" t="str">
        <f>IF(SeismicData[[#This Row],[class]]=1,"Dangerous","Safe")</f>
        <v>Safe</v>
      </c>
      <c r="V918" t="str">
        <f>IF(SeismicData[[#This Row],[shift]]="W","Production","Non-Production")</f>
        <v>Non-Production</v>
      </c>
      <c r="W918" t="str">
        <f>IF(SeismicData[[#This Row],[genergy]]=0,"0","10^"&amp;INT(LOG10(SeismicData[[#This Row],[genergy]])))</f>
        <v>10^4</v>
      </c>
      <c r="X918" t="str">
        <f>IF(OR(SeismicData[[#This Row],[genergy]]&lt;$AA$6,SeismicData[[#This Row],[genergy]]&gt;$AA$5),"Outlier","Normal")</f>
        <v>Normal</v>
      </c>
    </row>
    <row r="919" spans="1:24" x14ac:dyDescent="0.15">
      <c r="A919">
        <v>918</v>
      </c>
      <c r="B919" t="s">
        <v>20</v>
      </c>
      <c r="C919" t="s">
        <v>20</v>
      </c>
      <c r="D919" t="s">
        <v>21</v>
      </c>
      <c r="E919">
        <v>41340</v>
      </c>
      <c r="F919">
        <v>89</v>
      </c>
      <c r="G919">
        <v>42</v>
      </c>
      <c r="H919">
        <v>12</v>
      </c>
      <c r="I919" t="s">
        <v>20</v>
      </c>
      <c r="J919">
        <v>0</v>
      </c>
      <c r="K919">
        <v>0</v>
      </c>
      <c r="L919">
        <v>0</v>
      </c>
      <c r="M919">
        <v>0</v>
      </c>
      <c r="N919">
        <v>0</v>
      </c>
      <c r="O919">
        <v>0</v>
      </c>
      <c r="P919">
        <v>0</v>
      </c>
      <c r="Q919">
        <v>0</v>
      </c>
      <c r="R919">
        <v>0</v>
      </c>
      <c r="S919">
        <v>0</v>
      </c>
      <c r="T919">
        <v>0</v>
      </c>
      <c r="U919" t="str">
        <f>IF(SeismicData[[#This Row],[class]]=1,"Dangerous","Safe")</f>
        <v>Safe</v>
      </c>
      <c r="V919" t="str">
        <f>IF(SeismicData[[#This Row],[shift]]="W","Production","Non-Production")</f>
        <v>Non-Production</v>
      </c>
      <c r="W919" t="str">
        <f>IF(SeismicData[[#This Row],[genergy]]=0,"0","10^"&amp;INT(LOG10(SeismicData[[#This Row],[genergy]])))</f>
        <v>10^4</v>
      </c>
      <c r="X919" t="str">
        <f>IF(OR(SeismicData[[#This Row],[genergy]]&lt;$AA$6,SeismicData[[#This Row],[genergy]]&gt;$AA$5),"Outlier","Normal")</f>
        <v>Normal</v>
      </c>
    </row>
    <row r="920" spans="1:24" x14ac:dyDescent="0.15">
      <c r="A920">
        <v>919</v>
      </c>
      <c r="B920" t="s">
        <v>20</v>
      </c>
      <c r="C920" t="s">
        <v>20</v>
      </c>
      <c r="D920" t="s">
        <v>21</v>
      </c>
      <c r="E920">
        <v>18410</v>
      </c>
      <c r="F920">
        <v>30</v>
      </c>
      <c r="G920">
        <v>-33</v>
      </c>
      <c r="H920">
        <v>-61</v>
      </c>
      <c r="I920" t="s">
        <v>20</v>
      </c>
      <c r="J920">
        <v>0</v>
      </c>
      <c r="K920">
        <v>0</v>
      </c>
      <c r="L920">
        <v>0</v>
      </c>
      <c r="M920">
        <v>0</v>
      </c>
      <c r="N920">
        <v>0</v>
      </c>
      <c r="O920">
        <v>0</v>
      </c>
      <c r="P920">
        <v>0</v>
      </c>
      <c r="Q920">
        <v>0</v>
      </c>
      <c r="R920">
        <v>0</v>
      </c>
      <c r="S920">
        <v>0</v>
      </c>
      <c r="T920">
        <v>0</v>
      </c>
      <c r="U920" t="str">
        <f>IF(SeismicData[[#This Row],[class]]=1,"Dangerous","Safe")</f>
        <v>Safe</v>
      </c>
      <c r="V920" t="str">
        <f>IF(SeismicData[[#This Row],[shift]]="W","Production","Non-Production")</f>
        <v>Non-Production</v>
      </c>
      <c r="W920" t="str">
        <f>IF(SeismicData[[#This Row],[genergy]]=0,"0","10^"&amp;INT(LOG10(SeismicData[[#This Row],[genergy]])))</f>
        <v>10^4</v>
      </c>
      <c r="X920" t="str">
        <f>IF(OR(SeismicData[[#This Row],[genergy]]&lt;$AA$6,SeismicData[[#This Row],[genergy]]&gt;$AA$5),"Outlier","Normal")</f>
        <v>Normal</v>
      </c>
    </row>
    <row r="921" spans="1:24" x14ac:dyDescent="0.15">
      <c r="A921">
        <v>920</v>
      </c>
      <c r="B921" t="s">
        <v>20</v>
      </c>
      <c r="C921" t="s">
        <v>20</v>
      </c>
      <c r="D921" t="s">
        <v>21</v>
      </c>
      <c r="E921">
        <v>9490</v>
      </c>
      <c r="F921">
        <v>26</v>
      </c>
      <c r="G921">
        <v>-60</v>
      </c>
      <c r="H921">
        <v>-61</v>
      </c>
      <c r="I921" t="s">
        <v>20</v>
      </c>
      <c r="J921">
        <v>0</v>
      </c>
      <c r="K921">
        <v>0</v>
      </c>
      <c r="L921">
        <v>0</v>
      </c>
      <c r="M921">
        <v>0</v>
      </c>
      <c r="N921">
        <v>0</v>
      </c>
      <c r="O921">
        <v>0</v>
      </c>
      <c r="P921">
        <v>0</v>
      </c>
      <c r="Q921">
        <v>0</v>
      </c>
      <c r="R921">
        <v>0</v>
      </c>
      <c r="S921">
        <v>0</v>
      </c>
      <c r="T921">
        <v>0</v>
      </c>
      <c r="U921" t="str">
        <f>IF(SeismicData[[#This Row],[class]]=1,"Dangerous","Safe")</f>
        <v>Safe</v>
      </c>
      <c r="V921" t="str">
        <f>IF(SeismicData[[#This Row],[shift]]="W","Production","Non-Production")</f>
        <v>Non-Production</v>
      </c>
      <c r="W921" t="str">
        <f>IF(SeismicData[[#This Row],[genergy]]=0,"0","10^"&amp;INT(LOG10(SeismicData[[#This Row],[genergy]])))</f>
        <v>10^3</v>
      </c>
      <c r="X921" t="str">
        <f>IF(OR(SeismicData[[#This Row],[genergy]]&lt;$AA$6,SeismicData[[#This Row],[genergy]]&gt;$AA$5),"Outlier","Normal")</f>
        <v>Normal</v>
      </c>
    </row>
    <row r="922" spans="1:24" x14ac:dyDescent="0.15">
      <c r="A922">
        <v>921</v>
      </c>
      <c r="B922" t="s">
        <v>20</v>
      </c>
      <c r="C922" t="s">
        <v>20</v>
      </c>
      <c r="D922" t="s">
        <v>21</v>
      </c>
      <c r="E922">
        <v>6370</v>
      </c>
      <c r="F922">
        <v>34</v>
      </c>
      <c r="G922">
        <v>-68</v>
      </c>
      <c r="H922">
        <v>-39</v>
      </c>
      <c r="I922" t="s">
        <v>20</v>
      </c>
      <c r="J922">
        <v>0</v>
      </c>
      <c r="K922">
        <v>0</v>
      </c>
      <c r="L922">
        <v>0</v>
      </c>
      <c r="M922">
        <v>0</v>
      </c>
      <c r="N922">
        <v>0</v>
      </c>
      <c r="O922">
        <v>0</v>
      </c>
      <c r="P922">
        <v>0</v>
      </c>
      <c r="Q922">
        <v>0</v>
      </c>
      <c r="R922">
        <v>0</v>
      </c>
      <c r="S922">
        <v>0</v>
      </c>
      <c r="T922">
        <v>0</v>
      </c>
      <c r="U922" t="str">
        <f>IF(SeismicData[[#This Row],[class]]=1,"Dangerous","Safe")</f>
        <v>Safe</v>
      </c>
      <c r="V922" t="str">
        <f>IF(SeismicData[[#This Row],[shift]]="W","Production","Non-Production")</f>
        <v>Non-Production</v>
      </c>
      <c r="W922" t="str">
        <f>IF(SeismicData[[#This Row],[genergy]]=0,"0","10^"&amp;INT(LOG10(SeismicData[[#This Row],[genergy]])))</f>
        <v>10^3</v>
      </c>
      <c r="X922" t="str">
        <f>IF(OR(SeismicData[[#This Row],[genergy]]&lt;$AA$6,SeismicData[[#This Row],[genergy]]&gt;$AA$5),"Outlier","Normal")</f>
        <v>Normal</v>
      </c>
    </row>
    <row r="923" spans="1:24" x14ac:dyDescent="0.15">
      <c r="A923">
        <v>922</v>
      </c>
      <c r="B923" t="s">
        <v>20</v>
      </c>
      <c r="C923" t="s">
        <v>20</v>
      </c>
      <c r="D923" t="s">
        <v>21</v>
      </c>
      <c r="E923">
        <v>9430</v>
      </c>
      <c r="F923">
        <v>44</v>
      </c>
      <c r="G923">
        <v>-50</v>
      </c>
      <c r="H923">
        <v>-17</v>
      </c>
      <c r="I923" t="s">
        <v>20</v>
      </c>
      <c r="J923">
        <v>0</v>
      </c>
      <c r="K923">
        <v>0</v>
      </c>
      <c r="L923">
        <v>0</v>
      </c>
      <c r="M923">
        <v>0</v>
      </c>
      <c r="N923">
        <v>0</v>
      </c>
      <c r="O923">
        <v>0</v>
      </c>
      <c r="P923">
        <v>0</v>
      </c>
      <c r="Q923">
        <v>0</v>
      </c>
      <c r="R923">
        <v>0</v>
      </c>
      <c r="S923">
        <v>0</v>
      </c>
      <c r="T923">
        <v>0</v>
      </c>
      <c r="U923" t="str">
        <f>IF(SeismicData[[#This Row],[class]]=1,"Dangerous","Safe")</f>
        <v>Safe</v>
      </c>
      <c r="V923" t="str">
        <f>IF(SeismicData[[#This Row],[shift]]="W","Production","Non-Production")</f>
        <v>Non-Production</v>
      </c>
      <c r="W923" t="str">
        <f>IF(SeismicData[[#This Row],[genergy]]=0,"0","10^"&amp;INT(LOG10(SeismicData[[#This Row],[genergy]])))</f>
        <v>10^3</v>
      </c>
      <c r="X923" t="str">
        <f>IF(OR(SeismicData[[#This Row],[genergy]]&lt;$AA$6,SeismicData[[#This Row],[genergy]]&gt;$AA$5),"Outlier","Normal")</f>
        <v>Normal</v>
      </c>
    </row>
    <row r="924" spans="1:24" x14ac:dyDescent="0.15">
      <c r="A924">
        <v>923</v>
      </c>
      <c r="B924" t="s">
        <v>20</v>
      </c>
      <c r="C924" t="s">
        <v>20</v>
      </c>
      <c r="D924" t="s">
        <v>21</v>
      </c>
      <c r="E924">
        <v>30130</v>
      </c>
      <c r="F924">
        <v>82</v>
      </c>
      <c r="G924">
        <v>65</v>
      </c>
      <c r="H924">
        <v>57</v>
      </c>
      <c r="I924" t="s">
        <v>20</v>
      </c>
      <c r="J924">
        <v>3</v>
      </c>
      <c r="K924">
        <v>3</v>
      </c>
      <c r="L924">
        <v>0</v>
      </c>
      <c r="M924">
        <v>0</v>
      </c>
      <c r="N924">
        <v>0</v>
      </c>
      <c r="O924">
        <v>0</v>
      </c>
      <c r="P924">
        <v>0</v>
      </c>
      <c r="Q924">
        <v>0</v>
      </c>
      <c r="R924">
        <v>500</v>
      </c>
      <c r="S924">
        <v>200</v>
      </c>
      <c r="T924">
        <v>0</v>
      </c>
      <c r="U924" t="str">
        <f>IF(SeismicData[[#This Row],[class]]=1,"Dangerous","Safe")</f>
        <v>Safe</v>
      </c>
      <c r="V924" t="str">
        <f>IF(SeismicData[[#This Row],[shift]]="W","Production","Non-Production")</f>
        <v>Non-Production</v>
      </c>
      <c r="W924" t="str">
        <f>IF(SeismicData[[#This Row],[genergy]]=0,"0","10^"&amp;INT(LOG10(SeismicData[[#This Row],[genergy]])))</f>
        <v>10^4</v>
      </c>
      <c r="X924" t="str">
        <f>IF(OR(SeismicData[[#This Row],[genergy]]&lt;$AA$6,SeismicData[[#This Row],[genergy]]&gt;$AA$5),"Outlier","Normal")</f>
        <v>Normal</v>
      </c>
    </row>
    <row r="925" spans="1:24" x14ac:dyDescent="0.15">
      <c r="A925">
        <v>924</v>
      </c>
      <c r="B925" t="s">
        <v>20</v>
      </c>
      <c r="C925" t="s">
        <v>20</v>
      </c>
      <c r="D925" t="s">
        <v>21</v>
      </c>
      <c r="E925">
        <v>12880</v>
      </c>
      <c r="F925">
        <v>62</v>
      </c>
      <c r="G925">
        <v>-35</v>
      </c>
      <c r="H925">
        <v>12</v>
      </c>
      <c r="I925" t="s">
        <v>20</v>
      </c>
      <c r="J925">
        <v>0</v>
      </c>
      <c r="K925">
        <v>0</v>
      </c>
      <c r="L925">
        <v>0</v>
      </c>
      <c r="M925">
        <v>0</v>
      </c>
      <c r="N925">
        <v>0</v>
      </c>
      <c r="O925">
        <v>0</v>
      </c>
      <c r="P925">
        <v>0</v>
      </c>
      <c r="Q925">
        <v>0</v>
      </c>
      <c r="R925">
        <v>0</v>
      </c>
      <c r="S925">
        <v>0</v>
      </c>
      <c r="T925">
        <v>0</v>
      </c>
      <c r="U925" t="str">
        <f>IF(SeismicData[[#This Row],[class]]=1,"Dangerous","Safe")</f>
        <v>Safe</v>
      </c>
      <c r="V925" t="str">
        <f>IF(SeismicData[[#This Row],[shift]]="W","Production","Non-Production")</f>
        <v>Non-Production</v>
      </c>
      <c r="W925" t="str">
        <f>IF(SeismicData[[#This Row],[genergy]]=0,"0","10^"&amp;INT(LOG10(SeismicData[[#This Row],[genergy]])))</f>
        <v>10^4</v>
      </c>
      <c r="X925" t="str">
        <f>IF(OR(SeismicData[[#This Row],[genergy]]&lt;$AA$6,SeismicData[[#This Row],[genergy]]&gt;$AA$5),"Outlier","Normal")</f>
        <v>Normal</v>
      </c>
    </row>
    <row r="926" spans="1:24" x14ac:dyDescent="0.15">
      <c r="A926">
        <v>925</v>
      </c>
      <c r="B926" t="s">
        <v>20</v>
      </c>
      <c r="C926" t="s">
        <v>20</v>
      </c>
      <c r="D926" t="s">
        <v>21</v>
      </c>
      <c r="E926">
        <v>16480</v>
      </c>
      <c r="F926">
        <v>44</v>
      </c>
      <c r="G926">
        <v>-14</v>
      </c>
      <c r="H926">
        <v>-20</v>
      </c>
      <c r="I926" t="s">
        <v>20</v>
      </c>
      <c r="J926">
        <v>0</v>
      </c>
      <c r="K926">
        <v>0</v>
      </c>
      <c r="L926">
        <v>0</v>
      </c>
      <c r="M926">
        <v>0</v>
      </c>
      <c r="N926">
        <v>0</v>
      </c>
      <c r="O926">
        <v>0</v>
      </c>
      <c r="P926">
        <v>0</v>
      </c>
      <c r="Q926">
        <v>0</v>
      </c>
      <c r="R926">
        <v>0</v>
      </c>
      <c r="S926">
        <v>0</v>
      </c>
      <c r="T926">
        <v>0</v>
      </c>
      <c r="U926" t="str">
        <f>IF(SeismicData[[#This Row],[class]]=1,"Dangerous","Safe")</f>
        <v>Safe</v>
      </c>
      <c r="V926" t="str">
        <f>IF(SeismicData[[#This Row],[shift]]="W","Production","Non-Production")</f>
        <v>Non-Production</v>
      </c>
      <c r="W926" t="str">
        <f>IF(SeismicData[[#This Row],[genergy]]=0,"0","10^"&amp;INT(LOG10(SeismicData[[#This Row],[genergy]])))</f>
        <v>10^4</v>
      </c>
      <c r="X926" t="str">
        <f>IF(OR(SeismicData[[#This Row],[genergy]]&lt;$AA$6,SeismicData[[#This Row],[genergy]]&gt;$AA$5),"Outlier","Normal")</f>
        <v>Normal</v>
      </c>
    </row>
    <row r="927" spans="1:24" x14ac:dyDescent="0.15">
      <c r="A927">
        <v>926</v>
      </c>
      <c r="B927" t="s">
        <v>20</v>
      </c>
      <c r="C927" t="s">
        <v>23</v>
      </c>
      <c r="D927" t="s">
        <v>21</v>
      </c>
      <c r="E927">
        <v>19040</v>
      </c>
      <c r="F927">
        <v>50</v>
      </c>
      <c r="G927">
        <v>7</v>
      </c>
      <c r="H927">
        <v>0</v>
      </c>
      <c r="I927" t="s">
        <v>20</v>
      </c>
      <c r="J927">
        <v>0</v>
      </c>
      <c r="K927">
        <v>0</v>
      </c>
      <c r="L927">
        <v>0</v>
      </c>
      <c r="M927">
        <v>0</v>
      </c>
      <c r="N927">
        <v>0</v>
      </c>
      <c r="O927">
        <v>0</v>
      </c>
      <c r="P927">
        <v>0</v>
      </c>
      <c r="Q927">
        <v>0</v>
      </c>
      <c r="R927">
        <v>0</v>
      </c>
      <c r="S927">
        <v>0</v>
      </c>
      <c r="T927">
        <v>0</v>
      </c>
      <c r="U927" t="str">
        <f>IF(SeismicData[[#This Row],[class]]=1,"Dangerous","Safe")</f>
        <v>Safe</v>
      </c>
      <c r="V927" t="str">
        <f>IF(SeismicData[[#This Row],[shift]]="W","Production","Non-Production")</f>
        <v>Non-Production</v>
      </c>
      <c r="W927" t="str">
        <f>IF(SeismicData[[#This Row],[genergy]]=0,"0","10^"&amp;INT(LOG10(SeismicData[[#This Row],[genergy]])))</f>
        <v>10^4</v>
      </c>
      <c r="X927" t="str">
        <f>IF(OR(SeismicData[[#This Row],[genergy]]&lt;$AA$6,SeismicData[[#This Row],[genergy]]&gt;$AA$5),"Outlier","Normal")</f>
        <v>Normal</v>
      </c>
    </row>
    <row r="928" spans="1:24" x14ac:dyDescent="0.15">
      <c r="A928">
        <v>927</v>
      </c>
      <c r="B928" t="s">
        <v>20</v>
      </c>
      <c r="C928" t="s">
        <v>23</v>
      </c>
      <c r="D928" t="s">
        <v>21</v>
      </c>
      <c r="E928">
        <v>15570</v>
      </c>
      <c r="F928">
        <v>41</v>
      </c>
      <c r="G928">
        <v>-16</v>
      </c>
      <c r="H928">
        <v>-19</v>
      </c>
      <c r="I928" t="s">
        <v>20</v>
      </c>
      <c r="J928">
        <v>0</v>
      </c>
      <c r="K928">
        <v>0</v>
      </c>
      <c r="L928">
        <v>0</v>
      </c>
      <c r="M928">
        <v>0</v>
      </c>
      <c r="N928">
        <v>0</v>
      </c>
      <c r="O928">
        <v>0</v>
      </c>
      <c r="P928">
        <v>0</v>
      </c>
      <c r="Q928">
        <v>0</v>
      </c>
      <c r="R928">
        <v>0</v>
      </c>
      <c r="S928">
        <v>0</v>
      </c>
      <c r="T928">
        <v>0</v>
      </c>
      <c r="U928" t="str">
        <f>IF(SeismicData[[#This Row],[class]]=1,"Dangerous","Safe")</f>
        <v>Safe</v>
      </c>
      <c r="V928" t="str">
        <f>IF(SeismicData[[#This Row],[shift]]="W","Production","Non-Production")</f>
        <v>Non-Production</v>
      </c>
      <c r="W928" t="str">
        <f>IF(SeismicData[[#This Row],[genergy]]=0,"0","10^"&amp;INT(LOG10(SeismicData[[#This Row],[genergy]])))</f>
        <v>10^4</v>
      </c>
      <c r="X928" t="str">
        <f>IF(OR(SeismicData[[#This Row],[genergy]]&lt;$AA$6,SeismicData[[#This Row],[genergy]]&gt;$AA$5),"Outlier","Normal")</f>
        <v>Normal</v>
      </c>
    </row>
    <row r="929" spans="1:24" x14ac:dyDescent="0.15">
      <c r="A929">
        <v>928</v>
      </c>
      <c r="B929" t="s">
        <v>20</v>
      </c>
      <c r="C929" t="s">
        <v>23</v>
      </c>
      <c r="D929" t="s">
        <v>21</v>
      </c>
      <c r="E929">
        <v>20250</v>
      </c>
      <c r="F929">
        <v>45</v>
      </c>
      <c r="G929">
        <v>13</v>
      </c>
      <c r="H929">
        <v>-10</v>
      </c>
      <c r="I929" t="s">
        <v>20</v>
      </c>
      <c r="J929">
        <v>0</v>
      </c>
      <c r="K929">
        <v>0</v>
      </c>
      <c r="L929">
        <v>0</v>
      </c>
      <c r="M929">
        <v>0</v>
      </c>
      <c r="N929">
        <v>0</v>
      </c>
      <c r="O929">
        <v>0</v>
      </c>
      <c r="P929">
        <v>0</v>
      </c>
      <c r="Q929">
        <v>0</v>
      </c>
      <c r="R929">
        <v>0</v>
      </c>
      <c r="S929">
        <v>0</v>
      </c>
      <c r="T929">
        <v>0</v>
      </c>
      <c r="U929" t="str">
        <f>IF(SeismicData[[#This Row],[class]]=1,"Dangerous","Safe")</f>
        <v>Safe</v>
      </c>
      <c r="V929" t="str">
        <f>IF(SeismicData[[#This Row],[shift]]="W","Production","Non-Production")</f>
        <v>Non-Production</v>
      </c>
      <c r="W929" t="str">
        <f>IF(SeismicData[[#This Row],[genergy]]=0,"0","10^"&amp;INT(LOG10(SeismicData[[#This Row],[genergy]])))</f>
        <v>10^4</v>
      </c>
      <c r="X929" t="str">
        <f>IF(OR(SeismicData[[#This Row],[genergy]]&lt;$AA$6,SeismicData[[#This Row],[genergy]]&gt;$AA$5),"Outlier","Normal")</f>
        <v>Normal</v>
      </c>
    </row>
    <row r="930" spans="1:24" x14ac:dyDescent="0.15">
      <c r="A930">
        <v>929</v>
      </c>
      <c r="B930" t="s">
        <v>20</v>
      </c>
      <c r="C930" t="s">
        <v>23</v>
      </c>
      <c r="D930" t="s">
        <v>21</v>
      </c>
      <c r="E930">
        <v>19030</v>
      </c>
      <c r="F930">
        <v>46</v>
      </c>
      <c r="G930">
        <v>20</v>
      </c>
      <c r="H930">
        <v>0</v>
      </c>
      <c r="I930" t="s">
        <v>20</v>
      </c>
      <c r="J930">
        <v>1</v>
      </c>
      <c r="K930">
        <v>0</v>
      </c>
      <c r="L930">
        <v>1</v>
      </c>
      <c r="M930">
        <v>0</v>
      </c>
      <c r="N930">
        <v>0</v>
      </c>
      <c r="O930">
        <v>0</v>
      </c>
      <c r="P930">
        <v>0</v>
      </c>
      <c r="Q930">
        <v>0</v>
      </c>
      <c r="R930">
        <v>9000</v>
      </c>
      <c r="S930">
        <v>9000</v>
      </c>
      <c r="T930">
        <v>0</v>
      </c>
      <c r="U930" t="str">
        <f>IF(SeismicData[[#This Row],[class]]=1,"Dangerous","Safe")</f>
        <v>Safe</v>
      </c>
      <c r="V930" t="str">
        <f>IF(SeismicData[[#This Row],[shift]]="W","Production","Non-Production")</f>
        <v>Non-Production</v>
      </c>
      <c r="W930" t="str">
        <f>IF(SeismicData[[#This Row],[genergy]]=0,"0","10^"&amp;INT(LOG10(SeismicData[[#This Row],[genergy]])))</f>
        <v>10^4</v>
      </c>
      <c r="X930" t="str">
        <f>IF(OR(SeismicData[[#This Row],[genergy]]&lt;$AA$6,SeismicData[[#This Row],[genergy]]&gt;$AA$5),"Outlier","Normal")</f>
        <v>Normal</v>
      </c>
    </row>
    <row r="931" spans="1:24" x14ac:dyDescent="0.15">
      <c r="A931">
        <v>930</v>
      </c>
      <c r="B931" t="s">
        <v>20</v>
      </c>
      <c r="C931" t="s">
        <v>23</v>
      </c>
      <c r="D931" t="s">
        <v>21</v>
      </c>
      <c r="E931">
        <v>21730</v>
      </c>
      <c r="F931">
        <v>56</v>
      </c>
      <c r="G931">
        <v>37</v>
      </c>
      <c r="H931">
        <v>18</v>
      </c>
      <c r="I931" t="s">
        <v>20</v>
      </c>
      <c r="J931">
        <v>0</v>
      </c>
      <c r="K931">
        <v>0</v>
      </c>
      <c r="L931">
        <v>0</v>
      </c>
      <c r="M931">
        <v>0</v>
      </c>
      <c r="N931">
        <v>0</v>
      </c>
      <c r="O931">
        <v>0</v>
      </c>
      <c r="P931">
        <v>0</v>
      </c>
      <c r="Q931">
        <v>0</v>
      </c>
      <c r="R931">
        <v>0</v>
      </c>
      <c r="S931">
        <v>0</v>
      </c>
      <c r="T931">
        <v>0</v>
      </c>
      <c r="U931" t="str">
        <f>IF(SeismicData[[#This Row],[class]]=1,"Dangerous","Safe")</f>
        <v>Safe</v>
      </c>
      <c r="V931" t="str">
        <f>IF(SeismicData[[#This Row],[shift]]="W","Production","Non-Production")</f>
        <v>Non-Production</v>
      </c>
      <c r="W931" t="str">
        <f>IF(SeismicData[[#This Row],[genergy]]=0,"0","10^"&amp;INT(LOG10(SeismicData[[#This Row],[genergy]])))</f>
        <v>10^4</v>
      </c>
      <c r="X931" t="str">
        <f>IF(OR(SeismicData[[#This Row],[genergy]]&lt;$AA$6,SeismicData[[#This Row],[genergy]]&gt;$AA$5),"Outlier","Normal")</f>
        <v>Normal</v>
      </c>
    </row>
    <row r="932" spans="1:24" x14ac:dyDescent="0.15">
      <c r="A932">
        <v>931</v>
      </c>
      <c r="B932" t="s">
        <v>20</v>
      </c>
      <c r="C932" t="s">
        <v>23</v>
      </c>
      <c r="D932" t="s">
        <v>21</v>
      </c>
      <c r="E932">
        <v>24550</v>
      </c>
      <c r="F932">
        <v>62</v>
      </c>
      <c r="G932">
        <v>44</v>
      </c>
      <c r="H932">
        <v>23</v>
      </c>
      <c r="I932" t="s">
        <v>20</v>
      </c>
      <c r="J932">
        <v>0</v>
      </c>
      <c r="K932">
        <v>0</v>
      </c>
      <c r="L932">
        <v>0</v>
      </c>
      <c r="M932">
        <v>0</v>
      </c>
      <c r="N932">
        <v>0</v>
      </c>
      <c r="O932">
        <v>0</v>
      </c>
      <c r="P932">
        <v>0</v>
      </c>
      <c r="Q932">
        <v>0</v>
      </c>
      <c r="R932">
        <v>0</v>
      </c>
      <c r="S932">
        <v>0</v>
      </c>
      <c r="T932">
        <v>0</v>
      </c>
      <c r="U932" t="str">
        <f>IF(SeismicData[[#This Row],[class]]=1,"Dangerous","Safe")</f>
        <v>Safe</v>
      </c>
      <c r="V932" t="str">
        <f>IF(SeismicData[[#This Row],[shift]]="W","Production","Non-Production")</f>
        <v>Non-Production</v>
      </c>
      <c r="W932" t="str">
        <f>IF(SeismicData[[#This Row],[genergy]]=0,"0","10^"&amp;INT(LOG10(SeismicData[[#This Row],[genergy]])))</f>
        <v>10^4</v>
      </c>
      <c r="X932" t="str">
        <f>IF(OR(SeismicData[[#This Row],[genergy]]&lt;$AA$6,SeismicData[[#This Row],[genergy]]&gt;$AA$5),"Outlier","Normal")</f>
        <v>Normal</v>
      </c>
    </row>
    <row r="933" spans="1:24" x14ac:dyDescent="0.15">
      <c r="A933">
        <v>932</v>
      </c>
      <c r="B933" t="s">
        <v>20</v>
      </c>
      <c r="C933" t="s">
        <v>23</v>
      </c>
      <c r="D933" t="s">
        <v>21</v>
      </c>
      <c r="E933">
        <v>15300</v>
      </c>
      <c r="F933">
        <v>29</v>
      </c>
      <c r="G933">
        <v>-19</v>
      </c>
      <c r="H933">
        <v>-45</v>
      </c>
      <c r="I933" t="s">
        <v>20</v>
      </c>
      <c r="J933">
        <v>0</v>
      </c>
      <c r="K933">
        <v>0</v>
      </c>
      <c r="L933">
        <v>0</v>
      </c>
      <c r="M933">
        <v>0</v>
      </c>
      <c r="N933">
        <v>0</v>
      </c>
      <c r="O933">
        <v>0</v>
      </c>
      <c r="P933">
        <v>0</v>
      </c>
      <c r="Q933">
        <v>0</v>
      </c>
      <c r="R933">
        <v>0</v>
      </c>
      <c r="S933">
        <v>0</v>
      </c>
      <c r="T933">
        <v>0</v>
      </c>
      <c r="U933" t="str">
        <f>IF(SeismicData[[#This Row],[class]]=1,"Dangerous","Safe")</f>
        <v>Safe</v>
      </c>
      <c r="V933" t="str">
        <f>IF(SeismicData[[#This Row],[shift]]="W","Production","Non-Production")</f>
        <v>Non-Production</v>
      </c>
      <c r="W933" t="str">
        <f>IF(SeismicData[[#This Row],[genergy]]=0,"0","10^"&amp;INT(LOG10(SeismicData[[#This Row],[genergy]])))</f>
        <v>10^4</v>
      </c>
      <c r="X933" t="str">
        <f>IF(OR(SeismicData[[#This Row],[genergy]]&lt;$AA$6,SeismicData[[#This Row],[genergy]]&gt;$AA$5),"Outlier","Normal")</f>
        <v>Normal</v>
      </c>
    </row>
    <row r="934" spans="1:24" x14ac:dyDescent="0.15">
      <c r="A934">
        <v>933</v>
      </c>
      <c r="B934" t="s">
        <v>20</v>
      </c>
      <c r="C934" t="s">
        <v>23</v>
      </c>
      <c r="D934" t="s">
        <v>21</v>
      </c>
      <c r="E934">
        <v>32240</v>
      </c>
      <c r="F934">
        <v>61</v>
      </c>
      <c r="G934">
        <v>65</v>
      </c>
      <c r="H934">
        <v>18</v>
      </c>
      <c r="I934" t="s">
        <v>20</v>
      </c>
      <c r="J934">
        <v>0</v>
      </c>
      <c r="K934">
        <v>0</v>
      </c>
      <c r="L934">
        <v>0</v>
      </c>
      <c r="M934">
        <v>0</v>
      </c>
      <c r="N934">
        <v>0</v>
      </c>
      <c r="O934">
        <v>0</v>
      </c>
      <c r="P934">
        <v>0</v>
      </c>
      <c r="Q934">
        <v>0</v>
      </c>
      <c r="R934">
        <v>0</v>
      </c>
      <c r="S934">
        <v>0</v>
      </c>
      <c r="T934">
        <v>0</v>
      </c>
      <c r="U934" t="str">
        <f>IF(SeismicData[[#This Row],[class]]=1,"Dangerous","Safe")</f>
        <v>Safe</v>
      </c>
      <c r="V934" t="str">
        <f>IF(SeismicData[[#This Row],[shift]]="W","Production","Non-Production")</f>
        <v>Non-Production</v>
      </c>
      <c r="W934" t="str">
        <f>IF(SeismicData[[#This Row],[genergy]]=0,"0","10^"&amp;INT(LOG10(SeismicData[[#This Row],[genergy]])))</f>
        <v>10^4</v>
      </c>
      <c r="X934" t="str">
        <f>IF(OR(SeismicData[[#This Row],[genergy]]&lt;$AA$6,SeismicData[[#This Row],[genergy]]&gt;$AA$5),"Outlier","Normal")</f>
        <v>Normal</v>
      </c>
    </row>
    <row r="935" spans="1:24" x14ac:dyDescent="0.15">
      <c r="A935">
        <v>934</v>
      </c>
      <c r="B935" t="s">
        <v>20</v>
      </c>
      <c r="C935" t="s">
        <v>23</v>
      </c>
      <c r="D935" t="s">
        <v>21</v>
      </c>
      <c r="E935">
        <v>27490</v>
      </c>
      <c r="F935">
        <v>55</v>
      </c>
      <c r="G935">
        <v>39</v>
      </c>
      <c r="H935">
        <v>11</v>
      </c>
      <c r="I935" t="s">
        <v>20</v>
      </c>
      <c r="J935">
        <v>0</v>
      </c>
      <c r="K935">
        <v>0</v>
      </c>
      <c r="L935">
        <v>0</v>
      </c>
      <c r="M935">
        <v>0</v>
      </c>
      <c r="N935">
        <v>0</v>
      </c>
      <c r="O935">
        <v>0</v>
      </c>
      <c r="P935">
        <v>0</v>
      </c>
      <c r="Q935">
        <v>0</v>
      </c>
      <c r="R935">
        <v>0</v>
      </c>
      <c r="S935">
        <v>0</v>
      </c>
      <c r="T935">
        <v>0</v>
      </c>
      <c r="U935" t="str">
        <f>IF(SeismicData[[#This Row],[class]]=1,"Dangerous","Safe")</f>
        <v>Safe</v>
      </c>
      <c r="V935" t="str">
        <f>IF(SeismicData[[#This Row],[shift]]="W","Production","Non-Production")</f>
        <v>Non-Production</v>
      </c>
      <c r="W935" t="str">
        <f>IF(SeismicData[[#This Row],[genergy]]=0,"0","10^"&amp;INT(LOG10(SeismicData[[#This Row],[genergy]])))</f>
        <v>10^4</v>
      </c>
      <c r="X935" t="str">
        <f>IF(OR(SeismicData[[#This Row],[genergy]]&lt;$AA$6,SeismicData[[#This Row],[genergy]]&gt;$AA$5),"Outlier","Normal")</f>
        <v>Normal</v>
      </c>
    </row>
    <row r="936" spans="1:24" x14ac:dyDescent="0.15">
      <c r="A936">
        <v>935</v>
      </c>
      <c r="B936" t="s">
        <v>20</v>
      </c>
      <c r="C936" t="s">
        <v>23</v>
      </c>
      <c r="D936" t="s">
        <v>21</v>
      </c>
      <c r="E936">
        <v>48650</v>
      </c>
      <c r="F936">
        <v>73</v>
      </c>
      <c r="G936">
        <v>-51</v>
      </c>
      <c r="H936">
        <v>-51</v>
      </c>
      <c r="I936" t="s">
        <v>20</v>
      </c>
      <c r="J936">
        <v>0</v>
      </c>
      <c r="K936">
        <v>0</v>
      </c>
      <c r="L936">
        <v>0</v>
      </c>
      <c r="M936">
        <v>0</v>
      </c>
      <c r="N936">
        <v>0</v>
      </c>
      <c r="O936">
        <v>0</v>
      </c>
      <c r="P936">
        <v>0</v>
      </c>
      <c r="Q936">
        <v>0</v>
      </c>
      <c r="R936">
        <v>0</v>
      </c>
      <c r="S936">
        <v>0</v>
      </c>
      <c r="T936">
        <v>0</v>
      </c>
      <c r="U936" t="str">
        <f>IF(SeismicData[[#This Row],[class]]=1,"Dangerous","Safe")</f>
        <v>Safe</v>
      </c>
      <c r="V936" t="str">
        <f>IF(SeismicData[[#This Row],[shift]]="W","Production","Non-Production")</f>
        <v>Non-Production</v>
      </c>
      <c r="W936" t="str">
        <f>IF(SeismicData[[#This Row],[genergy]]=0,"0","10^"&amp;INT(LOG10(SeismicData[[#This Row],[genergy]])))</f>
        <v>10^4</v>
      </c>
      <c r="X936" t="str">
        <f>IF(OR(SeismicData[[#This Row],[genergy]]&lt;$AA$6,SeismicData[[#This Row],[genergy]]&gt;$AA$5),"Outlier","Normal")</f>
        <v>Normal</v>
      </c>
    </row>
    <row r="937" spans="1:24" x14ac:dyDescent="0.15">
      <c r="A937">
        <v>936</v>
      </c>
      <c r="B937" t="s">
        <v>20</v>
      </c>
      <c r="C937" t="s">
        <v>23</v>
      </c>
      <c r="D937" t="s">
        <v>21</v>
      </c>
      <c r="E937">
        <v>147400</v>
      </c>
      <c r="F937">
        <v>189</v>
      </c>
      <c r="G937">
        <v>55</v>
      </c>
      <c r="H937">
        <v>33</v>
      </c>
      <c r="I937" t="s">
        <v>20</v>
      </c>
      <c r="J937">
        <v>1</v>
      </c>
      <c r="K937">
        <v>1</v>
      </c>
      <c r="L937">
        <v>0</v>
      </c>
      <c r="M937">
        <v>0</v>
      </c>
      <c r="N937">
        <v>0</v>
      </c>
      <c r="O937">
        <v>0</v>
      </c>
      <c r="P937">
        <v>0</v>
      </c>
      <c r="Q937">
        <v>0</v>
      </c>
      <c r="R937">
        <v>700</v>
      </c>
      <c r="S937">
        <v>700</v>
      </c>
      <c r="T937">
        <v>0</v>
      </c>
      <c r="U937" t="str">
        <f>IF(SeismicData[[#This Row],[class]]=1,"Dangerous","Safe")</f>
        <v>Safe</v>
      </c>
      <c r="V937" t="str">
        <f>IF(SeismicData[[#This Row],[shift]]="W","Production","Non-Production")</f>
        <v>Non-Production</v>
      </c>
      <c r="W937" t="str">
        <f>IF(SeismicData[[#This Row],[genergy]]=0,"0","10^"&amp;INT(LOG10(SeismicData[[#This Row],[genergy]])))</f>
        <v>10^5</v>
      </c>
      <c r="X937" t="str">
        <f>IF(OR(SeismicData[[#This Row],[genergy]]&lt;$AA$6,SeismicData[[#This Row],[genergy]]&gt;$AA$5),"Outlier","Normal")</f>
        <v>Outlier</v>
      </c>
    </row>
    <row r="938" spans="1:24" x14ac:dyDescent="0.15">
      <c r="A938">
        <v>937</v>
      </c>
      <c r="B938" t="s">
        <v>20</v>
      </c>
      <c r="C938" t="s">
        <v>23</v>
      </c>
      <c r="D938" t="s">
        <v>21</v>
      </c>
      <c r="E938">
        <v>175660</v>
      </c>
      <c r="F938">
        <v>251</v>
      </c>
      <c r="G938">
        <v>76</v>
      </c>
      <c r="H938">
        <v>72</v>
      </c>
      <c r="I938" t="s">
        <v>20</v>
      </c>
      <c r="J938">
        <v>0</v>
      </c>
      <c r="K938">
        <v>0</v>
      </c>
      <c r="L938">
        <v>0</v>
      </c>
      <c r="M938">
        <v>0</v>
      </c>
      <c r="N938">
        <v>0</v>
      </c>
      <c r="O938">
        <v>0</v>
      </c>
      <c r="P938">
        <v>0</v>
      </c>
      <c r="Q938">
        <v>0</v>
      </c>
      <c r="R938">
        <v>0</v>
      </c>
      <c r="S938">
        <v>0</v>
      </c>
      <c r="T938">
        <v>0</v>
      </c>
      <c r="U938" t="str">
        <f>IF(SeismicData[[#This Row],[class]]=1,"Dangerous","Safe")</f>
        <v>Safe</v>
      </c>
      <c r="V938" t="str">
        <f>IF(SeismicData[[#This Row],[shift]]="W","Production","Non-Production")</f>
        <v>Non-Production</v>
      </c>
      <c r="W938" t="str">
        <f>IF(SeismicData[[#This Row],[genergy]]=0,"0","10^"&amp;INT(LOG10(SeismicData[[#This Row],[genergy]])))</f>
        <v>10^5</v>
      </c>
      <c r="X938" t="str">
        <f>IF(OR(SeismicData[[#This Row],[genergy]]&lt;$AA$6,SeismicData[[#This Row],[genergy]]&gt;$AA$5),"Outlier","Normal")</f>
        <v>Outlier</v>
      </c>
    </row>
    <row r="939" spans="1:24" x14ac:dyDescent="0.15">
      <c r="A939">
        <v>938</v>
      </c>
      <c r="B939" t="s">
        <v>20</v>
      </c>
      <c r="C939" t="s">
        <v>23</v>
      </c>
      <c r="D939" t="s">
        <v>21</v>
      </c>
      <c r="E939">
        <v>44730</v>
      </c>
      <c r="F939">
        <v>79</v>
      </c>
      <c r="G939">
        <v>-58</v>
      </c>
      <c r="H939">
        <v>-49</v>
      </c>
      <c r="I939" t="s">
        <v>20</v>
      </c>
      <c r="J939">
        <v>0</v>
      </c>
      <c r="K939">
        <v>0</v>
      </c>
      <c r="L939">
        <v>0</v>
      </c>
      <c r="M939">
        <v>0</v>
      </c>
      <c r="N939">
        <v>0</v>
      </c>
      <c r="O939">
        <v>0</v>
      </c>
      <c r="P939">
        <v>0</v>
      </c>
      <c r="Q939">
        <v>0</v>
      </c>
      <c r="R939">
        <v>0</v>
      </c>
      <c r="S939">
        <v>0</v>
      </c>
      <c r="T939">
        <v>0</v>
      </c>
      <c r="U939" t="str">
        <f>IF(SeismicData[[#This Row],[class]]=1,"Dangerous","Safe")</f>
        <v>Safe</v>
      </c>
      <c r="V939" t="str">
        <f>IF(SeismicData[[#This Row],[shift]]="W","Production","Non-Production")</f>
        <v>Non-Production</v>
      </c>
      <c r="W939" t="str">
        <f>IF(SeismicData[[#This Row],[genergy]]=0,"0","10^"&amp;INT(LOG10(SeismicData[[#This Row],[genergy]])))</f>
        <v>10^4</v>
      </c>
      <c r="X939" t="str">
        <f>IF(OR(SeismicData[[#This Row],[genergy]]&lt;$AA$6,SeismicData[[#This Row],[genergy]]&gt;$AA$5),"Outlier","Normal")</f>
        <v>Normal</v>
      </c>
    </row>
    <row r="940" spans="1:24" x14ac:dyDescent="0.15">
      <c r="A940">
        <v>939</v>
      </c>
      <c r="B940" t="s">
        <v>20</v>
      </c>
      <c r="C940" t="s">
        <v>20</v>
      </c>
      <c r="D940" t="s">
        <v>21</v>
      </c>
      <c r="E940">
        <v>25510</v>
      </c>
      <c r="F940">
        <v>60</v>
      </c>
      <c r="G940">
        <v>-75</v>
      </c>
      <c r="H940">
        <v>-60</v>
      </c>
      <c r="I940" t="s">
        <v>20</v>
      </c>
      <c r="J940">
        <v>0</v>
      </c>
      <c r="K940">
        <v>0</v>
      </c>
      <c r="L940">
        <v>0</v>
      </c>
      <c r="M940">
        <v>0</v>
      </c>
      <c r="N940">
        <v>0</v>
      </c>
      <c r="O940">
        <v>0</v>
      </c>
      <c r="P940">
        <v>0</v>
      </c>
      <c r="Q940">
        <v>0</v>
      </c>
      <c r="R940">
        <v>0</v>
      </c>
      <c r="S940">
        <v>0</v>
      </c>
      <c r="T940">
        <v>0</v>
      </c>
      <c r="U940" t="str">
        <f>IF(SeismicData[[#This Row],[class]]=1,"Dangerous","Safe")</f>
        <v>Safe</v>
      </c>
      <c r="V940" t="str">
        <f>IF(SeismicData[[#This Row],[shift]]="W","Production","Non-Production")</f>
        <v>Non-Production</v>
      </c>
      <c r="W940" t="str">
        <f>IF(SeismicData[[#This Row],[genergy]]=0,"0","10^"&amp;INT(LOG10(SeismicData[[#This Row],[genergy]])))</f>
        <v>10^4</v>
      </c>
      <c r="X940" t="str">
        <f>IF(OR(SeismicData[[#This Row],[genergy]]&lt;$AA$6,SeismicData[[#This Row],[genergy]]&gt;$AA$5),"Outlier","Normal")</f>
        <v>Normal</v>
      </c>
    </row>
    <row r="941" spans="1:24" x14ac:dyDescent="0.15">
      <c r="A941">
        <v>940</v>
      </c>
      <c r="B941" t="s">
        <v>20</v>
      </c>
      <c r="C941" t="s">
        <v>20</v>
      </c>
      <c r="D941" t="s">
        <v>21</v>
      </c>
      <c r="E941">
        <v>13960</v>
      </c>
      <c r="F941">
        <v>36</v>
      </c>
      <c r="G941">
        <v>-85</v>
      </c>
      <c r="H941">
        <v>-74</v>
      </c>
      <c r="I941" t="s">
        <v>20</v>
      </c>
      <c r="J941">
        <v>0</v>
      </c>
      <c r="K941">
        <v>0</v>
      </c>
      <c r="L941">
        <v>0</v>
      </c>
      <c r="M941">
        <v>0</v>
      </c>
      <c r="N941">
        <v>0</v>
      </c>
      <c r="O941">
        <v>0</v>
      </c>
      <c r="P941">
        <v>0</v>
      </c>
      <c r="Q941">
        <v>0</v>
      </c>
      <c r="R941">
        <v>0</v>
      </c>
      <c r="S941">
        <v>0</v>
      </c>
      <c r="T941">
        <v>0</v>
      </c>
      <c r="U941" t="str">
        <f>IF(SeismicData[[#This Row],[class]]=1,"Dangerous","Safe")</f>
        <v>Safe</v>
      </c>
      <c r="V941" t="str">
        <f>IF(SeismicData[[#This Row],[shift]]="W","Production","Non-Production")</f>
        <v>Non-Production</v>
      </c>
      <c r="W941" t="str">
        <f>IF(SeismicData[[#This Row],[genergy]]=0,"0","10^"&amp;INT(LOG10(SeismicData[[#This Row],[genergy]])))</f>
        <v>10^4</v>
      </c>
      <c r="X941" t="str">
        <f>IF(OR(SeismicData[[#This Row],[genergy]]&lt;$AA$6,SeismicData[[#This Row],[genergy]]&gt;$AA$5),"Outlier","Normal")</f>
        <v>Normal</v>
      </c>
    </row>
    <row r="942" spans="1:24" x14ac:dyDescent="0.15">
      <c r="A942">
        <v>941</v>
      </c>
      <c r="B942" t="s">
        <v>20</v>
      </c>
      <c r="C942" t="s">
        <v>20</v>
      </c>
      <c r="D942" t="s">
        <v>21</v>
      </c>
      <c r="E942">
        <v>4760</v>
      </c>
      <c r="F942">
        <v>35</v>
      </c>
      <c r="G942">
        <v>-94</v>
      </c>
      <c r="H942">
        <v>-73</v>
      </c>
      <c r="I942" t="s">
        <v>20</v>
      </c>
      <c r="J942">
        <v>0</v>
      </c>
      <c r="K942">
        <v>0</v>
      </c>
      <c r="L942">
        <v>0</v>
      </c>
      <c r="M942">
        <v>0</v>
      </c>
      <c r="N942">
        <v>0</v>
      </c>
      <c r="O942">
        <v>0</v>
      </c>
      <c r="P942">
        <v>0</v>
      </c>
      <c r="Q942">
        <v>0</v>
      </c>
      <c r="R942">
        <v>0</v>
      </c>
      <c r="S942">
        <v>0</v>
      </c>
      <c r="T942">
        <v>0</v>
      </c>
      <c r="U942" t="str">
        <f>IF(SeismicData[[#This Row],[class]]=1,"Dangerous","Safe")</f>
        <v>Safe</v>
      </c>
      <c r="V942" t="str">
        <f>IF(SeismicData[[#This Row],[shift]]="W","Production","Non-Production")</f>
        <v>Non-Production</v>
      </c>
      <c r="W942" t="str">
        <f>IF(SeismicData[[#This Row],[genergy]]=0,"0","10^"&amp;INT(LOG10(SeismicData[[#This Row],[genergy]])))</f>
        <v>10^3</v>
      </c>
      <c r="X942" t="str">
        <f>IF(OR(SeismicData[[#This Row],[genergy]]&lt;$AA$6,SeismicData[[#This Row],[genergy]]&gt;$AA$5),"Outlier","Normal")</f>
        <v>Normal</v>
      </c>
    </row>
    <row r="943" spans="1:24" x14ac:dyDescent="0.15">
      <c r="A943">
        <v>942</v>
      </c>
      <c r="B943" t="s">
        <v>20</v>
      </c>
      <c r="C943" t="s">
        <v>20</v>
      </c>
      <c r="D943" t="s">
        <v>21</v>
      </c>
      <c r="E943">
        <v>4790</v>
      </c>
      <c r="F943">
        <v>21</v>
      </c>
      <c r="G943">
        <v>-94</v>
      </c>
      <c r="H943">
        <v>-82</v>
      </c>
      <c r="I943" t="s">
        <v>20</v>
      </c>
      <c r="J943">
        <v>0</v>
      </c>
      <c r="K943">
        <v>0</v>
      </c>
      <c r="L943">
        <v>0</v>
      </c>
      <c r="M943">
        <v>0</v>
      </c>
      <c r="N943">
        <v>0</v>
      </c>
      <c r="O943">
        <v>0</v>
      </c>
      <c r="P943">
        <v>0</v>
      </c>
      <c r="Q943">
        <v>0</v>
      </c>
      <c r="R943">
        <v>0</v>
      </c>
      <c r="S943">
        <v>0</v>
      </c>
      <c r="T943">
        <v>0</v>
      </c>
      <c r="U943" t="str">
        <f>IF(SeismicData[[#This Row],[class]]=1,"Dangerous","Safe")</f>
        <v>Safe</v>
      </c>
      <c r="V943" t="str">
        <f>IF(SeismicData[[#This Row],[shift]]="W","Production","Non-Production")</f>
        <v>Non-Production</v>
      </c>
      <c r="W943" t="str">
        <f>IF(SeismicData[[#This Row],[genergy]]=0,"0","10^"&amp;INT(LOG10(SeismicData[[#This Row],[genergy]])))</f>
        <v>10^3</v>
      </c>
      <c r="X943" t="str">
        <f>IF(OR(SeismicData[[#This Row],[genergy]]&lt;$AA$6,SeismicData[[#This Row],[genergy]]&gt;$AA$5),"Outlier","Normal")</f>
        <v>Normal</v>
      </c>
    </row>
    <row r="944" spans="1:24" x14ac:dyDescent="0.15">
      <c r="A944">
        <v>943</v>
      </c>
      <c r="B944" t="s">
        <v>20</v>
      </c>
      <c r="C944" t="s">
        <v>20</v>
      </c>
      <c r="D944" t="s">
        <v>21</v>
      </c>
      <c r="E944">
        <v>9550</v>
      </c>
      <c r="F944">
        <v>24</v>
      </c>
      <c r="G944">
        <v>-86</v>
      </c>
      <c r="H944">
        <v>-77</v>
      </c>
      <c r="I944" t="s">
        <v>20</v>
      </c>
      <c r="J944">
        <v>0</v>
      </c>
      <c r="K944">
        <v>0</v>
      </c>
      <c r="L944">
        <v>0</v>
      </c>
      <c r="M944">
        <v>0</v>
      </c>
      <c r="N944">
        <v>0</v>
      </c>
      <c r="O944">
        <v>0</v>
      </c>
      <c r="P944">
        <v>0</v>
      </c>
      <c r="Q944">
        <v>0</v>
      </c>
      <c r="R944">
        <v>0</v>
      </c>
      <c r="S944">
        <v>0</v>
      </c>
      <c r="T944">
        <v>0</v>
      </c>
      <c r="U944" t="str">
        <f>IF(SeismicData[[#This Row],[class]]=1,"Dangerous","Safe")</f>
        <v>Safe</v>
      </c>
      <c r="V944" t="str">
        <f>IF(SeismicData[[#This Row],[shift]]="W","Production","Non-Production")</f>
        <v>Non-Production</v>
      </c>
      <c r="W944" t="str">
        <f>IF(SeismicData[[#This Row],[genergy]]=0,"0","10^"&amp;INT(LOG10(SeismicData[[#This Row],[genergy]])))</f>
        <v>10^3</v>
      </c>
      <c r="X944" t="str">
        <f>IF(OR(SeismicData[[#This Row],[genergy]]&lt;$AA$6,SeismicData[[#This Row],[genergy]]&gt;$AA$5),"Outlier","Normal")</f>
        <v>Normal</v>
      </c>
    </row>
    <row r="945" spans="1:24" x14ac:dyDescent="0.15">
      <c r="A945">
        <v>944</v>
      </c>
      <c r="B945" t="s">
        <v>20</v>
      </c>
      <c r="C945" t="s">
        <v>20</v>
      </c>
      <c r="D945" t="s">
        <v>21</v>
      </c>
      <c r="E945">
        <v>10100</v>
      </c>
      <c r="F945">
        <v>23</v>
      </c>
      <c r="G945">
        <v>-82</v>
      </c>
      <c r="H945">
        <v>-75</v>
      </c>
      <c r="I945" t="s">
        <v>20</v>
      </c>
      <c r="J945">
        <v>0</v>
      </c>
      <c r="K945">
        <v>0</v>
      </c>
      <c r="L945">
        <v>0</v>
      </c>
      <c r="M945">
        <v>0</v>
      </c>
      <c r="N945">
        <v>0</v>
      </c>
      <c r="O945">
        <v>0</v>
      </c>
      <c r="P945">
        <v>0</v>
      </c>
      <c r="Q945">
        <v>0</v>
      </c>
      <c r="R945">
        <v>0</v>
      </c>
      <c r="S945">
        <v>0</v>
      </c>
      <c r="T945">
        <v>0</v>
      </c>
      <c r="U945" t="str">
        <f>IF(SeismicData[[#This Row],[class]]=1,"Dangerous","Safe")</f>
        <v>Safe</v>
      </c>
      <c r="V945" t="str">
        <f>IF(SeismicData[[#This Row],[shift]]="W","Production","Non-Production")</f>
        <v>Non-Production</v>
      </c>
      <c r="W945" t="str">
        <f>IF(SeismicData[[#This Row],[genergy]]=0,"0","10^"&amp;INT(LOG10(SeismicData[[#This Row],[genergy]])))</f>
        <v>10^4</v>
      </c>
      <c r="X945" t="str">
        <f>IF(OR(SeismicData[[#This Row],[genergy]]&lt;$AA$6,SeismicData[[#This Row],[genergy]]&gt;$AA$5),"Outlier","Normal")</f>
        <v>Normal</v>
      </c>
    </row>
    <row r="946" spans="1:24" x14ac:dyDescent="0.15">
      <c r="A946">
        <v>945</v>
      </c>
      <c r="B946" t="s">
        <v>20</v>
      </c>
      <c r="C946" t="s">
        <v>20</v>
      </c>
      <c r="D946" t="s">
        <v>21</v>
      </c>
      <c r="E946">
        <v>11620</v>
      </c>
      <c r="F946">
        <v>23</v>
      </c>
      <c r="G946">
        <v>-76</v>
      </c>
      <c r="H946">
        <v>-71</v>
      </c>
      <c r="I946" t="s">
        <v>20</v>
      </c>
      <c r="J946">
        <v>0</v>
      </c>
      <c r="K946">
        <v>0</v>
      </c>
      <c r="L946">
        <v>0</v>
      </c>
      <c r="M946">
        <v>0</v>
      </c>
      <c r="N946">
        <v>0</v>
      </c>
      <c r="O946">
        <v>0</v>
      </c>
      <c r="P946">
        <v>0</v>
      </c>
      <c r="Q946">
        <v>0</v>
      </c>
      <c r="R946">
        <v>0</v>
      </c>
      <c r="S946">
        <v>0</v>
      </c>
      <c r="T946">
        <v>0</v>
      </c>
      <c r="U946" t="str">
        <f>IF(SeismicData[[#This Row],[class]]=1,"Dangerous","Safe")</f>
        <v>Safe</v>
      </c>
      <c r="V946" t="str">
        <f>IF(SeismicData[[#This Row],[shift]]="W","Production","Non-Production")</f>
        <v>Non-Production</v>
      </c>
      <c r="W946" t="str">
        <f>IF(SeismicData[[#This Row],[genergy]]=0,"0","10^"&amp;INT(LOG10(SeismicData[[#This Row],[genergy]])))</f>
        <v>10^4</v>
      </c>
      <c r="X946" t="str">
        <f>IF(OR(SeismicData[[#This Row],[genergy]]&lt;$AA$6,SeismicData[[#This Row],[genergy]]&gt;$AA$5),"Outlier","Normal")</f>
        <v>Normal</v>
      </c>
    </row>
    <row r="947" spans="1:24" x14ac:dyDescent="0.15">
      <c r="A947">
        <v>946</v>
      </c>
      <c r="B947" t="s">
        <v>20</v>
      </c>
      <c r="C947" t="s">
        <v>20</v>
      </c>
      <c r="D947" t="s">
        <v>21</v>
      </c>
      <c r="E947">
        <v>6910</v>
      </c>
      <c r="F947">
        <v>25</v>
      </c>
      <c r="G947">
        <v>-85</v>
      </c>
      <c r="H947">
        <v>-66</v>
      </c>
      <c r="I947" t="s">
        <v>20</v>
      </c>
      <c r="J947">
        <v>0</v>
      </c>
      <c r="K947">
        <v>0</v>
      </c>
      <c r="L947">
        <v>0</v>
      </c>
      <c r="M947">
        <v>0</v>
      </c>
      <c r="N947">
        <v>0</v>
      </c>
      <c r="O947">
        <v>0</v>
      </c>
      <c r="P947">
        <v>0</v>
      </c>
      <c r="Q947">
        <v>0</v>
      </c>
      <c r="R947">
        <v>0</v>
      </c>
      <c r="S947">
        <v>0</v>
      </c>
      <c r="T947">
        <v>0</v>
      </c>
      <c r="U947" t="str">
        <f>IF(SeismicData[[#This Row],[class]]=1,"Dangerous","Safe")</f>
        <v>Safe</v>
      </c>
      <c r="V947" t="str">
        <f>IF(SeismicData[[#This Row],[shift]]="W","Production","Non-Production")</f>
        <v>Non-Production</v>
      </c>
      <c r="W947" t="str">
        <f>IF(SeismicData[[#This Row],[genergy]]=0,"0","10^"&amp;INT(LOG10(SeismicData[[#This Row],[genergy]])))</f>
        <v>10^3</v>
      </c>
      <c r="X947" t="str">
        <f>IF(OR(SeismicData[[#This Row],[genergy]]&lt;$AA$6,SeismicData[[#This Row],[genergy]]&gt;$AA$5),"Outlier","Normal")</f>
        <v>Normal</v>
      </c>
    </row>
    <row r="948" spans="1:24" x14ac:dyDescent="0.15">
      <c r="A948">
        <v>947</v>
      </c>
      <c r="B948" t="s">
        <v>20</v>
      </c>
      <c r="C948" t="s">
        <v>20</v>
      </c>
      <c r="D948" t="s">
        <v>21</v>
      </c>
      <c r="E948">
        <v>8960</v>
      </c>
      <c r="F948">
        <v>28</v>
      </c>
      <c r="G948">
        <v>-71</v>
      </c>
      <c r="H948">
        <v>-51</v>
      </c>
      <c r="I948" t="s">
        <v>20</v>
      </c>
      <c r="J948">
        <v>0</v>
      </c>
      <c r="K948">
        <v>0</v>
      </c>
      <c r="L948">
        <v>0</v>
      </c>
      <c r="M948">
        <v>0</v>
      </c>
      <c r="N948">
        <v>0</v>
      </c>
      <c r="O948">
        <v>0</v>
      </c>
      <c r="P948">
        <v>0</v>
      </c>
      <c r="Q948">
        <v>0</v>
      </c>
      <c r="R948">
        <v>0</v>
      </c>
      <c r="S948">
        <v>0</v>
      </c>
      <c r="T948">
        <v>0</v>
      </c>
      <c r="U948" t="str">
        <f>IF(SeismicData[[#This Row],[class]]=1,"Dangerous","Safe")</f>
        <v>Safe</v>
      </c>
      <c r="V948" t="str">
        <f>IF(SeismicData[[#This Row],[shift]]="W","Production","Non-Production")</f>
        <v>Non-Production</v>
      </c>
      <c r="W948" t="str">
        <f>IF(SeismicData[[#This Row],[genergy]]=0,"0","10^"&amp;INT(LOG10(SeismicData[[#This Row],[genergy]])))</f>
        <v>10^3</v>
      </c>
      <c r="X948" t="str">
        <f>IF(OR(SeismicData[[#This Row],[genergy]]&lt;$AA$6,SeismicData[[#This Row],[genergy]]&gt;$AA$5),"Outlier","Normal")</f>
        <v>Normal</v>
      </c>
    </row>
    <row r="949" spans="1:24" x14ac:dyDescent="0.15">
      <c r="A949">
        <v>948</v>
      </c>
      <c r="B949" t="s">
        <v>20</v>
      </c>
      <c r="C949" t="s">
        <v>20</v>
      </c>
      <c r="D949" t="s">
        <v>21</v>
      </c>
      <c r="E949">
        <v>12760</v>
      </c>
      <c r="F949">
        <v>26</v>
      </c>
      <c r="G949">
        <v>-9</v>
      </c>
      <c r="H949">
        <v>-35</v>
      </c>
      <c r="I949" t="s">
        <v>20</v>
      </c>
      <c r="J949">
        <v>0</v>
      </c>
      <c r="K949">
        <v>0</v>
      </c>
      <c r="L949">
        <v>0</v>
      </c>
      <c r="M949">
        <v>0</v>
      </c>
      <c r="N949">
        <v>0</v>
      </c>
      <c r="O949">
        <v>0</v>
      </c>
      <c r="P949">
        <v>0</v>
      </c>
      <c r="Q949">
        <v>0</v>
      </c>
      <c r="R949">
        <v>0</v>
      </c>
      <c r="S949">
        <v>0</v>
      </c>
      <c r="T949">
        <v>0</v>
      </c>
      <c r="U949" t="str">
        <f>IF(SeismicData[[#This Row],[class]]=1,"Dangerous","Safe")</f>
        <v>Safe</v>
      </c>
      <c r="V949" t="str">
        <f>IF(SeismicData[[#This Row],[shift]]="W","Production","Non-Production")</f>
        <v>Non-Production</v>
      </c>
      <c r="W949" t="str">
        <f>IF(SeismicData[[#This Row],[genergy]]=0,"0","10^"&amp;INT(LOG10(SeismicData[[#This Row],[genergy]])))</f>
        <v>10^4</v>
      </c>
      <c r="X949" t="str">
        <f>IF(OR(SeismicData[[#This Row],[genergy]]&lt;$AA$6,SeismicData[[#This Row],[genergy]]&gt;$AA$5),"Outlier","Normal")</f>
        <v>Normal</v>
      </c>
    </row>
    <row r="950" spans="1:24" x14ac:dyDescent="0.15">
      <c r="A950">
        <v>949</v>
      </c>
      <c r="B950" t="s">
        <v>20</v>
      </c>
      <c r="C950" t="s">
        <v>20</v>
      </c>
      <c r="D950" t="s">
        <v>21</v>
      </c>
      <c r="E950">
        <v>12620</v>
      </c>
      <c r="F950">
        <v>37</v>
      </c>
      <c r="G950">
        <v>16</v>
      </c>
      <c r="H950">
        <v>-8</v>
      </c>
      <c r="I950" t="s">
        <v>20</v>
      </c>
      <c r="J950">
        <v>0</v>
      </c>
      <c r="K950">
        <v>0</v>
      </c>
      <c r="L950">
        <v>0</v>
      </c>
      <c r="M950">
        <v>0</v>
      </c>
      <c r="N950">
        <v>0</v>
      </c>
      <c r="O950">
        <v>0</v>
      </c>
      <c r="P950">
        <v>0</v>
      </c>
      <c r="Q950">
        <v>0</v>
      </c>
      <c r="R950">
        <v>0</v>
      </c>
      <c r="S950">
        <v>0</v>
      </c>
      <c r="T950">
        <v>0</v>
      </c>
      <c r="U950" t="str">
        <f>IF(SeismicData[[#This Row],[class]]=1,"Dangerous","Safe")</f>
        <v>Safe</v>
      </c>
      <c r="V950" t="str">
        <f>IF(SeismicData[[#This Row],[shift]]="W","Production","Non-Production")</f>
        <v>Non-Production</v>
      </c>
      <c r="W950" t="str">
        <f>IF(SeismicData[[#This Row],[genergy]]=0,"0","10^"&amp;INT(LOG10(SeismicData[[#This Row],[genergy]])))</f>
        <v>10^4</v>
      </c>
      <c r="X950" t="str">
        <f>IF(OR(SeismicData[[#This Row],[genergy]]&lt;$AA$6,SeismicData[[#This Row],[genergy]]&gt;$AA$5),"Outlier","Normal")</f>
        <v>Normal</v>
      </c>
    </row>
    <row r="951" spans="1:24" x14ac:dyDescent="0.15">
      <c r="A951">
        <v>950</v>
      </c>
      <c r="B951" t="s">
        <v>20</v>
      </c>
      <c r="C951" t="s">
        <v>20</v>
      </c>
      <c r="D951" t="s">
        <v>21</v>
      </c>
      <c r="E951">
        <v>7400</v>
      </c>
      <c r="F951">
        <v>24</v>
      </c>
      <c r="G951">
        <v>-23</v>
      </c>
      <c r="H951">
        <v>-40</v>
      </c>
      <c r="I951" t="s">
        <v>20</v>
      </c>
      <c r="J951">
        <v>0</v>
      </c>
      <c r="K951">
        <v>0</v>
      </c>
      <c r="L951">
        <v>0</v>
      </c>
      <c r="M951">
        <v>0</v>
      </c>
      <c r="N951">
        <v>0</v>
      </c>
      <c r="O951">
        <v>0</v>
      </c>
      <c r="P951">
        <v>0</v>
      </c>
      <c r="Q951">
        <v>0</v>
      </c>
      <c r="R951">
        <v>0</v>
      </c>
      <c r="S951">
        <v>0</v>
      </c>
      <c r="T951">
        <v>0</v>
      </c>
      <c r="U951" t="str">
        <f>IF(SeismicData[[#This Row],[class]]=1,"Dangerous","Safe")</f>
        <v>Safe</v>
      </c>
      <c r="V951" t="str">
        <f>IF(SeismicData[[#This Row],[shift]]="W","Production","Non-Production")</f>
        <v>Non-Production</v>
      </c>
      <c r="W951" t="str">
        <f>IF(SeismicData[[#This Row],[genergy]]=0,"0","10^"&amp;INT(LOG10(SeismicData[[#This Row],[genergy]])))</f>
        <v>10^3</v>
      </c>
      <c r="X951" t="str">
        <f>IF(OR(SeismicData[[#This Row],[genergy]]&lt;$AA$6,SeismicData[[#This Row],[genergy]]&gt;$AA$5),"Outlier","Normal")</f>
        <v>Normal</v>
      </c>
    </row>
    <row r="952" spans="1:24" x14ac:dyDescent="0.15">
      <c r="A952">
        <v>951</v>
      </c>
      <c r="B952" t="s">
        <v>20</v>
      </c>
      <c r="C952" t="s">
        <v>20</v>
      </c>
      <c r="D952" t="s">
        <v>21</v>
      </c>
      <c r="E952">
        <v>9070</v>
      </c>
      <c r="F952">
        <v>28</v>
      </c>
      <c r="G952">
        <v>1</v>
      </c>
      <c r="H952">
        <v>-30</v>
      </c>
      <c r="I952" t="s">
        <v>20</v>
      </c>
      <c r="J952">
        <v>0</v>
      </c>
      <c r="K952">
        <v>0</v>
      </c>
      <c r="L952">
        <v>0</v>
      </c>
      <c r="M952">
        <v>0</v>
      </c>
      <c r="N952">
        <v>0</v>
      </c>
      <c r="O952">
        <v>0</v>
      </c>
      <c r="P952">
        <v>0</v>
      </c>
      <c r="Q952">
        <v>0</v>
      </c>
      <c r="R952">
        <v>0</v>
      </c>
      <c r="S952">
        <v>0</v>
      </c>
      <c r="T952">
        <v>0</v>
      </c>
      <c r="U952" t="str">
        <f>IF(SeismicData[[#This Row],[class]]=1,"Dangerous","Safe")</f>
        <v>Safe</v>
      </c>
      <c r="V952" t="str">
        <f>IF(SeismicData[[#This Row],[shift]]="W","Production","Non-Production")</f>
        <v>Non-Production</v>
      </c>
      <c r="W952" t="str">
        <f>IF(SeismicData[[#This Row],[genergy]]=0,"0","10^"&amp;INT(LOG10(SeismicData[[#This Row],[genergy]])))</f>
        <v>10^3</v>
      </c>
      <c r="X952" t="str">
        <f>IF(OR(SeismicData[[#This Row],[genergy]]&lt;$AA$6,SeismicData[[#This Row],[genergy]]&gt;$AA$5),"Outlier","Normal")</f>
        <v>Normal</v>
      </c>
    </row>
    <row r="953" spans="1:24" x14ac:dyDescent="0.15">
      <c r="A953">
        <v>952</v>
      </c>
      <c r="B953" t="s">
        <v>20</v>
      </c>
      <c r="C953" t="s">
        <v>20</v>
      </c>
      <c r="D953" t="s">
        <v>21</v>
      </c>
      <c r="E953">
        <v>18250</v>
      </c>
      <c r="F953">
        <v>67</v>
      </c>
      <c r="G953">
        <v>95</v>
      </c>
      <c r="H953">
        <v>68</v>
      </c>
      <c r="I953" t="s">
        <v>20</v>
      </c>
      <c r="J953">
        <v>0</v>
      </c>
      <c r="K953">
        <v>0</v>
      </c>
      <c r="L953">
        <v>0</v>
      </c>
      <c r="M953">
        <v>0</v>
      </c>
      <c r="N953">
        <v>0</v>
      </c>
      <c r="O953">
        <v>0</v>
      </c>
      <c r="P953">
        <v>0</v>
      </c>
      <c r="Q953">
        <v>0</v>
      </c>
      <c r="R953">
        <v>0</v>
      </c>
      <c r="S953">
        <v>0</v>
      </c>
      <c r="T953">
        <v>0</v>
      </c>
      <c r="U953" t="str">
        <f>IF(SeismicData[[#This Row],[class]]=1,"Dangerous","Safe")</f>
        <v>Safe</v>
      </c>
      <c r="V953" t="str">
        <f>IF(SeismicData[[#This Row],[shift]]="W","Production","Non-Production")</f>
        <v>Non-Production</v>
      </c>
      <c r="W953" t="str">
        <f>IF(SeismicData[[#This Row],[genergy]]=0,"0","10^"&amp;INT(LOG10(SeismicData[[#This Row],[genergy]])))</f>
        <v>10^4</v>
      </c>
      <c r="X953" t="str">
        <f>IF(OR(SeismicData[[#This Row],[genergy]]&lt;$AA$6,SeismicData[[#This Row],[genergy]]&gt;$AA$5),"Outlier","Normal")</f>
        <v>Normal</v>
      </c>
    </row>
    <row r="954" spans="1:24" x14ac:dyDescent="0.15">
      <c r="A954">
        <v>953</v>
      </c>
      <c r="B954" t="s">
        <v>20</v>
      </c>
      <c r="C954" t="s">
        <v>20</v>
      </c>
      <c r="D954" t="s">
        <v>21</v>
      </c>
      <c r="E954">
        <v>11190</v>
      </c>
      <c r="F954">
        <v>27</v>
      </c>
      <c r="G954">
        <v>4</v>
      </c>
      <c r="H954">
        <v>-32</v>
      </c>
      <c r="I954" t="s">
        <v>20</v>
      </c>
      <c r="J954">
        <v>0</v>
      </c>
      <c r="K954">
        <v>0</v>
      </c>
      <c r="L954">
        <v>0</v>
      </c>
      <c r="M954">
        <v>0</v>
      </c>
      <c r="N954">
        <v>0</v>
      </c>
      <c r="O954">
        <v>0</v>
      </c>
      <c r="P954">
        <v>0</v>
      </c>
      <c r="Q954">
        <v>0</v>
      </c>
      <c r="R954">
        <v>0</v>
      </c>
      <c r="S954">
        <v>0</v>
      </c>
      <c r="T954">
        <v>0</v>
      </c>
      <c r="U954" t="str">
        <f>IF(SeismicData[[#This Row],[class]]=1,"Dangerous","Safe")</f>
        <v>Safe</v>
      </c>
      <c r="V954" t="str">
        <f>IF(SeismicData[[#This Row],[shift]]="W","Production","Non-Production")</f>
        <v>Non-Production</v>
      </c>
      <c r="W954" t="str">
        <f>IF(SeismicData[[#This Row],[genergy]]=0,"0","10^"&amp;INT(LOG10(SeismicData[[#This Row],[genergy]])))</f>
        <v>10^4</v>
      </c>
      <c r="X954" t="str">
        <f>IF(OR(SeismicData[[#This Row],[genergy]]&lt;$AA$6,SeismicData[[#This Row],[genergy]]&gt;$AA$5),"Outlier","Normal")</f>
        <v>Normal</v>
      </c>
    </row>
    <row r="955" spans="1:24" x14ac:dyDescent="0.15">
      <c r="A955">
        <v>954</v>
      </c>
      <c r="B955" t="s">
        <v>20</v>
      </c>
      <c r="C955" t="s">
        <v>23</v>
      </c>
      <c r="D955" t="s">
        <v>21</v>
      </c>
      <c r="E955">
        <v>10760</v>
      </c>
      <c r="F955">
        <v>28</v>
      </c>
      <c r="G955">
        <v>-1</v>
      </c>
      <c r="H955">
        <v>-30</v>
      </c>
      <c r="I955" t="s">
        <v>20</v>
      </c>
      <c r="J955">
        <v>0</v>
      </c>
      <c r="K955">
        <v>0</v>
      </c>
      <c r="L955">
        <v>0</v>
      </c>
      <c r="M955">
        <v>0</v>
      </c>
      <c r="N955">
        <v>0</v>
      </c>
      <c r="O955">
        <v>0</v>
      </c>
      <c r="P955">
        <v>0</v>
      </c>
      <c r="Q955">
        <v>0</v>
      </c>
      <c r="R955">
        <v>0</v>
      </c>
      <c r="S955">
        <v>0</v>
      </c>
      <c r="T955">
        <v>0</v>
      </c>
      <c r="U955" t="str">
        <f>IF(SeismicData[[#This Row],[class]]=1,"Dangerous","Safe")</f>
        <v>Safe</v>
      </c>
      <c r="V955" t="str">
        <f>IF(SeismicData[[#This Row],[shift]]="W","Production","Non-Production")</f>
        <v>Non-Production</v>
      </c>
      <c r="W955" t="str">
        <f>IF(SeismicData[[#This Row],[genergy]]=0,"0","10^"&amp;INT(LOG10(SeismicData[[#This Row],[genergy]])))</f>
        <v>10^4</v>
      </c>
      <c r="X955" t="str">
        <f>IF(OR(SeismicData[[#This Row],[genergy]]&lt;$AA$6,SeismicData[[#This Row],[genergy]]&gt;$AA$5),"Outlier","Normal")</f>
        <v>Normal</v>
      </c>
    </row>
    <row r="956" spans="1:24" x14ac:dyDescent="0.15">
      <c r="A956">
        <v>955</v>
      </c>
      <c r="B956" t="s">
        <v>20</v>
      </c>
      <c r="C956" t="s">
        <v>23</v>
      </c>
      <c r="D956" t="s">
        <v>21</v>
      </c>
      <c r="E956">
        <v>11230</v>
      </c>
      <c r="F956">
        <v>27</v>
      </c>
      <c r="G956">
        <v>2</v>
      </c>
      <c r="H956">
        <v>-32</v>
      </c>
      <c r="I956" t="s">
        <v>20</v>
      </c>
      <c r="J956">
        <v>0</v>
      </c>
      <c r="K956">
        <v>0</v>
      </c>
      <c r="L956">
        <v>0</v>
      </c>
      <c r="M956">
        <v>0</v>
      </c>
      <c r="N956">
        <v>0</v>
      </c>
      <c r="O956">
        <v>0</v>
      </c>
      <c r="P956">
        <v>0</v>
      </c>
      <c r="Q956">
        <v>0</v>
      </c>
      <c r="R956">
        <v>0</v>
      </c>
      <c r="S956">
        <v>0</v>
      </c>
      <c r="T956">
        <v>0</v>
      </c>
      <c r="U956" t="str">
        <f>IF(SeismicData[[#This Row],[class]]=1,"Dangerous","Safe")</f>
        <v>Safe</v>
      </c>
      <c r="V956" t="str">
        <f>IF(SeismicData[[#This Row],[shift]]="W","Production","Non-Production")</f>
        <v>Non-Production</v>
      </c>
      <c r="W956" t="str">
        <f>IF(SeismicData[[#This Row],[genergy]]=0,"0","10^"&amp;INT(LOG10(SeismicData[[#This Row],[genergy]])))</f>
        <v>10^4</v>
      </c>
      <c r="X956" t="str">
        <f>IF(OR(SeismicData[[#This Row],[genergy]]&lt;$AA$6,SeismicData[[#This Row],[genergy]]&gt;$AA$5),"Outlier","Normal")</f>
        <v>Normal</v>
      </c>
    </row>
    <row r="957" spans="1:24" x14ac:dyDescent="0.15">
      <c r="A957">
        <v>956</v>
      </c>
      <c r="B957" t="s">
        <v>20</v>
      </c>
      <c r="C957" t="s">
        <v>23</v>
      </c>
      <c r="D957" t="s">
        <v>21</v>
      </c>
      <c r="E957">
        <v>12430</v>
      </c>
      <c r="F957">
        <v>32</v>
      </c>
      <c r="G957">
        <v>14</v>
      </c>
      <c r="H957">
        <v>-20</v>
      </c>
      <c r="I957" t="s">
        <v>20</v>
      </c>
      <c r="J957">
        <v>0</v>
      </c>
      <c r="K957">
        <v>0</v>
      </c>
      <c r="L957">
        <v>0</v>
      </c>
      <c r="M957">
        <v>0</v>
      </c>
      <c r="N957">
        <v>0</v>
      </c>
      <c r="O957">
        <v>0</v>
      </c>
      <c r="P957">
        <v>0</v>
      </c>
      <c r="Q957">
        <v>0</v>
      </c>
      <c r="R957">
        <v>0</v>
      </c>
      <c r="S957">
        <v>0</v>
      </c>
      <c r="T957">
        <v>0</v>
      </c>
      <c r="U957" t="str">
        <f>IF(SeismicData[[#This Row],[class]]=1,"Dangerous","Safe")</f>
        <v>Safe</v>
      </c>
      <c r="V957" t="str">
        <f>IF(SeismicData[[#This Row],[shift]]="W","Production","Non-Production")</f>
        <v>Non-Production</v>
      </c>
      <c r="W957" t="str">
        <f>IF(SeismicData[[#This Row],[genergy]]=0,"0","10^"&amp;INT(LOG10(SeismicData[[#This Row],[genergy]])))</f>
        <v>10^4</v>
      </c>
      <c r="X957" t="str">
        <f>IF(OR(SeismicData[[#This Row],[genergy]]&lt;$AA$6,SeismicData[[#This Row],[genergy]]&gt;$AA$5),"Outlier","Normal")</f>
        <v>Normal</v>
      </c>
    </row>
    <row r="958" spans="1:24" x14ac:dyDescent="0.15">
      <c r="A958">
        <v>957</v>
      </c>
      <c r="B958" t="s">
        <v>20</v>
      </c>
      <c r="C958" t="s">
        <v>23</v>
      </c>
      <c r="D958" t="s">
        <v>21</v>
      </c>
      <c r="E958">
        <v>13080</v>
      </c>
      <c r="F958">
        <v>42</v>
      </c>
      <c r="G958">
        <v>14</v>
      </c>
      <c r="H958">
        <v>5</v>
      </c>
      <c r="I958" t="s">
        <v>20</v>
      </c>
      <c r="J958">
        <v>0</v>
      </c>
      <c r="K958">
        <v>0</v>
      </c>
      <c r="L958">
        <v>0</v>
      </c>
      <c r="M958">
        <v>0</v>
      </c>
      <c r="N958">
        <v>0</v>
      </c>
      <c r="O958">
        <v>0</v>
      </c>
      <c r="P958">
        <v>0</v>
      </c>
      <c r="Q958">
        <v>0</v>
      </c>
      <c r="R958">
        <v>0</v>
      </c>
      <c r="S958">
        <v>0</v>
      </c>
      <c r="T958">
        <v>0</v>
      </c>
      <c r="U958" t="str">
        <f>IF(SeismicData[[#This Row],[class]]=1,"Dangerous","Safe")</f>
        <v>Safe</v>
      </c>
      <c r="V958" t="str">
        <f>IF(SeismicData[[#This Row],[shift]]="W","Production","Non-Production")</f>
        <v>Non-Production</v>
      </c>
      <c r="W958" t="str">
        <f>IF(SeismicData[[#This Row],[genergy]]=0,"0","10^"&amp;INT(LOG10(SeismicData[[#This Row],[genergy]])))</f>
        <v>10^4</v>
      </c>
      <c r="X958" t="str">
        <f>IF(OR(SeismicData[[#This Row],[genergy]]&lt;$AA$6,SeismicData[[#This Row],[genergy]]&gt;$AA$5),"Outlier","Normal")</f>
        <v>Normal</v>
      </c>
    </row>
    <row r="959" spans="1:24" x14ac:dyDescent="0.15">
      <c r="A959">
        <v>958</v>
      </c>
      <c r="B959" t="s">
        <v>20</v>
      </c>
      <c r="C959" t="s">
        <v>23</v>
      </c>
      <c r="D959" t="s">
        <v>21</v>
      </c>
      <c r="E959">
        <v>14670</v>
      </c>
      <c r="F959">
        <v>44</v>
      </c>
      <c r="G959">
        <v>23</v>
      </c>
      <c r="H959">
        <v>10</v>
      </c>
      <c r="I959" t="s">
        <v>20</v>
      </c>
      <c r="J959">
        <v>0</v>
      </c>
      <c r="K959">
        <v>0</v>
      </c>
      <c r="L959">
        <v>0</v>
      </c>
      <c r="M959">
        <v>0</v>
      </c>
      <c r="N959">
        <v>0</v>
      </c>
      <c r="O959">
        <v>0</v>
      </c>
      <c r="P959">
        <v>0</v>
      </c>
      <c r="Q959">
        <v>0</v>
      </c>
      <c r="R959">
        <v>0</v>
      </c>
      <c r="S959">
        <v>0</v>
      </c>
      <c r="T959">
        <v>0</v>
      </c>
      <c r="U959" t="str">
        <f>IF(SeismicData[[#This Row],[class]]=1,"Dangerous","Safe")</f>
        <v>Safe</v>
      </c>
      <c r="V959" t="str">
        <f>IF(SeismicData[[#This Row],[shift]]="W","Production","Non-Production")</f>
        <v>Non-Production</v>
      </c>
      <c r="W959" t="str">
        <f>IF(SeismicData[[#This Row],[genergy]]=0,"0","10^"&amp;INT(LOG10(SeismicData[[#This Row],[genergy]])))</f>
        <v>10^4</v>
      </c>
      <c r="X959" t="str">
        <f>IF(OR(SeismicData[[#This Row],[genergy]]&lt;$AA$6,SeismicData[[#This Row],[genergy]]&gt;$AA$5),"Outlier","Normal")</f>
        <v>Normal</v>
      </c>
    </row>
    <row r="960" spans="1:24" x14ac:dyDescent="0.15">
      <c r="A960">
        <v>959</v>
      </c>
      <c r="B960" t="s">
        <v>20</v>
      </c>
      <c r="C960" t="s">
        <v>23</v>
      </c>
      <c r="D960" t="s">
        <v>21</v>
      </c>
      <c r="E960">
        <v>8110</v>
      </c>
      <c r="F960">
        <v>29</v>
      </c>
      <c r="G960">
        <v>-33</v>
      </c>
      <c r="H960">
        <v>-28</v>
      </c>
      <c r="I960" t="s">
        <v>20</v>
      </c>
      <c r="J960">
        <v>0</v>
      </c>
      <c r="K960">
        <v>0</v>
      </c>
      <c r="L960">
        <v>0</v>
      </c>
      <c r="M960">
        <v>0</v>
      </c>
      <c r="N960">
        <v>0</v>
      </c>
      <c r="O960">
        <v>0</v>
      </c>
      <c r="P960">
        <v>0</v>
      </c>
      <c r="Q960">
        <v>0</v>
      </c>
      <c r="R960">
        <v>0</v>
      </c>
      <c r="S960">
        <v>0</v>
      </c>
      <c r="T960">
        <v>0</v>
      </c>
      <c r="U960" t="str">
        <f>IF(SeismicData[[#This Row],[class]]=1,"Dangerous","Safe")</f>
        <v>Safe</v>
      </c>
      <c r="V960" t="str">
        <f>IF(SeismicData[[#This Row],[shift]]="W","Production","Non-Production")</f>
        <v>Non-Production</v>
      </c>
      <c r="W960" t="str">
        <f>IF(SeismicData[[#This Row],[genergy]]=0,"0","10^"&amp;INT(LOG10(SeismicData[[#This Row],[genergy]])))</f>
        <v>10^3</v>
      </c>
      <c r="X960" t="str">
        <f>IF(OR(SeismicData[[#This Row],[genergy]]&lt;$AA$6,SeismicData[[#This Row],[genergy]]&gt;$AA$5),"Outlier","Normal")</f>
        <v>Normal</v>
      </c>
    </row>
    <row r="961" spans="1:24" x14ac:dyDescent="0.15">
      <c r="A961">
        <v>960</v>
      </c>
      <c r="B961" t="s">
        <v>20</v>
      </c>
      <c r="C961" t="s">
        <v>23</v>
      </c>
      <c r="D961" t="s">
        <v>21</v>
      </c>
      <c r="E961">
        <v>9350</v>
      </c>
      <c r="F961">
        <v>44</v>
      </c>
      <c r="G961">
        <v>-20</v>
      </c>
      <c r="H961">
        <v>10</v>
      </c>
      <c r="I961" t="s">
        <v>20</v>
      </c>
      <c r="J961">
        <v>0</v>
      </c>
      <c r="K961">
        <v>0</v>
      </c>
      <c r="L961">
        <v>0</v>
      </c>
      <c r="M961">
        <v>0</v>
      </c>
      <c r="N961">
        <v>0</v>
      </c>
      <c r="O961">
        <v>0</v>
      </c>
      <c r="P961">
        <v>0</v>
      </c>
      <c r="Q961">
        <v>0</v>
      </c>
      <c r="R961">
        <v>0</v>
      </c>
      <c r="S961">
        <v>0</v>
      </c>
      <c r="T961">
        <v>0</v>
      </c>
      <c r="U961" t="str">
        <f>IF(SeismicData[[#This Row],[class]]=1,"Dangerous","Safe")</f>
        <v>Safe</v>
      </c>
      <c r="V961" t="str">
        <f>IF(SeismicData[[#This Row],[shift]]="W","Production","Non-Production")</f>
        <v>Non-Production</v>
      </c>
      <c r="W961" t="str">
        <f>IF(SeismicData[[#This Row],[genergy]]=0,"0","10^"&amp;INT(LOG10(SeismicData[[#This Row],[genergy]])))</f>
        <v>10^3</v>
      </c>
      <c r="X961" t="str">
        <f>IF(OR(SeismicData[[#This Row],[genergy]]&lt;$AA$6,SeismicData[[#This Row],[genergy]]&gt;$AA$5),"Outlier","Normal")</f>
        <v>Normal</v>
      </c>
    </row>
    <row r="962" spans="1:24" x14ac:dyDescent="0.15">
      <c r="A962">
        <v>961</v>
      </c>
      <c r="B962" t="s">
        <v>20</v>
      </c>
      <c r="C962" t="s">
        <v>23</v>
      </c>
      <c r="D962" t="s">
        <v>21</v>
      </c>
      <c r="E962">
        <v>11500</v>
      </c>
      <c r="F962">
        <v>30</v>
      </c>
      <c r="G962">
        <v>-3</v>
      </c>
      <c r="H962">
        <v>-25</v>
      </c>
      <c r="I962" t="s">
        <v>20</v>
      </c>
      <c r="J962">
        <v>0</v>
      </c>
      <c r="K962">
        <v>0</v>
      </c>
      <c r="L962">
        <v>0</v>
      </c>
      <c r="M962">
        <v>0</v>
      </c>
      <c r="N962">
        <v>0</v>
      </c>
      <c r="O962">
        <v>0</v>
      </c>
      <c r="P962">
        <v>0</v>
      </c>
      <c r="Q962">
        <v>0</v>
      </c>
      <c r="R962">
        <v>0</v>
      </c>
      <c r="S962">
        <v>0</v>
      </c>
      <c r="T962">
        <v>0</v>
      </c>
      <c r="U962" t="str">
        <f>IF(SeismicData[[#This Row],[class]]=1,"Dangerous","Safe")</f>
        <v>Safe</v>
      </c>
      <c r="V962" t="str">
        <f>IF(SeismicData[[#This Row],[shift]]="W","Production","Non-Production")</f>
        <v>Non-Production</v>
      </c>
      <c r="W962" t="str">
        <f>IF(SeismicData[[#This Row],[genergy]]=0,"0","10^"&amp;INT(LOG10(SeismicData[[#This Row],[genergy]])))</f>
        <v>10^4</v>
      </c>
      <c r="X962" t="str">
        <f>IF(OR(SeismicData[[#This Row],[genergy]]&lt;$AA$6,SeismicData[[#This Row],[genergy]]&gt;$AA$5),"Outlier","Normal")</f>
        <v>Normal</v>
      </c>
    </row>
    <row r="963" spans="1:24" x14ac:dyDescent="0.15">
      <c r="A963">
        <v>962</v>
      </c>
      <c r="B963" t="s">
        <v>20</v>
      </c>
      <c r="C963" t="s">
        <v>23</v>
      </c>
      <c r="D963" t="s">
        <v>21</v>
      </c>
      <c r="E963">
        <v>7990</v>
      </c>
      <c r="F963">
        <v>20</v>
      </c>
      <c r="G963">
        <v>-34</v>
      </c>
      <c r="H963">
        <v>-50</v>
      </c>
      <c r="I963" t="s">
        <v>20</v>
      </c>
      <c r="J963">
        <v>0</v>
      </c>
      <c r="K963">
        <v>0</v>
      </c>
      <c r="L963">
        <v>0</v>
      </c>
      <c r="M963">
        <v>0</v>
      </c>
      <c r="N963">
        <v>0</v>
      </c>
      <c r="O963">
        <v>0</v>
      </c>
      <c r="P963">
        <v>0</v>
      </c>
      <c r="Q963">
        <v>0</v>
      </c>
      <c r="R963">
        <v>0</v>
      </c>
      <c r="S963">
        <v>0</v>
      </c>
      <c r="T963">
        <v>0</v>
      </c>
      <c r="U963" t="str">
        <f>IF(SeismicData[[#This Row],[class]]=1,"Dangerous","Safe")</f>
        <v>Safe</v>
      </c>
      <c r="V963" t="str">
        <f>IF(SeismicData[[#This Row],[shift]]="W","Production","Non-Production")</f>
        <v>Non-Production</v>
      </c>
      <c r="W963" t="str">
        <f>IF(SeismicData[[#This Row],[genergy]]=0,"0","10^"&amp;INT(LOG10(SeismicData[[#This Row],[genergy]])))</f>
        <v>10^3</v>
      </c>
      <c r="X963" t="str">
        <f>IF(OR(SeismicData[[#This Row],[genergy]]&lt;$AA$6,SeismicData[[#This Row],[genergy]]&gt;$AA$5),"Outlier","Normal")</f>
        <v>Normal</v>
      </c>
    </row>
    <row r="964" spans="1:24" x14ac:dyDescent="0.15">
      <c r="A964">
        <v>963</v>
      </c>
      <c r="B964" t="s">
        <v>20</v>
      </c>
      <c r="C964" t="s">
        <v>20</v>
      </c>
      <c r="D964" t="s">
        <v>21</v>
      </c>
      <c r="E964">
        <v>7590</v>
      </c>
      <c r="F964">
        <v>20</v>
      </c>
      <c r="G964">
        <v>-31</v>
      </c>
      <c r="H964">
        <v>-50</v>
      </c>
      <c r="I964" t="s">
        <v>20</v>
      </c>
      <c r="J964">
        <v>0</v>
      </c>
      <c r="K964">
        <v>0</v>
      </c>
      <c r="L964">
        <v>0</v>
      </c>
      <c r="M964">
        <v>0</v>
      </c>
      <c r="N964">
        <v>0</v>
      </c>
      <c r="O964">
        <v>0</v>
      </c>
      <c r="P964">
        <v>0</v>
      </c>
      <c r="Q964">
        <v>0</v>
      </c>
      <c r="R964">
        <v>0</v>
      </c>
      <c r="S964">
        <v>0</v>
      </c>
      <c r="T964">
        <v>0</v>
      </c>
      <c r="U964" t="str">
        <f>IF(SeismicData[[#This Row],[class]]=1,"Dangerous","Safe")</f>
        <v>Safe</v>
      </c>
      <c r="V964" t="str">
        <f>IF(SeismicData[[#This Row],[shift]]="W","Production","Non-Production")</f>
        <v>Non-Production</v>
      </c>
      <c r="W964" t="str">
        <f>IF(SeismicData[[#This Row],[genergy]]=0,"0","10^"&amp;INT(LOG10(SeismicData[[#This Row],[genergy]])))</f>
        <v>10^3</v>
      </c>
      <c r="X964" t="str">
        <f>IF(OR(SeismicData[[#This Row],[genergy]]&lt;$AA$6,SeismicData[[#This Row],[genergy]]&gt;$AA$5),"Outlier","Normal")</f>
        <v>Normal</v>
      </c>
    </row>
    <row r="965" spans="1:24" x14ac:dyDescent="0.15">
      <c r="A965">
        <v>964</v>
      </c>
      <c r="B965" t="s">
        <v>20</v>
      </c>
      <c r="C965" t="s">
        <v>20</v>
      </c>
      <c r="D965" t="s">
        <v>21</v>
      </c>
      <c r="E965">
        <v>6760</v>
      </c>
      <c r="F965">
        <v>24</v>
      </c>
      <c r="G965">
        <v>-37</v>
      </c>
      <c r="H965">
        <v>-40</v>
      </c>
      <c r="I965" t="s">
        <v>20</v>
      </c>
      <c r="J965">
        <v>0</v>
      </c>
      <c r="K965">
        <v>0</v>
      </c>
      <c r="L965">
        <v>0</v>
      </c>
      <c r="M965">
        <v>0</v>
      </c>
      <c r="N965">
        <v>0</v>
      </c>
      <c r="O965">
        <v>0</v>
      </c>
      <c r="P965">
        <v>0</v>
      </c>
      <c r="Q965">
        <v>0</v>
      </c>
      <c r="R965">
        <v>0</v>
      </c>
      <c r="S965">
        <v>0</v>
      </c>
      <c r="T965">
        <v>0</v>
      </c>
      <c r="U965" t="str">
        <f>IF(SeismicData[[#This Row],[class]]=1,"Dangerous","Safe")</f>
        <v>Safe</v>
      </c>
      <c r="V965" t="str">
        <f>IF(SeismicData[[#This Row],[shift]]="W","Production","Non-Production")</f>
        <v>Non-Production</v>
      </c>
      <c r="W965" t="str">
        <f>IF(SeismicData[[#This Row],[genergy]]=0,"0","10^"&amp;INT(LOG10(SeismicData[[#This Row],[genergy]])))</f>
        <v>10^3</v>
      </c>
      <c r="X965" t="str">
        <f>IF(OR(SeismicData[[#This Row],[genergy]]&lt;$AA$6,SeismicData[[#This Row],[genergy]]&gt;$AA$5),"Outlier","Normal")</f>
        <v>Normal</v>
      </c>
    </row>
    <row r="966" spans="1:24" x14ac:dyDescent="0.15">
      <c r="A966">
        <v>965</v>
      </c>
      <c r="B966" t="s">
        <v>20</v>
      </c>
      <c r="C966" t="s">
        <v>20</v>
      </c>
      <c r="D966" t="s">
        <v>21</v>
      </c>
      <c r="E966">
        <v>6460</v>
      </c>
      <c r="F966">
        <v>27</v>
      </c>
      <c r="G966">
        <v>-37</v>
      </c>
      <c r="H966">
        <v>-32</v>
      </c>
      <c r="I966" t="s">
        <v>20</v>
      </c>
      <c r="J966">
        <v>0</v>
      </c>
      <c r="K966">
        <v>0</v>
      </c>
      <c r="L966">
        <v>0</v>
      </c>
      <c r="M966">
        <v>0</v>
      </c>
      <c r="N966">
        <v>0</v>
      </c>
      <c r="O966">
        <v>0</v>
      </c>
      <c r="P966">
        <v>0</v>
      </c>
      <c r="Q966">
        <v>0</v>
      </c>
      <c r="R966">
        <v>0</v>
      </c>
      <c r="S966">
        <v>0</v>
      </c>
      <c r="T966">
        <v>0</v>
      </c>
      <c r="U966" t="str">
        <f>IF(SeismicData[[#This Row],[class]]=1,"Dangerous","Safe")</f>
        <v>Safe</v>
      </c>
      <c r="V966" t="str">
        <f>IF(SeismicData[[#This Row],[shift]]="W","Production","Non-Production")</f>
        <v>Non-Production</v>
      </c>
      <c r="W966" t="str">
        <f>IF(SeismicData[[#This Row],[genergy]]=0,"0","10^"&amp;INT(LOG10(SeismicData[[#This Row],[genergy]])))</f>
        <v>10^3</v>
      </c>
      <c r="X966" t="str">
        <f>IF(OR(SeismicData[[#This Row],[genergy]]&lt;$AA$6,SeismicData[[#This Row],[genergy]]&gt;$AA$5),"Outlier","Normal")</f>
        <v>Normal</v>
      </c>
    </row>
    <row r="967" spans="1:24" x14ac:dyDescent="0.15">
      <c r="A967">
        <v>966</v>
      </c>
      <c r="B967" t="s">
        <v>20</v>
      </c>
      <c r="C967" t="s">
        <v>20</v>
      </c>
      <c r="D967" t="s">
        <v>21</v>
      </c>
      <c r="E967">
        <v>19260</v>
      </c>
      <c r="F967">
        <v>53</v>
      </c>
      <c r="G967">
        <v>97</v>
      </c>
      <c r="H967">
        <v>32</v>
      </c>
      <c r="I967" t="s">
        <v>20</v>
      </c>
      <c r="J967">
        <v>0</v>
      </c>
      <c r="K967">
        <v>0</v>
      </c>
      <c r="L967">
        <v>0</v>
      </c>
      <c r="M967">
        <v>0</v>
      </c>
      <c r="N967">
        <v>0</v>
      </c>
      <c r="O967">
        <v>0</v>
      </c>
      <c r="P967">
        <v>0</v>
      </c>
      <c r="Q967">
        <v>0</v>
      </c>
      <c r="R967">
        <v>0</v>
      </c>
      <c r="S967">
        <v>0</v>
      </c>
      <c r="T967">
        <v>0</v>
      </c>
      <c r="U967" t="str">
        <f>IF(SeismicData[[#This Row],[class]]=1,"Dangerous","Safe")</f>
        <v>Safe</v>
      </c>
      <c r="V967" t="str">
        <f>IF(SeismicData[[#This Row],[shift]]="W","Production","Non-Production")</f>
        <v>Non-Production</v>
      </c>
      <c r="W967" t="str">
        <f>IF(SeismicData[[#This Row],[genergy]]=0,"0","10^"&amp;INT(LOG10(SeismicData[[#This Row],[genergy]])))</f>
        <v>10^4</v>
      </c>
      <c r="X967" t="str">
        <f>IF(OR(SeismicData[[#This Row],[genergy]]&lt;$AA$6,SeismicData[[#This Row],[genergy]]&gt;$AA$5),"Outlier","Normal")</f>
        <v>Normal</v>
      </c>
    </row>
    <row r="968" spans="1:24" x14ac:dyDescent="0.15">
      <c r="A968">
        <v>967</v>
      </c>
      <c r="B968" t="s">
        <v>20</v>
      </c>
      <c r="C968" t="s">
        <v>20</v>
      </c>
      <c r="D968" t="s">
        <v>21</v>
      </c>
      <c r="E968">
        <v>14810</v>
      </c>
      <c r="F968">
        <v>45</v>
      </c>
      <c r="G968">
        <v>41</v>
      </c>
      <c r="H968">
        <v>12</v>
      </c>
      <c r="I968" t="s">
        <v>20</v>
      </c>
      <c r="J968">
        <v>0</v>
      </c>
      <c r="K968">
        <v>0</v>
      </c>
      <c r="L968">
        <v>0</v>
      </c>
      <c r="M968">
        <v>0</v>
      </c>
      <c r="N968">
        <v>0</v>
      </c>
      <c r="O968">
        <v>0</v>
      </c>
      <c r="P968">
        <v>0</v>
      </c>
      <c r="Q968">
        <v>0</v>
      </c>
      <c r="R968">
        <v>0</v>
      </c>
      <c r="S968">
        <v>0</v>
      </c>
      <c r="T968">
        <v>0</v>
      </c>
      <c r="U968" t="str">
        <f>IF(SeismicData[[#This Row],[class]]=1,"Dangerous","Safe")</f>
        <v>Safe</v>
      </c>
      <c r="V968" t="str">
        <f>IF(SeismicData[[#This Row],[shift]]="W","Production","Non-Production")</f>
        <v>Non-Production</v>
      </c>
      <c r="W968" t="str">
        <f>IF(SeismicData[[#This Row],[genergy]]=0,"0","10^"&amp;INT(LOG10(SeismicData[[#This Row],[genergy]])))</f>
        <v>10^4</v>
      </c>
      <c r="X968" t="str">
        <f>IF(OR(SeismicData[[#This Row],[genergy]]&lt;$AA$6,SeismicData[[#This Row],[genergy]]&gt;$AA$5),"Outlier","Normal")</f>
        <v>Normal</v>
      </c>
    </row>
    <row r="969" spans="1:24" x14ac:dyDescent="0.15">
      <c r="A969">
        <v>968</v>
      </c>
      <c r="B969" t="s">
        <v>20</v>
      </c>
      <c r="C969" t="s">
        <v>23</v>
      </c>
      <c r="D969" t="s">
        <v>21</v>
      </c>
      <c r="E969">
        <v>20020</v>
      </c>
      <c r="F969">
        <v>49</v>
      </c>
      <c r="G969">
        <v>88</v>
      </c>
      <c r="H969">
        <v>22</v>
      </c>
      <c r="I969" t="s">
        <v>23</v>
      </c>
      <c r="J969">
        <v>0</v>
      </c>
      <c r="K969">
        <v>0</v>
      </c>
      <c r="L969">
        <v>0</v>
      </c>
      <c r="M969">
        <v>0</v>
      </c>
      <c r="N969">
        <v>0</v>
      </c>
      <c r="O969">
        <v>0</v>
      </c>
      <c r="P969">
        <v>0</v>
      </c>
      <c r="Q969">
        <v>0</v>
      </c>
      <c r="R969">
        <v>0</v>
      </c>
      <c r="S969">
        <v>0</v>
      </c>
      <c r="T969">
        <v>0</v>
      </c>
      <c r="U969" t="str">
        <f>IF(SeismicData[[#This Row],[class]]=1,"Dangerous","Safe")</f>
        <v>Safe</v>
      </c>
      <c r="V969" t="str">
        <f>IF(SeismicData[[#This Row],[shift]]="W","Production","Non-Production")</f>
        <v>Non-Production</v>
      </c>
      <c r="W969" t="str">
        <f>IF(SeismicData[[#This Row],[genergy]]=0,"0","10^"&amp;INT(LOG10(SeismicData[[#This Row],[genergy]])))</f>
        <v>10^4</v>
      </c>
      <c r="X969" t="str">
        <f>IF(OR(SeismicData[[#This Row],[genergy]]&lt;$AA$6,SeismicData[[#This Row],[genergy]]&gt;$AA$5),"Outlier","Normal")</f>
        <v>Normal</v>
      </c>
    </row>
    <row r="970" spans="1:24" x14ac:dyDescent="0.15">
      <c r="A970">
        <v>969</v>
      </c>
      <c r="B970" t="s">
        <v>20</v>
      </c>
      <c r="C970" t="s">
        <v>23</v>
      </c>
      <c r="D970" t="s">
        <v>21</v>
      </c>
      <c r="E970">
        <v>11400</v>
      </c>
      <c r="F970">
        <v>50</v>
      </c>
      <c r="G970">
        <v>14</v>
      </c>
      <c r="H970">
        <v>0</v>
      </c>
      <c r="I970" t="s">
        <v>23</v>
      </c>
      <c r="J970">
        <v>0</v>
      </c>
      <c r="K970">
        <v>0</v>
      </c>
      <c r="L970">
        <v>0</v>
      </c>
      <c r="M970">
        <v>0</v>
      </c>
      <c r="N970">
        <v>0</v>
      </c>
      <c r="O970">
        <v>0</v>
      </c>
      <c r="P970">
        <v>0</v>
      </c>
      <c r="Q970">
        <v>0</v>
      </c>
      <c r="R970">
        <v>0</v>
      </c>
      <c r="S970">
        <v>0</v>
      </c>
      <c r="T970">
        <v>0</v>
      </c>
      <c r="U970" t="str">
        <f>IF(SeismicData[[#This Row],[class]]=1,"Dangerous","Safe")</f>
        <v>Safe</v>
      </c>
      <c r="V970" t="str">
        <f>IF(SeismicData[[#This Row],[shift]]="W","Production","Non-Production")</f>
        <v>Non-Production</v>
      </c>
      <c r="W970" t="str">
        <f>IF(SeismicData[[#This Row],[genergy]]=0,"0","10^"&amp;INT(LOG10(SeismicData[[#This Row],[genergy]])))</f>
        <v>10^4</v>
      </c>
      <c r="X970" t="str">
        <f>IF(OR(SeismicData[[#This Row],[genergy]]&lt;$AA$6,SeismicData[[#This Row],[genergy]]&gt;$AA$5),"Outlier","Normal")</f>
        <v>Normal</v>
      </c>
    </row>
    <row r="971" spans="1:24" x14ac:dyDescent="0.15">
      <c r="A971">
        <v>970</v>
      </c>
      <c r="B971" t="s">
        <v>20</v>
      </c>
      <c r="C971" t="s">
        <v>23</v>
      </c>
      <c r="D971" t="s">
        <v>21</v>
      </c>
      <c r="E971">
        <v>11500</v>
      </c>
      <c r="F971">
        <v>35</v>
      </c>
      <c r="G971">
        <v>13</v>
      </c>
      <c r="H971">
        <v>-30</v>
      </c>
      <c r="I971" t="s">
        <v>23</v>
      </c>
      <c r="J971">
        <v>0</v>
      </c>
      <c r="K971">
        <v>0</v>
      </c>
      <c r="L971">
        <v>0</v>
      </c>
      <c r="M971">
        <v>0</v>
      </c>
      <c r="N971">
        <v>0</v>
      </c>
      <c r="O971">
        <v>0</v>
      </c>
      <c r="P971">
        <v>0</v>
      </c>
      <c r="Q971">
        <v>0</v>
      </c>
      <c r="R971">
        <v>0</v>
      </c>
      <c r="S971">
        <v>0</v>
      </c>
      <c r="T971">
        <v>0</v>
      </c>
      <c r="U971" t="str">
        <f>IF(SeismicData[[#This Row],[class]]=1,"Dangerous","Safe")</f>
        <v>Safe</v>
      </c>
      <c r="V971" t="str">
        <f>IF(SeismicData[[#This Row],[shift]]="W","Production","Non-Production")</f>
        <v>Non-Production</v>
      </c>
      <c r="W971" t="str">
        <f>IF(SeismicData[[#This Row],[genergy]]=0,"0","10^"&amp;INT(LOG10(SeismicData[[#This Row],[genergy]])))</f>
        <v>10^4</v>
      </c>
      <c r="X971" t="str">
        <f>IF(OR(SeismicData[[#This Row],[genergy]]&lt;$AA$6,SeismicData[[#This Row],[genergy]]&gt;$AA$5),"Outlier","Normal")</f>
        <v>Normal</v>
      </c>
    </row>
    <row r="972" spans="1:24" x14ac:dyDescent="0.15">
      <c r="A972">
        <v>971</v>
      </c>
      <c r="B972" t="s">
        <v>20</v>
      </c>
      <c r="C972" t="s">
        <v>23</v>
      </c>
      <c r="D972" t="s">
        <v>21</v>
      </c>
      <c r="E972">
        <v>5250</v>
      </c>
      <c r="F972">
        <v>66</v>
      </c>
      <c r="G972">
        <v>-49</v>
      </c>
      <c r="H972">
        <v>36</v>
      </c>
      <c r="I972" t="s">
        <v>20</v>
      </c>
      <c r="J972">
        <v>0</v>
      </c>
      <c r="K972">
        <v>0</v>
      </c>
      <c r="L972">
        <v>0</v>
      </c>
      <c r="M972">
        <v>0</v>
      </c>
      <c r="N972">
        <v>0</v>
      </c>
      <c r="O972">
        <v>0</v>
      </c>
      <c r="P972">
        <v>0</v>
      </c>
      <c r="Q972">
        <v>0</v>
      </c>
      <c r="R972">
        <v>0</v>
      </c>
      <c r="S972">
        <v>0</v>
      </c>
      <c r="T972">
        <v>0</v>
      </c>
      <c r="U972" t="str">
        <f>IF(SeismicData[[#This Row],[class]]=1,"Dangerous","Safe")</f>
        <v>Safe</v>
      </c>
      <c r="V972" t="str">
        <f>IF(SeismicData[[#This Row],[shift]]="W","Production","Non-Production")</f>
        <v>Non-Production</v>
      </c>
      <c r="W972" t="str">
        <f>IF(SeismicData[[#This Row],[genergy]]=0,"0","10^"&amp;INT(LOG10(SeismicData[[#This Row],[genergy]])))</f>
        <v>10^3</v>
      </c>
      <c r="X972" t="str">
        <f>IF(OR(SeismicData[[#This Row],[genergy]]&lt;$AA$6,SeismicData[[#This Row],[genergy]]&gt;$AA$5),"Outlier","Normal")</f>
        <v>Normal</v>
      </c>
    </row>
    <row r="973" spans="1:24" x14ac:dyDescent="0.15">
      <c r="A973">
        <v>972</v>
      </c>
      <c r="B973" t="s">
        <v>20</v>
      </c>
      <c r="C973" t="s">
        <v>23</v>
      </c>
      <c r="D973" t="s">
        <v>21</v>
      </c>
      <c r="E973">
        <v>19420</v>
      </c>
      <c r="F973">
        <v>60</v>
      </c>
      <c r="G973">
        <v>98</v>
      </c>
      <c r="H973">
        <v>20</v>
      </c>
      <c r="I973" t="s">
        <v>20</v>
      </c>
      <c r="J973">
        <v>0</v>
      </c>
      <c r="K973">
        <v>0</v>
      </c>
      <c r="L973">
        <v>0</v>
      </c>
      <c r="M973">
        <v>0</v>
      </c>
      <c r="N973">
        <v>0</v>
      </c>
      <c r="O973">
        <v>0</v>
      </c>
      <c r="P973">
        <v>0</v>
      </c>
      <c r="Q973">
        <v>0</v>
      </c>
      <c r="R973">
        <v>0</v>
      </c>
      <c r="S973">
        <v>0</v>
      </c>
      <c r="T973">
        <v>0</v>
      </c>
      <c r="U973" t="str">
        <f>IF(SeismicData[[#This Row],[class]]=1,"Dangerous","Safe")</f>
        <v>Safe</v>
      </c>
      <c r="V973" t="str">
        <f>IF(SeismicData[[#This Row],[shift]]="W","Production","Non-Production")</f>
        <v>Non-Production</v>
      </c>
      <c r="W973" t="str">
        <f>IF(SeismicData[[#This Row],[genergy]]=0,"0","10^"&amp;INT(LOG10(SeismicData[[#This Row],[genergy]])))</f>
        <v>10^4</v>
      </c>
      <c r="X973" t="str">
        <f>IF(OR(SeismicData[[#This Row],[genergy]]&lt;$AA$6,SeismicData[[#This Row],[genergy]]&gt;$AA$5),"Outlier","Normal")</f>
        <v>Normal</v>
      </c>
    </row>
    <row r="974" spans="1:24" x14ac:dyDescent="0.15">
      <c r="A974">
        <v>973</v>
      </c>
      <c r="B974" t="s">
        <v>20</v>
      </c>
      <c r="C974" t="s">
        <v>23</v>
      </c>
      <c r="D974" t="s">
        <v>21</v>
      </c>
      <c r="E974">
        <v>5250</v>
      </c>
      <c r="F974">
        <v>66</v>
      </c>
      <c r="G974">
        <v>-49</v>
      </c>
      <c r="H974">
        <v>36</v>
      </c>
      <c r="I974" t="s">
        <v>20</v>
      </c>
      <c r="J974">
        <v>0</v>
      </c>
      <c r="K974">
        <v>0</v>
      </c>
      <c r="L974">
        <v>0</v>
      </c>
      <c r="M974">
        <v>0</v>
      </c>
      <c r="N974">
        <v>0</v>
      </c>
      <c r="O974">
        <v>0</v>
      </c>
      <c r="P974">
        <v>0</v>
      </c>
      <c r="Q974">
        <v>0</v>
      </c>
      <c r="R974">
        <v>0</v>
      </c>
      <c r="S974">
        <v>0</v>
      </c>
      <c r="T974">
        <v>0</v>
      </c>
      <c r="U974" t="str">
        <f>IF(SeismicData[[#This Row],[class]]=1,"Dangerous","Safe")</f>
        <v>Safe</v>
      </c>
      <c r="V974" t="str">
        <f>IF(SeismicData[[#This Row],[shift]]="W","Production","Non-Production")</f>
        <v>Non-Production</v>
      </c>
      <c r="W974" t="str">
        <f>IF(SeismicData[[#This Row],[genergy]]=0,"0","10^"&amp;INT(LOG10(SeismicData[[#This Row],[genergy]])))</f>
        <v>10^3</v>
      </c>
      <c r="X974" t="str">
        <f>IF(OR(SeismicData[[#This Row],[genergy]]&lt;$AA$6,SeismicData[[#This Row],[genergy]]&gt;$AA$5),"Outlier","Normal")</f>
        <v>Normal</v>
      </c>
    </row>
    <row r="975" spans="1:24" x14ac:dyDescent="0.15">
      <c r="A975">
        <v>974</v>
      </c>
      <c r="B975" t="s">
        <v>20</v>
      </c>
      <c r="C975" t="s">
        <v>23</v>
      </c>
      <c r="D975" t="s">
        <v>21</v>
      </c>
      <c r="E975">
        <v>19420</v>
      </c>
      <c r="F975">
        <v>60</v>
      </c>
      <c r="G975">
        <v>98</v>
      </c>
      <c r="H975">
        <v>20</v>
      </c>
      <c r="I975" t="s">
        <v>20</v>
      </c>
      <c r="J975">
        <v>0</v>
      </c>
      <c r="K975">
        <v>0</v>
      </c>
      <c r="L975">
        <v>0</v>
      </c>
      <c r="M975">
        <v>0</v>
      </c>
      <c r="N975">
        <v>0</v>
      </c>
      <c r="O975">
        <v>0</v>
      </c>
      <c r="P975">
        <v>0</v>
      </c>
      <c r="Q975">
        <v>0</v>
      </c>
      <c r="R975">
        <v>0</v>
      </c>
      <c r="S975">
        <v>0</v>
      </c>
      <c r="T975">
        <v>0</v>
      </c>
      <c r="U975" t="str">
        <f>IF(SeismicData[[#This Row],[class]]=1,"Dangerous","Safe")</f>
        <v>Safe</v>
      </c>
      <c r="V975" t="str">
        <f>IF(SeismicData[[#This Row],[shift]]="W","Production","Non-Production")</f>
        <v>Non-Production</v>
      </c>
      <c r="W975" t="str">
        <f>IF(SeismicData[[#This Row],[genergy]]=0,"0","10^"&amp;INT(LOG10(SeismicData[[#This Row],[genergy]])))</f>
        <v>10^4</v>
      </c>
      <c r="X975" t="str">
        <f>IF(OR(SeismicData[[#This Row],[genergy]]&lt;$AA$6,SeismicData[[#This Row],[genergy]]&gt;$AA$5),"Outlier","Normal")</f>
        <v>Normal</v>
      </c>
    </row>
    <row r="976" spans="1:24" x14ac:dyDescent="0.15">
      <c r="A976">
        <v>975</v>
      </c>
      <c r="B976" t="s">
        <v>20</v>
      </c>
      <c r="C976" t="s">
        <v>23</v>
      </c>
      <c r="D976" t="s">
        <v>21</v>
      </c>
      <c r="E976">
        <v>20060</v>
      </c>
      <c r="F976">
        <v>57</v>
      </c>
      <c r="G976">
        <v>87</v>
      </c>
      <c r="H976">
        <v>12</v>
      </c>
      <c r="I976" t="s">
        <v>20</v>
      </c>
      <c r="J976">
        <v>0</v>
      </c>
      <c r="K976">
        <v>0</v>
      </c>
      <c r="L976">
        <v>0</v>
      </c>
      <c r="M976">
        <v>0</v>
      </c>
      <c r="N976">
        <v>0</v>
      </c>
      <c r="O976">
        <v>0</v>
      </c>
      <c r="P976">
        <v>0</v>
      </c>
      <c r="Q976">
        <v>0</v>
      </c>
      <c r="R976">
        <v>0</v>
      </c>
      <c r="S976">
        <v>0</v>
      </c>
      <c r="T976">
        <v>0</v>
      </c>
      <c r="U976" t="str">
        <f>IF(SeismicData[[#This Row],[class]]=1,"Dangerous","Safe")</f>
        <v>Safe</v>
      </c>
      <c r="V976" t="str">
        <f>IF(SeismicData[[#This Row],[shift]]="W","Production","Non-Production")</f>
        <v>Non-Production</v>
      </c>
      <c r="W976" t="str">
        <f>IF(SeismicData[[#This Row],[genergy]]=0,"0","10^"&amp;INT(LOG10(SeismicData[[#This Row],[genergy]])))</f>
        <v>10^4</v>
      </c>
      <c r="X976" t="str">
        <f>IF(OR(SeismicData[[#This Row],[genergy]]&lt;$AA$6,SeismicData[[#This Row],[genergy]]&gt;$AA$5),"Outlier","Normal")</f>
        <v>Normal</v>
      </c>
    </row>
    <row r="977" spans="1:24" x14ac:dyDescent="0.15">
      <c r="A977">
        <v>976</v>
      </c>
      <c r="B977" t="s">
        <v>20</v>
      </c>
      <c r="C977" t="s">
        <v>23</v>
      </c>
      <c r="D977" t="s">
        <v>21</v>
      </c>
      <c r="E977">
        <v>7970</v>
      </c>
      <c r="F977">
        <v>44</v>
      </c>
      <c r="G977">
        <v>-32</v>
      </c>
      <c r="H977">
        <v>-15</v>
      </c>
      <c r="I977" t="s">
        <v>20</v>
      </c>
      <c r="J977">
        <v>0</v>
      </c>
      <c r="K977">
        <v>0</v>
      </c>
      <c r="L977">
        <v>0</v>
      </c>
      <c r="M977">
        <v>0</v>
      </c>
      <c r="N977">
        <v>0</v>
      </c>
      <c r="O977">
        <v>0</v>
      </c>
      <c r="P977">
        <v>0</v>
      </c>
      <c r="Q977">
        <v>0</v>
      </c>
      <c r="R977">
        <v>0</v>
      </c>
      <c r="S977">
        <v>0</v>
      </c>
      <c r="T977">
        <v>0</v>
      </c>
      <c r="U977" t="str">
        <f>IF(SeismicData[[#This Row],[class]]=1,"Dangerous","Safe")</f>
        <v>Safe</v>
      </c>
      <c r="V977" t="str">
        <f>IF(SeismicData[[#This Row],[shift]]="W","Production","Non-Production")</f>
        <v>Non-Production</v>
      </c>
      <c r="W977" t="str">
        <f>IF(SeismicData[[#This Row],[genergy]]=0,"0","10^"&amp;INT(LOG10(SeismicData[[#This Row],[genergy]])))</f>
        <v>10^3</v>
      </c>
      <c r="X977" t="str">
        <f>IF(OR(SeismicData[[#This Row],[genergy]]&lt;$AA$6,SeismicData[[#This Row],[genergy]]&gt;$AA$5),"Outlier","Normal")</f>
        <v>Normal</v>
      </c>
    </row>
    <row r="978" spans="1:24" x14ac:dyDescent="0.15">
      <c r="A978">
        <v>977</v>
      </c>
      <c r="B978" t="s">
        <v>20</v>
      </c>
      <c r="C978" t="s">
        <v>20</v>
      </c>
      <c r="D978" t="s">
        <v>21</v>
      </c>
      <c r="E978">
        <v>10330</v>
      </c>
      <c r="F978">
        <v>35</v>
      </c>
      <c r="G978">
        <v>-11</v>
      </c>
      <c r="H978">
        <v>-32</v>
      </c>
      <c r="I978" t="s">
        <v>20</v>
      </c>
      <c r="J978">
        <v>0</v>
      </c>
      <c r="K978">
        <v>0</v>
      </c>
      <c r="L978">
        <v>0</v>
      </c>
      <c r="M978">
        <v>0</v>
      </c>
      <c r="N978">
        <v>0</v>
      </c>
      <c r="O978">
        <v>0</v>
      </c>
      <c r="P978">
        <v>0</v>
      </c>
      <c r="Q978">
        <v>0</v>
      </c>
      <c r="R978">
        <v>0</v>
      </c>
      <c r="S978">
        <v>0</v>
      </c>
      <c r="T978">
        <v>0</v>
      </c>
      <c r="U978" t="str">
        <f>IF(SeismicData[[#This Row],[class]]=1,"Dangerous","Safe")</f>
        <v>Safe</v>
      </c>
      <c r="V978" t="str">
        <f>IF(SeismicData[[#This Row],[shift]]="W","Production","Non-Production")</f>
        <v>Non-Production</v>
      </c>
      <c r="W978" t="str">
        <f>IF(SeismicData[[#This Row],[genergy]]=0,"0","10^"&amp;INT(LOG10(SeismicData[[#This Row],[genergy]])))</f>
        <v>10^4</v>
      </c>
      <c r="X978" t="str">
        <f>IF(OR(SeismicData[[#This Row],[genergy]]&lt;$AA$6,SeismicData[[#This Row],[genergy]]&gt;$AA$5),"Outlier","Normal")</f>
        <v>Normal</v>
      </c>
    </row>
    <row r="979" spans="1:24" x14ac:dyDescent="0.15">
      <c r="A979">
        <v>978</v>
      </c>
      <c r="B979" t="s">
        <v>20</v>
      </c>
      <c r="C979" t="s">
        <v>20</v>
      </c>
      <c r="D979" t="s">
        <v>21</v>
      </c>
      <c r="E979">
        <v>18600</v>
      </c>
      <c r="F979">
        <v>29</v>
      </c>
      <c r="G979">
        <v>60</v>
      </c>
      <c r="H979">
        <v>-42</v>
      </c>
      <c r="I979" t="s">
        <v>20</v>
      </c>
      <c r="J979">
        <v>0</v>
      </c>
      <c r="K979">
        <v>0</v>
      </c>
      <c r="L979">
        <v>0</v>
      </c>
      <c r="M979">
        <v>0</v>
      </c>
      <c r="N979">
        <v>0</v>
      </c>
      <c r="O979">
        <v>0</v>
      </c>
      <c r="P979">
        <v>0</v>
      </c>
      <c r="Q979">
        <v>0</v>
      </c>
      <c r="R979">
        <v>0</v>
      </c>
      <c r="S979">
        <v>0</v>
      </c>
      <c r="T979">
        <v>0</v>
      </c>
      <c r="U979" t="str">
        <f>IF(SeismicData[[#This Row],[class]]=1,"Dangerous","Safe")</f>
        <v>Safe</v>
      </c>
      <c r="V979" t="str">
        <f>IF(SeismicData[[#This Row],[shift]]="W","Production","Non-Production")</f>
        <v>Non-Production</v>
      </c>
      <c r="W979" t="str">
        <f>IF(SeismicData[[#This Row],[genergy]]=0,"0","10^"&amp;INT(LOG10(SeismicData[[#This Row],[genergy]])))</f>
        <v>10^4</v>
      </c>
      <c r="X979" t="str">
        <f>IF(OR(SeismicData[[#This Row],[genergy]]&lt;$AA$6,SeismicData[[#This Row],[genergy]]&gt;$AA$5),"Outlier","Normal")</f>
        <v>Normal</v>
      </c>
    </row>
    <row r="980" spans="1:24" x14ac:dyDescent="0.15">
      <c r="A980">
        <v>979</v>
      </c>
      <c r="B980" t="s">
        <v>20</v>
      </c>
      <c r="C980" t="s">
        <v>20</v>
      </c>
      <c r="D980" t="s">
        <v>21</v>
      </c>
      <c r="E980">
        <v>4120</v>
      </c>
      <c r="F980">
        <v>23</v>
      </c>
      <c r="G980">
        <v>-67</v>
      </c>
      <c r="H980">
        <v>-52</v>
      </c>
      <c r="I980" t="s">
        <v>20</v>
      </c>
      <c r="J980">
        <v>0</v>
      </c>
      <c r="K980">
        <v>0</v>
      </c>
      <c r="L980">
        <v>0</v>
      </c>
      <c r="M980">
        <v>0</v>
      </c>
      <c r="N980">
        <v>0</v>
      </c>
      <c r="O980">
        <v>0</v>
      </c>
      <c r="P980">
        <v>0</v>
      </c>
      <c r="Q980">
        <v>0</v>
      </c>
      <c r="R980">
        <v>0</v>
      </c>
      <c r="S980">
        <v>0</v>
      </c>
      <c r="T980">
        <v>0</v>
      </c>
      <c r="U980" t="str">
        <f>IF(SeismicData[[#This Row],[class]]=1,"Dangerous","Safe")</f>
        <v>Safe</v>
      </c>
      <c r="V980" t="str">
        <f>IF(SeismicData[[#This Row],[shift]]="W","Production","Non-Production")</f>
        <v>Non-Production</v>
      </c>
      <c r="W980" t="str">
        <f>IF(SeismicData[[#This Row],[genergy]]=0,"0","10^"&amp;INT(LOG10(SeismicData[[#This Row],[genergy]])))</f>
        <v>10^3</v>
      </c>
      <c r="X980" t="str">
        <f>IF(OR(SeismicData[[#This Row],[genergy]]&lt;$AA$6,SeismicData[[#This Row],[genergy]]&gt;$AA$5),"Outlier","Normal")</f>
        <v>Normal</v>
      </c>
    </row>
    <row r="981" spans="1:24" x14ac:dyDescent="0.15">
      <c r="A981">
        <v>980</v>
      </c>
      <c r="B981" t="s">
        <v>20</v>
      </c>
      <c r="C981" t="s">
        <v>20</v>
      </c>
      <c r="D981" t="s">
        <v>21</v>
      </c>
      <c r="E981">
        <v>6790</v>
      </c>
      <c r="F981">
        <v>17</v>
      </c>
      <c r="G981">
        <v>-43</v>
      </c>
      <c r="H981">
        <v>-62</v>
      </c>
      <c r="I981" t="s">
        <v>20</v>
      </c>
      <c r="J981">
        <v>0</v>
      </c>
      <c r="K981">
        <v>0</v>
      </c>
      <c r="L981">
        <v>0</v>
      </c>
      <c r="M981">
        <v>0</v>
      </c>
      <c r="N981">
        <v>0</v>
      </c>
      <c r="O981">
        <v>0</v>
      </c>
      <c r="P981">
        <v>0</v>
      </c>
      <c r="Q981">
        <v>0</v>
      </c>
      <c r="R981">
        <v>0</v>
      </c>
      <c r="S981">
        <v>0</v>
      </c>
      <c r="T981">
        <v>0</v>
      </c>
      <c r="U981" t="str">
        <f>IF(SeismicData[[#This Row],[class]]=1,"Dangerous","Safe")</f>
        <v>Safe</v>
      </c>
      <c r="V981" t="str">
        <f>IF(SeismicData[[#This Row],[shift]]="W","Production","Non-Production")</f>
        <v>Non-Production</v>
      </c>
      <c r="W981" t="str">
        <f>IF(SeismicData[[#This Row],[genergy]]=0,"0","10^"&amp;INT(LOG10(SeismicData[[#This Row],[genergy]])))</f>
        <v>10^3</v>
      </c>
      <c r="X981" t="str">
        <f>IF(OR(SeismicData[[#This Row],[genergy]]&lt;$AA$6,SeismicData[[#This Row],[genergy]]&gt;$AA$5),"Outlier","Normal")</f>
        <v>Normal</v>
      </c>
    </row>
    <row r="982" spans="1:24" x14ac:dyDescent="0.15">
      <c r="A982">
        <v>981</v>
      </c>
      <c r="B982" t="s">
        <v>20</v>
      </c>
      <c r="C982" t="s">
        <v>20</v>
      </c>
      <c r="D982" t="s">
        <v>21</v>
      </c>
      <c r="E982">
        <v>4910</v>
      </c>
      <c r="F982">
        <v>25</v>
      </c>
      <c r="G982">
        <v>-58</v>
      </c>
      <c r="H982">
        <v>-40</v>
      </c>
      <c r="I982" t="s">
        <v>20</v>
      </c>
      <c r="J982">
        <v>0</v>
      </c>
      <c r="K982">
        <v>0</v>
      </c>
      <c r="L982">
        <v>0</v>
      </c>
      <c r="M982">
        <v>0</v>
      </c>
      <c r="N982">
        <v>0</v>
      </c>
      <c r="O982">
        <v>0</v>
      </c>
      <c r="P982">
        <v>0</v>
      </c>
      <c r="Q982">
        <v>0</v>
      </c>
      <c r="R982">
        <v>0</v>
      </c>
      <c r="S982">
        <v>0</v>
      </c>
      <c r="T982">
        <v>0</v>
      </c>
      <c r="U982" t="str">
        <f>IF(SeismicData[[#This Row],[class]]=1,"Dangerous","Safe")</f>
        <v>Safe</v>
      </c>
      <c r="V982" t="str">
        <f>IF(SeismicData[[#This Row],[shift]]="W","Production","Non-Production")</f>
        <v>Non-Production</v>
      </c>
      <c r="W982" t="str">
        <f>IF(SeismicData[[#This Row],[genergy]]=0,"0","10^"&amp;INT(LOG10(SeismicData[[#This Row],[genergy]])))</f>
        <v>10^3</v>
      </c>
      <c r="X982" t="str">
        <f>IF(OR(SeismicData[[#This Row],[genergy]]&lt;$AA$6,SeismicData[[#This Row],[genergy]]&gt;$AA$5),"Outlier","Normal")</f>
        <v>Normal</v>
      </c>
    </row>
    <row r="983" spans="1:24" x14ac:dyDescent="0.15">
      <c r="A983">
        <v>982</v>
      </c>
      <c r="B983" t="s">
        <v>20</v>
      </c>
      <c r="C983" t="s">
        <v>20</v>
      </c>
      <c r="D983" t="s">
        <v>21</v>
      </c>
      <c r="E983">
        <v>16410</v>
      </c>
      <c r="F983">
        <v>32</v>
      </c>
      <c r="G983">
        <v>51</v>
      </c>
      <c r="H983">
        <v>-20</v>
      </c>
      <c r="I983" t="s">
        <v>20</v>
      </c>
      <c r="J983">
        <v>0</v>
      </c>
      <c r="K983">
        <v>0</v>
      </c>
      <c r="L983">
        <v>0</v>
      </c>
      <c r="M983">
        <v>0</v>
      </c>
      <c r="N983">
        <v>0</v>
      </c>
      <c r="O983">
        <v>0</v>
      </c>
      <c r="P983">
        <v>0</v>
      </c>
      <c r="Q983">
        <v>0</v>
      </c>
      <c r="R983">
        <v>0</v>
      </c>
      <c r="S983">
        <v>0</v>
      </c>
      <c r="T983">
        <v>0</v>
      </c>
      <c r="U983" t="str">
        <f>IF(SeismicData[[#This Row],[class]]=1,"Dangerous","Safe")</f>
        <v>Safe</v>
      </c>
      <c r="V983" t="str">
        <f>IF(SeismicData[[#This Row],[shift]]="W","Production","Non-Production")</f>
        <v>Non-Production</v>
      </c>
      <c r="W983" t="str">
        <f>IF(SeismicData[[#This Row],[genergy]]=0,"0","10^"&amp;INT(LOG10(SeismicData[[#This Row],[genergy]])))</f>
        <v>10^4</v>
      </c>
      <c r="X983" t="str">
        <f>IF(OR(SeismicData[[#This Row],[genergy]]&lt;$AA$6,SeismicData[[#This Row],[genergy]]&gt;$AA$5),"Outlier","Normal")</f>
        <v>Normal</v>
      </c>
    </row>
    <row r="984" spans="1:24" x14ac:dyDescent="0.15">
      <c r="A984">
        <v>983</v>
      </c>
      <c r="B984" t="s">
        <v>20</v>
      </c>
      <c r="C984" t="s">
        <v>20</v>
      </c>
      <c r="D984" t="s">
        <v>21</v>
      </c>
      <c r="E984">
        <v>8280</v>
      </c>
      <c r="F984">
        <v>30</v>
      </c>
      <c r="G984">
        <v>-27</v>
      </c>
      <c r="H984">
        <v>-25</v>
      </c>
      <c r="I984" t="s">
        <v>20</v>
      </c>
      <c r="J984">
        <v>0</v>
      </c>
      <c r="K984">
        <v>0</v>
      </c>
      <c r="L984">
        <v>0</v>
      </c>
      <c r="M984">
        <v>0</v>
      </c>
      <c r="N984">
        <v>0</v>
      </c>
      <c r="O984">
        <v>0</v>
      </c>
      <c r="P984">
        <v>0</v>
      </c>
      <c r="Q984">
        <v>0</v>
      </c>
      <c r="R984">
        <v>0</v>
      </c>
      <c r="S984">
        <v>0</v>
      </c>
      <c r="T984">
        <v>0</v>
      </c>
      <c r="U984" t="str">
        <f>IF(SeismicData[[#This Row],[class]]=1,"Dangerous","Safe")</f>
        <v>Safe</v>
      </c>
      <c r="V984" t="str">
        <f>IF(SeismicData[[#This Row],[shift]]="W","Production","Non-Production")</f>
        <v>Non-Production</v>
      </c>
      <c r="W984" t="str">
        <f>IF(SeismicData[[#This Row],[genergy]]=0,"0","10^"&amp;INT(LOG10(SeismicData[[#This Row],[genergy]])))</f>
        <v>10^3</v>
      </c>
      <c r="X984" t="str">
        <f>IF(OR(SeismicData[[#This Row],[genergy]]&lt;$AA$6,SeismicData[[#This Row],[genergy]]&gt;$AA$5),"Outlier","Normal")</f>
        <v>Normal</v>
      </c>
    </row>
    <row r="985" spans="1:24" x14ac:dyDescent="0.15">
      <c r="A985">
        <v>984</v>
      </c>
      <c r="B985" t="s">
        <v>20</v>
      </c>
      <c r="C985" t="s">
        <v>20</v>
      </c>
      <c r="D985" t="s">
        <v>21</v>
      </c>
      <c r="E985">
        <v>3610</v>
      </c>
      <c r="F985">
        <v>16</v>
      </c>
      <c r="G985">
        <v>-69</v>
      </c>
      <c r="H985">
        <v>-60</v>
      </c>
      <c r="I985" t="s">
        <v>20</v>
      </c>
      <c r="J985">
        <v>0</v>
      </c>
      <c r="K985">
        <v>0</v>
      </c>
      <c r="L985">
        <v>0</v>
      </c>
      <c r="M985">
        <v>0</v>
      </c>
      <c r="N985">
        <v>0</v>
      </c>
      <c r="O985">
        <v>0</v>
      </c>
      <c r="P985">
        <v>0</v>
      </c>
      <c r="Q985">
        <v>0</v>
      </c>
      <c r="R985">
        <v>0</v>
      </c>
      <c r="S985">
        <v>0</v>
      </c>
      <c r="T985">
        <v>0</v>
      </c>
      <c r="U985" t="str">
        <f>IF(SeismicData[[#This Row],[class]]=1,"Dangerous","Safe")</f>
        <v>Safe</v>
      </c>
      <c r="V985" t="str">
        <f>IF(SeismicData[[#This Row],[shift]]="W","Production","Non-Production")</f>
        <v>Non-Production</v>
      </c>
      <c r="W985" t="str">
        <f>IF(SeismicData[[#This Row],[genergy]]=0,"0","10^"&amp;INT(LOG10(SeismicData[[#This Row],[genergy]])))</f>
        <v>10^3</v>
      </c>
      <c r="X985" t="str">
        <f>IF(OR(SeismicData[[#This Row],[genergy]]&lt;$AA$6,SeismicData[[#This Row],[genergy]]&gt;$AA$5),"Outlier","Normal")</f>
        <v>Normal</v>
      </c>
    </row>
    <row r="986" spans="1:24" x14ac:dyDescent="0.15">
      <c r="A986">
        <v>985</v>
      </c>
      <c r="B986" t="s">
        <v>20</v>
      </c>
      <c r="C986" t="s">
        <v>20</v>
      </c>
      <c r="D986" t="s">
        <v>21</v>
      </c>
      <c r="E986">
        <v>3410</v>
      </c>
      <c r="F986">
        <v>16</v>
      </c>
      <c r="G986">
        <v>-66</v>
      </c>
      <c r="H986">
        <v>-60</v>
      </c>
      <c r="I986" t="s">
        <v>20</v>
      </c>
      <c r="J986">
        <v>0</v>
      </c>
      <c r="K986">
        <v>0</v>
      </c>
      <c r="L986">
        <v>0</v>
      </c>
      <c r="M986">
        <v>0</v>
      </c>
      <c r="N986">
        <v>0</v>
      </c>
      <c r="O986">
        <v>0</v>
      </c>
      <c r="P986">
        <v>0</v>
      </c>
      <c r="Q986">
        <v>0</v>
      </c>
      <c r="R986">
        <v>0</v>
      </c>
      <c r="S986">
        <v>0</v>
      </c>
      <c r="T986">
        <v>0</v>
      </c>
      <c r="U986" t="str">
        <f>IF(SeismicData[[#This Row],[class]]=1,"Dangerous","Safe")</f>
        <v>Safe</v>
      </c>
      <c r="V986" t="str">
        <f>IF(SeismicData[[#This Row],[shift]]="W","Production","Non-Production")</f>
        <v>Non-Production</v>
      </c>
      <c r="W986" t="str">
        <f>IF(SeismicData[[#This Row],[genergy]]=0,"0","10^"&amp;INT(LOG10(SeismicData[[#This Row],[genergy]])))</f>
        <v>10^3</v>
      </c>
      <c r="X986" t="str">
        <f>IF(OR(SeismicData[[#This Row],[genergy]]&lt;$AA$6,SeismicData[[#This Row],[genergy]]&gt;$AA$5),"Outlier","Normal")</f>
        <v>Normal</v>
      </c>
    </row>
    <row r="987" spans="1:24" x14ac:dyDescent="0.15">
      <c r="A987">
        <v>986</v>
      </c>
      <c r="B987" t="s">
        <v>20</v>
      </c>
      <c r="C987" t="s">
        <v>20</v>
      </c>
      <c r="D987" t="s">
        <v>21</v>
      </c>
      <c r="E987">
        <v>7400</v>
      </c>
      <c r="F987">
        <v>25</v>
      </c>
      <c r="G987">
        <v>-12</v>
      </c>
      <c r="H987">
        <v>-38</v>
      </c>
      <c r="I987" t="s">
        <v>20</v>
      </c>
      <c r="J987">
        <v>0</v>
      </c>
      <c r="K987">
        <v>0</v>
      </c>
      <c r="L987">
        <v>0</v>
      </c>
      <c r="M987">
        <v>0</v>
      </c>
      <c r="N987">
        <v>0</v>
      </c>
      <c r="O987">
        <v>0</v>
      </c>
      <c r="P987">
        <v>0</v>
      </c>
      <c r="Q987">
        <v>0</v>
      </c>
      <c r="R987">
        <v>0</v>
      </c>
      <c r="S987">
        <v>0</v>
      </c>
      <c r="T987">
        <v>0</v>
      </c>
      <c r="U987" t="str">
        <f>IF(SeismicData[[#This Row],[class]]=1,"Dangerous","Safe")</f>
        <v>Safe</v>
      </c>
      <c r="V987" t="str">
        <f>IF(SeismicData[[#This Row],[shift]]="W","Production","Non-Production")</f>
        <v>Non-Production</v>
      </c>
      <c r="W987" t="str">
        <f>IF(SeismicData[[#This Row],[genergy]]=0,"0","10^"&amp;INT(LOG10(SeismicData[[#This Row],[genergy]])))</f>
        <v>10^3</v>
      </c>
      <c r="X987" t="str">
        <f>IF(OR(SeismicData[[#This Row],[genergy]]&lt;$AA$6,SeismicData[[#This Row],[genergy]]&gt;$AA$5),"Outlier","Normal")</f>
        <v>Normal</v>
      </c>
    </row>
    <row r="988" spans="1:24" x14ac:dyDescent="0.15">
      <c r="A988">
        <v>987</v>
      </c>
      <c r="B988" t="s">
        <v>20</v>
      </c>
      <c r="C988" t="s">
        <v>20</v>
      </c>
      <c r="D988" t="s">
        <v>21</v>
      </c>
      <c r="E988">
        <v>6650</v>
      </c>
      <c r="F988">
        <v>27</v>
      </c>
      <c r="G988">
        <v>-21</v>
      </c>
      <c r="H988">
        <v>-32</v>
      </c>
      <c r="I988" t="s">
        <v>20</v>
      </c>
      <c r="J988">
        <v>0</v>
      </c>
      <c r="K988">
        <v>0</v>
      </c>
      <c r="L988">
        <v>0</v>
      </c>
      <c r="M988">
        <v>0</v>
      </c>
      <c r="N988">
        <v>0</v>
      </c>
      <c r="O988">
        <v>0</v>
      </c>
      <c r="P988">
        <v>0</v>
      </c>
      <c r="Q988">
        <v>0</v>
      </c>
      <c r="R988">
        <v>0</v>
      </c>
      <c r="S988">
        <v>0</v>
      </c>
      <c r="T988">
        <v>0</v>
      </c>
      <c r="U988" t="str">
        <f>IF(SeismicData[[#This Row],[class]]=1,"Dangerous","Safe")</f>
        <v>Safe</v>
      </c>
      <c r="V988" t="str">
        <f>IF(SeismicData[[#This Row],[shift]]="W","Production","Non-Production")</f>
        <v>Non-Production</v>
      </c>
      <c r="W988" t="str">
        <f>IF(SeismicData[[#This Row],[genergy]]=0,"0","10^"&amp;INT(LOG10(SeismicData[[#This Row],[genergy]])))</f>
        <v>10^3</v>
      </c>
      <c r="X988" t="str">
        <f>IF(OR(SeismicData[[#This Row],[genergy]]&lt;$AA$6,SeismicData[[#This Row],[genergy]]&gt;$AA$5),"Outlier","Normal")</f>
        <v>Normal</v>
      </c>
    </row>
    <row r="989" spans="1:24" x14ac:dyDescent="0.15">
      <c r="A989">
        <v>988</v>
      </c>
      <c r="B989" t="s">
        <v>20</v>
      </c>
      <c r="C989" t="s">
        <v>20</v>
      </c>
      <c r="D989" t="s">
        <v>21</v>
      </c>
      <c r="E989">
        <v>5930</v>
      </c>
      <c r="F989">
        <v>31</v>
      </c>
      <c r="G989">
        <v>-26</v>
      </c>
      <c r="H989">
        <v>-22</v>
      </c>
      <c r="I989" t="s">
        <v>20</v>
      </c>
      <c r="J989">
        <v>0</v>
      </c>
      <c r="K989">
        <v>0</v>
      </c>
      <c r="L989">
        <v>0</v>
      </c>
      <c r="M989">
        <v>0</v>
      </c>
      <c r="N989">
        <v>0</v>
      </c>
      <c r="O989">
        <v>0</v>
      </c>
      <c r="P989">
        <v>0</v>
      </c>
      <c r="Q989">
        <v>0</v>
      </c>
      <c r="R989">
        <v>0</v>
      </c>
      <c r="S989">
        <v>0</v>
      </c>
      <c r="T989">
        <v>0</v>
      </c>
      <c r="U989" t="str">
        <f>IF(SeismicData[[#This Row],[class]]=1,"Dangerous","Safe")</f>
        <v>Safe</v>
      </c>
      <c r="V989" t="str">
        <f>IF(SeismicData[[#This Row],[shift]]="W","Production","Non-Production")</f>
        <v>Non-Production</v>
      </c>
      <c r="W989" t="str">
        <f>IF(SeismicData[[#This Row],[genergy]]=0,"0","10^"&amp;INT(LOG10(SeismicData[[#This Row],[genergy]])))</f>
        <v>10^3</v>
      </c>
      <c r="X989" t="str">
        <f>IF(OR(SeismicData[[#This Row],[genergy]]&lt;$AA$6,SeismicData[[#This Row],[genergy]]&gt;$AA$5),"Outlier","Normal")</f>
        <v>Normal</v>
      </c>
    </row>
    <row r="990" spans="1:24" x14ac:dyDescent="0.15">
      <c r="A990">
        <v>989</v>
      </c>
      <c r="B990" t="s">
        <v>20</v>
      </c>
      <c r="C990" t="s">
        <v>20</v>
      </c>
      <c r="D990" t="s">
        <v>21</v>
      </c>
      <c r="E990">
        <v>7530</v>
      </c>
      <c r="F990">
        <v>32</v>
      </c>
      <c r="G990">
        <v>12</v>
      </c>
      <c r="H990">
        <v>-20</v>
      </c>
      <c r="I990" t="s">
        <v>20</v>
      </c>
      <c r="J990">
        <v>0</v>
      </c>
      <c r="K990">
        <v>0</v>
      </c>
      <c r="L990">
        <v>0</v>
      </c>
      <c r="M990">
        <v>0</v>
      </c>
      <c r="N990">
        <v>0</v>
      </c>
      <c r="O990">
        <v>0</v>
      </c>
      <c r="P990">
        <v>0</v>
      </c>
      <c r="Q990">
        <v>0</v>
      </c>
      <c r="R990">
        <v>0</v>
      </c>
      <c r="S990">
        <v>0</v>
      </c>
      <c r="T990">
        <v>0</v>
      </c>
      <c r="U990" t="str">
        <f>IF(SeismicData[[#This Row],[class]]=1,"Dangerous","Safe")</f>
        <v>Safe</v>
      </c>
      <c r="V990" t="str">
        <f>IF(SeismicData[[#This Row],[shift]]="W","Production","Non-Production")</f>
        <v>Non-Production</v>
      </c>
      <c r="W990" t="str">
        <f>IF(SeismicData[[#This Row],[genergy]]=0,"0","10^"&amp;INT(LOG10(SeismicData[[#This Row],[genergy]])))</f>
        <v>10^3</v>
      </c>
      <c r="X990" t="str">
        <f>IF(OR(SeismicData[[#This Row],[genergy]]&lt;$AA$6,SeismicData[[#This Row],[genergy]]&gt;$AA$5),"Outlier","Normal")</f>
        <v>Normal</v>
      </c>
    </row>
    <row r="991" spans="1:24" x14ac:dyDescent="0.15">
      <c r="A991">
        <v>990</v>
      </c>
      <c r="B991" t="s">
        <v>20</v>
      </c>
      <c r="C991" t="s">
        <v>20</v>
      </c>
      <c r="D991" t="s">
        <v>21</v>
      </c>
      <c r="E991">
        <v>5170</v>
      </c>
      <c r="F991">
        <v>19</v>
      </c>
      <c r="G991">
        <v>-27</v>
      </c>
      <c r="H991">
        <v>-52</v>
      </c>
      <c r="I991" t="s">
        <v>20</v>
      </c>
      <c r="J991">
        <v>0</v>
      </c>
      <c r="K991">
        <v>0</v>
      </c>
      <c r="L991">
        <v>0</v>
      </c>
      <c r="M991">
        <v>0</v>
      </c>
      <c r="N991">
        <v>0</v>
      </c>
      <c r="O991">
        <v>0</v>
      </c>
      <c r="P991">
        <v>0</v>
      </c>
      <c r="Q991">
        <v>0</v>
      </c>
      <c r="R991">
        <v>0</v>
      </c>
      <c r="S991">
        <v>0</v>
      </c>
      <c r="T991">
        <v>0</v>
      </c>
      <c r="U991" t="str">
        <f>IF(SeismicData[[#This Row],[class]]=1,"Dangerous","Safe")</f>
        <v>Safe</v>
      </c>
      <c r="V991" t="str">
        <f>IF(SeismicData[[#This Row],[shift]]="W","Production","Non-Production")</f>
        <v>Non-Production</v>
      </c>
      <c r="W991" t="str">
        <f>IF(SeismicData[[#This Row],[genergy]]=0,"0","10^"&amp;INT(LOG10(SeismicData[[#This Row],[genergy]])))</f>
        <v>10^3</v>
      </c>
      <c r="X991" t="str">
        <f>IF(OR(SeismicData[[#This Row],[genergy]]&lt;$AA$6,SeismicData[[#This Row],[genergy]]&gt;$AA$5),"Outlier","Normal")</f>
        <v>Normal</v>
      </c>
    </row>
    <row r="992" spans="1:24" x14ac:dyDescent="0.15">
      <c r="A992">
        <v>991</v>
      </c>
      <c r="B992" t="s">
        <v>20</v>
      </c>
      <c r="C992" t="s">
        <v>20</v>
      </c>
      <c r="D992" t="s">
        <v>21</v>
      </c>
      <c r="E992">
        <v>3760</v>
      </c>
      <c r="F992">
        <v>22</v>
      </c>
      <c r="G992">
        <v>-46</v>
      </c>
      <c r="H992">
        <v>-45</v>
      </c>
      <c r="I992" t="s">
        <v>20</v>
      </c>
      <c r="J992">
        <v>0</v>
      </c>
      <c r="K992">
        <v>0</v>
      </c>
      <c r="L992">
        <v>0</v>
      </c>
      <c r="M992">
        <v>0</v>
      </c>
      <c r="N992">
        <v>0</v>
      </c>
      <c r="O992">
        <v>0</v>
      </c>
      <c r="P992">
        <v>0</v>
      </c>
      <c r="Q992">
        <v>0</v>
      </c>
      <c r="R992">
        <v>0</v>
      </c>
      <c r="S992">
        <v>0</v>
      </c>
      <c r="T992">
        <v>0</v>
      </c>
      <c r="U992" t="str">
        <f>IF(SeismicData[[#This Row],[class]]=1,"Dangerous","Safe")</f>
        <v>Safe</v>
      </c>
      <c r="V992" t="str">
        <f>IF(SeismicData[[#This Row],[shift]]="W","Production","Non-Production")</f>
        <v>Non-Production</v>
      </c>
      <c r="W992" t="str">
        <f>IF(SeismicData[[#This Row],[genergy]]=0,"0","10^"&amp;INT(LOG10(SeismicData[[#This Row],[genergy]])))</f>
        <v>10^3</v>
      </c>
      <c r="X992" t="str">
        <f>IF(OR(SeismicData[[#This Row],[genergy]]&lt;$AA$6,SeismicData[[#This Row],[genergy]]&gt;$AA$5),"Outlier","Normal")</f>
        <v>Normal</v>
      </c>
    </row>
    <row r="993" spans="1:24" x14ac:dyDescent="0.15">
      <c r="A993">
        <v>992</v>
      </c>
      <c r="B993" t="s">
        <v>20</v>
      </c>
      <c r="C993" t="s">
        <v>20</v>
      </c>
      <c r="D993" t="s">
        <v>21</v>
      </c>
      <c r="E993">
        <v>1160</v>
      </c>
      <c r="F993">
        <v>20</v>
      </c>
      <c r="G993">
        <v>-83</v>
      </c>
      <c r="H993">
        <v>-50</v>
      </c>
      <c r="I993" t="s">
        <v>20</v>
      </c>
      <c r="J993">
        <v>0</v>
      </c>
      <c r="K993">
        <v>0</v>
      </c>
      <c r="L993">
        <v>0</v>
      </c>
      <c r="M993">
        <v>0</v>
      </c>
      <c r="N993">
        <v>0</v>
      </c>
      <c r="O993">
        <v>0</v>
      </c>
      <c r="P993">
        <v>0</v>
      </c>
      <c r="Q993">
        <v>0</v>
      </c>
      <c r="R993">
        <v>0</v>
      </c>
      <c r="S993">
        <v>0</v>
      </c>
      <c r="T993">
        <v>0</v>
      </c>
      <c r="U993" t="str">
        <f>IF(SeismicData[[#This Row],[class]]=1,"Dangerous","Safe")</f>
        <v>Safe</v>
      </c>
      <c r="V993" t="str">
        <f>IF(SeismicData[[#This Row],[shift]]="W","Production","Non-Production")</f>
        <v>Non-Production</v>
      </c>
      <c r="W993" t="str">
        <f>IF(SeismicData[[#This Row],[genergy]]=0,"0","10^"&amp;INT(LOG10(SeismicData[[#This Row],[genergy]])))</f>
        <v>10^3</v>
      </c>
      <c r="X993" t="str">
        <f>IF(OR(SeismicData[[#This Row],[genergy]]&lt;$AA$6,SeismicData[[#This Row],[genergy]]&gt;$AA$5),"Outlier","Normal")</f>
        <v>Normal</v>
      </c>
    </row>
    <row r="994" spans="1:24" x14ac:dyDescent="0.15">
      <c r="A994">
        <v>993</v>
      </c>
      <c r="B994" t="s">
        <v>20</v>
      </c>
      <c r="C994" t="s">
        <v>20</v>
      </c>
      <c r="D994" t="s">
        <v>21</v>
      </c>
      <c r="E994">
        <v>5400</v>
      </c>
      <c r="F994">
        <v>39</v>
      </c>
      <c r="G994">
        <v>2</v>
      </c>
      <c r="H994">
        <v>-2</v>
      </c>
      <c r="I994" t="s">
        <v>20</v>
      </c>
      <c r="J994">
        <v>0</v>
      </c>
      <c r="K994">
        <v>0</v>
      </c>
      <c r="L994">
        <v>0</v>
      </c>
      <c r="M994">
        <v>0</v>
      </c>
      <c r="N994">
        <v>0</v>
      </c>
      <c r="O994">
        <v>0</v>
      </c>
      <c r="P994">
        <v>0</v>
      </c>
      <c r="Q994">
        <v>0</v>
      </c>
      <c r="R994">
        <v>0</v>
      </c>
      <c r="S994">
        <v>0</v>
      </c>
      <c r="T994">
        <v>0</v>
      </c>
      <c r="U994" t="str">
        <f>IF(SeismicData[[#This Row],[class]]=1,"Dangerous","Safe")</f>
        <v>Safe</v>
      </c>
      <c r="V994" t="str">
        <f>IF(SeismicData[[#This Row],[shift]]="W","Production","Non-Production")</f>
        <v>Non-Production</v>
      </c>
      <c r="W994" t="str">
        <f>IF(SeismicData[[#This Row],[genergy]]=0,"0","10^"&amp;INT(LOG10(SeismicData[[#This Row],[genergy]])))</f>
        <v>10^3</v>
      </c>
      <c r="X994" t="str">
        <f>IF(OR(SeismicData[[#This Row],[genergy]]&lt;$AA$6,SeismicData[[#This Row],[genergy]]&gt;$AA$5),"Outlier","Normal")</f>
        <v>Normal</v>
      </c>
    </row>
    <row r="995" spans="1:24" x14ac:dyDescent="0.15">
      <c r="A995">
        <v>994</v>
      </c>
      <c r="B995" t="s">
        <v>20</v>
      </c>
      <c r="C995" t="s">
        <v>20</v>
      </c>
      <c r="D995" t="s">
        <v>21</v>
      </c>
      <c r="E995">
        <v>1270</v>
      </c>
      <c r="F995">
        <v>9</v>
      </c>
      <c r="G995">
        <v>-75</v>
      </c>
      <c r="H995">
        <v>-78</v>
      </c>
      <c r="I995" t="s">
        <v>20</v>
      </c>
      <c r="J995">
        <v>0</v>
      </c>
      <c r="K995">
        <v>0</v>
      </c>
      <c r="L995">
        <v>0</v>
      </c>
      <c r="M995">
        <v>0</v>
      </c>
      <c r="N995">
        <v>0</v>
      </c>
      <c r="O995">
        <v>0</v>
      </c>
      <c r="P995">
        <v>0</v>
      </c>
      <c r="Q995">
        <v>0</v>
      </c>
      <c r="R995">
        <v>0</v>
      </c>
      <c r="S995">
        <v>0</v>
      </c>
      <c r="T995">
        <v>0</v>
      </c>
      <c r="U995" t="str">
        <f>IF(SeismicData[[#This Row],[class]]=1,"Dangerous","Safe")</f>
        <v>Safe</v>
      </c>
      <c r="V995" t="str">
        <f>IF(SeismicData[[#This Row],[shift]]="W","Production","Non-Production")</f>
        <v>Non-Production</v>
      </c>
      <c r="W995" t="str">
        <f>IF(SeismicData[[#This Row],[genergy]]=0,"0","10^"&amp;INT(LOG10(SeismicData[[#This Row],[genergy]])))</f>
        <v>10^3</v>
      </c>
      <c r="X995" t="str">
        <f>IF(OR(SeismicData[[#This Row],[genergy]]&lt;$AA$6,SeismicData[[#This Row],[genergy]]&gt;$AA$5),"Outlier","Normal")</f>
        <v>Normal</v>
      </c>
    </row>
    <row r="996" spans="1:24" x14ac:dyDescent="0.15">
      <c r="A996">
        <v>995</v>
      </c>
      <c r="B996" t="s">
        <v>20</v>
      </c>
      <c r="C996" t="s">
        <v>20</v>
      </c>
      <c r="D996" t="s">
        <v>21</v>
      </c>
      <c r="E996">
        <v>2870</v>
      </c>
      <c r="F996">
        <v>22</v>
      </c>
      <c r="G996">
        <v>-40</v>
      </c>
      <c r="H996">
        <v>-45</v>
      </c>
      <c r="I996" t="s">
        <v>20</v>
      </c>
      <c r="J996">
        <v>0</v>
      </c>
      <c r="K996">
        <v>0</v>
      </c>
      <c r="L996">
        <v>0</v>
      </c>
      <c r="M996">
        <v>0</v>
      </c>
      <c r="N996">
        <v>0</v>
      </c>
      <c r="O996">
        <v>0</v>
      </c>
      <c r="P996">
        <v>0</v>
      </c>
      <c r="Q996">
        <v>0</v>
      </c>
      <c r="R996">
        <v>0</v>
      </c>
      <c r="S996">
        <v>0</v>
      </c>
      <c r="T996">
        <v>0</v>
      </c>
      <c r="U996" t="str">
        <f>IF(SeismicData[[#This Row],[class]]=1,"Dangerous","Safe")</f>
        <v>Safe</v>
      </c>
      <c r="V996" t="str">
        <f>IF(SeismicData[[#This Row],[shift]]="W","Production","Non-Production")</f>
        <v>Non-Production</v>
      </c>
      <c r="W996" t="str">
        <f>IF(SeismicData[[#This Row],[genergy]]=0,"0","10^"&amp;INT(LOG10(SeismicData[[#This Row],[genergy]])))</f>
        <v>10^3</v>
      </c>
      <c r="X996" t="str">
        <f>IF(OR(SeismicData[[#This Row],[genergy]]&lt;$AA$6,SeismicData[[#This Row],[genergy]]&gt;$AA$5),"Outlier","Normal")</f>
        <v>Normal</v>
      </c>
    </row>
    <row r="997" spans="1:24" x14ac:dyDescent="0.15">
      <c r="A997">
        <v>996</v>
      </c>
      <c r="B997" t="s">
        <v>20</v>
      </c>
      <c r="C997" t="s">
        <v>20</v>
      </c>
      <c r="D997" t="s">
        <v>21</v>
      </c>
      <c r="E997">
        <v>1600</v>
      </c>
      <c r="F997">
        <v>11</v>
      </c>
      <c r="G997">
        <v>-66</v>
      </c>
      <c r="H997">
        <v>-72</v>
      </c>
      <c r="I997" t="s">
        <v>20</v>
      </c>
      <c r="J997">
        <v>0</v>
      </c>
      <c r="K997">
        <v>0</v>
      </c>
      <c r="L997">
        <v>0</v>
      </c>
      <c r="M997">
        <v>0</v>
      </c>
      <c r="N997">
        <v>0</v>
      </c>
      <c r="O997">
        <v>0</v>
      </c>
      <c r="P997">
        <v>0</v>
      </c>
      <c r="Q997">
        <v>0</v>
      </c>
      <c r="R997">
        <v>0</v>
      </c>
      <c r="S997">
        <v>0</v>
      </c>
      <c r="T997">
        <v>0</v>
      </c>
      <c r="U997" t="str">
        <f>IF(SeismicData[[#This Row],[class]]=1,"Dangerous","Safe")</f>
        <v>Safe</v>
      </c>
      <c r="V997" t="str">
        <f>IF(SeismicData[[#This Row],[shift]]="W","Production","Non-Production")</f>
        <v>Non-Production</v>
      </c>
      <c r="W997" t="str">
        <f>IF(SeismicData[[#This Row],[genergy]]=0,"0","10^"&amp;INT(LOG10(SeismicData[[#This Row],[genergy]])))</f>
        <v>10^3</v>
      </c>
      <c r="X997" t="str">
        <f>IF(OR(SeismicData[[#This Row],[genergy]]&lt;$AA$6,SeismicData[[#This Row],[genergy]]&gt;$AA$5),"Outlier","Normal")</f>
        <v>Normal</v>
      </c>
    </row>
    <row r="998" spans="1:24" x14ac:dyDescent="0.15">
      <c r="A998">
        <v>997</v>
      </c>
      <c r="B998" t="s">
        <v>20</v>
      </c>
      <c r="C998" t="s">
        <v>20</v>
      </c>
      <c r="D998" t="s">
        <v>21</v>
      </c>
      <c r="E998">
        <v>2720</v>
      </c>
      <c r="F998">
        <v>23</v>
      </c>
      <c r="G998">
        <v>-34</v>
      </c>
      <c r="H998">
        <v>-42</v>
      </c>
      <c r="I998" t="s">
        <v>20</v>
      </c>
      <c r="J998">
        <v>0</v>
      </c>
      <c r="K998">
        <v>0</v>
      </c>
      <c r="L998">
        <v>0</v>
      </c>
      <c r="M998">
        <v>0</v>
      </c>
      <c r="N998">
        <v>0</v>
      </c>
      <c r="O998">
        <v>0</v>
      </c>
      <c r="P998">
        <v>0</v>
      </c>
      <c r="Q998">
        <v>0</v>
      </c>
      <c r="R998">
        <v>0</v>
      </c>
      <c r="S998">
        <v>0</v>
      </c>
      <c r="T998">
        <v>0</v>
      </c>
      <c r="U998" t="str">
        <f>IF(SeismicData[[#This Row],[class]]=1,"Dangerous","Safe")</f>
        <v>Safe</v>
      </c>
      <c r="V998" t="str">
        <f>IF(SeismicData[[#This Row],[shift]]="W","Production","Non-Production")</f>
        <v>Non-Production</v>
      </c>
      <c r="W998" t="str">
        <f>IF(SeismicData[[#This Row],[genergy]]=0,"0","10^"&amp;INT(LOG10(SeismicData[[#This Row],[genergy]])))</f>
        <v>10^3</v>
      </c>
      <c r="X998" t="str">
        <f>IF(OR(SeismicData[[#This Row],[genergy]]&lt;$AA$6,SeismicData[[#This Row],[genergy]]&gt;$AA$5),"Outlier","Normal")</f>
        <v>Normal</v>
      </c>
    </row>
    <row r="999" spans="1:24" x14ac:dyDescent="0.15">
      <c r="A999">
        <v>998</v>
      </c>
      <c r="B999" t="s">
        <v>20</v>
      </c>
      <c r="C999" t="s">
        <v>20</v>
      </c>
      <c r="D999" t="s">
        <v>21</v>
      </c>
      <c r="E999">
        <v>4310</v>
      </c>
      <c r="F999">
        <v>29</v>
      </c>
      <c r="G999">
        <v>15</v>
      </c>
      <c r="H999">
        <v>-28</v>
      </c>
      <c r="I999" t="s">
        <v>20</v>
      </c>
      <c r="J999">
        <v>0</v>
      </c>
      <c r="K999">
        <v>0</v>
      </c>
      <c r="L999">
        <v>0</v>
      </c>
      <c r="M999">
        <v>0</v>
      </c>
      <c r="N999">
        <v>0</v>
      </c>
      <c r="O999">
        <v>0</v>
      </c>
      <c r="P999">
        <v>0</v>
      </c>
      <c r="Q999">
        <v>0</v>
      </c>
      <c r="R999">
        <v>0</v>
      </c>
      <c r="S999">
        <v>0</v>
      </c>
      <c r="T999">
        <v>0</v>
      </c>
      <c r="U999" t="str">
        <f>IF(SeismicData[[#This Row],[class]]=1,"Dangerous","Safe")</f>
        <v>Safe</v>
      </c>
      <c r="V999" t="str">
        <f>IF(SeismicData[[#This Row],[shift]]="W","Production","Non-Production")</f>
        <v>Non-Production</v>
      </c>
      <c r="W999" t="str">
        <f>IF(SeismicData[[#This Row],[genergy]]=0,"0","10^"&amp;INT(LOG10(SeismicData[[#This Row],[genergy]])))</f>
        <v>10^3</v>
      </c>
      <c r="X999" t="str">
        <f>IF(OR(SeismicData[[#This Row],[genergy]]&lt;$AA$6,SeismicData[[#This Row],[genergy]]&gt;$AA$5),"Outlier","Normal")</f>
        <v>Normal</v>
      </c>
    </row>
    <row r="1000" spans="1:24" x14ac:dyDescent="0.15">
      <c r="A1000">
        <v>999</v>
      </c>
      <c r="B1000" t="s">
        <v>20</v>
      </c>
      <c r="C1000" t="s">
        <v>20</v>
      </c>
      <c r="D1000" t="s">
        <v>21</v>
      </c>
      <c r="E1000">
        <v>4240</v>
      </c>
      <c r="F1000">
        <v>25</v>
      </c>
      <c r="G1000">
        <v>19</v>
      </c>
      <c r="H1000">
        <v>-38</v>
      </c>
      <c r="I1000" t="s">
        <v>20</v>
      </c>
      <c r="J1000">
        <v>0</v>
      </c>
      <c r="K1000">
        <v>0</v>
      </c>
      <c r="L1000">
        <v>0</v>
      </c>
      <c r="M1000">
        <v>0</v>
      </c>
      <c r="N1000">
        <v>0</v>
      </c>
      <c r="O1000">
        <v>0</v>
      </c>
      <c r="P1000">
        <v>0</v>
      </c>
      <c r="Q1000">
        <v>0</v>
      </c>
      <c r="R1000">
        <v>0</v>
      </c>
      <c r="S1000">
        <v>0</v>
      </c>
      <c r="T1000">
        <v>0</v>
      </c>
      <c r="U1000" t="str">
        <f>IF(SeismicData[[#This Row],[class]]=1,"Dangerous","Safe")</f>
        <v>Safe</v>
      </c>
      <c r="V1000" t="str">
        <f>IF(SeismicData[[#This Row],[shift]]="W","Production","Non-Production")</f>
        <v>Non-Production</v>
      </c>
      <c r="W1000" t="str">
        <f>IF(SeismicData[[#This Row],[genergy]]=0,"0","10^"&amp;INT(LOG10(SeismicData[[#This Row],[genergy]])))</f>
        <v>10^3</v>
      </c>
      <c r="X1000" t="str">
        <f>IF(OR(SeismicData[[#This Row],[genergy]]&lt;$AA$6,SeismicData[[#This Row],[genergy]]&gt;$AA$5),"Outlier","Normal")</f>
        <v>Normal</v>
      </c>
    </row>
    <row r="1001" spans="1:24" x14ac:dyDescent="0.15">
      <c r="A1001">
        <v>1000</v>
      </c>
      <c r="B1001" t="s">
        <v>20</v>
      </c>
      <c r="C1001" t="s">
        <v>20</v>
      </c>
      <c r="D1001" t="s">
        <v>21</v>
      </c>
      <c r="E1001">
        <v>3420</v>
      </c>
      <c r="F1001">
        <v>14</v>
      </c>
      <c r="G1001">
        <v>5</v>
      </c>
      <c r="H1001">
        <v>-65</v>
      </c>
      <c r="I1001" t="s">
        <v>20</v>
      </c>
      <c r="J1001">
        <v>0</v>
      </c>
      <c r="K1001">
        <v>0</v>
      </c>
      <c r="L1001">
        <v>0</v>
      </c>
      <c r="M1001">
        <v>0</v>
      </c>
      <c r="N1001">
        <v>0</v>
      </c>
      <c r="O1001">
        <v>0</v>
      </c>
      <c r="P1001">
        <v>0</v>
      </c>
      <c r="Q1001">
        <v>0</v>
      </c>
      <c r="R1001">
        <v>0</v>
      </c>
      <c r="S1001">
        <v>0</v>
      </c>
      <c r="T1001">
        <v>0</v>
      </c>
      <c r="U1001" t="str">
        <f>IF(SeismicData[[#This Row],[class]]=1,"Dangerous","Safe")</f>
        <v>Safe</v>
      </c>
      <c r="V1001" t="str">
        <f>IF(SeismicData[[#This Row],[shift]]="W","Production","Non-Production")</f>
        <v>Non-Production</v>
      </c>
      <c r="W1001" t="str">
        <f>IF(SeismicData[[#This Row],[genergy]]=0,"0","10^"&amp;INT(LOG10(SeismicData[[#This Row],[genergy]])))</f>
        <v>10^3</v>
      </c>
      <c r="X1001" t="str">
        <f>IF(OR(SeismicData[[#This Row],[genergy]]&lt;$AA$6,SeismicData[[#This Row],[genergy]]&gt;$AA$5),"Outlier","Normal")</f>
        <v>Normal</v>
      </c>
    </row>
    <row r="1002" spans="1:24" x14ac:dyDescent="0.15">
      <c r="A1002">
        <v>1001</v>
      </c>
      <c r="B1002" t="s">
        <v>20</v>
      </c>
      <c r="C1002" t="s">
        <v>20</v>
      </c>
      <c r="D1002" t="s">
        <v>21</v>
      </c>
      <c r="E1002">
        <v>2910</v>
      </c>
      <c r="F1002">
        <v>24</v>
      </c>
      <c r="G1002">
        <v>-5</v>
      </c>
      <c r="H1002">
        <v>-40</v>
      </c>
      <c r="I1002" t="s">
        <v>20</v>
      </c>
      <c r="J1002">
        <v>0</v>
      </c>
      <c r="K1002">
        <v>0</v>
      </c>
      <c r="L1002">
        <v>0</v>
      </c>
      <c r="M1002">
        <v>0</v>
      </c>
      <c r="N1002">
        <v>0</v>
      </c>
      <c r="O1002">
        <v>0</v>
      </c>
      <c r="P1002">
        <v>0</v>
      </c>
      <c r="Q1002">
        <v>0</v>
      </c>
      <c r="R1002">
        <v>0</v>
      </c>
      <c r="S1002">
        <v>0</v>
      </c>
      <c r="T1002">
        <v>0</v>
      </c>
      <c r="U1002" t="str">
        <f>IF(SeismicData[[#This Row],[class]]=1,"Dangerous","Safe")</f>
        <v>Safe</v>
      </c>
      <c r="V1002" t="str">
        <f>IF(SeismicData[[#This Row],[shift]]="W","Production","Non-Production")</f>
        <v>Non-Production</v>
      </c>
      <c r="W1002" t="str">
        <f>IF(SeismicData[[#This Row],[genergy]]=0,"0","10^"&amp;INT(LOG10(SeismicData[[#This Row],[genergy]])))</f>
        <v>10^3</v>
      </c>
      <c r="X1002" t="str">
        <f>IF(OR(SeismicData[[#This Row],[genergy]]&lt;$AA$6,SeismicData[[#This Row],[genergy]]&gt;$AA$5),"Outlier","Normal")</f>
        <v>Normal</v>
      </c>
    </row>
    <row r="1003" spans="1:24" x14ac:dyDescent="0.15">
      <c r="A1003">
        <v>1002</v>
      </c>
      <c r="B1003" t="s">
        <v>20</v>
      </c>
      <c r="C1003" t="s">
        <v>20</v>
      </c>
      <c r="D1003" t="s">
        <v>21</v>
      </c>
      <c r="E1003">
        <v>1560</v>
      </c>
      <c r="F1003">
        <v>15</v>
      </c>
      <c r="G1003">
        <v>-48</v>
      </c>
      <c r="H1003">
        <v>-62</v>
      </c>
      <c r="I1003" t="s">
        <v>20</v>
      </c>
      <c r="J1003">
        <v>0</v>
      </c>
      <c r="K1003">
        <v>0</v>
      </c>
      <c r="L1003">
        <v>0</v>
      </c>
      <c r="M1003">
        <v>0</v>
      </c>
      <c r="N1003">
        <v>0</v>
      </c>
      <c r="O1003">
        <v>0</v>
      </c>
      <c r="P1003">
        <v>0</v>
      </c>
      <c r="Q1003">
        <v>0</v>
      </c>
      <c r="R1003">
        <v>0</v>
      </c>
      <c r="S1003">
        <v>0</v>
      </c>
      <c r="T1003">
        <v>0</v>
      </c>
      <c r="U1003" t="str">
        <f>IF(SeismicData[[#This Row],[class]]=1,"Dangerous","Safe")</f>
        <v>Safe</v>
      </c>
      <c r="V1003" t="str">
        <f>IF(SeismicData[[#This Row],[shift]]="W","Production","Non-Production")</f>
        <v>Non-Production</v>
      </c>
      <c r="W1003" t="str">
        <f>IF(SeismicData[[#This Row],[genergy]]=0,"0","10^"&amp;INT(LOG10(SeismicData[[#This Row],[genergy]])))</f>
        <v>10^3</v>
      </c>
      <c r="X1003" t="str">
        <f>IF(OR(SeismicData[[#This Row],[genergy]]&lt;$AA$6,SeismicData[[#This Row],[genergy]]&gt;$AA$5),"Outlier","Normal")</f>
        <v>Normal</v>
      </c>
    </row>
    <row r="1004" spans="1:24" x14ac:dyDescent="0.15">
      <c r="A1004">
        <v>1003</v>
      </c>
      <c r="B1004" t="s">
        <v>20</v>
      </c>
      <c r="C1004" t="s">
        <v>20</v>
      </c>
      <c r="D1004" t="s">
        <v>21</v>
      </c>
      <c r="E1004">
        <v>3460</v>
      </c>
      <c r="F1004">
        <v>47</v>
      </c>
      <c r="G1004">
        <v>14</v>
      </c>
      <c r="H1004">
        <v>18</v>
      </c>
      <c r="I1004" t="s">
        <v>20</v>
      </c>
      <c r="J1004">
        <v>0</v>
      </c>
      <c r="K1004">
        <v>0</v>
      </c>
      <c r="L1004">
        <v>0</v>
      </c>
      <c r="M1004">
        <v>0</v>
      </c>
      <c r="N1004">
        <v>0</v>
      </c>
      <c r="O1004">
        <v>0</v>
      </c>
      <c r="P1004">
        <v>0</v>
      </c>
      <c r="Q1004">
        <v>0</v>
      </c>
      <c r="R1004">
        <v>0</v>
      </c>
      <c r="S1004">
        <v>0</v>
      </c>
      <c r="T1004">
        <v>0</v>
      </c>
      <c r="U1004" t="str">
        <f>IF(SeismicData[[#This Row],[class]]=1,"Dangerous","Safe")</f>
        <v>Safe</v>
      </c>
      <c r="V1004" t="str">
        <f>IF(SeismicData[[#This Row],[shift]]="W","Production","Non-Production")</f>
        <v>Non-Production</v>
      </c>
      <c r="W1004" t="str">
        <f>IF(SeismicData[[#This Row],[genergy]]=0,"0","10^"&amp;INT(LOG10(SeismicData[[#This Row],[genergy]])))</f>
        <v>10^3</v>
      </c>
      <c r="X1004" t="str">
        <f>IF(OR(SeismicData[[#This Row],[genergy]]&lt;$AA$6,SeismicData[[#This Row],[genergy]]&gt;$AA$5),"Outlier","Normal")</f>
        <v>Normal</v>
      </c>
    </row>
    <row r="1005" spans="1:24" x14ac:dyDescent="0.15">
      <c r="A1005">
        <v>1004</v>
      </c>
      <c r="B1005" t="s">
        <v>20</v>
      </c>
      <c r="C1005" t="s">
        <v>20</v>
      </c>
      <c r="D1005" t="s">
        <v>21</v>
      </c>
      <c r="E1005">
        <v>5020</v>
      </c>
      <c r="F1005">
        <v>32</v>
      </c>
      <c r="G1005">
        <v>77</v>
      </c>
      <c r="H1005">
        <v>-20</v>
      </c>
      <c r="I1005" t="s">
        <v>20</v>
      </c>
      <c r="J1005">
        <v>0</v>
      </c>
      <c r="K1005">
        <v>0</v>
      </c>
      <c r="L1005">
        <v>0</v>
      </c>
      <c r="M1005">
        <v>0</v>
      </c>
      <c r="N1005">
        <v>0</v>
      </c>
      <c r="O1005">
        <v>0</v>
      </c>
      <c r="P1005">
        <v>0</v>
      </c>
      <c r="Q1005">
        <v>0</v>
      </c>
      <c r="R1005">
        <v>0</v>
      </c>
      <c r="S1005">
        <v>0</v>
      </c>
      <c r="T1005">
        <v>0</v>
      </c>
      <c r="U1005" t="str">
        <f>IF(SeismicData[[#This Row],[class]]=1,"Dangerous","Safe")</f>
        <v>Safe</v>
      </c>
      <c r="V1005" t="str">
        <f>IF(SeismicData[[#This Row],[shift]]="W","Production","Non-Production")</f>
        <v>Non-Production</v>
      </c>
      <c r="W1005" t="str">
        <f>IF(SeismicData[[#This Row],[genergy]]=0,"0","10^"&amp;INT(LOG10(SeismicData[[#This Row],[genergy]])))</f>
        <v>10^3</v>
      </c>
      <c r="X1005" t="str">
        <f>IF(OR(SeismicData[[#This Row],[genergy]]&lt;$AA$6,SeismicData[[#This Row],[genergy]]&gt;$AA$5),"Outlier","Normal")</f>
        <v>Normal</v>
      </c>
    </row>
    <row r="1006" spans="1:24" x14ac:dyDescent="0.15">
      <c r="A1006">
        <v>1005</v>
      </c>
      <c r="B1006" t="s">
        <v>20</v>
      </c>
      <c r="C1006" t="s">
        <v>20</v>
      </c>
      <c r="D1006" t="s">
        <v>21</v>
      </c>
      <c r="E1006">
        <v>2430</v>
      </c>
      <c r="F1006">
        <v>19</v>
      </c>
      <c r="G1006">
        <v>-24</v>
      </c>
      <c r="H1006">
        <v>-52</v>
      </c>
      <c r="I1006" t="s">
        <v>20</v>
      </c>
      <c r="J1006">
        <v>0</v>
      </c>
      <c r="K1006">
        <v>0</v>
      </c>
      <c r="L1006">
        <v>0</v>
      </c>
      <c r="M1006">
        <v>0</v>
      </c>
      <c r="N1006">
        <v>0</v>
      </c>
      <c r="O1006">
        <v>0</v>
      </c>
      <c r="P1006">
        <v>0</v>
      </c>
      <c r="Q1006">
        <v>0</v>
      </c>
      <c r="R1006">
        <v>0</v>
      </c>
      <c r="S1006">
        <v>0</v>
      </c>
      <c r="T1006">
        <v>0</v>
      </c>
      <c r="U1006" t="str">
        <f>IF(SeismicData[[#This Row],[class]]=1,"Dangerous","Safe")</f>
        <v>Safe</v>
      </c>
      <c r="V1006" t="str">
        <f>IF(SeismicData[[#This Row],[shift]]="W","Production","Non-Production")</f>
        <v>Non-Production</v>
      </c>
      <c r="W1006" t="str">
        <f>IF(SeismicData[[#This Row],[genergy]]=0,"0","10^"&amp;INT(LOG10(SeismicData[[#This Row],[genergy]])))</f>
        <v>10^3</v>
      </c>
      <c r="X1006" t="str">
        <f>IF(OR(SeismicData[[#This Row],[genergy]]&lt;$AA$6,SeismicData[[#This Row],[genergy]]&gt;$AA$5),"Outlier","Normal")</f>
        <v>Normal</v>
      </c>
    </row>
    <row r="1007" spans="1:24" x14ac:dyDescent="0.15">
      <c r="A1007">
        <v>1006</v>
      </c>
      <c r="B1007" t="s">
        <v>20</v>
      </c>
      <c r="C1007" t="s">
        <v>20</v>
      </c>
      <c r="D1007" t="s">
        <v>21</v>
      </c>
      <c r="E1007">
        <v>2260</v>
      </c>
      <c r="F1007">
        <v>17</v>
      </c>
      <c r="G1007">
        <v>-29</v>
      </c>
      <c r="H1007">
        <v>-58</v>
      </c>
      <c r="I1007" t="s">
        <v>20</v>
      </c>
      <c r="J1007">
        <v>0</v>
      </c>
      <c r="K1007">
        <v>0</v>
      </c>
      <c r="L1007">
        <v>0</v>
      </c>
      <c r="M1007">
        <v>0</v>
      </c>
      <c r="N1007">
        <v>0</v>
      </c>
      <c r="O1007">
        <v>0</v>
      </c>
      <c r="P1007">
        <v>0</v>
      </c>
      <c r="Q1007">
        <v>0</v>
      </c>
      <c r="R1007">
        <v>0</v>
      </c>
      <c r="S1007">
        <v>0</v>
      </c>
      <c r="T1007">
        <v>0</v>
      </c>
      <c r="U1007" t="str">
        <f>IF(SeismicData[[#This Row],[class]]=1,"Dangerous","Safe")</f>
        <v>Safe</v>
      </c>
      <c r="V1007" t="str">
        <f>IF(SeismicData[[#This Row],[shift]]="W","Production","Non-Production")</f>
        <v>Non-Production</v>
      </c>
      <c r="W1007" t="str">
        <f>IF(SeismicData[[#This Row],[genergy]]=0,"0","10^"&amp;INT(LOG10(SeismicData[[#This Row],[genergy]])))</f>
        <v>10^3</v>
      </c>
      <c r="X1007" t="str">
        <f>IF(OR(SeismicData[[#This Row],[genergy]]&lt;$AA$6,SeismicData[[#This Row],[genergy]]&gt;$AA$5),"Outlier","Normal")</f>
        <v>Normal</v>
      </c>
    </row>
    <row r="1008" spans="1:24" x14ac:dyDescent="0.15">
      <c r="A1008">
        <v>1007</v>
      </c>
      <c r="B1008" t="s">
        <v>20</v>
      </c>
      <c r="C1008" t="s">
        <v>20</v>
      </c>
      <c r="D1008" t="s">
        <v>21</v>
      </c>
      <c r="E1008">
        <v>1480</v>
      </c>
      <c r="F1008">
        <v>7</v>
      </c>
      <c r="G1008">
        <v>-54</v>
      </c>
      <c r="H1008">
        <v>-82</v>
      </c>
      <c r="I1008" t="s">
        <v>20</v>
      </c>
      <c r="J1008">
        <v>0</v>
      </c>
      <c r="K1008">
        <v>0</v>
      </c>
      <c r="L1008">
        <v>0</v>
      </c>
      <c r="M1008">
        <v>0</v>
      </c>
      <c r="N1008">
        <v>0</v>
      </c>
      <c r="O1008">
        <v>0</v>
      </c>
      <c r="P1008">
        <v>0</v>
      </c>
      <c r="Q1008">
        <v>0</v>
      </c>
      <c r="R1008">
        <v>0</v>
      </c>
      <c r="S1008">
        <v>0</v>
      </c>
      <c r="T1008">
        <v>0</v>
      </c>
      <c r="U1008" t="str">
        <f>IF(SeismicData[[#This Row],[class]]=1,"Dangerous","Safe")</f>
        <v>Safe</v>
      </c>
      <c r="V1008" t="str">
        <f>IF(SeismicData[[#This Row],[shift]]="W","Production","Non-Production")</f>
        <v>Non-Production</v>
      </c>
      <c r="W1008" t="str">
        <f>IF(SeismicData[[#This Row],[genergy]]=0,"0","10^"&amp;INT(LOG10(SeismicData[[#This Row],[genergy]])))</f>
        <v>10^3</v>
      </c>
      <c r="X1008" t="str">
        <f>IF(OR(SeismicData[[#This Row],[genergy]]&lt;$AA$6,SeismicData[[#This Row],[genergy]]&gt;$AA$5),"Outlier","Normal")</f>
        <v>Normal</v>
      </c>
    </row>
    <row r="1009" spans="1:24" x14ac:dyDescent="0.15">
      <c r="A1009">
        <v>1008</v>
      </c>
      <c r="B1009" t="s">
        <v>20</v>
      </c>
      <c r="C1009" t="s">
        <v>20</v>
      </c>
      <c r="D1009" t="s">
        <v>21</v>
      </c>
      <c r="E1009">
        <v>920</v>
      </c>
      <c r="F1009">
        <v>9</v>
      </c>
      <c r="G1009">
        <v>-71</v>
      </c>
      <c r="H1009">
        <v>-78</v>
      </c>
      <c r="I1009" t="s">
        <v>20</v>
      </c>
      <c r="J1009">
        <v>0</v>
      </c>
      <c r="K1009">
        <v>0</v>
      </c>
      <c r="L1009">
        <v>0</v>
      </c>
      <c r="M1009">
        <v>0</v>
      </c>
      <c r="N1009">
        <v>0</v>
      </c>
      <c r="O1009">
        <v>0</v>
      </c>
      <c r="P1009">
        <v>0</v>
      </c>
      <c r="Q1009">
        <v>0</v>
      </c>
      <c r="R1009">
        <v>0</v>
      </c>
      <c r="S1009">
        <v>0</v>
      </c>
      <c r="T1009">
        <v>0</v>
      </c>
      <c r="U1009" t="str">
        <f>IF(SeismicData[[#This Row],[class]]=1,"Dangerous","Safe")</f>
        <v>Safe</v>
      </c>
      <c r="V1009" t="str">
        <f>IF(SeismicData[[#This Row],[shift]]="W","Production","Non-Production")</f>
        <v>Non-Production</v>
      </c>
      <c r="W1009" t="str">
        <f>IF(SeismicData[[#This Row],[genergy]]=0,"0","10^"&amp;INT(LOG10(SeismicData[[#This Row],[genergy]])))</f>
        <v>10^2</v>
      </c>
      <c r="X1009" t="str">
        <f>IF(OR(SeismicData[[#This Row],[genergy]]&lt;$AA$6,SeismicData[[#This Row],[genergy]]&gt;$AA$5),"Outlier","Normal")</f>
        <v>Normal</v>
      </c>
    </row>
    <row r="1010" spans="1:24" x14ac:dyDescent="0.15">
      <c r="A1010">
        <v>1009</v>
      </c>
      <c r="B1010" t="s">
        <v>20</v>
      </c>
      <c r="C1010" t="s">
        <v>20</v>
      </c>
      <c r="D1010" t="s">
        <v>21</v>
      </c>
      <c r="E1010">
        <v>1180</v>
      </c>
      <c r="F1010">
        <v>14</v>
      </c>
      <c r="G1010">
        <v>-57</v>
      </c>
      <c r="H1010">
        <v>-65</v>
      </c>
      <c r="I1010" t="s">
        <v>20</v>
      </c>
      <c r="J1010">
        <v>0</v>
      </c>
      <c r="K1010">
        <v>0</v>
      </c>
      <c r="L1010">
        <v>0</v>
      </c>
      <c r="M1010">
        <v>0</v>
      </c>
      <c r="N1010">
        <v>0</v>
      </c>
      <c r="O1010">
        <v>0</v>
      </c>
      <c r="P1010">
        <v>0</v>
      </c>
      <c r="Q1010">
        <v>0</v>
      </c>
      <c r="R1010">
        <v>0</v>
      </c>
      <c r="S1010">
        <v>0</v>
      </c>
      <c r="T1010">
        <v>0</v>
      </c>
      <c r="U1010" t="str">
        <f>IF(SeismicData[[#This Row],[class]]=1,"Dangerous","Safe")</f>
        <v>Safe</v>
      </c>
      <c r="V1010" t="str">
        <f>IF(SeismicData[[#This Row],[shift]]="W","Production","Non-Production")</f>
        <v>Non-Production</v>
      </c>
      <c r="W1010" t="str">
        <f>IF(SeismicData[[#This Row],[genergy]]=0,"0","10^"&amp;INT(LOG10(SeismicData[[#This Row],[genergy]])))</f>
        <v>10^3</v>
      </c>
      <c r="X1010" t="str">
        <f>IF(OR(SeismicData[[#This Row],[genergy]]&lt;$AA$6,SeismicData[[#This Row],[genergy]]&gt;$AA$5),"Outlier","Normal")</f>
        <v>Normal</v>
      </c>
    </row>
    <row r="1011" spans="1:24" x14ac:dyDescent="0.15">
      <c r="A1011">
        <v>1010</v>
      </c>
      <c r="B1011" t="s">
        <v>20</v>
      </c>
      <c r="C1011" t="s">
        <v>20</v>
      </c>
      <c r="D1011" t="s">
        <v>21</v>
      </c>
      <c r="E1011">
        <v>2290</v>
      </c>
      <c r="F1011">
        <v>6</v>
      </c>
      <c r="G1011">
        <v>-7</v>
      </c>
      <c r="H1011">
        <v>-85</v>
      </c>
      <c r="I1011" t="s">
        <v>20</v>
      </c>
      <c r="J1011">
        <v>0</v>
      </c>
      <c r="K1011">
        <v>0</v>
      </c>
      <c r="L1011">
        <v>0</v>
      </c>
      <c r="M1011">
        <v>0</v>
      </c>
      <c r="N1011">
        <v>0</v>
      </c>
      <c r="O1011">
        <v>0</v>
      </c>
      <c r="P1011">
        <v>0</v>
      </c>
      <c r="Q1011">
        <v>0</v>
      </c>
      <c r="R1011">
        <v>0</v>
      </c>
      <c r="S1011">
        <v>0</v>
      </c>
      <c r="T1011">
        <v>0</v>
      </c>
      <c r="U1011" t="str">
        <f>IF(SeismicData[[#This Row],[class]]=1,"Dangerous","Safe")</f>
        <v>Safe</v>
      </c>
      <c r="V1011" t="str">
        <f>IF(SeismicData[[#This Row],[shift]]="W","Production","Non-Production")</f>
        <v>Non-Production</v>
      </c>
      <c r="W1011" t="str">
        <f>IF(SeismicData[[#This Row],[genergy]]=0,"0","10^"&amp;INT(LOG10(SeismicData[[#This Row],[genergy]])))</f>
        <v>10^3</v>
      </c>
      <c r="X1011" t="str">
        <f>IF(OR(SeismicData[[#This Row],[genergy]]&lt;$AA$6,SeismicData[[#This Row],[genergy]]&gt;$AA$5),"Outlier","Normal")</f>
        <v>Normal</v>
      </c>
    </row>
    <row r="1012" spans="1:24" x14ac:dyDescent="0.15">
      <c r="A1012">
        <v>1011</v>
      </c>
      <c r="B1012" t="s">
        <v>20</v>
      </c>
      <c r="C1012" t="s">
        <v>20</v>
      </c>
      <c r="D1012" t="s">
        <v>21</v>
      </c>
      <c r="E1012">
        <v>4080</v>
      </c>
      <c r="F1012">
        <v>19</v>
      </c>
      <c r="G1012">
        <v>73</v>
      </c>
      <c r="H1012">
        <v>-52</v>
      </c>
      <c r="I1012" t="s">
        <v>20</v>
      </c>
      <c r="J1012">
        <v>0</v>
      </c>
      <c r="K1012">
        <v>0</v>
      </c>
      <c r="L1012">
        <v>0</v>
      </c>
      <c r="M1012">
        <v>0</v>
      </c>
      <c r="N1012">
        <v>0</v>
      </c>
      <c r="O1012">
        <v>0</v>
      </c>
      <c r="P1012">
        <v>0</v>
      </c>
      <c r="Q1012">
        <v>0</v>
      </c>
      <c r="R1012">
        <v>0</v>
      </c>
      <c r="S1012">
        <v>0</v>
      </c>
      <c r="T1012">
        <v>0</v>
      </c>
      <c r="U1012" t="str">
        <f>IF(SeismicData[[#This Row],[class]]=1,"Dangerous","Safe")</f>
        <v>Safe</v>
      </c>
      <c r="V1012" t="str">
        <f>IF(SeismicData[[#This Row],[shift]]="W","Production","Non-Production")</f>
        <v>Non-Production</v>
      </c>
      <c r="W1012" t="str">
        <f>IF(SeismicData[[#This Row],[genergy]]=0,"0","10^"&amp;INT(LOG10(SeismicData[[#This Row],[genergy]])))</f>
        <v>10^3</v>
      </c>
      <c r="X1012" t="str">
        <f>IF(OR(SeismicData[[#This Row],[genergy]]&lt;$AA$6,SeismicData[[#This Row],[genergy]]&gt;$AA$5),"Outlier","Normal")</f>
        <v>Normal</v>
      </c>
    </row>
    <row r="1013" spans="1:24" x14ac:dyDescent="0.15">
      <c r="A1013">
        <v>1012</v>
      </c>
      <c r="B1013" t="s">
        <v>20</v>
      </c>
      <c r="C1013" t="s">
        <v>20</v>
      </c>
      <c r="D1013" t="s">
        <v>21</v>
      </c>
      <c r="E1013">
        <v>3380</v>
      </c>
      <c r="F1013">
        <v>14</v>
      </c>
      <c r="G1013">
        <v>37</v>
      </c>
      <c r="H1013">
        <v>-65</v>
      </c>
      <c r="I1013" t="s">
        <v>20</v>
      </c>
      <c r="J1013">
        <v>0</v>
      </c>
      <c r="K1013">
        <v>0</v>
      </c>
      <c r="L1013">
        <v>0</v>
      </c>
      <c r="M1013">
        <v>0</v>
      </c>
      <c r="N1013">
        <v>0</v>
      </c>
      <c r="O1013">
        <v>0</v>
      </c>
      <c r="P1013">
        <v>0</v>
      </c>
      <c r="Q1013">
        <v>0</v>
      </c>
      <c r="R1013">
        <v>0</v>
      </c>
      <c r="S1013">
        <v>0</v>
      </c>
      <c r="T1013">
        <v>0</v>
      </c>
      <c r="U1013" t="str">
        <f>IF(SeismicData[[#This Row],[class]]=1,"Dangerous","Safe")</f>
        <v>Safe</v>
      </c>
      <c r="V1013" t="str">
        <f>IF(SeismicData[[#This Row],[shift]]="W","Production","Non-Production")</f>
        <v>Non-Production</v>
      </c>
      <c r="W1013" t="str">
        <f>IF(SeismicData[[#This Row],[genergy]]=0,"0","10^"&amp;INT(LOG10(SeismicData[[#This Row],[genergy]])))</f>
        <v>10^3</v>
      </c>
      <c r="X1013" t="str">
        <f>IF(OR(SeismicData[[#This Row],[genergy]]&lt;$AA$6,SeismicData[[#This Row],[genergy]]&gt;$AA$5),"Outlier","Normal")</f>
        <v>Normal</v>
      </c>
    </row>
    <row r="1014" spans="1:24" x14ac:dyDescent="0.15">
      <c r="A1014">
        <v>1013</v>
      </c>
      <c r="B1014" t="s">
        <v>20</v>
      </c>
      <c r="C1014" t="s">
        <v>20</v>
      </c>
      <c r="D1014" t="s">
        <v>21</v>
      </c>
      <c r="E1014">
        <v>920</v>
      </c>
      <c r="F1014">
        <v>9</v>
      </c>
      <c r="G1014">
        <v>-65</v>
      </c>
      <c r="H1014">
        <v>-78</v>
      </c>
      <c r="I1014" t="s">
        <v>20</v>
      </c>
      <c r="J1014">
        <v>0</v>
      </c>
      <c r="K1014">
        <v>0</v>
      </c>
      <c r="L1014">
        <v>0</v>
      </c>
      <c r="M1014">
        <v>0</v>
      </c>
      <c r="N1014">
        <v>0</v>
      </c>
      <c r="O1014">
        <v>0</v>
      </c>
      <c r="P1014">
        <v>0</v>
      </c>
      <c r="Q1014">
        <v>0</v>
      </c>
      <c r="R1014">
        <v>0</v>
      </c>
      <c r="S1014">
        <v>0</v>
      </c>
      <c r="T1014">
        <v>0</v>
      </c>
      <c r="U1014" t="str">
        <f>IF(SeismicData[[#This Row],[class]]=1,"Dangerous","Safe")</f>
        <v>Safe</v>
      </c>
      <c r="V1014" t="str">
        <f>IF(SeismicData[[#This Row],[shift]]="W","Production","Non-Production")</f>
        <v>Non-Production</v>
      </c>
      <c r="W1014" t="str">
        <f>IF(SeismicData[[#This Row],[genergy]]=0,"0","10^"&amp;INT(LOG10(SeismicData[[#This Row],[genergy]])))</f>
        <v>10^2</v>
      </c>
      <c r="X1014" t="str">
        <f>IF(OR(SeismicData[[#This Row],[genergy]]&lt;$AA$6,SeismicData[[#This Row],[genergy]]&gt;$AA$5),"Outlier","Normal")</f>
        <v>Normal</v>
      </c>
    </row>
    <row r="1015" spans="1:24" x14ac:dyDescent="0.15">
      <c r="A1015">
        <v>1014</v>
      </c>
      <c r="B1015" t="s">
        <v>20</v>
      </c>
      <c r="C1015" t="s">
        <v>20</v>
      </c>
      <c r="D1015" t="s">
        <v>21</v>
      </c>
      <c r="E1015">
        <v>3840</v>
      </c>
      <c r="F1015">
        <v>13</v>
      </c>
      <c r="G1015">
        <v>60</v>
      </c>
      <c r="H1015">
        <v>-68</v>
      </c>
      <c r="I1015" t="s">
        <v>20</v>
      </c>
      <c r="J1015">
        <v>0</v>
      </c>
      <c r="K1015">
        <v>0</v>
      </c>
      <c r="L1015">
        <v>0</v>
      </c>
      <c r="M1015">
        <v>0</v>
      </c>
      <c r="N1015">
        <v>0</v>
      </c>
      <c r="O1015">
        <v>0</v>
      </c>
      <c r="P1015">
        <v>0</v>
      </c>
      <c r="Q1015">
        <v>0</v>
      </c>
      <c r="R1015">
        <v>0</v>
      </c>
      <c r="S1015">
        <v>0</v>
      </c>
      <c r="T1015">
        <v>0</v>
      </c>
      <c r="U1015" t="str">
        <f>IF(SeismicData[[#This Row],[class]]=1,"Dangerous","Safe")</f>
        <v>Safe</v>
      </c>
      <c r="V1015" t="str">
        <f>IF(SeismicData[[#This Row],[shift]]="W","Production","Non-Production")</f>
        <v>Non-Production</v>
      </c>
      <c r="W1015" t="str">
        <f>IF(SeismicData[[#This Row],[genergy]]=0,"0","10^"&amp;INT(LOG10(SeismicData[[#This Row],[genergy]])))</f>
        <v>10^3</v>
      </c>
      <c r="X1015" t="str">
        <f>IF(OR(SeismicData[[#This Row],[genergy]]&lt;$AA$6,SeismicData[[#This Row],[genergy]]&gt;$AA$5),"Outlier","Normal")</f>
        <v>Normal</v>
      </c>
    </row>
    <row r="1016" spans="1:24" x14ac:dyDescent="0.15">
      <c r="A1016">
        <v>1015</v>
      </c>
      <c r="B1016" t="s">
        <v>20</v>
      </c>
      <c r="C1016" t="s">
        <v>20</v>
      </c>
      <c r="D1016" t="s">
        <v>21</v>
      </c>
      <c r="E1016">
        <v>2540</v>
      </c>
      <c r="F1016">
        <v>19</v>
      </c>
      <c r="G1016">
        <v>12</v>
      </c>
      <c r="H1016">
        <v>-52</v>
      </c>
      <c r="I1016" t="s">
        <v>20</v>
      </c>
      <c r="J1016">
        <v>0</v>
      </c>
      <c r="K1016">
        <v>0</v>
      </c>
      <c r="L1016">
        <v>0</v>
      </c>
      <c r="M1016">
        <v>0</v>
      </c>
      <c r="N1016">
        <v>0</v>
      </c>
      <c r="O1016">
        <v>0</v>
      </c>
      <c r="P1016">
        <v>0</v>
      </c>
      <c r="Q1016">
        <v>0</v>
      </c>
      <c r="R1016">
        <v>0</v>
      </c>
      <c r="S1016">
        <v>0</v>
      </c>
      <c r="T1016">
        <v>0</v>
      </c>
      <c r="U1016" t="str">
        <f>IF(SeismicData[[#This Row],[class]]=1,"Dangerous","Safe")</f>
        <v>Safe</v>
      </c>
      <c r="V1016" t="str">
        <f>IF(SeismicData[[#This Row],[shift]]="W","Production","Non-Production")</f>
        <v>Non-Production</v>
      </c>
      <c r="W1016" t="str">
        <f>IF(SeismicData[[#This Row],[genergy]]=0,"0","10^"&amp;INT(LOG10(SeismicData[[#This Row],[genergy]])))</f>
        <v>10^3</v>
      </c>
      <c r="X1016" t="str">
        <f>IF(OR(SeismicData[[#This Row],[genergy]]&lt;$AA$6,SeismicData[[#This Row],[genergy]]&gt;$AA$5),"Outlier","Normal")</f>
        <v>Normal</v>
      </c>
    </row>
    <row r="1017" spans="1:24" x14ac:dyDescent="0.15">
      <c r="A1017">
        <v>1016</v>
      </c>
      <c r="B1017" t="s">
        <v>20</v>
      </c>
      <c r="C1017" t="s">
        <v>20</v>
      </c>
      <c r="D1017" t="s">
        <v>21</v>
      </c>
      <c r="E1017">
        <v>590</v>
      </c>
      <c r="F1017">
        <v>11</v>
      </c>
      <c r="G1017">
        <v>-74</v>
      </c>
      <c r="H1017">
        <v>-72</v>
      </c>
      <c r="I1017" t="s">
        <v>20</v>
      </c>
      <c r="J1017">
        <v>0</v>
      </c>
      <c r="K1017">
        <v>0</v>
      </c>
      <c r="L1017">
        <v>0</v>
      </c>
      <c r="M1017">
        <v>0</v>
      </c>
      <c r="N1017">
        <v>0</v>
      </c>
      <c r="O1017">
        <v>0</v>
      </c>
      <c r="P1017">
        <v>0</v>
      </c>
      <c r="Q1017">
        <v>0</v>
      </c>
      <c r="R1017">
        <v>0</v>
      </c>
      <c r="S1017">
        <v>0</v>
      </c>
      <c r="T1017">
        <v>0</v>
      </c>
      <c r="U1017" t="str">
        <f>IF(SeismicData[[#This Row],[class]]=1,"Dangerous","Safe")</f>
        <v>Safe</v>
      </c>
      <c r="V1017" t="str">
        <f>IF(SeismicData[[#This Row],[shift]]="W","Production","Non-Production")</f>
        <v>Non-Production</v>
      </c>
      <c r="W1017" t="str">
        <f>IF(SeismicData[[#This Row],[genergy]]=0,"0","10^"&amp;INT(LOG10(SeismicData[[#This Row],[genergy]])))</f>
        <v>10^2</v>
      </c>
      <c r="X1017" t="str">
        <f>IF(OR(SeismicData[[#This Row],[genergy]]&lt;$AA$6,SeismicData[[#This Row],[genergy]]&gt;$AA$5),"Outlier","Normal")</f>
        <v>Normal</v>
      </c>
    </row>
    <row r="1018" spans="1:24" x14ac:dyDescent="0.15">
      <c r="A1018">
        <v>1017</v>
      </c>
      <c r="B1018" t="s">
        <v>20</v>
      </c>
      <c r="C1018" t="s">
        <v>20</v>
      </c>
      <c r="D1018" t="s">
        <v>21</v>
      </c>
      <c r="E1018">
        <v>3720</v>
      </c>
      <c r="F1018">
        <v>43</v>
      </c>
      <c r="G1018">
        <v>75</v>
      </c>
      <c r="H1018">
        <v>8</v>
      </c>
      <c r="I1018" t="s">
        <v>20</v>
      </c>
      <c r="J1018">
        <v>0</v>
      </c>
      <c r="K1018">
        <v>0</v>
      </c>
      <c r="L1018">
        <v>0</v>
      </c>
      <c r="M1018">
        <v>0</v>
      </c>
      <c r="N1018">
        <v>0</v>
      </c>
      <c r="O1018">
        <v>0</v>
      </c>
      <c r="P1018">
        <v>0</v>
      </c>
      <c r="Q1018">
        <v>0</v>
      </c>
      <c r="R1018">
        <v>0</v>
      </c>
      <c r="S1018">
        <v>0</v>
      </c>
      <c r="T1018">
        <v>0</v>
      </c>
      <c r="U1018" t="str">
        <f>IF(SeismicData[[#This Row],[class]]=1,"Dangerous","Safe")</f>
        <v>Safe</v>
      </c>
      <c r="V1018" t="str">
        <f>IF(SeismicData[[#This Row],[shift]]="W","Production","Non-Production")</f>
        <v>Non-Production</v>
      </c>
      <c r="W1018" t="str">
        <f>IF(SeismicData[[#This Row],[genergy]]=0,"0","10^"&amp;INT(LOG10(SeismicData[[#This Row],[genergy]])))</f>
        <v>10^3</v>
      </c>
      <c r="X1018" t="str">
        <f>IF(OR(SeismicData[[#This Row],[genergy]]&lt;$AA$6,SeismicData[[#This Row],[genergy]]&gt;$AA$5),"Outlier","Normal")</f>
        <v>Normal</v>
      </c>
    </row>
    <row r="1019" spans="1:24" x14ac:dyDescent="0.15">
      <c r="A1019">
        <v>1018</v>
      </c>
      <c r="B1019" t="s">
        <v>20</v>
      </c>
      <c r="C1019" t="s">
        <v>20</v>
      </c>
      <c r="D1019" t="s">
        <v>21</v>
      </c>
      <c r="E1019">
        <v>590</v>
      </c>
      <c r="F1019">
        <v>11</v>
      </c>
      <c r="G1019">
        <v>-74</v>
      </c>
      <c r="H1019">
        <v>-72</v>
      </c>
      <c r="I1019" t="s">
        <v>20</v>
      </c>
      <c r="J1019">
        <v>0</v>
      </c>
      <c r="K1019">
        <v>0</v>
      </c>
      <c r="L1019">
        <v>0</v>
      </c>
      <c r="M1019">
        <v>0</v>
      </c>
      <c r="N1019">
        <v>0</v>
      </c>
      <c r="O1019">
        <v>0</v>
      </c>
      <c r="P1019">
        <v>0</v>
      </c>
      <c r="Q1019">
        <v>0</v>
      </c>
      <c r="R1019">
        <v>0</v>
      </c>
      <c r="S1019">
        <v>0</v>
      </c>
      <c r="T1019">
        <v>0</v>
      </c>
      <c r="U1019" t="str">
        <f>IF(SeismicData[[#This Row],[class]]=1,"Dangerous","Safe")</f>
        <v>Safe</v>
      </c>
      <c r="V1019" t="str">
        <f>IF(SeismicData[[#This Row],[shift]]="W","Production","Non-Production")</f>
        <v>Non-Production</v>
      </c>
      <c r="W1019" t="str">
        <f>IF(SeismicData[[#This Row],[genergy]]=0,"0","10^"&amp;INT(LOG10(SeismicData[[#This Row],[genergy]])))</f>
        <v>10^2</v>
      </c>
      <c r="X1019" t="str">
        <f>IF(OR(SeismicData[[#This Row],[genergy]]&lt;$AA$6,SeismicData[[#This Row],[genergy]]&gt;$AA$5),"Outlier","Normal")</f>
        <v>Normal</v>
      </c>
    </row>
    <row r="1020" spans="1:24" x14ac:dyDescent="0.15">
      <c r="A1020">
        <v>1019</v>
      </c>
      <c r="B1020" t="s">
        <v>20</v>
      </c>
      <c r="C1020" t="s">
        <v>20</v>
      </c>
      <c r="D1020" t="s">
        <v>21</v>
      </c>
      <c r="E1020">
        <v>3720</v>
      </c>
      <c r="F1020">
        <v>43</v>
      </c>
      <c r="G1020">
        <v>75</v>
      </c>
      <c r="H1020">
        <v>8</v>
      </c>
      <c r="I1020" t="s">
        <v>20</v>
      </c>
      <c r="J1020">
        <v>0</v>
      </c>
      <c r="K1020">
        <v>0</v>
      </c>
      <c r="L1020">
        <v>0</v>
      </c>
      <c r="M1020">
        <v>0</v>
      </c>
      <c r="N1020">
        <v>0</v>
      </c>
      <c r="O1020">
        <v>0</v>
      </c>
      <c r="P1020">
        <v>0</v>
      </c>
      <c r="Q1020">
        <v>0</v>
      </c>
      <c r="R1020">
        <v>0</v>
      </c>
      <c r="S1020">
        <v>0</v>
      </c>
      <c r="T1020">
        <v>0</v>
      </c>
      <c r="U1020" t="str">
        <f>IF(SeismicData[[#This Row],[class]]=1,"Dangerous","Safe")</f>
        <v>Safe</v>
      </c>
      <c r="V1020" t="str">
        <f>IF(SeismicData[[#This Row],[shift]]="W","Production","Non-Production")</f>
        <v>Non-Production</v>
      </c>
      <c r="W1020" t="str">
        <f>IF(SeismicData[[#This Row],[genergy]]=0,"0","10^"&amp;INT(LOG10(SeismicData[[#This Row],[genergy]])))</f>
        <v>10^3</v>
      </c>
      <c r="X1020" t="str">
        <f>IF(OR(SeismicData[[#This Row],[genergy]]&lt;$AA$6,SeismicData[[#This Row],[genergy]]&gt;$AA$5),"Outlier","Normal")</f>
        <v>Normal</v>
      </c>
    </row>
    <row r="1021" spans="1:24" x14ac:dyDescent="0.15">
      <c r="A1021">
        <v>1020</v>
      </c>
      <c r="B1021" t="s">
        <v>20</v>
      </c>
      <c r="C1021" t="s">
        <v>20</v>
      </c>
      <c r="D1021" t="s">
        <v>21</v>
      </c>
      <c r="E1021">
        <v>2340</v>
      </c>
      <c r="F1021">
        <v>19</v>
      </c>
      <c r="G1021">
        <v>0</v>
      </c>
      <c r="H1021">
        <v>-52</v>
      </c>
      <c r="I1021" t="s">
        <v>20</v>
      </c>
      <c r="J1021">
        <v>0</v>
      </c>
      <c r="K1021">
        <v>0</v>
      </c>
      <c r="L1021">
        <v>0</v>
      </c>
      <c r="M1021">
        <v>0</v>
      </c>
      <c r="N1021">
        <v>0</v>
      </c>
      <c r="O1021">
        <v>0</v>
      </c>
      <c r="P1021">
        <v>0</v>
      </c>
      <c r="Q1021">
        <v>0</v>
      </c>
      <c r="R1021">
        <v>0</v>
      </c>
      <c r="S1021">
        <v>0</v>
      </c>
      <c r="T1021">
        <v>0</v>
      </c>
      <c r="U1021" t="str">
        <f>IF(SeismicData[[#This Row],[class]]=1,"Dangerous","Safe")</f>
        <v>Safe</v>
      </c>
      <c r="V1021" t="str">
        <f>IF(SeismicData[[#This Row],[shift]]="W","Production","Non-Production")</f>
        <v>Non-Production</v>
      </c>
      <c r="W1021" t="str">
        <f>IF(SeismicData[[#This Row],[genergy]]=0,"0","10^"&amp;INT(LOG10(SeismicData[[#This Row],[genergy]])))</f>
        <v>10^3</v>
      </c>
      <c r="X1021" t="str">
        <f>IF(OR(SeismicData[[#This Row],[genergy]]&lt;$AA$6,SeismicData[[#This Row],[genergy]]&gt;$AA$5),"Outlier","Normal")</f>
        <v>Normal</v>
      </c>
    </row>
    <row r="1022" spans="1:24" x14ac:dyDescent="0.15">
      <c r="A1022">
        <v>1021</v>
      </c>
      <c r="B1022" t="s">
        <v>20</v>
      </c>
      <c r="C1022" t="s">
        <v>20</v>
      </c>
      <c r="D1022" t="s">
        <v>21</v>
      </c>
      <c r="E1022">
        <v>2610</v>
      </c>
      <c r="F1022">
        <v>39</v>
      </c>
      <c r="G1022">
        <v>5</v>
      </c>
      <c r="H1022">
        <v>-2</v>
      </c>
      <c r="I1022" t="s">
        <v>20</v>
      </c>
      <c r="J1022">
        <v>0</v>
      </c>
      <c r="K1022">
        <v>0</v>
      </c>
      <c r="L1022">
        <v>0</v>
      </c>
      <c r="M1022">
        <v>0</v>
      </c>
      <c r="N1022">
        <v>0</v>
      </c>
      <c r="O1022">
        <v>0</v>
      </c>
      <c r="P1022">
        <v>0</v>
      </c>
      <c r="Q1022">
        <v>0</v>
      </c>
      <c r="R1022">
        <v>0</v>
      </c>
      <c r="S1022">
        <v>0</v>
      </c>
      <c r="T1022">
        <v>0</v>
      </c>
      <c r="U1022" t="str">
        <f>IF(SeismicData[[#This Row],[class]]=1,"Dangerous","Safe")</f>
        <v>Safe</v>
      </c>
      <c r="V1022" t="str">
        <f>IF(SeismicData[[#This Row],[shift]]="W","Production","Non-Production")</f>
        <v>Non-Production</v>
      </c>
      <c r="W1022" t="str">
        <f>IF(SeismicData[[#This Row],[genergy]]=0,"0","10^"&amp;INT(LOG10(SeismicData[[#This Row],[genergy]])))</f>
        <v>10^3</v>
      </c>
      <c r="X1022" t="str">
        <f>IF(OR(SeismicData[[#This Row],[genergy]]&lt;$AA$6,SeismicData[[#This Row],[genergy]]&gt;$AA$5),"Outlier","Normal")</f>
        <v>Normal</v>
      </c>
    </row>
    <row r="1023" spans="1:24" x14ac:dyDescent="0.15">
      <c r="A1023">
        <v>1022</v>
      </c>
      <c r="B1023" t="s">
        <v>20</v>
      </c>
      <c r="C1023" t="s">
        <v>20</v>
      </c>
      <c r="D1023" t="s">
        <v>21</v>
      </c>
      <c r="E1023">
        <v>3030</v>
      </c>
      <c r="F1023">
        <v>29</v>
      </c>
      <c r="G1023">
        <v>15</v>
      </c>
      <c r="H1023">
        <v>-28</v>
      </c>
      <c r="I1023" t="s">
        <v>20</v>
      </c>
      <c r="J1023">
        <v>0</v>
      </c>
      <c r="K1023">
        <v>0</v>
      </c>
      <c r="L1023">
        <v>0</v>
      </c>
      <c r="M1023">
        <v>0</v>
      </c>
      <c r="N1023">
        <v>0</v>
      </c>
      <c r="O1023">
        <v>0</v>
      </c>
      <c r="P1023">
        <v>0</v>
      </c>
      <c r="Q1023">
        <v>0</v>
      </c>
      <c r="R1023">
        <v>0</v>
      </c>
      <c r="S1023">
        <v>0</v>
      </c>
      <c r="T1023">
        <v>0</v>
      </c>
      <c r="U1023" t="str">
        <f>IF(SeismicData[[#This Row],[class]]=1,"Dangerous","Safe")</f>
        <v>Safe</v>
      </c>
      <c r="V1023" t="str">
        <f>IF(SeismicData[[#This Row],[shift]]="W","Production","Non-Production")</f>
        <v>Non-Production</v>
      </c>
      <c r="W1023" t="str">
        <f>IF(SeismicData[[#This Row],[genergy]]=0,"0","10^"&amp;INT(LOG10(SeismicData[[#This Row],[genergy]])))</f>
        <v>10^3</v>
      </c>
      <c r="X1023" t="str">
        <f>IF(OR(SeismicData[[#This Row],[genergy]]&lt;$AA$6,SeismicData[[#This Row],[genergy]]&gt;$AA$5),"Outlier","Normal")</f>
        <v>Normal</v>
      </c>
    </row>
    <row r="1024" spans="1:24" x14ac:dyDescent="0.15">
      <c r="A1024">
        <v>1023</v>
      </c>
      <c r="B1024" t="s">
        <v>20</v>
      </c>
      <c r="C1024" t="s">
        <v>20</v>
      </c>
      <c r="D1024" t="s">
        <v>21</v>
      </c>
      <c r="E1024">
        <v>3430</v>
      </c>
      <c r="F1024">
        <v>23</v>
      </c>
      <c r="G1024">
        <v>27</v>
      </c>
      <c r="H1024">
        <v>-42</v>
      </c>
      <c r="I1024" t="s">
        <v>20</v>
      </c>
      <c r="J1024">
        <v>0</v>
      </c>
      <c r="K1024">
        <v>0</v>
      </c>
      <c r="L1024">
        <v>0</v>
      </c>
      <c r="M1024">
        <v>0</v>
      </c>
      <c r="N1024">
        <v>0</v>
      </c>
      <c r="O1024">
        <v>0</v>
      </c>
      <c r="P1024">
        <v>0</v>
      </c>
      <c r="Q1024">
        <v>0</v>
      </c>
      <c r="R1024">
        <v>0</v>
      </c>
      <c r="S1024">
        <v>0</v>
      </c>
      <c r="T1024">
        <v>0</v>
      </c>
      <c r="U1024" t="str">
        <f>IF(SeismicData[[#This Row],[class]]=1,"Dangerous","Safe")</f>
        <v>Safe</v>
      </c>
      <c r="V1024" t="str">
        <f>IF(SeismicData[[#This Row],[shift]]="W","Production","Non-Production")</f>
        <v>Non-Production</v>
      </c>
      <c r="W1024" t="str">
        <f>IF(SeismicData[[#This Row],[genergy]]=0,"0","10^"&amp;INT(LOG10(SeismicData[[#This Row],[genergy]])))</f>
        <v>10^3</v>
      </c>
      <c r="X1024" t="str">
        <f>IF(OR(SeismicData[[#This Row],[genergy]]&lt;$AA$6,SeismicData[[#This Row],[genergy]]&gt;$AA$5),"Outlier","Normal")</f>
        <v>Normal</v>
      </c>
    </row>
    <row r="1025" spans="1:24" x14ac:dyDescent="0.15">
      <c r="A1025">
        <v>1024</v>
      </c>
      <c r="B1025" t="s">
        <v>20</v>
      </c>
      <c r="C1025" t="s">
        <v>20</v>
      </c>
      <c r="D1025" t="s">
        <v>21</v>
      </c>
      <c r="E1025">
        <v>3330</v>
      </c>
      <c r="F1025">
        <v>17</v>
      </c>
      <c r="G1025">
        <v>26</v>
      </c>
      <c r="H1025">
        <v>-58</v>
      </c>
      <c r="I1025" t="s">
        <v>20</v>
      </c>
      <c r="J1025">
        <v>0</v>
      </c>
      <c r="K1025">
        <v>0</v>
      </c>
      <c r="L1025">
        <v>0</v>
      </c>
      <c r="M1025">
        <v>0</v>
      </c>
      <c r="N1025">
        <v>0</v>
      </c>
      <c r="O1025">
        <v>0</v>
      </c>
      <c r="P1025">
        <v>0</v>
      </c>
      <c r="Q1025">
        <v>0</v>
      </c>
      <c r="R1025">
        <v>0</v>
      </c>
      <c r="S1025">
        <v>0</v>
      </c>
      <c r="T1025">
        <v>0</v>
      </c>
      <c r="U1025" t="str">
        <f>IF(SeismicData[[#This Row],[class]]=1,"Dangerous","Safe")</f>
        <v>Safe</v>
      </c>
      <c r="V1025" t="str">
        <f>IF(SeismicData[[#This Row],[shift]]="W","Production","Non-Production")</f>
        <v>Non-Production</v>
      </c>
      <c r="W1025" t="str">
        <f>IF(SeismicData[[#This Row],[genergy]]=0,"0","10^"&amp;INT(LOG10(SeismicData[[#This Row],[genergy]])))</f>
        <v>10^3</v>
      </c>
      <c r="X1025" t="str">
        <f>IF(OR(SeismicData[[#This Row],[genergy]]&lt;$AA$6,SeismicData[[#This Row],[genergy]]&gt;$AA$5),"Outlier","Normal")</f>
        <v>Normal</v>
      </c>
    </row>
    <row r="1026" spans="1:24" x14ac:dyDescent="0.15">
      <c r="A1026">
        <v>1025</v>
      </c>
      <c r="B1026" t="s">
        <v>20</v>
      </c>
      <c r="C1026" t="s">
        <v>20</v>
      </c>
      <c r="D1026" t="s">
        <v>21</v>
      </c>
      <c r="E1026">
        <v>1950</v>
      </c>
      <c r="F1026">
        <v>19</v>
      </c>
      <c r="G1026">
        <v>-26</v>
      </c>
      <c r="H1026">
        <v>-52</v>
      </c>
      <c r="I1026" t="s">
        <v>20</v>
      </c>
      <c r="J1026">
        <v>0</v>
      </c>
      <c r="K1026">
        <v>0</v>
      </c>
      <c r="L1026">
        <v>0</v>
      </c>
      <c r="M1026">
        <v>0</v>
      </c>
      <c r="N1026">
        <v>0</v>
      </c>
      <c r="O1026">
        <v>0</v>
      </c>
      <c r="P1026">
        <v>0</v>
      </c>
      <c r="Q1026">
        <v>0</v>
      </c>
      <c r="R1026">
        <v>0</v>
      </c>
      <c r="S1026">
        <v>0</v>
      </c>
      <c r="T1026">
        <v>0</v>
      </c>
      <c r="U1026" t="str">
        <f>IF(SeismicData[[#This Row],[class]]=1,"Dangerous","Safe")</f>
        <v>Safe</v>
      </c>
      <c r="V1026" t="str">
        <f>IF(SeismicData[[#This Row],[shift]]="W","Production","Non-Production")</f>
        <v>Non-Production</v>
      </c>
      <c r="W1026" t="str">
        <f>IF(SeismicData[[#This Row],[genergy]]=0,"0","10^"&amp;INT(LOG10(SeismicData[[#This Row],[genergy]])))</f>
        <v>10^3</v>
      </c>
      <c r="X1026" t="str">
        <f>IF(OR(SeismicData[[#This Row],[genergy]]&lt;$AA$6,SeismicData[[#This Row],[genergy]]&gt;$AA$5),"Outlier","Normal")</f>
        <v>Normal</v>
      </c>
    </row>
    <row r="1027" spans="1:24" x14ac:dyDescent="0.15">
      <c r="A1027">
        <v>1026</v>
      </c>
      <c r="B1027" t="s">
        <v>20</v>
      </c>
      <c r="C1027" t="s">
        <v>20</v>
      </c>
      <c r="D1027" t="s">
        <v>21</v>
      </c>
      <c r="E1027">
        <v>3610</v>
      </c>
      <c r="F1027">
        <v>20</v>
      </c>
      <c r="G1027">
        <v>32</v>
      </c>
      <c r="H1027">
        <v>-50</v>
      </c>
      <c r="I1027" t="s">
        <v>20</v>
      </c>
      <c r="J1027">
        <v>0</v>
      </c>
      <c r="K1027">
        <v>0</v>
      </c>
      <c r="L1027">
        <v>0</v>
      </c>
      <c r="M1027">
        <v>0</v>
      </c>
      <c r="N1027">
        <v>0</v>
      </c>
      <c r="O1027">
        <v>0</v>
      </c>
      <c r="P1027">
        <v>0</v>
      </c>
      <c r="Q1027">
        <v>0</v>
      </c>
      <c r="R1027">
        <v>0</v>
      </c>
      <c r="S1027">
        <v>0</v>
      </c>
      <c r="T1027">
        <v>0</v>
      </c>
      <c r="U1027" t="str">
        <f>IF(SeismicData[[#This Row],[class]]=1,"Dangerous","Safe")</f>
        <v>Safe</v>
      </c>
      <c r="V1027" t="str">
        <f>IF(SeismicData[[#This Row],[shift]]="W","Production","Non-Production")</f>
        <v>Non-Production</v>
      </c>
      <c r="W1027" t="str">
        <f>IF(SeismicData[[#This Row],[genergy]]=0,"0","10^"&amp;INT(LOG10(SeismicData[[#This Row],[genergy]])))</f>
        <v>10^3</v>
      </c>
      <c r="X1027" t="str">
        <f>IF(OR(SeismicData[[#This Row],[genergy]]&lt;$AA$6,SeismicData[[#This Row],[genergy]]&gt;$AA$5),"Outlier","Normal")</f>
        <v>Normal</v>
      </c>
    </row>
    <row r="1028" spans="1:24" x14ac:dyDescent="0.15">
      <c r="A1028">
        <v>1027</v>
      </c>
      <c r="B1028" t="s">
        <v>20</v>
      </c>
      <c r="C1028" t="s">
        <v>20</v>
      </c>
      <c r="D1028" t="s">
        <v>21</v>
      </c>
      <c r="E1028">
        <v>3530</v>
      </c>
      <c r="F1028">
        <v>27</v>
      </c>
      <c r="G1028">
        <v>30</v>
      </c>
      <c r="H1028">
        <v>-32</v>
      </c>
      <c r="I1028" t="s">
        <v>20</v>
      </c>
      <c r="J1028">
        <v>0</v>
      </c>
      <c r="K1028">
        <v>0</v>
      </c>
      <c r="L1028">
        <v>0</v>
      </c>
      <c r="M1028">
        <v>0</v>
      </c>
      <c r="N1028">
        <v>0</v>
      </c>
      <c r="O1028">
        <v>0</v>
      </c>
      <c r="P1028">
        <v>0</v>
      </c>
      <c r="Q1028">
        <v>0</v>
      </c>
      <c r="R1028">
        <v>0</v>
      </c>
      <c r="S1028">
        <v>0</v>
      </c>
      <c r="T1028">
        <v>0</v>
      </c>
      <c r="U1028" t="str">
        <f>IF(SeismicData[[#This Row],[class]]=1,"Dangerous","Safe")</f>
        <v>Safe</v>
      </c>
      <c r="V1028" t="str">
        <f>IF(SeismicData[[#This Row],[shift]]="W","Production","Non-Production")</f>
        <v>Non-Production</v>
      </c>
      <c r="W1028" t="str">
        <f>IF(SeismicData[[#This Row],[genergy]]=0,"0","10^"&amp;INT(LOG10(SeismicData[[#This Row],[genergy]])))</f>
        <v>10^3</v>
      </c>
      <c r="X1028" t="str">
        <f>IF(OR(SeismicData[[#This Row],[genergy]]&lt;$AA$6,SeismicData[[#This Row],[genergy]]&gt;$AA$5),"Outlier","Normal")</f>
        <v>Normal</v>
      </c>
    </row>
    <row r="1029" spans="1:24" x14ac:dyDescent="0.15">
      <c r="A1029">
        <v>1028</v>
      </c>
      <c r="B1029" t="s">
        <v>20</v>
      </c>
      <c r="C1029" t="s">
        <v>20</v>
      </c>
      <c r="D1029" t="s">
        <v>21</v>
      </c>
      <c r="E1029">
        <v>1150</v>
      </c>
      <c r="F1029">
        <v>6</v>
      </c>
      <c r="G1029">
        <v>-59</v>
      </c>
      <c r="H1029">
        <v>-85</v>
      </c>
      <c r="I1029" t="s">
        <v>20</v>
      </c>
      <c r="J1029">
        <v>0</v>
      </c>
      <c r="K1029">
        <v>0</v>
      </c>
      <c r="L1029">
        <v>0</v>
      </c>
      <c r="M1029">
        <v>0</v>
      </c>
      <c r="N1029">
        <v>0</v>
      </c>
      <c r="O1029">
        <v>0</v>
      </c>
      <c r="P1029">
        <v>0</v>
      </c>
      <c r="Q1029">
        <v>0</v>
      </c>
      <c r="R1029">
        <v>0</v>
      </c>
      <c r="S1029">
        <v>0</v>
      </c>
      <c r="T1029">
        <v>0</v>
      </c>
      <c r="U1029" t="str">
        <f>IF(SeismicData[[#This Row],[class]]=1,"Dangerous","Safe")</f>
        <v>Safe</v>
      </c>
      <c r="V1029" t="str">
        <f>IF(SeismicData[[#This Row],[shift]]="W","Production","Non-Production")</f>
        <v>Non-Production</v>
      </c>
      <c r="W1029" t="str">
        <f>IF(SeismicData[[#This Row],[genergy]]=0,"0","10^"&amp;INT(LOG10(SeismicData[[#This Row],[genergy]])))</f>
        <v>10^3</v>
      </c>
      <c r="X1029" t="str">
        <f>IF(OR(SeismicData[[#This Row],[genergy]]&lt;$AA$6,SeismicData[[#This Row],[genergy]]&gt;$AA$5),"Outlier","Normal")</f>
        <v>Normal</v>
      </c>
    </row>
    <row r="1030" spans="1:24" x14ac:dyDescent="0.15">
      <c r="A1030">
        <v>1029</v>
      </c>
      <c r="B1030" t="s">
        <v>20</v>
      </c>
      <c r="C1030" t="s">
        <v>20</v>
      </c>
      <c r="D1030" t="s">
        <v>21</v>
      </c>
      <c r="E1030">
        <v>2180</v>
      </c>
      <c r="F1030">
        <v>10</v>
      </c>
      <c r="G1030">
        <v>-24</v>
      </c>
      <c r="H1030">
        <v>-75</v>
      </c>
      <c r="I1030" t="s">
        <v>20</v>
      </c>
      <c r="J1030">
        <v>0</v>
      </c>
      <c r="K1030">
        <v>0</v>
      </c>
      <c r="L1030">
        <v>0</v>
      </c>
      <c r="M1030">
        <v>0</v>
      </c>
      <c r="N1030">
        <v>0</v>
      </c>
      <c r="O1030">
        <v>0</v>
      </c>
      <c r="P1030">
        <v>0</v>
      </c>
      <c r="Q1030">
        <v>0</v>
      </c>
      <c r="R1030">
        <v>0</v>
      </c>
      <c r="S1030">
        <v>0</v>
      </c>
      <c r="T1030">
        <v>0</v>
      </c>
      <c r="U1030" t="str">
        <f>IF(SeismicData[[#This Row],[class]]=1,"Dangerous","Safe")</f>
        <v>Safe</v>
      </c>
      <c r="V1030" t="str">
        <f>IF(SeismicData[[#This Row],[shift]]="W","Production","Non-Production")</f>
        <v>Non-Production</v>
      </c>
      <c r="W1030" t="str">
        <f>IF(SeismicData[[#This Row],[genergy]]=0,"0","10^"&amp;INT(LOG10(SeismicData[[#This Row],[genergy]])))</f>
        <v>10^3</v>
      </c>
      <c r="X1030" t="str">
        <f>IF(OR(SeismicData[[#This Row],[genergy]]&lt;$AA$6,SeismicData[[#This Row],[genergy]]&gt;$AA$5),"Outlier","Normal")</f>
        <v>Normal</v>
      </c>
    </row>
    <row r="1031" spans="1:24" x14ac:dyDescent="0.15">
      <c r="A1031">
        <v>1030</v>
      </c>
      <c r="B1031" t="s">
        <v>20</v>
      </c>
      <c r="C1031" t="s">
        <v>20</v>
      </c>
      <c r="D1031" t="s">
        <v>21</v>
      </c>
      <c r="E1031">
        <v>2760</v>
      </c>
      <c r="F1031">
        <v>24</v>
      </c>
      <c r="G1031">
        <v>2</v>
      </c>
      <c r="H1031">
        <v>-40</v>
      </c>
      <c r="I1031" t="s">
        <v>20</v>
      </c>
      <c r="J1031">
        <v>0</v>
      </c>
      <c r="K1031">
        <v>0</v>
      </c>
      <c r="L1031">
        <v>0</v>
      </c>
      <c r="M1031">
        <v>0</v>
      </c>
      <c r="N1031">
        <v>0</v>
      </c>
      <c r="O1031">
        <v>0</v>
      </c>
      <c r="P1031">
        <v>0</v>
      </c>
      <c r="Q1031">
        <v>0</v>
      </c>
      <c r="R1031">
        <v>0</v>
      </c>
      <c r="S1031">
        <v>0</v>
      </c>
      <c r="T1031">
        <v>0</v>
      </c>
      <c r="U1031" t="str">
        <f>IF(SeismicData[[#This Row],[class]]=1,"Dangerous","Safe")</f>
        <v>Safe</v>
      </c>
      <c r="V1031" t="str">
        <f>IF(SeismicData[[#This Row],[shift]]="W","Production","Non-Production")</f>
        <v>Non-Production</v>
      </c>
      <c r="W1031" t="str">
        <f>IF(SeismicData[[#This Row],[genergy]]=0,"0","10^"&amp;INT(LOG10(SeismicData[[#This Row],[genergy]])))</f>
        <v>10^3</v>
      </c>
      <c r="X1031" t="str">
        <f>IF(OR(SeismicData[[#This Row],[genergy]]&lt;$AA$6,SeismicData[[#This Row],[genergy]]&gt;$AA$5),"Outlier","Normal")</f>
        <v>Normal</v>
      </c>
    </row>
    <row r="1032" spans="1:24" x14ac:dyDescent="0.15">
      <c r="A1032">
        <v>1031</v>
      </c>
      <c r="B1032" t="s">
        <v>20</v>
      </c>
      <c r="C1032" t="s">
        <v>20</v>
      </c>
      <c r="D1032" t="s">
        <v>21</v>
      </c>
      <c r="E1032">
        <v>2740</v>
      </c>
      <c r="F1032">
        <v>17</v>
      </c>
      <c r="G1032">
        <v>0</v>
      </c>
      <c r="H1032">
        <v>-58</v>
      </c>
      <c r="I1032" t="s">
        <v>20</v>
      </c>
      <c r="J1032">
        <v>0</v>
      </c>
      <c r="K1032">
        <v>0</v>
      </c>
      <c r="L1032">
        <v>0</v>
      </c>
      <c r="M1032">
        <v>0</v>
      </c>
      <c r="N1032">
        <v>0</v>
      </c>
      <c r="O1032">
        <v>0</v>
      </c>
      <c r="P1032">
        <v>0</v>
      </c>
      <c r="Q1032">
        <v>0</v>
      </c>
      <c r="R1032">
        <v>0</v>
      </c>
      <c r="S1032">
        <v>0</v>
      </c>
      <c r="T1032">
        <v>0</v>
      </c>
      <c r="U1032" t="str">
        <f>IF(SeismicData[[#This Row],[class]]=1,"Dangerous","Safe")</f>
        <v>Safe</v>
      </c>
      <c r="V1032" t="str">
        <f>IF(SeismicData[[#This Row],[shift]]="W","Production","Non-Production")</f>
        <v>Non-Production</v>
      </c>
      <c r="W1032" t="str">
        <f>IF(SeismicData[[#This Row],[genergy]]=0,"0","10^"&amp;INT(LOG10(SeismicData[[#This Row],[genergy]])))</f>
        <v>10^3</v>
      </c>
      <c r="X1032" t="str">
        <f>IF(OR(SeismicData[[#This Row],[genergy]]&lt;$AA$6,SeismicData[[#This Row],[genergy]]&gt;$AA$5),"Outlier","Normal")</f>
        <v>Normal</v>
      </c>
    </row>
    <row r="1033" spans="1:24" x14ac:dyDescent="0.15">
      <c r="A1033">
        <v>1032</v>
      </c>
      <c r="B1033" t="s">
        <v>20</v>
      </c>
      <c r="C1033" t="s">
        <v>20</v>
      </c>
      <c r="D1033" t="s">
        <v>21</v>
      </c>
      <c r="E1033">
        <v>750</v>
      </c>
      <c r="F1033">
        <v>15</v>
      </c>
      <c r="G1033">
        <v>-73</v>
      </c>
      <c r="H1033">
        <v>-62</v>
      </c>
      <c r="I1033" t="s">
        <v>20</v>
      </c>
      <c r="J1033">
        <v>0</v>
      </c>
      <c r="K1033">
        <v>0</v>
      </c>
      <c r="L1033">
        <v>0</v>
      </c>
      <c r="M1033">
        <v>0</v>
      </c>
      <c r="N1033">
        <v>0</v>
      </c>
      <c r="O1033">
        <v>0</v>
      </c>
      <c r="P1033">
        <v>0</v>
      </c>
      <c r="Q1033">
        <v>0</v>
      </c>
      <c r="R1033">
        <v>0</v>
      </c>
      <c r="S1033">
        <v>0</v>
      </c>
      <c r="T1033">
        <v>0</v>
      </c>
      <c r="U1033" t="str">
        <f>IF(SeismicData[[#This Row],[class]]=1,"Dangerous","Safe")</f>
        <v>Safe</v>
      </c>
      <c r="V1033" t="str">
        <f>IF(SeismicData[[#This Row],[shift]]="W","Production","Non-Production")</f>
        <v>Non-Production</v>
      </c>
      <c r="W1033" t="str">
        <f>IF(SeismicData[[#This Row],[genergy]]=0,"0","10^"&amp;INT(LOG10(SeismicData[[#This Row],[genergy]])))</f>
        <v>10^2</v>
      </c>
      <c r="X1033" t="str">
        <f>IF(OR(SeismicData[[#This Row],[genergy]]&lt;$AA$6,SeismicData[[#This Row],[genergy]]&gt;$AA$5),"Outlier","Normal")</f>
        <v>Normal</v>
      </c>
    </row>
    <row r="1034" spans="1:24" x14ac:dyDescent="0.15">
      <c r="A1034">
        <v>1033</v>
      </c>
      <c r="B1034" t="s">
        <v>20</v>
      </c>
      <c r="C1034" t="s">
        <v>20</v>
      </c>
      <c r="D1034" t="s">
        <v>21</v>
      </c>
      <c r="E1034">
        <v>5050</v>
      </c>
      <c r="F1034">
        <v>55</v>
      </c>
      <c r="G1034">
        <v>99</v>
      </c>
      <c r="H1034">
        <v>38</v>
      </c>
      <c r="I1034" t="s">
        <v>20</v>
      </c>
      <c r="J1034">
        <v>0</v>
      </c>
      <c r="K1034">
        <v>0</v>
      </c>
      <c r="L1034">
        <v>0</v>
      </c>
      <c r="M1034">
        <v>0</v>
      </c>
      <c r="N1034">
        <v>0</v>
      </c>
      <c r="O1034">
        <v>0</v>
      </c>
      <c r="P1034">
        <v>0</v>
      </c>
      <c r="Q1034">
        <v>0</v>
      </c>
      <c r="R1034">
        <v>0</v>
      </c>
      <c r="S1034">
        <v>0</v>
      </c>
      <c r="T1034">
        <v>0</v>
      </c>
      <c r="U1034" t="str">
        <f>IF(SeismicData[[#This Row],[class]]=1,"Dangerous","Safe")</f>
        <v>Safe</v>
      </c>
      <c r="V1034" t="str">
        <f>IF(SeismicData[[#This Row],[shift]]="W","Production","Non-Production")</f>
        <v>Non-Production</v>
      </c>
      <c r="W1034" t="str">
        <f>IF(SeismicData[[#This Row],[genergy]]=0,"0","10^"&amp;INT(LOG10(SeismicData[[#This Row],[genergy]])))</f>
        <v>10^3</v>
      </c>
      <c r="X1034" t="str">
        <f>IF(OR(SeismicData[[#This Row],[genergy]]&lt;$AA$6,SeismicData[[#This Row],[genergy]]&gt;$AA$5),"Outlier","Normal")</f>
        <v>Normal</v>
      </c>
    </row>
    <row r="1035" spans="1:24" x14ac:dyDescent="0.15">
      <c r="A1035">
        <v>1034</v>
      </c>
      <c r="B1035" t="s">
        <v>20</v>
      </c>
      <c r="C1035" t="s">
        <v>20</v>
      </c>
      <c r="D1035" t="s">
        <v>21</v>
      </c>
      <c r="E1035">
        <v>1920</v>
      </c>
      <c r="F1035">
        <v>32</v>
      </c>
      <c r="G1035">
        <v>-29</v>
      </c>
      <c r="H1035">
        <v>-20</v>
      </c>
      <c r="I1035" t="s">
        <v>20</v>
      </c>
      <c r="J1035">
        <v>0</v>
      </c>
      <c r="K1035">
        <v>0</v>
      </c>
      <c r="L1035">
        <v>0</v>
      </c>
      <c r="M1035">
        <v>0</v>
      </c>
      <c r="N1035">
        <v>0</v>
      </c>
      <c r="O1035">
        <v>0</v>
      </c>
      <c r="P1035">
        <v>0</v>
      </c>
      <c r="Q1035">
        <v>0</v>
      </c>
      <c r="R1035">
        <v>0</v>
      </c>
      <c r="S1035">
        <v>0</v>
      </c>
      <c r="T1035">
        <v>0</v>
      </c>
      <c r="U1035" t="str">
        <f>IF(SeismicData[[#This Row],[class]]=1,"Dangerous","Safe")</f>
        <v>Safe</v>
      </c>
      <c r="V1035" t="str">
        <f>IF(SeismicData[[#This Row],[shift]]="W","Production","Non-Production")</f>
        <v>Non-Production</v>
      </c>
      <c r="W1035" t="str">
        <f>IF(SeismicData[[#This Row],[genergy]]=0,"0","10^"&amp;INT(LOG10(SeismicData[[#This Row],[genergy]])))</f>
        <v>10^3</v>
      </c>
      <c r="X1035" t="str">
        <f>IF(OR(SeismicData[[#This Row],[genergy]]&lt;$AA$6,SeismicData[[#This Row],[genergy]]&gt;$AA$5),"Outlier","Normal")</f>
        <v>Normal</v>
      </c>
    </row>
    <row r="1036" spans="1:24" x14ac:dyDescent="0.15">
      <c r="A1036">
        <v>1035</v>
      </c>
      <c r="B1036" t="s">
        <v>20</v>
      </c>
      <c r="C1036" t="s">
        <v>20</v>
      </c>
      <c r="D1036" t="s">
        <v>21</v>
      </c>
      <c r="E1036">
        <v>2820</v>
      </c>
      <c r="F1036">
        <v>25</v>
      </c>
      <c r="G1036">
        <v>10</v>
      </c>
      <c r="H1036">
        <v>-38</v>
      </c>
      <c r="I1036" t="s">
        <v>20</v>
      </c>
      <c r="J1036">
        <v>0</v>
      </c>
      <c r="K1036">
        <v>0</v>
      </c>
      <c r="L1036">
        <v>0</v>
      </c>
      <c r="M1036">
        <v>0</v>
      </c>
      <c r="N1036">
        <v>0</v>
      </c>
      <c r="O1036">
        <v>0</v>
      </c>
      <c r="P1036">
        <v>0</v>
      </c>
      <c r="Q1036">
        <v>0</v>
      </c>
      <c r="R1036">
        <v>0</v>
      </c>
      <c r="S1036">
        <v>0</v>
      </c>
      <c r="T1036">
        <v>0</v>
      </c>
      <c r="U1036" t="str">
        <f>IF(SeismicData[[#This Row],[class]]=1,"Dangerous","Safe")</f>
        <v>Safe</v>
      </c>
      <c r="V1036" t="str">
        <f>IF(SeismicData[[#This Row],[shift]]="W","Production","Non-Production")</f>
        <v>Non-Production</v>
      </c>
      <c r="W1036" t="str">
        <f>IF(SeismicData[[#This Row],[genergy]]=0,"0","10^"&amp;INT(LOG10(SeismicData[[#This Row],[genergy]])))</f>
        <v>10^3</v>
      </c>
      <c r="X1036" t="str">
        <f>IF(OR(SeismicData[[#This Row],[genergy]]&lt;$AA$6,SeismicData[[#This Row],[genergy]]&gt;$AA$5),"Outlier","Normal")</f>
        <v>Normal</v>
      </c>
    </row>
    <row r="1037" spans="1:24" x14ac:dyDescent="0.15">
      <c r="A1037">
        <v>1036</v>
      </c>
      <c r="B1037" t="s">
        <v>20</v>
      </c>
      <c r="C1037" t="s">
        <v>20</v>
      </c>
      <c r="D1037" t="s">
        <v>21</v>
      </c>
      <c r="E1037">
        <v>3300</v>
      </c>
      <c r="F1037">
        <v>15</v>
      </c>
      <c r="G1037">
        <v>24</v>
      </c>
      <c r="H1037">
        <v>-62</v>
      </c>
      <c r="I1037" t="s">
        <v>20</v>
      </c>
      <c r="J1037">
        <v>0</v>
      </c>
      <c r="K1037">
        <v>0</v>
      </c>
      <c r="L1037">
        <v>0</v>
      </c>
      <c r="M1037">
        <v>0</v>
      </c>
      <c r="N1037">
        <v>0</v>
      </c>
      <c r="O1037">
        <v>0</v>
      </c>
      <c r="P1037">
        <v>0</v>
      </c>
      <c r="Q1037">
        <v>0</v>
      </c>
      <c r="R1037">
        <v>0</v>
      </c>
      <c r="S1037">
        <v>0</v>
      </c>
      <c r="T1037">
        <v>0</v>
      </c>
      <c r="U1037" t="str">
        <f>IF(SeismicData[[#This Row],[class]]=1,"Dangerous","Safe")</f>
        <v>Safe</v>
      </c>
      <c r="V1037" t="str">
        <f>IF(SeismicData[[#This Row],[shift]]="W","Production","Non-Production")</f>
        <v>Non-Production</v>
      </c>
      <c r="W1037" t="str">
        <f>IF(SeismicData[[#This Row],[genergy]]=0,"0","10^"&amp;INT(LOG10(SeismicData[[#This Row],[genergy]])))</f>
        <v>10^3</v>
      </c>
      <c r="X1037" t="str">
        <f>IF(OR(SeismicData[[#This Row],[genergy]]&lt;$AA$6,SeismicData[[#This Row],[genergy]]&gt;$AA$5),"Outlier","Normal")</f>
        <v>Normal</v>
      </c>
    </row>
    <row r="1038" spans="1:24" x14ac:dyDescent="0.15">
      <c r="A1038">
        <v>1037</v>
      </c>
      <c r="B1038" t="s">
        <v>20</v>
      </c>
      <c r="C1038" t="s">
        <v>20</v>
      </c>
      <c r="D1038" t="s">
        <v>21</v>
      </c>
      <c r="E1038">
        <v>2150</v>
      </c>
      <c r="F1038">
        <v>13</v>
      </c>
      <c r="G1038">
        <v>-18</v>
      </c>
      <c r="H1038">
        <v>-68</v>
      </c>
      <c r="I1038" t="s">
        <v>20</v>
      </c>
      <c r="J1038">
        <v>0</v>
      </c>
      <c r="K1038">
        <v>0</v>
      </c>
      <c r="L1038">
        <v>0</v>
      </c>
      <c r="M1038">
        <v>0</v>
      </c>
      <c r="N1038">
        <v>0</v>
      </c>
      <c r="O1038">
        <v>0</v>
      </c>
      <c r="P1038">
        <v>0</v>
      </c>
      <c r="Q1038">
        <v>0</v>
      </c>
      <c r="R1038">
        <v>0</v>
      </c>
      <c r="S1038">
        <v>0</v>
      </c>
      <c r="T1038">
        <v>0</v>
      </c>
      <c r="U1038" t="str">
        <f>IF(SeismicData[[#This Row],[class]]=1,"Dangerous","Safe")</f>
        <v>Safe</v>
      </c>
      <c r="V1038" t="str">
        <f>IF(SeismicData[[#This Row],[shift]]="W","Production","Non-Production")</f>
        <v>Non-Production</v>
      </c>
      <c r="W1038" t="str">
        <f>IF(SeismicData[[#This Row],[genergy]]=0,"0","10^"&amp;INT(LOG10(SeismicData[[#This Row],[genergy]])))</f>
        <v>10^3</v>
      </c>
      <c r="X1038" t="str">
        <f>IF(OR(SeismicData[[#This Row],[genergy]]&lt;$AA$6,SeismicData[[#This Row],[genergy]]&gt;$AA$5),"Outlier","Normal")</f>
        <v>Normal</v>
      </c>
    </row>
    <row r="1039" spans="1:24" x14ac:dyDescent="0.15">
      <c r="A1039">
        <v>1038</v>
      </c>
      <c r="B1039" t="s">
        <v>20</v>
      </c>
      <c r="C1039" t="s">
        <v>20</v>
      </c>
      <c r="D1039" t="s">
        <v>21</v>
      </c>
      <c r="E1039">
        <v>3310</v>
      </c>
      <c r="F1039">
        <v>17</v>
      </c>
      <c r="G1039">
        <v>33</v>
      </c>
      <c r="H1039">
        <v>-58</v>
      </c>
      <c r="I1039" t="s">
        <v>20</v>
      </c>
      <c r="J1039">
        <v>0</v>
      </c>
      <c r="K1039">
        <v>0</v>
      </c>
      <c r="L1039">
        <v>0</v>
      </c>
      <c r="M1039">
        <v>0</v>
      </c>
      <c r="N1039">
        <v>0</v>
      </c>
      <c r="O1039">
        <v>0</v>
      </c>
      <c r="P1039">
        <v>0</v>
      </c>
      <c r="Q1039">
        <v>0</v>
      </c>
      <c r="R1039">
        <v>0</v>
      </c>
      <c r="S1039">
        <v>0</v>
      </c>
      <c r="T1039">
        <v>0</v>
      </c>
      <c r="U1039" t="str">
        <f>IF(SeismicData[[#This Row],[class]]=1,"Dangerous","Safe")</f>
        <v>Safe</v>
      </c>
      <c r="V1039" t="str">
        <f>IF(SeismicData[[#This Row],[shift]]="W","Production","Non-Production")</f>
        <v>Non-Production</v>
      </c>
      <c r="W1039" t="str">
        <f>IF(SeismicData[[#This Row],[genergy]]=0,"0","10^"&amp;INT(LOG10(SeismicData[[#This Row],[genergy]])))</f>
        <v>10^3</v>
      </c>
      <c r="X1039" t="str">
        <f>IF(OR(SeismicData[[#This Row],[genergy]]&lt;$AA$6,SeismicData[[#This Row],[genergy]]&gt;$AA$5),"Outlier","Normal")</f>
        <v>Normal</v>
      </c>
    </row>
    <row r="1040" spans="1:24" x14ac:dyDescent="0.15">
      <c r="A1040">
        <v>1039</v>
      </c>
      <c r="B1040" t="s">
        <v>20</v>
      </c>
      <c r="C1040" t="s">
        <v>20</v>
      </c>
      <c r="D1040" t="s">
        <v>21</v>
      </c>
      <c r="E1040">
        <v>2290</v>
      </c>
      <c r="F1040">
        <v>29</v>
      </c>
      <c r="G1040">
        <v>-15</v>
      </c>
      <c r="H1040">
        <v>-28</v>
      </c>
      <c r="I1040" t="s">
        <v>20</v>
      </c>
      <c r="J1040">
        <v>0</v>
      </c>
      <c r="K1040">
        <v>0</v>
      </c>
      <c r="L1040">
        <v>0</v>
      </c>
      <c r="M1040">
        <v>0</v>
      </c>
      <c r="N1040">
        <v>0</v>
      </c>
      <c r="O1040">
        <v>0</v>
      </c>
      <c r="P1040">
        <v>0</v>
      </c>
      <c r="Q1040">
        <v>0</v>
      </c>
      <c r="R1040">
        <v>0</v>
      </c>
      <c r="S1040">
        <v>0</v>
      </c>
      <c r="T1040">
        <v>0</v>
      </c>
      <c r="U1040" t="str">
        <f>IF(SeismicData[[#This Row],[class]]=1,"Dangerous","Safe")</f>
        <v>Safe</v>
      </c>
      <c r="V1040" t="str">
        <f>IF(SeismicData[[#This Row],[shift]]="W","Production","Non-Production")</f>
        <v>Non-Production</v>
      </c>
      <c r="W1040" t="str">
        <f>IF(SeismicData[[#This Row],[genergy]]=0,"0","10^"&amp;INT(LOG10(SeismicData[[#This Row],[genergy]])))</f>
        <v>10^3</v>
      </c>
      <c r="X1040" t="str">
        <f>IF(OR(SeismicData[[#This Row],[genergy]]&lt;$AA$6,SeismicData[[#This Row],[genergy]]&gt;$AA$5),"Outlier","Normal")</f>
        <v>Normal</v>
      </c>
    </row>
    <row r="1041" spans="1:24" x14ac:dyDescent="0.15">
      <c r="A1041">
        <v>1040</v>
      </c>
      <c r="B1041" t="s">
        <v>20</v>
      </c>
      <c r="C1041" t="s">
        <v>20</v>
      </c>
      <c r="D1041" t="s">
        <v>21</v>
      </c>
      <c r="E1041">
        <v>1380</v>
      </c>
      <c r="F1041">
        <v>56</v>
      </c>
      <c r="G1041">
        <v>-49</v>
      </c>
      <c r="H1041">
        <v>40</v>
      </c>
      <c r="I1041" t="s">
        <v>20</v>
      </c>
      <c r="J1041">
        <v>0</v>
      </c>
      <c r="K1041">
        <v>0</v>
      </c>
      <c r="L1041">
        <v>0</v>
      </c>
      <c r="M1041">
        <v>0</v>
      </c>
      <c r="N1041">
        <v>0</v>
      </c>
      <c r="O1041">
        <v>0</v>
      </c>
      <c r="P1041">
        <v>0</v>
      </c>
      <c r="Q1041">
        <v>0</v>
      </c>
      <c r="R1041">
        <v>0</v>
      </c>
      <c r="S1041">
        <v>0</v>
      </c>
      <c r="T1041">
        <v>0</v>
      </c>
      <c r="U1041" t="str">
        <f>IF(SeismicData[[#This Row],[class]]=1,"Dangerous","Safe")</f>
        <v>Safe</v>
      </c>
      <c r="V1041" t="str">
        <f>IF(SeismicData[[#This Row],[shift]]="W","Production","Non-Production")</f>
        <v>Non-Production</v>
      </c>
      <c r="W1041" t="str">
        <f>IF(SeismicData[[#This Row],[genergy]]=0,"0","10^"&amp;INT(LOG10(SeismicData[[#This Row],[genergy]])))</f>
        <v>10^3</v>
      </c>
      <c r="X1041" t="str">
        <f>IF(OR(SeismicData[[#This Row],[genergy]]&lt;$AA$6,SeismicData[[#This Row],[genergy]]&gt;$AA$5),"Outlier","Normal")</f>
        <v>Normal</v>
      </c>
    </row>
    <row r="1042" spans="1:24" x14ac:dyDescent="0.15">
      <c r="A1042">
        <v>1041</v>
      </c>
      <c r="B1042" t="s">
        <v>20</v>
      </c>
      <c r="C1042" t="s">
        <v>20</v>
      </c>
      <c r="D1042" t="s">
        <v>21</v>
      </c>
      <c r="E1042">
        <v>2780</v>
      </c>
      <c r="F1042">
        <v>19</v>
      </c>
      <c r="G1042">
        <v>8</v>
      </c>
      <c r="H1042">
        <v>-52</v>
      </c>
      <c r="I1042" t="s">
        <v>20</v>
      </c>
      <c r="J1042">
        <v>0</v>
      </c>
      <c r="K1042">
        <v>0</v>
      </c>
      <c r="L1042">
        <v>0</v>
      </c>
      <c r="M1042">
        <v>0</v>
      </c>
      <c r="N1042">
        <v>0</v>
      </c>
      <c r="O1042">
        <v>0</v>
      </c>
      <c r="P1042">
        <v>0</v>
      </c>
      <c r="Q1042">
        <v>0</v>
      </c>
      <c r="R1042">
        <v>0</v>
      </c>
      <c r="S1042">
        <v>0</v>
      </c>
      <c r="T1042">
        <v>0</v>
      </c>
      <c r="U1042" t="str">
        <f>IF(SeismicData[[#This Row],[class]]=1,"Dangerous","Safe")</f>
        <v>Safe</v>
      </c>
      <c r="V1042" t="str">
        <f>IF(SeismicData[[#This Row],[shift]]="W","Production","Non-Production")</f>
        <v>Non-Production</v>
      </c>
      <c r="W1042" t="str">
        <f>IF(SeismicData[[#This Row],[genergy]]=0,"0","10^"&amp;INT(LOG10(SeismicData[[#This Row],[genergy]])))</f>
        <v>10^3</v>
      </c>
      <c r="X1042" t="str">
        <f>IF(OR(SeismicData[[#This Row],[genergy]]&lt;$AA$6,SeismicData[[#This Row],[genergy]]&gt;$AA$5),"Outlier","Normal")</f>
        <v>Normal</v>
      </c>
    </row>
    <row r="1043" spans="1:24" x14ac:dyDescent="0.15">
      <c r="A1043">
        <v>1042</v>
      </c>
      <c r="B1043" t="s">
        <v>20</v>
      </c>
      <c r="C1043" t="s">
        <v>20</v>
      </c>
      <c r="D1043" t="s">
        <v>21</v>
      </c>
      <c r="E1043">
        <v>2920</v>
      </c>
      <c r="F1043">
        <v>16</v>
      </c>
      <c r="G1043">
        <v>13</v>
      </c>
      <c r="H1043">
        <v>-60</v>
      </c>
      <c r="I1043" t="s">
        <v>20</v>
      </c>
      <c r="J1043">
        <v>0</v>
      </c>
      <c r="K1043">
        <v>0</v>
      </c>
      <c r="L1043">
        <v>0</v>
      </c>
      <c r="M1043">
        <v>0</v>
      </c>
      <c r="N1043">
        <v>0</v>
      </c>
      <c r="O1043">
        <v>0</v>
      </c>
      <c r="P1043">
        <v>0</v>
      </c>
      <c r="Q1043">
        <v>0</v>
      </c>
      <c r="R1043">
        <v>0</v>
      </c>
      <c r="S1043">
        <v>0</v>
      </c>
      <c r="T1043">
        <v>0</v>
      </c>
      <c r="U1043" t="str">
        <f>IF(SeismicData[[#This Row],[class]]=1,"Dangerous","Safe")</f>
        <v>Safe</v>
      </c>
      <c r="V1043" t="str">
        <f>IF(SeismicData[[#This Row],[shift]]="W","Production","Non-Production")</f>
        <v>Non-Production</v>
      </c>
      <c r="W1043" t="str">
        <f>IF(SeismicData[[#This Row],[genergy]]=0,"0","10^"&amp;INT(LOG10(SeismicData[[#This Row],[genergy]])))</f>
        <v>10^3</v>
      </c>
      <c r="X1043" t="str">
        <f>IF(OR(SeismicData[[#This Row],[genergy]]&lt;$AA$6,SeismicData[[#This Row],[genergy]]&gt;$AA$5),"Outlier","Normal")</f>
        <v>Normal</v>
      </c>
    </row>
    <row r="1044" spans="1:24" x14ac:dyDescent="0.15">
      <c r="A1044">
        <v>1043</v>
      </c>
      <c r="B1044" t="s">
        <v>20</v>
      </c>
      <c r="C1044" t="s">
        <v>20</v>
      </c>
      <c r="D1044" t="s">
        <v>21</v>
      </c>
      <c r="E1044">
        <v>2700</v>
      </c>
      <c r="F1044">
        <v>14</v>
      </c>
      <c r="G1044">
        <v>-3</v>
      </c>
      <c r="H1044">
        <v>-65</v>
      </c>
      <c r="I1044" t="s">
        <v>20</v>
      </c>
      <c r="J1044">
        <v>0</v>
      </c>
      <c r="K1044">
        <v>0</v>
      </c>
      <c r="L1044">
        <v>0</v>
      </c>
      <c r="M1044">
        <v>0</v>
      </c>
      <c r="N1044">
        <v>0</v>
      </c>
      <c r="O1044">
        <v>0</v>
      </c>
      <c r="P1044">
        <v>0</v>
      </c>
      <c r="Q1044">
        <v>0</v>
      </c>
      <c r="R1044">
        <v>0</v>
      </c>
      <c r="S1044">
        <v>0</v>
      </c>
      <c r="T1044">
        <v>0</v>
      </c>
      <c r="U1044" t="str">
        <f>IF(SeismicData[[#This Row],[class]]=1,"Dangerous","Safe")</f>
        <v>Safe</v>
      </c>
      <c r="V1044" t="str">
        <f>IF(SeismicData[[#This Row],[shift]]="W","Production","Non-Production")</f>
        <v>Non-Production</v>
      </c>
      <c r="W1044" t="str">
        <f>IF(SeismicData[[#This Row],[genergy]]=0,"0","10^"&amp;INT(LOG10(SeismicData[[#This Row],[genergy]])))</f>
        <v>10^3</v>
      </c>
      <c r="X1044" t="str">
        <f>IF(OR(SeismicData[[#This Row],[genergy]]&lt;$AA$6,SeismicData[[#This Row],[genergy]]&gt;$AA$5),"Outlier","Normal")</f>
        <v>Normal</v>
      </c>
    </row>
    <row r="1045" spans="1:24" x14ac:dyDescent="0.15">
      <c r="A1045">
        <v>1044</v>
      </c>
      <c r="B1045" t="s">
        <v>20</v>
      </c>
      <c r="C1045" t="s">
        <v>20</v>
      </c>
      <c r="D1045" t="s">
        <v>21</v>
      </c>
      <c r="E1045">
        <v>780</v>
      </c>
      <c r="F1045">
        <v>6</v>
      </c>
      <c r="G1045">
        <v>-70</v>
      </c>
      <c r="H1045">
        <v>-85</v>
      </c>
      <c r="I1045" t="s">
        <v>20</v>
      </c>
      <c r="J1045">
        <v>0</v>
      </c>
      <c r="K1045">
        <v>0</v>
      </c>
      <c r="L1045">
        <v>0</v>
      </c>
      <c r="M1045">
        <v>0</v>
      </c>
      <c r="N1045">
        <v>0</v>
      </c>
      <c r="O1045">
        <v>0</v>
      </c>
      <c r="P1045">
        <v>0</v>
      </c>
      <c r="Q1045">
        <v>0</v>
      </c>
      <c r="R1045">
        <v>0</v>
      </c>
      <c r="S1045">
        <v>0</v>
      </c>
      <c r="T1045">
        <v>0</v>
      </c>
      <c r="U1045" t="str">
        <f>IF(SeismicData[[#This Row],[class]]=1,"Dangerous","Safe")</f>
        <v>Safe</v>
      </c>
      <c r="V1045" t="str">
        <f>IF(SeismicData[[#This Row],[shift]]="W","Production","Non-Production")</f>
        <v>Non-Production</v>
      </c>
      <c r="W1045" t="str">
        <f>IF(SeismicData[[#This Row],[genergy]]=0,"0","10^"&amp;INT(LOG10(SeismicData[[#This Row],[genergy]])))</f>
        <v>10^2</v>
      </c>
      <c r="X1045" t="str">
        <f>IF(OR(SeismicData[[#This Row],[genergy]]&lt;$AA$6,SeismicData[[#This Row],[genergy]]&gt;$AA$5),"Outlier","Normal")</f>
        <v>Normal</v>
      </c>
    </row>
    <row r="1046" spans="1:24" x14ac:dyDescent="0.15">
      <c r="A1046">
        <v>1045</v>
      </c>
      <c r="B1046" t="s">
        <v>20</v>
      </c>
      <c r="C1046" t="s">
        <v>20</v>
      </c>
      <c r="D1046" t="s">
        <v>21</v>
      </c>
      <c r="E1046">
        <v>2810</v>
      </c>
      <c r="F1046">
        <v>7</v>
      </c>
      <c r="G1046">
        <v>15</v>
      </c>
      <c r="H1046">
        <v>-82</v>
      </c>
      <c r="I1046" t="s">
        <v>20</v>
      </c>
      <c r="J1046">
        <v>0</v>
      </c>
      <c r="K1046">
        <v>0</v>
      </c>
      <c r="L1046">
        <v>0</v>
      </c>
      <c r="M1046">
        <v>0</v>
      </c>
      <c r="N1046">
        <v>0</v>
      </c>
      <c r="O1046">
        <v>0</v>
      </c>
      <c r="P1046">
        <v>0</v>
      </c>
      <c r="Q1046">
        <v>0</v>
      </c>
      <c r="R1046">
        <v>0</v>
      </c>
      <c r="S1046">
        <v>0</v>
      </c>
      <c r="T1046">
        <v>0</v>
      </c>
      <c r="U1046" t="str">
        <f>IF(SeismicData[[#This Row],[class]]=1,"Dangerous","Safe")</f>
        <v>Safe</v>
      </c>
      <c r="V1046" t="str">
        <f>IF(SeismicData[[#This Row],[shift]]="W","Production","Non-Production")</f>
        <v>Non-Production</v>
      </c>
      <c r="W1046" t="str">
        <f>IF(SeismicData[[#This Row],[genergy]]=0,"0","10^"&amp;INT(LOG10(SeismicData[[#This Row],[genergy]])))</f>
        <v>10^3</v>
      </c>
      <c r="X1046" t="str">
        <f>IF(OR(SeismicData[[#This Row],[genergy]]&lt;$AA$6,SeismicData[[#This Row],[genergy]]&gt;$AA$5),"Outlier","Normal")</f>
        <v>Normal</v>
      </c>
    </row>
    <row r="1047" spans="1:24" x14ac:dyDescent="0.15">
      <c r="A1047">
        <v>1046</v>
      </c>
      <c r="B1047" t="s">
        <v>20</v>
      </c>
      <c r="C1047" t="s">
        <v>20</v>
      </c>
      <c r="D1047" t="s">
        <v>21</v>
      </c>
      <c r="E1047">
        <v>2350</v>
      </c>
      <c r="F1047">
        <v>19</v>
      </c>
      <c r="G1047">
        <v>-4</v>
      </c>
      <c r="H1047">
        <v>-52</v>
      </c>
      <c r="I1047" t="s">
        <v>20</v>
      </c>
      <c r="J1047">
        <v>0</v>
      </c>
      <c r="K1047">
        <v>0</v>
      </c>
      <c r="L1047">
        <v>0</v>
      </c>
      <c r="M1047">
        <v>0</v>
      </c>
      <c r="N1047">
        <v>0</v>
      </c>
      <c r="O1047">
        <v>0</v>
      </c>
      <c r="P1047">
        <v>0</v>
      </c>
      <c r="Q1047">
        <v>0</v>
      </c>
      <c r="R1047">
        <v>0</v>
      </c>
      <c r="S1047">
        <v>0</v>
      </c>
      <c r="T1047">
        <v>0</v>
      </c>
      <c r="U1047" t="str">
        <f>IF(SeismicData[[#This Row],[class]]=1,"Dangerous","Safe")</f>
        <v>Safe</v>
      </c>
      <c r="V1047" t="str">
        <f>IF(SeismicData[[#This Row],[shift]]="W","Production","Non-Production")</f>
        <v>Non-Production</v>
      </c>
      <c r="W1047" t="str">
        <f>IF(SeismicData[[#This Row],[genergy]]=0,"0","10^"&amp;INT(LOG10(SeismicData[[#This Row],[genergy]])))</f>
        <v>10^3</v>
      </c>
      <c r="X1047" t="str">
        <f>IF(OR(SeismicData[[#This Row],[genergy]]&lt;$AA$6,SeismicData[[#This Row],[genergy]]&gt;$AA$5),"Outlier","Normal")</f>
        <v>Normal</v>
      </c>
    </row>
    <row r="1048" spans="1:24" x14ac:dyDescent="0.15">
      <c r="A1048">
        <v>1047</v>
      </c>
      <c r="B1048" t="s">
        <v>20</v>
      </c>
      <c r="C1048" t="s">
        <v>20</v>
      </c>
      <c r="D1048" t="s">
        <v>21</v>
      </c>
      <c r="E1048">
        <v>1490</v>
      </c>
      <c r="F1048">
        <v>10</v>
      </c>
      <c r="G1048">
        <v>-37</v>
      </c>
      <c r="H1048">
        <v>-75</v>
      </c>
      <c r="I1048" t="s">
        <v>20</v>
      </c>
      <c r="J1048">
        <v>0</v>
      </c>
      <c r="K1048">
        <v>0</v>
      </c>
      <c r="L1048">
        <v>0</v>
      </c>
      <c r="M1048">
        <v>0</v>
      </c>
      <c r="N1048">
        <v>0</v>
      </c>
      <c r="O1048">
        <v>0</v>
      </c>
      <c r="P1048">
        <v>0</v>
      </c>
      <c r="Q1048">
        <v>0</v>
      </c>
      <c r="R1048">
        <v>0</v>
      </c>
      <c r="S1048">
        <v>0</v>
      </c>
      <c r="T1048">
        <v>0</v>
      </c>
      <c r="U1048" t="str">
        <f>IF(SeismicData[[#This Row],[class]]=1,"Dangerous","Safe")</f>
        <v>Safe</v>
      </c>
      <c r="V1048" t="str">
        <f>IF(SeismicData[[#This Row],[shift]]="W","Production","Non-Production")</f>
        <v>Non-Production</v>
      </c>
      <c r="W1048" t="str">
        <f>IF(SeismicData[[#This Row],[genergy]]=0,"0","10^"&amp;INT(LOG10(SeismicData[[#This Row],[genergy]])))</f>
        <v>10^3</v>
      </c>
      <c r="X1048" t="str">
        <f>IF(OR(SeismicData[[#This Row],[genergy]]&lt;$AA$6,SeismicData[[#This Row],[genergy]]&gt;$AA$5),"Outlier","Normal")</f>
        <v>Normal</v>
      </c>
    </row>
    <row r="1049" spans="1:24" x14ac:dyDescent="0.15">
      <c r="A1049">
        <v>1048</v>
      </c>
      <c r="B1049" t="s">
        <v>20</v>
      </c>
      <c r="C1049" t="s">
        <v>20</v>
      </c>
      <c r="D1049" t="s">
        <v>21</v>
      </c>
      <c r="E1049">
        <v>1970</v>
      </c>
      <c r="F1049">
        <v>17</v>
      </c>
      <c r="G1049">
        <v>-14</v>
      </c>
      <c r="H1049">
        <v>-58</v>
      </c>
      <c r="I1049" t="s">
        <v>20</v>
      </c>
      <c r="J1049">
        <v>0</v>
      </c>
      <c r="K1049">
        <v>0</v>
      </c>
      <c r="L1049">
        <v>0</v>
      </c>
      <c r="M1049">
        <v>0</v>
      </c>
      <c r="N1049">
        <v>0</v>
      </c>
      <c r="O1049">
        <v>0</v>
      </c>
      <c r="P1049">
        <v>0</v>
      </c>
      <c r="Q1049">
        <v>0</v>
      </c>
      <c r="R1049">
        <v>0</v>
      </c>
      <c r="S1049">
        <v>0</v>
      </c>
      <c r="T1049">
        <v>0</v>
      </c>
      <c r="U1049" t="str">
        <f>IF(SeismicData[[#This Row],[class]]=1,"Dangerous","Safe")</f>
        <v>Safe</v>
      </c>
      <c r="V1049" t="str">
        <f>IF(SeismicData[[#This Row],[shift]]="W","Production","Non-Production")</f>
        <v>Non-Production</v>
      </c>
      <c r="W1049" t="str">
        <f>IF(SeismicData[[#This Row],[genergy]]=0,"0","10^"&amp;INT(LOG10(SeismicData[[#This Row],[genergy]])))</f>
        <v>10^3</v>
      </c>
      <c r="X1049" t="str">
        <f>IF(OR(SeismicData[[#This Row],[genergy]]&lt;$AA$6,SeismicData[[#This Row],[genergy]]&gt;$AA$5),"Outlier","Normal")</f>
        <v>Normal</v>
      </c>
    </row>
    <row r="1050" spans="1:24" x14ac:dyDescent="0.15">
      <c r="A1050">
        <v>1049</v>
      </c>
      <c r="B1050" t="s">
        <v>20</v>
      </c>
      <c r="C1050" t="s">
        <v>20</v>
      </c>
      <c r="D1050" t="s">
        <v>21</v>
      </c>
      <c r="E1050">
        <v>3890</v>
      </c>
      <c r="F1050">
        <v>46</v>
      </c>
      <c r="G1050">
        <v>81</v>
      </c>
      <c r="H1050">
        <v>15</v>
      </c>
      <c r="I1050" t="s">
        <v>20</v>
      </c>
      <c r="J1050">
        <v>0</v>
      </c>
      <c r="K1050">
        <v>0</v>
      </c>
      <c r="L1050">
        <v>0</v>
      </c>
      <c r="M1050">
        <v>0</v>
      </c>
      <c r="N1050">
        <v>0</v>
      </c>
      <c r="O1050">
        <v>0</v>
      </c>
      <c r="P1050">
        <v>0</v>
      </c>
      <c r="Q1050">
        <v>0</v>
      </c>
      <c r="R1050">
        <v>0</v>
      </c>
      <c r="S1050">
        <v>0</v>
      </c>
      <c r="T1050">
        <v>0</v>
      </c>
      <c r="U1050" t="str">
        <f>IF(SeismicData[[#This Row],[class]]=1,"Dangerous","Safe")</f>
        <v>Safe</v>
      </c>
      <c r="V1050" t="str">
        <f>IF(SeismicData[[#This Row],[shift]]="W","Production","Non-Production")</f>
        <v>Non-Production</v>
      </c>
      <c r="W1050" t="str">
        <f>IF(SeismicData[[#This Row],[genergy]]=0,"0","10^"&amp;INT(LOG10(SeismicData[[#This Row],[genergy]])))</f>
        <v>10^3</v>
      </c>
      <c r="X1050" t="str">
        <f>IF(OR(SeismicData[[#This Row],[genergy]]&lt;$AA$6,SeismicData[[#This Row],[genergy]]&gt;$AA$5),"Outlier","Normal")</f>
        <v>Normal</v>
      </c>
    </row>
    <row r="1051" spans="1:24" x14ac:dyDescent="0.15">
      <c r="A1051">
        <v>1050</v>
      </c>
      <c r="B1051" t="s">
        <v>20</v>
      </c>
      <c r="C1051" t="s">
        <v>20</v>
      </c>
      <c r="D1051" t="s">
        <v>21</v>
      </c>
      <c r="E1051">
        <v>1340</v>
      </c>
      <c r="F1051">
        <v>21</v>
      </c>
      <c r="G1051">
        <v>-42</v>
      </c>
      <c r="H1051">
        <v>-48</v>
      </c>
      <c r="I1051" t="s">
        <v>20</v>
      </c>
      <c r="J1051">
        <v>0</v>
      </c>
      <c r="K1051">
        <v>0</v>
      </c>
      <c r="L1051">
        <v>0</v>
      </c>
      <c r="M1051">
        <v>0</v>
      </c>
      <c r="N1051">
        <v>0</v>
      </c>
      <c r="O1051">
        <v>0</v>
      </c>
      <c r="P1051">
        <v>0</v>
      </c>
      <c r="Q1051">
        <v>0</v>
      </c>
      <c r="R1051">
        <v>0</v>
      </c>
      <c r="S1051">
        <v>0</v>
      </c>
      <c r="T1051">
        <v>0</v>
      </c>
      <c r="U1051" t="str">
        <f>IF(SeismicData[[#This Row],[class]]=1,"Dangerous","Safe")</f>
        <v>Safe</v>
      </c>
      <c r="V1051" t="str">
        <f>IF(SeismicData[[#This Row],[shift]]="W","Production","Non-Production")</f>
        <v>Non-Production</v>
      </c>
      <c r="W1051" t="str">
        <f>IF(SeismicData[[#This Row],[genergy]]=0,"0","10^"&amp;INT(LOG10(SeismicData[[#This Row],[genergy]])))</f>
        <v>10^3</v>
      </c>
      <c r="X1051" t="str">
        <f>IF(OR(SeismicData[[#This Row],[genergy]]&lt;$AA$6,SeismicData[[#This Row],[genergy]]&gt;$AA$5),"Outlier","Normal")</f>
        <v>Normal</v>
      </c>
    </row>
    <row r="1052" spans="1:24" x14ac:dyDescent="0.15">
      <c r="A1052">
        <v>1051</v>
      </c>
      <c r="B1052" t="s">
        <v>20</v>
      </c>
      <c r="C1052" t="s">
        <v>20</v>
      </c>
      <c r="D1052" t="s">
        <v>21</v>
      </c>
      <c r="E1052">
        <v>1620</v>
      </c>
      <c r="F1052">
        <v>11</v>
      </c>
      <c r="G1052">
        <v>-30</v>
      </c>
      <c r="H1052">
        <v>-72</v>
      </c>
      <c r="I1052" t="s">
        <v>20</v>
      </c>
      <c r="J1052">
        <v>0</v>
      </c>
      <c r="K1052">
        <v>0</v>
      </c>
      <c r="L1052">
        <v>0</v>
      </c>
      <c r="M1052">
        <v>0</v>
      </c>
      <c r="N1052">
        <v>0</v>
      </c>
      <c r="O1052">
        <v>0</v>
      </c>
      <c r="P1052">
        <v>0</v>
      </c>
      <c r="Q1052">
        <v>0</v>
      </c>
      <c r="R1052">
        <v>0</v>
      </c>
      <c r="S1052">
        <v>0</v>
      </c>
      <c r="T1052">
        <v>0</v>
      </c>
      <c r="U1052" t="str">
        <f>IF(SeismicData[[#This Row],[class]]=1,"Dangerous","Safe")</f>
        <v>Safe</v>
      </c>
      <c r="V1052" t="str">
        <f>IF(SeismicData[[#This Row],[shift]]="W","Production","Non-Production")</f>
        <v>Non-Production</v>
      </c>
      <c r="W1052" t="str">
        <f>IF(SeismicData[[#This Row],[genergy]]=0,"0","10^"&amp;INT(LOG10(SeismicData[[#This Row],[genergy]])))</f>
        <v>10^3</v>
      </c>
      <c r="X1052" t="str">
        <f>IF(OR(SeismicData[[#This Row],[genergy]]&lt;$AA$6,SeismicData[[#This Row],[genergy]]&gt;$AA$5),"Outlier","Normal")</f>
        <v>Normal</v>
      </c>
    </row>
    <row r="1053" spans="1:24" x14ac:dyDescent="0.15">
      <c r="A1053">
        <v>1052</v>
      </c>
      <c r="B1053" t="s">
        <v>20</v>
      </c>
      <c r="C1053" t="s">
        <v>20</v>
      </c>
      <c r="D1053" t="s">
        <v>21</v>
      </c>
      <c r="E1053">
        <v>2570</v>
      </c>
      <c r="F1053">
        <v>10</v>
      </c>
      <c r="G1053">
        <v>18</v>
      </c>
      <c r="H1053">
        <v>-75</v>
      </c>
      <c r="I1053" t="s">
        <v>20</v>
      </c>
      <c r="J1053">
        <v>0</v>
      </c>
      <c r="K1053">
        <v>0</v>
      </c>
      <c r="L1053">
        <v>0</v>
      </c>
      <c r="M1053">
        <v>0</v>
      </c>
      <c r="N1053">
        <v>0</v>
      </c>
      <c r="O1053">
        <v>0</v>
      </c>
      <c r="P1053">
        <v>0</v>
      </c>
      <c r="Q1053">
        <v>0</v>
      </c>
      <c r="R1053">
        <v>0</v>
      </c>
      <c r="S1053">
        <v>0</v>
      </c>
      <c r="T1053">
        <v>0</v>
      </c>
      <c r="U1053" t="str">
        <f>IF(SeismicData[[#This Row],[class]]=1,"Dangerous","Safe")</f>
        <v>Safe</v>
      </c>
      <c r="V1053" t="str">
        <f>IF(SeismicData[[#This Row],[shift]]="W","Production","Non-Production")</f>
        <v>Non-Production</v>
      </c>
      <c r="W1053" t="str">
        <f>IF(SeismicData[[#This Row],[genergy]]=0,"0","10^"&amp;INT(LOG10(SeismicData[[#This Row],[genergy]])))</f>
        <v>10^3</v>
      </c>
      <c r="X1053" t="str">
        <f>IF(OR(SeismicData[[#This Row],[genergy]]&lt;$AA$6,SeismicData[[#This Row],[genergy]]&gt;$AA$5),"Outlier","Normal")</f>
        <v>Normal</v>
      </c>
    </row>
    <row r="1054" spans="1:24" x14ac:dyDescent="0.15">
      <c r="A1054">
        <v>1053</v>
      </c>
      <c r="B1054" t="s">
        <v>20</v>
      </c>
      <c r="C1054" t="s">
        <v>20</v>
      </c>
      <c r="D1054" t="s">
        <v>21</v>
      </c>
      <c r="E1054">
        <v>1190</v>
      </c>
      <c r="F1054">
        <v>9</v>
      </c>
      <c r="G1054">
        <v>-45</v>
      </c>
      <c r="H1054">
        <v>-78</v>
      </c>
      <c r="I1054" t="s">
        <v>20</v>
      </c>
      <c r="J1054">
        <v>0</v>
      </c>
      <c r="K1054">
        <v>0</v>
      </c>
      <c r="L1054">
        <v>0</v>
      </c>
      <c r="M1054">
        <v>0</v>
      </c>
      <c r="N1054">
        <v>0</v>
      </c>
      <c r="O1054">
        <v>0</v>
      </c>
      <c r="P1054">
        <v>0</v>
      </c>
      <c r="Q1054">
        <v>0</v>
      </c>
      <c r="R1054">
        <v>0</v>
      </c>
      <c r="S1054">
        <v>0</v>
      </c>
      <c r="T1054">
        <v>0</v>
      </c>
      <c r="U1054" t="str">
        <f>IF(SeismicData[[#This Row],[class]]=1,"Dangerous","Safe")</f>
        <v>Safe</v>
      </c>
      <c r="V1054" t="str">
        <f>IF(SeismicData[[#This Row],[shift]]="W","Production","Non-Production")</f>
        <v>Non-Production</v>
      </c>
      <c r="W1054" t="str">
        <f>IF(SeismicData[[#This Row],[genergy]]=0,"0","10^"&amp;INT(LOG10(SeismicData[[#This Row],[genergy]])))</f>
        <v>10^3</v>
      </c>
      <c r="X1054" t="str">
        <f>IF(OR(SeismicData[[#This Row],[genergy]]&lt;$AA$6,SeismicData[[#This Row],[genergy]]&gt;$AA$5),"Outlier","Normal")</f>
        <v>Normal</v>
      </c>
    </row>
    <row r="1055" spans="1:24" x14ac:dyDescent="0.15">
      <c r="A1055">
        <v>1054</v>
      </c>
      <c r="B1055" t="s">
        <v>20</v>
      </c>
      <c r="C1055" t="s">
        <v>20</v>
      </c>
      <c r="D1055" t="s">
        <v>21</v>
      </c>
      <c r="E1055">
        <v>2680</v>
      </c>
      <c r="F1055">
        <v>14</v>
      </c>
      <c r="G1055">
        <v>34</v>
      </c>
      <c r="H1055">
        <v>-65</v>
      </c>
      <c r="I1055" t="s">
        <v>20</v>
      </c>
      <c r="J1055">
        <v>0</v>
      </c>
      <c r="K1055">
        <v>0</v>
      </c>
      <c r="L1055">
        <v>0</v>
      </c>
      <c r="M1055">
        <v>0</v>
      </c>
      <c r="N1055">
        <v>0</v>
      </c>
      <c r="O1055">
        <v>0</v>
      </c>
      <c r="P1055">
        <v>0</v>
      </c>
      <c r="Q1055">
        <v>0</v>
      </c>
      <c r="R1055">
        <v>0</v>
      </c>
      <c r="S1055">
        <v>0</v>
      </c>
      <c r="T1055">
        <v>0</v>
      </c>
      <c r="U1055" t="str">
        <f>IF(SeismicData[[#This Row],[class]]=1,"Dangerous","Safe")</f>
        <v>Safe</v>
      </c>
      <c r="V1055" t="str">
        <f>IF(SeismicData[[#This Row],[shift]]="W","Production","Non-Production")</f>
        <v>Non-Production</v>
      </c>
      <c r="W1055" t="str">
        <f>IF(SeismicData[[#This Row],[genergy]]=0,"0","10^"&amp;INT(LOG10(SeismicData[[#This Row],[genergy]])))</f>
        <v>10^3</v>
      </c>
      <c r="X1055" t="str">
        <f>IF(OR(SeismicData[[#This Row],[genergy]]&lt;$AA$6,SeismicData[[#This Row],[genergy]]&gt;$AA$5),"Outlier","Normal")</f>
        <v>Normal</v>
      </c>
    </row>
    <row r="1056" spans="1:24" x14ac:dyDescent="0.15">
      <c r="A1056">
        <v>1055</v>
      </c>
      <c r="B1056" t="s">
        <v>20</v>
      </c>
      <c r="C1056" t="s">
        <v>20</v>
      </c>
      <c r="D1056" t="s">
        <v>21</v>
      </c>
      <c r="E1056">
        <v>3390</v>
      </c>
      <c r="F1056">
        <v>13</v>
      </c>
      <c r="G1056">
        <v>55</v>
      </c>
      <c r="H1056">
        <v>-68</v>
      </c>
      <c r="I1056" t="s">
        <v>20</v>
      </c>
      <c r="J1056">
        <v>0</v>
      </c>
      <c r="K1056">
        <v>0</v>
      </c>
      <c r="L1056">
        <v>0</v>
      </c>
      <c r="M1056">
        <v>0</v>
      </c>
      <c r="N1056">
        <v>0</v>
      </c>
      <c r="O1056">
        <v>0</v>
      </c>
      <c r="P1056">
        <v>0</v>
      </c>
      <c r="Q1056">
        <v>0</v>
      </c>
      <c r="R1056">
        <v>0</v>
      </c>
      <c r="S1056">
        <v>0</v>
      </c>
      <c r="T1056">
        <v>0</v>
      </c>
      <c r="U1056" t="str">
        <f>IF(SeismicData[[#This Row],[class]]=1,"Dangerous","Safe")</f>
        <v>Safe</v>
      </c>
      <c r="V1056" t="str">
        <f>IF(SeismicData[[#This Row],[shift]]="W","Production","Non-Production")</f>
        <v>Non-Production</v>
      </c>
      <c r="W1056" t="str">
        <f>IF(SeismicData[[#This Row],[genergy]]=0,"0","10^"&amp;INT(LOG10(SeismicData[[#This Row],[genergy]])))</f>
        <v>10^3</v>
      </c>
      <c r="X1056" t="str">
        <f>IF(OR(SeismicData[[#This Row],[genergy]]&lt;$AA$6,SeismicData[[#This Row],[genergy]]&gt;$AA$5),"Outlier","Normal")</f>
        <v>Normal</v>
      </c>
    </row>
    <row r="1057" spans="1:24" x14ac:dyDescent="0.15">
      <c r="A1057">
        <v>1056</v>
      </c>
      <c r="B1057" t="s">
        <v>20</v>
      </c>
      <c r="C1057" t="s">
        <v>20</v>
      </c>
      <c r="D1057" t="s">
        <v>21</v>
      </c>
      <c r="E1057">
        <v>4390</v>
      </c>
      <c r="F1057">
        <v>16</v>
      </c>
      <c r="G1057">
        <v>95</v>
      </c>
      <c r="H1057">
        <v>-60</v>
      </c>
      <c r="I1057" t="s">
        <v>20</v>
      </c>
      <c r="J1057">
        <v>0</v>
      </c>
      <c r="K1057">
        <v>0</v>
      </c>
      <c r="L1057">
        <v>0</v>
      </c>
      <c r="M1057">
        <v>0</v>
      </c>
      <c r="N1057">
        <v>0</v>
      </c>
      <c r="O1057">
        <v>0</v>
      </c>
      <c r="P1057">
        <v>0</v>
      </c>
      <c r="Q1057">
        <v>0</v>
      </c>
      <c r="R1057">
        <v>0</v>
      </c>
      <c r="S1057">
        <v>0</v>
      </c>
      <c r="T1057">
        <v>0</v>
      </c>
      <c r="U1057" t="str">
        <f>IF(SeismicData[[#This Row],[class]]=1,"Dangerous","Safe")</f>
        <v>Safe</v>
      </c>
      <c r="V1057" t="str">
        <f>IF(SeismicData[[#This Row],[shift]]="W","Production","Non-Production")</f>
        <v>Non-Production</v>
      </c>
      <c r="W1057" t="str">
        <f>IF(SeismicData[[#This Row],[genergy]]=0,"0","10^"&amp;INT(LOG10(SeismicData[[#This Row],[genergy]])))</f>
        <v>10^3</v>
      </c>
      <c r="X1057" t="str">
        <f>IF(OR(SeismicData[[#This Row],[genergy]]&lt;$AA$6,SeismicData[[#This Row],[genergy]]&gt;$AA$5),"Outlier","Normal")</f>
        <v>Normal</v>
      </c>
    </row>
    <row r="1058" spans="1:24" x14ac:dyDescent="0.15">
      <c r="A1058">
        <v>1057</v>
      </c>
      <c r="B1058" t="s">
        <v>20</v>
      </c>
      <c r="C1058" t="s">
        <v>20</v>
      </c>
      <c r="D1058" t="s">
        <v>21</v>
      </c>
      <c r="E1058">
        <v>1870</v>
      </c>
      <c r="F1058">
        <v>11</v>
      </c>
      <c r="G1058">
        <v>-24</v>
      </c>
      <c r="H1058">
        <v>-72</v>
      </c>
      <c r="I1058" t="s">
        <v>20</v>
      </c>
      <c r="J1058">
        <v>0</v>
      </c>
      <c r="K1058">
        <v>0</v>
      </c>
      <c r="L1058">
        <v>0</v>
      </c>
      <c r="M1058">
        <v>0</v>
      </c>
      <c r="N1058">
        <v>0</v>
      </c>
      <c r="O1058">
        <v>0</v>
      </c>
      <c r="P1058">
        <v>0</v>
      </c>
      <c r="Q1058">
        <v>0</v>
      </c>
      <c r="R1058">
        <v>0</v>
      </c>
      <c r="S1058">
        <v>0</v>
      </c>
      <c r="T1058">
        <v>0</v>
      </c>
      <c r="U1058" t="str">
        <f>IF(SeismicData[[#This Row],[class]]=1,"Dangerous","Safe")</f>
        <v>Safe</v>
      </c>
      <c r="V1058" t="str">
        <f>IF(SeismicData[[#This Row],[shift]]="W","Production","Non-Production")</f>
        <v>Non-Production</v>
      </c>
      <c r="W1058" t="str">
        <f>IF(SeismicData[[#This Row],[genergy]]=0,"0","10^"&amp;INT(LOG10(SeismicData[[#This Row],[genergy]])))</f>
        <v>10^3</v>
      </c>
      <c r="X1058" t="str">
        <f>IF(OR(SeismicData[[#This Row],[genergy]]&lt;$AA$6,SeismicData[[#This Row],[genergy]]&gt;$AA$5),"Outlier","Normal")</f>
        <v>Normal</v>
      </c>
    </row>
    <row r="1059" spans="1:24" x14ac:dyDescent="0.15">
      <c r="A1059">
        <v>1058</v>
      </c>
      <c r="B1059" t="s">
        <v>20</v>
      </c>
      <c r="C1059" t="s">
        <v>20</v>
      </c>
      <c r="D1059" t="s">
        <v>21</v>
      </c>
      <c r="E1059">
        <v>2650</v>
      </c>
      <c r="F1059">
        <v>18</v>
      </c>
      <c r="G1059">
        <v>7</v>
      </c>
      <c r="H1059">
        <v>-55</v>
      </c>
      <c r="I1059" t="s">
        <v>20</v>
      </c>
      <c r="J1059">
        <v>0</v>
      </c>
      <c r="K1059">
        <v>0</v>
      </c>
      <c r="L1059">
        <v>0</v>
      </c>
      <c r="M1059">
        <v>0</v>
      </c>
      <c r="N1059">
        <v>0</v>
      </c>
      <c r="O1059">
        <v>0</v>
      </c>
      <c r="P1059">
        <v>0</v>
      </c>
      <c r="Q1059">
        <v>0</v>
      </c>
      <c r="R1059">
        <v>0</v>
      </c>
      <c r="S1059">
        <v>0</v>
      </c>
      <c r="T1059">
        <v>0</v>
      </c>
      <c r="U1059" t="str">
        <f>IF(SeismicData[[#This Row],[class]]=1,"Dangerous","Safe")</f>
        <v>Safe</v>
      </c>
      <c r="V1059" t="str">
        <f>IF(SeismicData[[#This Row],[shift]]="W","Production","Non-Production")</f>
        <v>Non-Production</v>
      </c>
      <c r="W1059" t="str">
        <f>IF(SeismicData[[#This Row],[genergy]]=0,"0","10^"&amp;INT(LOG10(SeismicData[[#This Row],[genergy]])))</f>
        <v>10^3</v>
      </c>
      <c r="X1059" t="str">
        <f>IF(OR(SeismicData[[#This Row],[genergy]]&lt;$AA$6,SeismicData[[#This Row],[genergy]]&gt;$AA$5),"Outlier","Normal")</f>
        <v>Normal</v>
      </c>
    </row>
    <row r="1060" spans="1:24" x14ac:dyDescent="0.15">
      <c r="A1060">
        <v>1059</v>
      </c>
      <c r="B1060" t="s">
        <v>20</v>
      </c>
      <c r="C1060" t="s">
        <v>20</v>
      </c>
      <c r="D1060" t="s">
        <v>21</v>
      </c>
      <c r="E1060">
        <v>3680</v>
      </c>
      <c r="F1060">
        <v>22</v>
      </c>
      <c r="G1060">
        <v>44</v>
      </c>
      <c r="H1060">
        <v>-45</v>
      </c>
      <c r="I1060" t="s">
        <v>20</v>
      </c>
      <c r="J1060">
        <v>0</v>
      </c>
      <c r="K1060">
        <v>0</v>
      </c>
      <c r="L1060">
        <v>0</v>
      </c>
      <c r="M1060">
        <v>0</v>
      </c>
      <c r="N1060">
        <v>0</v>
      </c>
      <c r="O1060">
        <v>0</v>
      </c>
      <c r="P1060">
        <v>0</v>
      </c>
      <c r="Q1060">
        <v>0</v>
      </c>
      <c r="R1060">
        <v>0</v>
      </c>
      <c r="S1060">
        <v>0</v>
      </c>
      <c r="T1060">
        <v>0</v>
      </c>
      <c r="U1060" t="str">
        <f>IF(SeismicData[[#This Row],[class]]=1,"Dangerous","Safe")</f>
        <v>Safe</v>
      </c>
      <c r="V1060" t="str">
        <f>IF(SeismicData[[#This Row],[shift]]="W","Production","Non-Production")</f>
        <v>Non-Production</v>
      </c>
      <c r="W1060" t="str">
        <f>IF(SeismicData[[#This Row],[genergy]]=0,"0","10^"&amp;INT(LOG10(SeismicData[[#This Row],[genergy]])))</f>
        <v>10^3</v>
      </c>
      <c r="X1060" t="str">
        <f>IF(OR(SeismicData[[#This Row],[genergy]]&lt;$AA$6,SeismicData[[#This Row],[genergy]]&gt;$AA$5),"Outlier","Normal")</f>
        <v>Normal</v>
      </c>
    </row>
    <row r="1061" spans="1:24" x14ac:dyDescent="0.15">
      <c r="A1061">
        <v>1060</v>
      </c>
      <c r="B1061" t="s">
        <v>20</v>
      </c>
      <c r="C1061" t="s">
        <v>20</v>
      </c>
      <c r="D1061" t="s">
        <v>21</v>
      </c>
      <c r="E1061">
        <v>2850</v>
      </c>
      <c r="F1061">
        <v>10</v>
      </c>
      <c r="G1061">
        <v>12</v>
      </c>
      <c r="H1061">
        <v>-75</v>
      </c>
      <c r="I1061" t="s">
        <v>20</v>
      </c>
      <c r="J1061">
        <v>0</v>
      </c>
      <c r="K1061">
        <v>0</v>
      </c>
      <c r="L1061">
        <v>0</v>
      </c>
      <c r="M1061">
        <v>0</v>
      </c>
      <c r="N1061">
        <v>0</v>
      </c>
      <c r="O1061">
        <v>0</v>
      </c>
      <c r="P1061">
        <v>0</v>
      </c>
      <c r="Q1061">
        <v>0</v>
      </c>
      <c r="R1061">
        <v>0</v>
      </c>
      <c r="S1061">
        <v>0</v>
      </c>
      <c r="T1061">
        <v>0</v>
      </c>
      <c r="U1061" t="str">
        <f>IF(SeismicData[[#This Row],[class]]=1,"Dangerous","Safe")</f>
        <v>Safe</v>
      </c>
      <c r="V1061" t="str">
        <f>IF(SeismicData[[#This Row],[shift]]="W","Production","Non-Production")</f>
        <v>Non-Production</v>
      </c>
      <c r="W1061" t="str">
        <f>IF(SeismicData[[#This Row],[genergy]]=0,"0","10^"&amp;INT(LOG10(SeismicData[[#This Row],[genergy]])))</f>
        <v>10^3</v>
      </c>
      <c r="X1061" t="str">
        <f>IF(OR(SeismicData[[#This Row],[genergy]]&lt;$AA$6,SeismicData[[#This Row],[genergy]]&gt;$AA$5),"Outlier","Normal")</f>
        <v>Normal</v>
      </c>
    </row>
    <row r="1062" spans="1:24" x14ac:dyDescent="0.15">
      <c r="A1062">
        <v>1061</v>
      </c>
      <c r="B1062" t="s">
        <v>20</v>
      </c>
      <c r="C1062" t="s">
        <v>20</v>
      </c>
      <c r="D1062" t="s">
        <v>21</v>
      </c>
      <c r="E1062">
        <v>2070</v>
      </c>
      <c r="F1062">
        <v>14</v>
      </c>
      <c r="G1062">
        <v>-23</v>
      </c>
      <c r="H1062">
        <v>-65</v>
      </c>
      <c r="I1062" t="s">
        <v>20</v>
      </c>
      <c r="J1062">
        <v>0</v>
      </c>
      <c r="K1062">
        <v>0</v>
      </c>
      <c r="L1062">
        <v>0</v>
      </c>
      <c r="M1062">
        <v>0</v>
      </c>
      <c r="N1062">
        <v>0</v>
      </c>
      <c r="O1062">
        <v>0</v>
      </c>
      <c r="P1062">
        <v>0</v>
      </c>
      <c r="Q1062">
        <v>0</v>
      </c>
      <c r="R1062">
        <v>0</v>
      </c>
      <c r="S1062">
        <v>0</v>
      </c>
      <c r="T1062">
        <v>0</v>
      </c>
      <c r="U1062" t="str">
        <f>IF(SeismicData[[#This Row],[class]]=1,"Dangerous","Safe")</f>
        <v>Safe</v>
      </c>
      <c r="V1062" t="str">
        <f>IF(SeismicData[[#This Row],[shift]]="W","Production","Non-Production")</f>
        <v>Non-Production</v>
      </c>
      <c r="W1062" t="str">
        <f>IF(SeismicData[[#This Row],[genergy]]=0,"0","10^"&amp;INT(LOG10(SeismicData[[#This Row],[genergy]])))</f>
        <v>10^3</v>
      </c>
      <c r="X1062" t="str">
        <f>IF(OR(SeismicData[[#This Row],[genergy]]&lt;$AA$6,SeismicData[[#This Row],[genergy]]&gt;$AA$5),"Outlier","Normal")</f>
        <v>Normal</v>
      </c>
    </row>
    <row r="1063" spans="1:24" x14ac:dyDescent="0.15">
      <c r="A1063">
        <v>1062</v>
      </c>
      <c r="B1063" t="s">
        <v>20</v>
      </c>
      <c r="C1063" t="s">
        <v>20</v>
      </c>
      <c r="D1063" t="s">
        <v>21</v>
      </c>
      <c r="E1063">
        <v>4720</v>
      </c>
      <c r="F1063">
        <v>26</v>
      </c>
      <c r="G1063">
        <v>73</v>
      </c>
      <c r="H1063">
        <v>-35</v>
      </c>
      <c r="I1063" t="s">
        <v>20</v>
      </c>
      <c r="J1063">
        <v>0</v>
      </c>
      <c r="K1063">
        <v>0</v>
      </c>
      <c r="L1063">
        <v>0</v>
      </c>
      <c r="M1063">
        <v>0</v>
      </c>
      <c r="N1063">
        <v>0</v>
      </c>
      <c r="O1063">
        <v>0</v>
      </c>
      <c r="P1063">
        <v>0</v>
      </c>
      <c r="Q1063">
        <v>0</v>
      </c>
      <c r="R1063">
        <v>0</v>
      </c>
      <c r="S1063">
        <v>0</v>
      </c>
      <c r="T1063">
        <v>0</v>
      </c>
      <c r="U1063" t="str">
        <f>IF(SeismicData[[#This Row],[class]]=1,"Dangerous","Safe")</f>
        <v>Safe</v>
      </c>
      <c r="V1063" t="str">
        <f>IF(SeismicData[[#This Row],[shift]]="W","Production","Non-Production")</f>
        <v>Non-Production</v>
      </c>
      <c r="W1063" t="str">
        <f>IF(SeismicData[[#This Row],[genergy]]=0,"0","10^"&amp;INT(LOG10(SeismicData[[#This Row],[genergy]])))</f>
        <v>10^3</v>
      </c>
      <c r="X1063" t="str">
        <f>IF(OR(SeismicData[[#This Row],[genergy]]&lt;$AA$6,SeismicData[[#This Row],[genergy]]&gt;$AA$5),"Outlier","Normal")</f>
        <v>Normal</v>
      </c>
    </row>
    <row r="1064" spans="1:24" x14ac:dyDescent="0.15">
      <c r="A1064">
        <v>1063</v>
      </c>
      <c r="B1064" t="s">
        <v>20</v>
      </c>
      <c r="C1064" t="s">
        <v>20</v>
      </c>
      <c r="D1064" t="s">
        <v>21</v>
      </c>
      <c r="E1064">
        <v>1070</v>
      </c>
      <c r="F1064">
        <v>10</v>
      </c>
      <c r="G1064">
        <v>-64</v>
      </c>
      <c r="H1064">
        <v>-75</v>
      </c>
      <c r="I1064" t="s">
        <v>20</v>
      </c>
      <c r="J1064">
        <v>0</v>
      </c>
      <c r="K1064">
        <v>0</v>
      </c>
      <c r="L1064">
        <v>0</v>
      </c>
      <c r="M1064">
        <v>0</v>
      </c>
      <c r="N1064">
        <v>0</v>
      </c>
      <c r="O1064">
        <v>0</v>
      </c>
      <c r="P1064">
        <v>0</v>
      </c>
      <c r="Q1064">
        <v>0</v>
      </c>
      <c r="R1064">
        <v>0</v>
      </c>
      <c r="S1064">
        <v>0</v>
      </c>
      <c r="T1064">
        <v>0</v>
      </c>
      <c r="U1064" t="str">
        <f>IF(SeismicData[[#This Row],[class]]=1,"Dangerous","Safe")</f>
        <v>Safe</v>
      </c>
      <c r="V1064" t="str">
        <f>IF(SeismicData[[#This Row],[shift]]="W","Production","Non-Production")</f>
        <v>Non-Production</v>
      </c>
      <c r="W1064" t="str">
        <f>IF(SeismicData[[#This Row],[genergy]]=0,"0","10^"&amp;INT(LOG10(SeismicData[[#This Row],[genergy]])))</f>
        <v>10^3</v>
      </c>
      <c r="X1064" t="str">
        <f>IF(OR(SeismicData[[#This Row],[genergy]]&lt;$AA$6,SeismicData[[#This Row],[genergy]]&gt;$AA$5),"Outlier","Normal")</f>
        <v>Normal</v>
      </c>
    </row>
    <row r="1065" spans="1:24" x14ac:dyDescent="0.15">
      <c r="A1065">
        <v>1064</v>
      </c>
      <c r="B1065" t="s">
        <v>20</v>
      </c>
      <c r="C1065" t="s">
        <v>20</v>
      </c>
      <c r="D1065" t="s">
        <v>21</v>
      </c>
      <c r="E1065">
        <v>3110</v>
      </c>
      <c r="F1065">
        <v>23</v>
      </c>
      <c r="G1065">
        <v>6</v>
      </c>
      <c r="H1065">
        <v>-42</v>
      </c>
      <c r="I1065" t="s">
        <v>20</v>
      </c>
      <c r="J1065">
        <v>0</v>
      </c>
      <c r="K1065">
        <v>0</v>
      </c>
      <c r="L1065">
        <v>0</v>
      </c>
      <c r="M1065">
        <v>0</v>
      </c>
      <c r="N1065">
        <v>0</v>
      </c>
      <c r="O1065">
        <v>0</v>
      </c>
      <c r="P1065">
        <v>0</v>
      </c>
      <c r="Q1065">
        <v>0</v>
      </c>
      <c r="R1065">
        <v>0</v>
      </c>
      <c r="S1065">
        <v>0</v>
      </c>
      <c r="T1065">
        <v>0</v>
      </c>
      <c r="U1065" t="str">
        <f>IF(SeismicData[[#This Row],[class]]=1,"Dangerous","Safe")</f>
        <v>Safe</v>
      </c>
      <c r="V1065" t="str">
        <f>IF(SeismicData[[#This Row],[shift]]="W","Production","Non-Production")</f>
        <v>Non-Production</v>
      </c>
      <c r="W1065" t="str">
        <f>IF(SeismicData[[#This Row],[genergy]]=0,"0","10^"&amp;INT(LOG10(SeismicData[[#This Row],[genergy]])))</f>
        <v>10^3</v>
      </c>
      <c r="X1065" t="str">
        <f>IF(OR(SeismicData[[#This Row],[genergy]]&lt;$AA$6,SeismicData[[#This Row],[genergy]]&gt;$AA$5),"Outlier","Normal")</f>
        <v>Normal</v>
      </c>
    </row>
    <row r="1066" spans="1:24" x14ac:dyDescent="0.15">
      <c r="A1066">
        <v>1065</v>
      </c>
      <c r="B1066" t="s">
        <v>20</v>
      </c>
      <c r="C1066" t="s">
        <v>20</v>
      </c>
      <c r="D1066" t="s">
        <v>21</v>
      </c>
      <c r="E1066">
        <v>3100</v>
      </c>
      <c r="F1066">
        <v>22</v>
      </c>
      <c r="G1066">
        <v>4</v>
      </c>
      <c r="H1066">
        <v>-45</v>
      </c>
      <c r="I1066" t="s">
        <v>20</v>
      </c>
      <c r="J1066">
        <v>0</v>
      </c>
      <c r="K1066">
        <v>0</v>
      </c>
      <c r="L1066">
        <v>0</v>
      </c>
      <c r="M1066">
        <v>0</v>
      </c>
      <c r="N1066">
        <v>0</v>
      </c>
      <c r="O1066">
        <v>0</v>
      </c>
      <c r="P1066">
        <v>0</v>
      </c>
      <c r="Q1066">
        <v>0</v>
      </c>
      <c r="R1066">
        <v>0</v>
      </c>
      <c r="S1066">
        <v>0</v>
      </c>
      <c r="T1066">
        <v>0</v>
      </c>
      <c r="U1066" t="str">
        <f>IF(SeismicData[[#This Row],[class]]=1,"Dangerous","Safe")</f>
        <v>Safe</v>
      </c>
      <c r="V1066" t="str">
        <f>IF(SeismicData[[#This Row],[shift]]="W","Production","Non-Production")</f>
        <v>Non-Production</v>
      </c>
      <c r="W1066" t="str">
        <f>IF(SeismicData[[#This Row],[genergy]]=0,"0","10^"&amp;INT(LOG10(SeismicData[[#This Row],[genergy]])))</f>
        <v>10^3</v>
      </c>
      <c r="X1066" t="str">
        <f>IF(OR(SeismicData[[#This Row],[genergy]]&lt;$AA$6,SeismicData[[#This Row],[genergy]]&gt;$AA$5),"Outlier","Normal")</f>
        <v>Normal</v>
      </c>
    </row>
    <row r="1067" spans="1:24" x14ac:dyDescent="0.15">
      <c r="A1067">
        <v>1066</v>
      </c>
      <c r="B1067" t="s">
        <v>20</v>
      </c>
      <c r="C1067" t="s">
        <v>20</v>
      </c>
      <c r="D1067" t="s">
        <v>21</v>
      </c>
      <c r="E1067">
        <v>3130</v>
      </c>
      <c r="F1067">
        <v>25</v>
      </c>
      <c r="G1067">
        <v>6</v>
      </c>
      <c r="H1067">
        <v>-38</v>
      </c>
      <c r="I1067" t="s">
        <v>20</v>
      </c>
      <c r="J1067">
        <v>0</v>
      </c>
      <c r="K1067">
        <v>0</v>
      </c>
      <c r="L1067">
        <v>0</v>
      </c>
      <c r="M1067">
        <v>0</v>
      </c>
      <c r="N1067">
        <v>0</v>
      </c>
      <c r="O1067">
        <v>0</v>
      </c>
      <c r="P1067">
        <v>0</v>
      </c>
      <c r="Q1067">
        <v>0</v>
      </c>
      <c r="R1067">
        <v>0</v>
      </c>
      <c r="S1067">
        <v>0</v>
      </c>
      <c r="T1067">
        <v>0</v>
      </c>
      <c r="U1067" t="str">
        <f>IF(SeismicData[[#This Row],[class]]=1,"Dangerous","Safe")</f>
        <v>Safe</v>
      </c>
      <c r="V1067" t="str">
        <f>IF(SeismicData[[#This Row],[shift]]="W","Production","Non-Production")</f>
        <v>Non-Production</v>
      </c>
      <c r="W1067" t="str">
        <f>IF(SeismicData[[#This Row],[genergy]]=0,"0","10^"&amp;INT(LOG10(SeismicData[[#This Row],[genergy]])))</f>
        <v>10^3</v>
      </c>
      <c r="X1067" t="str">
        <f>IF(OR(SeismicData[[#This Row],[genergy]]&lt;$AA$6,SeismicData[[#This Row],[genergy]]&gt;$AA$5),"Outlier","Normal")</f>
        <v>Normal</v>
      </c>
    </row>
    <row r="1068" spans="1:24" x14ac:dyDescent="0.15">
      <c r="A1068">
        <v>1067</v>
      </c>
      <c r="B1068" t="s">
        <v>20</v>
      </c>
      <c r="C1068" t="s">
        <v>20</v>
      </c>
      <c r="D1068" t="s">
        <v>21</v>
      </c>
      <c r="E1068">
        <v>2890</v>
      </c>
      <c r="F1068">
        <v>28</v>
      </c>
      <c r="G1068">
        <v>2</v>
      </c>
      <c r="H1068">
        <v>-30</v>
      </c>
      <c r="I1068" t="s">
        <v>20</v>
      </c>
      <c r="J1068">
        <v>0</v>
      </c>
      <c r="K1068">
        <v>0</v>
      </c>
      <c r="L1068">
        <v>0</v>
      </c>
      <c r="M1068">
        <v>0</v>
      </c>
      <c r="N1068">
        <v>0</v>
      </c>
      <c r="O1068">
        <v>0</v>
      </c>
      <c r="P1068">
        <v>0</v>
      </c>
      <c r="Q1068">
        <v>0</v>
      </c>
      <c r="R1068">
        <v>0</v>
      </c>
      <c r="S1068">
        <v>0</v>
      </c>
      <c r="T1068">
        <v>0</v>
      </c>
      <c r="U1068" t="str">
        <f>IF(SeismicData[[#This Row],[class]]=1,"Dangerous","Safe")</f>
        <v>Safe</v>
      </c>
      <c r="V1068" t="str">
        <f>IF(SeismicData[[#This Row],[shift]]="W","Production","Non-Production")</f>
        <v>Non-Production</v>
      </c>
      <c r="W1068" t="str">
        <f>IF(SeismicData[[#This Row],[genergy]]=0,"0","10^"&amp;INT(LOG10(SeismicData[[#This Row],[genergy]])))</f>
        <v>10^3</v>
      </c>
      <c r="X1068" t="str">
        <f>IF(OR(SeismicData[[#This Row],[genergy]]&lt;$AA$6,SeismicData[[#This Row],[genergy]]&gt;$AA$5),"Outlier","Normal")</f>
        <v>Normal</v>
      </c>
    </row>
    <row r="1069" spans="1:24" x14ac:dyDescent="0.15">
      <c r="A1069">
        <v>1068</v>
      </c>
      <c r="B1069" t="s">
        <v>20</v>
      </c>
      <c r="C1069" t="s">
        <v>20</v>
      </c>
      <c r="D1069" t="s">
        <v>21</v>
      </c>
      <c r="E1069">
        <v>2870</v>
      </c>
      <c r="F1069">
        <v>21</v>
      </c>
      <c r="G1069">
        <v>-2</v>
      </c>
      <c r="H1069">
        <v>-48</v>
      </c>
      <c r="I1069" t="s">
        <v>20</v>
      </c>
      <c r="J1069">
        <v>0</v>
      </c>
      <c r="K1069">
        <v>0</v>
      </c>
      <c r="L1069">
        <v>0</v>
      </c>
      <c r="M1069">
        <v>0</v>
      </c>
      <c r="N1069">
        <v>0</v>
      </c>
      <c r="O1069">
        <v>0</v>
      </c>
      <c r="P1069">
        <v>0</v>
      </c>
      <c r="Q1069">
        <v>0</v>
      </c>
      <c r="R1069">
        <v>0</v>
      </c>
      <c r="S1069">
        <v>0</v>
      </c>
      <c r="T1069">
        <v>0</v>
      </c>
      <c r="U1069" t="str">
        <f>IF(SeismicData[[#This Row],[class]]=1,"Dangerous","Safe")</f>
        <v>Safe</v>
      </c>
      <c r="V1069" t="str">
        <f>IF(SeismicData[[#This Row],[shift]]="W","Production","Non-Production")</f>
        <v>Non-Production</v>
      </c>
      <c r="W1069" t="str">
        <f>IF(SeismicData[[#This Row],[genergy]]=0,"0","10^"&amp;INT(LOG10(SeismicData[[#This Row],[genergy]])))</f>
        <v>10^3</v>
      </c>
      <c r="X1069" t="str">
        <f>IF(OR(SeismicData[[#This Row],[genergy]]&lt;$AA$6,SeismicData[[#This Row],[genergy]]&gt;$AA$5),"Outlier","Normal")</f>
        <v>Normal</v>
      </c>
    </row>
    <row r="1070" spans="1:24" x14ac:dyDescent="0.15">
      <c r="A1070">
        <v>1069</v>
      </c>
      <c r="B1070" t="s">
        <v>20</v>
      </c>
      <c r="C1070" t="s">
        <v>20</v>
      </c>
      <c r="D1070" t="s">
        <v>21</v>
      </c>
      <c r="E1070">
        <v>3090</v>
      </c>
      <c r="F1070">
        <v>18</v>
      </c>
      <c r="G1070">
        <v>5</v>
      </c>
      <c r="H1070">
        <v>-55</v>
      </c>
      <c r="I1070" t="s">
        <v>20</v>
      </c>
      <c r="J1070">
        <v>0</v>
      </c>
      <c r="K1070">
        <v>0</v>
      </c>
      <c r="L1070">
        <v>0</v>
      </c>
      <c r="M1070">
        <v>0</v>
      </c>
      <c r="N1070">
        <v>0</v>
      </c>
      <c r="O1070">
        <v>0</v>
      </c>
      <c r="P1070">
        <v>0</v>
      </c>
      <c r="Q1070">
        <v>0</v>
      </c>
      <c r="R1070">
        <v>0</v>
      </c>
      <c r="S1070">
        <v>0</v>
      </c>
      <c r="T1070">
        <v>0</v>
      </c>
      <c r="U1070" t="str">
        <f>IF(SeismicData[[#This Row],[class]]=1,"Dangerous","Safe")</f>
        <v>Safe</v>
      </c>
      <c r="V1070" t="str">
        <f>IF(SeismicData[[#This Row],[shift]]="W","Production","Non-Production")</f>
        <v>Non-Production</v>
      </c>
      <c r="W1070" t="str">
        <f>IF(SeismicData[[#This Row],[genergy]]=0,"0","10^"&amp;INT(LOG10(SeismicData[[#This Row],[genergy]])))</f>
        <v>10^3</v>
      </c>
      <c r="X1070" t="str">
        <f>IF(OR(SeismicData[[#This Row],[genergy]]&lt;$AA$6,SeismicData[[#This Row],[genergy]]&gt;$AA$5),"Outlier","Normal")</f>
        <v>Normal</v>
      </c>
    </row>
    <row r="1071" spans="1:24" x14ac:dyDescent="0.15">
      <c r="A1071">
        <v>1070</v>
      </c>
      <c r="B1071" t="s">
        <v>20</v>
      </c>
      <c r="C1071" t="s">
        <v>20</v>
      </c>
      <c r="D1071" t="s">
        <v>21</v>
      </c>
      <c r="E1071">
        <v>3510</v>
      </c>
      <c r="F1071">
        <v>19</v>
      </c>
      <c r="G1071">
        <v>22</v>
      </c>
      <c r="H1071">
        <v>-52</v>
      </c>
      <c r="I1071" t="s">
        <v>20</v>
      </c>
      <c r="J1071">
        <v>0</v>
      </c>
      <c r="K1071">
        <v>0</v>
      </c>
      <c r="L1071">
        <v>0</v>
      </c>
      <c r="M1071">
        <v>0</v>
      </c>
      <c r="N1071">
        <v>0</v>
      </c>
      <c r="O1071">
        <v>0</v>
      </c>
      <c r="P1071">
        <v>0</v>
      </c>
      <c r="Q1071">
        <v>0</v>
      </c>
      <c r="R1071">
        <v>0</v>
      </c>
      <c r="S1071">
        <v>0</v>
      </c>
      <c r="T1071">
        <v>0</v>
      </c>
      <c r="U1071" t="str">
        <f>IF(SeismicData[[#This Row],[class]]=1,"Dangerous","Safe")</f>
        <v>Safe</v>
      </c>
      <c r="V1071" t="str">
        <f>IF(SeismicData[[#This Row],[shift]]="W","Production","Non-Production")</f>
        <v>Non-Production</v>
      </c>
      <c r="W1071" t="str">
        <f>IF(SeismicData[[#This Row],[genergy]]=0,"0","10^"&amp;INT(LOG10(SeismicData[[#This Row],[genergy]])))</f>
        <v>10^3</v>
      </c>
      <c r="X1071" t="str">
        <f>IF(OR(SeismicData[[#This Row],[genergy]]&lt;$AA$6,SeismicData[[#This Row],[genergy]]&gt;$AA$5),"Outlier","Normal")</f>
        <v>Normal</v>
      </c>
    </row>
    <row r="1072" spans="1:24" x14ac:dyDescent="0.15">
      <c r="A1072">
        <v>1071</v>
      </c>
      <c r="B1072" t="s">
        <v>20</v>
      </c>
      <c r="C1072" t="s">
        <v>20</v>
      </c>
      <c r="D1072" t="s">
        <v>21</v>
      </c>
      <c r="E1072">
        <v>2970</v>
      </c>
      <c r="F1072">
        <v>19</v>
      </c>
      <c r="G1072">
        <v>0</v>
      </c>
      <c r="H1072">
        <v>-52</v>
      </c>
      <c r="I1072" t="s">
        <v>20</v>
      </c>
      <c r="J1072">
        <v>0</v>
      </c>
      <c r="K1072">
        <v>0</v>
      </c>
      <c r="L1072">
        <v>0</v>
      </c>
      <c r="M1072">
        <v>0</v>
      </c>
      <c r="N1072">
        <v>0</v>
      </c>
      <c r="O1072">
        <v>0</v>
      </c>
      <c r="P1072">
        <v>0</v>
      </c>
      <c r="Q1072">
        <v>0</v>
      </c>
      <c r="R1072">
        <v>0</v>
      </c>
      <c r="S1072">
        <v>0</v>
      </c>
      <c r="T1072">
        <v>0</v>
      </c>
      <c r="U1072" t="str">
        <f>IF(SeismicData[[#This Row],[class]]=1,"Dangerous","Safe")</f>
        <v>Safe</v>
      </c>
      <c r="V1072" t="str">
        <f>IF(SeismicData[[#This Row],[shift]]="W","Production","Non-Production")</f>
        <v>Non-Production</v>
      </c>
      <c r="W1072" t="str">
        <f>IF(SeismicData[[#This Row],[genergy]]=0,"0","10^"&amp;INT(LOG10(SeismicData[[#This Row],[genergy]])))</f>
        <v>10^3</v>
      </c>
      <c r="X1072" t="str">
        <f>IF(OR(SeismicData[[#This Row],[genergy]]&lt;$AA$6,SeismicData[[#This Row],[genergy]]&gt;$AA$5),"Outlier","Normal")</f>
        <v>Normal</v>
      </c>
    </row>
    <row r="1073" spans="1:24" x14ac:dyDescent="0.15">
      <c r="A1073">
        <v>1072</v>
      </c>
      <c r="B1073" t="s">
        <v>20</v>
      </c>
      <c r="C1073" t="s">
        <v>20</v>
      </c>
      <c r="D1073" t="s">
        <v>21</v>
      </c>
      <c r="E1073">
        <v>4290</v>
      </c>
      <c r="F1073">
        <v>45</v>
      </c>
      <c r="G1073">
        <v>41</v>
      </c>
      <c r="H1073">
        <v>12</v>
      </c>
      <c r="I1073" t="s">
        <v>20</v>
      </c>
      <c r="J1073">
        <v>0</v>
      </c>
      <c r="K1073">
        <v>0</v>
      </c>
      <c r="L1073">
        <v>0</v>
      </c>
      <c r="M1073">
        <v>0</v>
      </c>
      <c r="N1073">
        <v>0</v>
      </c>
      <c r="O1073">
        <v>0</v>
      </c>
      <c r="P1073">
        <v>0</v>
      </c>
      <c r="Q1073">
        <v>0</v>
      </c>
      <c r="R1073">
        <v>0</v>
      </c>
      <c r="S1073">
        <v>0</v>
      </c>
      <c r="T1073">
        <v>0</v>
      </c>
      <c r="U1073" t="str">
        <f>IF(SeismicData[[#This Row],[class]]=1,"Dangerous","Safe")</f>
        <v>Safe</v>
      </c>
      <c r="V1073" t="str">
        <f>IF(SeismicData[[#This Row],[shift]]="W","Production","Non-Production")</f>
        <v>Non-Production</v>
      </c>
      <c r="W1073" t="str">
        <f>IF(SeismicData[[#This Row],[genergy]]=0,"0","10^"&amp;INT(LOG10(SeismicData[[#This Row],[genergy]])))</f>
        <v>10^3</v>
      </c>
      <c r="X1073" t="str">
        <f>IF(OR(SeismicData[[#This Row],[genergy]]&lt;$AA$6,SeismicData[[#This Row],[genergy]]&gt;$AA$5),"Outlier","Normal")</f>
        <v>Normal</v>
      </c>
    </row>
    <row r="1074" spans="1:24" x14ac:dyDescent="0.15">
      <c r="A1074">
        <v>1073</v>
      </c>
      <c r="B1074" t="s">
        <v>20</v>
      </c>
      <c r="C1074" t="s">
        <v>20</v>
      </c>
      <c r="D1074" t="s">
        <v>21</v>
      </c>
      <c r="E1074">
        <v>2510</v>
      </c>
      <c r="F1074">
        <v>17</v>
      </c>
      <c r="G1074">
        <v>-16</v>
      </c>
      <c r="H1074">
        <v>-58</v>
      </c>
      <c r="I1074" t="s">
        <v>20</v>
      </c>
      <c r="J1074">
        <v>0</v>
      </c>
      <c r="K1074">
        <v>0</v>
      </c>
      <c r="L1074">
        <v>0</v>
      </c>
      <c r="M1074">
        <v>0</v>
      </c>
      <c r="N1074">
        <v>0</v>
      </c>
      <c r="O1074">
        <v>0</v>
      </c>
      <c r="P1074">
        <v>0</v>
      </c>
      <c r="Q1074">
        <v>0</v>
      </c>
      <c r="R1074">
        <v>0</v>
      </c>
      <c r="S1074">
        <v>0</v>
      </c>
      <c r="T1074">
        <v>0</v>
      </c>
      <c r="U1074" t="str">
        <f>IF(SeismicData[[#This Row],[class]]=1,"Dangerous","Safe")</f>
        <v>Safe</v>
      </c>
      <c r="V1074" t="str">
        <f>IF(SeismicData[[#This Row],[shift]]="W","Production","Non-Production")</f>
        <v>Non-Production</v>
      </c>
      <c r="W1074" t="str">
        <f>IF(SeismicData[[#This Row],[genergy]]=0,"0","10^"&amp;INT(LOG10(SeismicData[[#This Row],[genergy]])))</f>
        <v>10^3</v>
      </c>
      <c r="X1074" t="str">
        <f>IF(OR(SeismicData[[#This Row],[genergy]]&lt;$AA$6,SeismicData[[#This Row],[genergy]]&gt;$AA$5),"Outlier","Normal")</f>
        <v>Normal</v>
      </c>
    </row>
    <row r="1075" spans="1:24" x14ac:dyDescent="0.15">
      <c r="A1075">
        <v>1074</v>
      </c>
      <c r="B1075" t="s">
        <v>20</v>
      </c>
      <c r="C1075" t="s">
        <v>20</v>
      </c>
      <c r="D1075" t="s">
        <v>21</v>
      </c>
      <c r="E1075">
        <v>2920</v>
      </c>
      <c r="F1075">
        <v>20</v>
      </c>
      <c r="G1075">
        <v>-7</v>
      </c>
      <c r="H1075">
        <v>-50</v>
      </c>
      <c r="I1075" t="s">
        <v>20</v>
      </c>
      <c r="J1075">
        <v>0</v>
      </c>
      <c r="K1075">
        <v>0</v>
      </c>
      <c r="L1075">
        <v>0</v>
      </c>
      <c r="M1075">
        <v>0</v>
      </c>
      <c r="N1075">
        <v>0</v>
      </c>
      <c r="O1075">
        <v>0</v>
      </c>
      <c r="P1075">
        <v>0</v>
      </c>
      <c r="Q1075">
        <v>0</v>
      </c>
      <c r="R1075">
        <v>0</v>
      </c>
      <c r="S1075">
        <v>0</v>
      </c>
      <c r="T1075">
        <v>0</v>
      </c>
      <c r="U1075" t="str">
        <f>IF(SeismicData[[#This Row],[class]]=1,"Dangerous","Safe")</f>
        <v>Safe</v>
      </c>
      <c r="V1075" t="str">
        <f>IF(SeismicData[[#This Row],[shift]]="W","Production","Non-Production")</f>
        <v>Non-Production</v>
      </c>
      <c r="W1075" t="str">
        <f>IF(SeismicData[[#This Row],[genergy]]=0,"0","10^"&amp;INT(LOG10(SeismicData[[#This Row],[genergy]])))</f>
        <v>10^3</v>
      </c>
      <c r="X1075" t="str">
        <f>IF(OR(SeismicData[[#This Row],[genergy]]&lt;$AA$6,SeismicData[[#This Row],[genergy]]&gt;$AA$5),"Outlier","Normal")</f>
        <v>Normal</v>
      </c>
    </row>
    <row r="1076" spans="1:24" x14ac:dyDescent="0.15">
      <c r="A1076">
        <v>1075</v>
      </c>
      <c r="B1076" t="s">
        <v>20</v>
      </c>
      <c r="C1076" t="s">
        <v>20</v>
      </c>
      <c r="D1076" t="s">
        <v>21</v>
      </c>
      <c r="E1076">
        <v>6150</v>
      </c>
      <c r="F1076">
        <v>25</v>
      </c>
      <c r="G1076">
        <v>97</v>
      </c>
      <c r="H1076">
        <v>-38</v>
      </c>
      <c r="I1076" t="s">
        <v>20</v>
      </c>
      <c r="J1076">
        <v>0</v>
      </c>
      <c r="K1076">
        <v>0</v>
      </c>
      <c r="L1076">
        <v>0</v>
      </c>
      <c r="M1076">
        <v>0</v>
      </c>
      <c r="N1076">
        <v>0</v>
      </c>
      <c r="O1076">
        <v>0</v>
      </c>
      <c r="P1076">
        <v>0</v>
      </c>
      <c r="Q1076">
        <v>0</v>
      </c>
      <c r="R1076">
        <v>0</v>
      </c>
      <c r="S1076">
        <v>0</v>
      </c>
      <c r="T1076">
        <v>0</v>
      </c>
      <c r="U1076" t="str">
        <f>IF(SeismicData[[#This Row],[class]]=1,"Dangerous","Safe")</f>
        <v>Safe</v>
      </c>
      <c r="V1076" t="str">
        <f>IF(SeismicData[[#This Row],[shift]]="W","Production","Non-Production")</f>
        <v>Non-Production</v>
      </c>
      <c r="W1076" t="str">
        <f>IF(SeismicData[[#This Row],[genergy]]=0,"0","10^"&amp;INT(LOG10(SeismicData[[#This Row],[genergy]])))</f>
        <v>10^3</v>
      </c>
      <c r="X1076" t="str">
        <f>IF(OR(SeismicData[[#This Row],[genergy]]&lt;$AA$6,SeismicData[[#This Row],[genergy]]&gt;$AA$5),"Outlier","Normal")</f>
        <v>Normal</v>
      </c>
    </row>
    <row r="1077" spans="1:24" x14ac:dyDescent="0.15">
      <c r="A1077">
        <v>1076</v>
      </c>
      <c r="B1077" t="s">
        <v>20</v>
      </c>
      <c r="C1077" t="s">
        <v>20</v>
      </c>
      <c r="D1077" t="s">
        <v>21</v>
      </c>
      <c r="E1077">
        <v>3600</v>
      </c>
      <c r="F1077">
        <v>20</v>
      </c>
      <c r="G1077">
        <v>5</v>
      </c>
      <c r="H1077">
        <v>-50</v>
      </c>
      <c r="I1077" t="s">
        <v>20</v>
      </c>
      <c r="J1077">
        <v>0</v>
      </c>
      <c r="K1077">
        <v>0</v>
      </c>
      <c r="L1077">
        <v>0</v>
      </c>
      <c r="M1077">
        <v>0</v>
      </c>
      <c r="N1077">
        <v>0</v>
      </c>
      <c r="O1077">
        <v>0</v>
      </c>
      <c r="P1077">
        <v>0</v>
      </c>
      <c r="Q1077">
        <v>0</v>
      </c>
      <c r="R1077">
        <v>0</v>
      </c>
      <c r="S1077">
        <v>0</v>
      </c>
      <c r="T1077">
        <v>0</v>
      </c>
      <c r="U1077" t="str">
        <f>IF(SeismicData[[#This Row],[class]]=1,"Dangerous","Safe")</f>
        <v>Safe</v>
      </c>
      <c r="V1077" t="str">
        <f>IF(SeismicData[[#This Row],[shift]]="W","Production","Non-Production")</f>
        <v>Non-Production</v>
      </c>
      <c r="W1077" t="str">
        <f>IF(SeismicData[[#This Row],[genergy]]=0,"0","10^"&amp;INT(LOG10(SeismicData[[#This Row],[genergy]])))</f>
        <v>10^3</v>
      </c>
      <c r="X1077" t="str">
        <f>IF(OR(SeismicData[[#This Row],[genergy]]&lt;$AA$6,SeismicData[[#This Row],[genergy]]&gt;$AA$5),"Outlier","Normal")</f>
        <v>Normal</v>
      </c>
    </row>
    <row r="1078" spans="1:24" x14ac:dyDescent="0.15">
      <c r="A1078">
        <v>1077</v>
      </c>
      <c r="B1078" t="s">
        <v>20</v>
      </c>
      <c r="C1078" t="s">
        <v>20</v>
      </c>
      <c r="D1078" t="s">
        <v>21</v>
      </c>
      <c r="E1078">
        <v>1980</v>
      </c>
      <c r="F1078">
        <v>18</v>
      </c>
      <c r="G1078">
        <v>-43</v>
      </c>
      <c r="H1078">
        <v>-55</v>
      </c>
      <c r="I1078" t="s">
        <v>20</v>
      </c>
      <c r="J1078">
        <v>0</v>
      </c>
      <c r="K1078">
        <v>0</v>
      </c>
      <c r="L1078">
        <v>0</v>
      </c>
      <c r="M1078">
        <v>0</v>
      </c>
      <c r="N1078">
        <v>0</v>
      </c>
      <c r="O1078">
        <v>0</v>
      </c>
      <c r="P1078">
        <v>0</v>
      </c>
      <c r="Q1078">
        <v>0</v>
      </c>
      <c r="R1078">
        <v>0</v>
      </c>
      <c r="S1078">
        <v>0</v>
      </c>
      <c r="T1078">
        <v>0</v>
      </c>
      <c r="U1078" t="str">
        <f>IF(SeismicData[[#This Row],[class]]=1,"Dangerous","Safe")</f>
        <v>Safe</v>
      </c>
      <c r="V1078" t="str">
        <f>IF(SeismicData[[#This Row],[shift]]="W","Production","Non-Production")</f>
        <v>Non-Production</v>
      </c>
      <c r="W1078" t="str">
        <f>IF(SeismicData[[#This Row],[genergy]]=0,"0","10^"&amp;INT(LOG10(SeismicData[[#This Row],[genergy]])))</f>
        <v>10^3</v>
      </c>
      <c r="X1078" t="str">
        <f>IF(OR(SeismicData[[#This Row],[genergy]]&lt;$AA$6,SeismicData[[#This Row],[genergy]]&gt;$AA$5),"Outlier","Normal")</f>
        <v>Normal</v>
      </c>
    </row>
    <row r="1079" spans="1:24" x14ac:dyDescent="0.15">
      <c r="A1079">
        <v>1078</v>
      </c>
      <c r="B1079" t="s">
        <v>20</v>
      </c>
      <c r="C1079" t="s">
        <v>20</v>
      </c>
      <c r="D1079" t="s">
        <v>21</v>
      </c>
      <c r="E1079">
        <v>3210</v>
      </c>
      <c r="F1079">
        <v>13</v>
      </c>
      <c r="G1079">
        <v>-5</v>
      </c>
      <c r="H1079">
        <v>-68</v>
      </c>
      <c r="I1079" t="s">
        <v>20</v>
      </c>
      <c r="J1079">
        <v>0</v>
      </c>
      <c r="K1079">
        <v>0</v>
      </c>
      <c r="L1079">
        <v>0</v>
      </c>
      <c r="M1079">
        <v>0</v>
      </c>
      <c r="N1079">
        <v>0</v>
      </c>
      <c r="O1079">
        <v>0</v>
      </c>
      <c r="P1079">
        <v>0</v>
      </c>
      <c r="Q1079">
        <v>0</v>
      </c>
      <c r="R1079">
        <v>0</v>
      </c>
      <c r="S1079">
        <v>0</v>
      </c>
      <c r="T1079">
        <v>0</v>
      </c>
      <c r="U1079" t="str">
        <f>IF(SeismicData[[#This Row],[class]]=1,"Dangerous","Safe")</f>
        <v>Safe</v>
      </c>
      <c r="V1079" t="str">
        <f>IF(SeismicData[[#This Row],[shift]]="W","Production","Non-Production")</f>
        <v>Non-Production</v>
      </c>
      <c r="W1079" t="str">
        <f>IF(SeismicData[[#This Row],[genergy]]=0,"0","10^"&amp;INT(LOG10(SeismicData[[#This Row],[genergy]])))</f>
        <v>10^3</v>
      </c>
      <c r="X1079" t="str">
        <f>IF(OR(SeismicData[[#This Row],[genergy]]&lt;$AA$6,SeismicData[[#This Row],[genergy]]&gt;$AA$5),"Outlier","Normal")</f>
        <v>Normal</v>
      </c>
    </row>
    <row r="1080" spans="1:24" x14ac:dyDescent="0.15">
      <c r="A1080">
        <v>1079</v>
      </c>
      <c r="B1080" t="s">
        <v>20</v>
      </c>
      <c r="C1080" t="s">
        <v>20</v>
      </c>
      <c r="D1080" t="s">
        <v>21</v>
      </c>
      <c r="E1080">
        <v>4190</v>
      </c>
      <c r="F1080">
        <v>25</v>
      </c>
      <c r="G1080">
        <v>22</v>
      </c>
      <c r="H1080">
        <v>-38</v>
      </c>
      <c r="I1080" t="s">
        <v>20</v>
      </c>
      <c r="J1080">
        <v>0</v>
      </c>
      <c r="K1080">
        <v>0</v>
      </c>
      <c r="L1080">
        <v>0</v>
      </c>
      <c r="M1080">
        <v>0</v>
      </c>
      <c r="N1080">
        <v>0</v>
      </c>
      <c r="O1080">
        <v>0</v>
      </c>
      <c r="P1080">
        <v>0</v>
      </c>
      <c r="Q1080">
        <v>0</v>
      </c>
      <c r="R1080">
        <v>0</v>
      </c>
      <c r="S1080">
        <v>0</v>
      </c>
      <c r="T1080">
        <v>0</v>
      </c>
      <c r="U1080" t="str">
        <f>IF(SeismicData[[#This Row],[class]]=1,"Dangerous","Safe")</f>
        <v>Safe</v>
      </c>
      <c r="V1080" t="str">
        <f>IF(SeismicData[[#This Row],[shift]]="W","Production","Non-Production")</f>
        <v>Non-Production</v>
      </c>
      <c r="W1080" t="str">
        <f>IF(SeismicData[[#This Row],[genergy]]=0,"0","10^"&amp;INT(LOG10(SeismicData[[#This Row],[genergy]])))</f>
        <v>10^3</v>
      </c>
      <c r="X1080" t="str">
        <f>IF(OR(SeismicData[[#This Row],[genergy]]&lt;$AA$6,SeismicData[[#This Row],[genergy]]&gt;$AA$5),"Outlier","Normal")</f>
        <v>Normal</v>
      </c>
    </row>
    <row r="1081" spans="1:24" x14ac:dyDescent="0.15">
      <c r="A1081">
        <v>1080</v>
      </c>
      <c r="B1081" t="s">
        <v>20</v>
      </c>
      <c r="C1081" t="s">
        <v>20</v>
      </c>
      <c r="D1081" t="s">
        <v>21</v>
      </c>
      <c r="E1081">
        <v>560</v>
      </c>
      <c r="F1081">
        <v>7</v>
      </c>
      <c r="G1081">
        <v>-84</v>
      </c>
      <c r="H1081">
        <v>-82</v>
      </c>
      <c r="I1081" t="s">
        <v>20</v>
      </c>
      <c r="J1081">
        <v>0</v>
      </c>
      <c r="K1081">
        <v>0</v>
      </c>
      <c r="L1081">
        <v>0</v>
      </c>
      <c r="M1081">
        <v>0</v>
      </c>
      <c r="N1081">
        <v>0</v>
      </c>
      <c r="O1081">
        <v>0</v>
      </c>
      <c r="P1081">
        <v>0</v>
      </c>
      <c r="Q1081">
        <v>0</v>
      </c>
      <c r="R1081">
        <v>0</v>
      </c>
      <c r="S1081">
        <v>0</v>
      </c>
      <c r="T1081">
        <v>0</v>
      </c>
      <c r="U1081" t="str">
        <f>IF(SeismicData[[#This Row],[class]]=1,"Dangerous","Safe")</f>
        <v>Safe</v>
      </c>
      <c r="V1081" t="str">
        <f>IF(SeismicData[[#This Row],[shift]]="W","Production","Non-Production")</f>
        <v>Non-Production</v>
      </c>
      <c r="W1081" t="str">
        <f>IF(SeismicData[[#This Row],[genergy]]=0,"0","10^"&amp;INT(LOG10(SeismicData[[#This Row],[genergy]])))</f>
        <v>10^2</v>
      </c>
      <c r="X1081" t="str">
        <f>IF(OR(SeismicData[[#This Row],[genergy]]&lt;$AA$6,SeismicData[[#This Row],[genergy]]&gt;$AA$5),"Outlier","Normal")</f>
        <v>Normal</v>
      </c>
    </row>
    <row r="1082" spans="1:24" x14ac:dyDescent="0.15">
      <c r="A1082">
        <v>1081</v>
      </c>
      <c r="B1082" t="s">
        <v>20</v>
      </c>
      <c r="C1082" t="s">
        <v>20</v>
      </c>
      <c r="D1082" t="s">
        <v>21</v>
      </c>
      <c r="E1082">
        <v>1100</v>
      </c>
      <c r="F1082">
        <v>6</v>
      </c>
      <c r="G1082">
        <v>-66</v>
      </c>
      <c r="H1082">
        <v>-85</v>
      </c>
      <c r="I1082" t="s">
        <v>20</v>
      </c>
      <c r="J1082">
        <v>0</v>
      </c>
      <c r="K1082">
        <v>0</v>
      </c>
      <c r="L1082">
        <v>0</v>
      </c>
      <c r="M1082">
        <v>0</v>
      </c>
      <c r="N1082">
        <v>0</v>
      </c>
      <c r="O1082">
        <v>0</v>
      </c>
      <c r="P1082">
        <v>0</v>
      </c>
      <c r="Q1082">
        <v>0</v>
      </c>
      <c r="R1082">
        <v>0</v>
      </c>
      <c r="S1082">
        <v>0</v>
      </c>
      <c r="T1082">
        <v>0</v>
      </c>
      <c r="U1082" t="str">
        <f>IF(SeismicData[[#This Row],[class]]=1,"Dangerous","Safe")</f>
        <v>Safe</v>
      </c>
      <c r="V1082" t="str">
        <f>IF(SeismicData[[#This Row],[shift]]="W","Production","Non-Production")</f>
        <v>Non-Production</v>
      </c>
      <c r="W1082" t="str">
        <f>IF(SeismicData[[#This Row],[genergy]]=0,"0","10^"&amp;INT(LOG10(SeismicData[[#This Row],[genergy]])))</f>
        <v>10^3</v>
      </c>
      <c r="X1082" t="str">
        <f>IF(OR(SeismicData[[#This Row],[genergy]]&lt;$AA$6,SeismicData[[#This Row],[genergy]]&gt;$AA$5),"Outlier","Normal")</f>
        <v>Normal</v>
      </c>
    </row>
    <row r="1083" spans="1:24" x14ac:dyDescent="0.15">
      <c r="A1083">
        <v>1082</v>
      </c>
      <c r="B1083" t="s">
        <v>20</v>
      </c>
      <c r="C1083" t="s">
        <v>20</v>
      </c>
      <c r="D1083" t="s">
        <v>21</v>
      </c>
      <c r="E1083">
        <v>3180</v>
      </c>
      <c r="F1083">
        <v>11</v>
      </c>
      <c r="G1083">
        <v>4</v>
      </c>
      <c r="H1083">
        <v>-72</v>
      </c>
      <c r="I1083" t="s">
        <v>20</v>
      </c>
      <c r="J1083">
        <v>0</v>
      </c>
      <c r="K1083">
        <v>0</v>
      </c>
      <c r="L1083">
        <v>0</v>
      </c>
      <c r="M1083">
        <v>0</v>
      </c>
      <c r="N1083">
        <v>0</v>
      </c>
      <c r="O1083">
        <v>0</v>
      </c>
      <c r="P1083">
        <v>0</v>
      </c>
      <c r="Q1083">
        <v>0</v>
      </c>
      <c r="R1083">
        <v>0</v>
      </c>
      <c r="S1083">
        <v>0</v>
      </c>
      <c r="T1083">
        <v>0</v>
      </c>
      <c r="U1083" t="str">
        <f>IF(SeismicData[[#This Row],[class]]=1,"Dangerous","Safe")</f>
        <v>Safe</v>
      </c>
      <c r="V1083" t="str">
        <f>IF(SeismicData[[#This Row],[shift]]="W","Production","Non-Production")</f>
        <v>Non-Production</v>
      </c>
      <c r="W1083" t="str">
        <f>IF(SeismicData[[#This Row],[genergy]]=0,"0","10^"&amp;INT(LOG10(SeismicData[[#This Row],[genergy]])))</f>
        <v>10^3</v>
      </c>
      <c r="X1083" t="str">
        <f>IF(OR(SeismicData[[#This Row],[genergy]]&lt;$AA$6,SeismicData[[#This Row],[genergy]]&gt;$AA$5),"Outlier","Normal")</f>
        <v>Normal</v>
      </c>
    </row>
    <row r="1084" spans="1:24" x14ac:dyDescent="0.15">
      <c r="A1084">
        <v>1083</v>
      </c>
      <c r="B1084" t="s">
        <v>20</v>
      </c>
      <c r="C1084" t="s">
        <v>20</v>
      </c>
      <c r="D1084" t="s">
        <v>21</v>
      </c>
      <c r="E1084">
        <v>4350</v>
      </c>
      <c r="F1084">
        <v>22</v>
      </c>
      <c r="G1084">
        <v>48</v>
      </c>
      <c r="H1084">
        <v>-45</v>
      </c>
      <c r="I1084" t="s">
        <v>20</v>
      </c>
      <c r="J1084">
        <v>0</v>
      </c>
      <c r="K1084">
        <v>0</v>
      </c>
      <c r="L1084">
        <v>0</v>
      </c>
      <c r="M1084">
        <v>0</v>
      </c>
      <c r="N1084">
        <v>0</v>
      </c>
      <c r="O1084">
        <v>0</v>
      </c>
      <c r="P1084">
        <v>0</v>
      </c>
      <c r="Q1084">
        <v>0</v>
      </c>
      <c r="R1084">
        <v>0</v>
      </c>
      <c r="S1084">
        <v>0</v>
      </c>
      <c r="T1084">
        <v>0</v>
      </c>
      <c r="U1084" t="str">
        <f>IF(SeismicData[[#This Row],[class]]=1,"Dangerous","Safe")</f>
        <v>Safe</v>
      </c>
      <c r="V1084" t="str">
        <f>IF(SeismicData[[#This Row],[shift]]="W","Production","Non-Production")</f>
        <v>Non-Production</v>
      </c>
      <c r="W1084" t="str">
        <f>IF(SeismicData[[#This Row],[genergy]]=0,"0","10^"&amp;INT(LOG10(SeismicData[[#This Row],[genergy]])))</f>
        <v>10^3</v>
      </c>
      <c r="X1084" t="str">
        <f>IF(OR(SeismicData[[#This Row],[genergy]]&lt;$AA$6,SeismicData[[#This Row],[genergy]]&gt;$AA$5),"Outlier","Normal")</f>
        <v>Normal</v>
      </c>
    </row>
    <row r="1085" spans="1:24" x14ac:dyDescent="0.15">
      <c r="A1085">
        <v>1084</v>
      </c>
      <c r="B1085" t="s">
        <v>20</v>
      </c>
      <c r="C1085" t="s">
        <v>20</v>
      </c>
      <c r="D1085" t="s">
        <v>21</v>
      </c>
      <c r="E1085">
        <v>5090</v>
      </c>
      <c r="F1085">
        <v>35</v>
      </c>
      <c r="G1085">
        <v>63</v>
      </c>
      <c r="H1085">
        <v>-12</v>
      </c>
      <c r="I1085" t="s">
        <v>20</v>
      </c>
      <c r="J1085">
        <v>0</v>
      </c>
      <c r="K1085">
        <v>0</v>
      </c>
      <c r="L1085">
        <v>0</v>
      </c>
      <c r="M1085">
        <v>0</v>
      </c>
      <c r="N1085">
        <v>0</v>
      </c>
      <c r="O1085">
        <v>0</v>
      </c>
      <c r="P1085">
        <v>0</v>
      </c>
      <c r="Q1085">
        <v>0</v>
      </c>
      <c r="R1085">
        <v>0</v>
      </c>
      <c r="S1085">
        <v>0</v>
      </c>
      <c r="T1085">
        <v>0</v>
      </c>
      <c r="U1085" t="str">
        <f>IF(SeismicData[[#This Row],[class]]=1,"Dangerous","Safe")</f>
        <v>Safe</v>
      </c>
      <c r="V1085" t="str">
        <f>IF(SeismicData[[#This Row],[shift]]="W","Production","Non-Production")</f>
        <v>Non-Production</v>
      </c>
      <c r="W1085" t="str">
        <f>IF(SeismicData[[#This Row],[genergy]]=0,"0","10^"&amp;INT(LOG10(SeismicData[[#This Row],[genergy]])))</f>
        <v>10^3</v>
      </c>
      <c r="X1085" t="str">
        <f>IF(OR(SeismicData[[#This Row],[genergy]]&lt;$AA$6,SeismicData[[#This Row],[genergy]]&gt;$AA$5),"Outlier","Normal")</f>
        <v>Normal</v>
      </c>
    </row>
    <row r="1086" spans="1:24" x14ac:dyDescent="0.15">
      <c r="A1086">
        <v>1085</v>
      </c>
      <c r="B1086" t="s">
        <v>20</v>
      </c>
      <c r="C1086" t="s">
        <v>20</v>
      </c>
      <c r="D1086" t="s">
        <v>21</v>
      </c>
      <c r="E1086">
        <v>2440</v>
      </c>
      <c r="F1086">
        <v>16</v>
      </c>
      <c r="G1086">
        <v>-27</v>
      </c>
      <c r="H1086">
        <v>-60</v>
      </c>
      <c r="I1086" t="s">
        <v>20</v>
      </c>
      <c r="J1086">
        <v>0</v>
      </c>
      <c r="K1086">
        <v>0</v>
      </c>
      <c r="L1086">
        <v>0</v>
      </c>
      <c r="M1086">
        <v>0</v>
      </c>
      <c r="N1086">
        <v>0</v>
      </c>
      <c r="O1086">
        <v>0</v>
      </c>
      <c r="P1086">
        <v>0</v>
      </c>
      <c r="Q1086">
        <v>0</v>
      </c>
      <c r="R1086">
        <v>0</v>
      </c>
      <c r="S1086">
        <v>0</v>
      </c>
      <c r="T1086">
        <v>0</v>
      </c>
      <c r="U1086" t="str">
        <f>IF(SeismicData[[#This Row],[class]]=1,"Dangerous","Safe")</f>
        <v>Safe</v>
      </c>
      <c r="V1086" t="str">
        <f>IF(SeismicData[[#This Row],[shift]]="W","Production","Non-Production")</f>
        <v>Non-Production</v>
      </c>
      <c r="W1086" t="str">
        <f>IF(SeismicData[[#This Row],[genergy]]=0,"0","10^"&amp;INT(LOG10(SeismicData[[#This Row],[genergy]])))</f>
        <v>10^3</v>
      </c>
      <c r="X1086" t="str">
        <f>IF(OR(SeismicData[[#This Row],[genergy]]&lt;$AA$6,SeismicData[[#This Row],[genergy]]&gt;$AA$5),"Outlier","Normal")</f>
        <v>Normal</v>
      </c>
    </row>
    <row r="1087" spans="1:24" x14ac:dyDescent="0.15">
      <c r="A1087">
        <v>1086</v>
      </c>
      <c r="B1087" t="s">
        <v>20</v>
      </c>
      <c r="C1087" t="s">
        <v>20</v>
      </c>
      <c r="D1087" t="s">
        <v>21</v>
      </c>
      <c r="E1087">
        <v>950</v>
      </c>
      <c r="F1087">
        <v>46</v>
      </c>
      <c r="G1087">
        <v>-68</v>
      </c>
      <c r="H1087">
        <v>15</v>
      </c>
      <c r="I1087" t="s">
        <v>20</v>
      </c>
      <c r="J1087">
        <v>0</v>
      </c>
      <c r="K1087">
        <v>0</v>
      </c>
      <c r="L1087">
        <v>0</v>
      </c>
      <c r="M1087">
        <v>0</v>
      </c>
      <c r="N1087">
        <v>0</v>
      </c>
      <c r="O1087">
        <v>0</v>
      </c>
      <c r="P1087">
        <v>0</v>
      </c>
      <c r="Q1087">
        <v>0</v>
      </c>
      <c r="R1087">
        <v>0</v>
      </c>
      <c r="S1087">
        <v>0</v>
      </c>
      <c r="T1087">
        <v>0</v>
      </c>
      <c r="U1087" t="str">
        <f>IF(SeismicData[[#This Row],[class]]=1,"Dangerous","Safe")</f>
        <v>Safe</v>
      </c>
      <c r="V1087" t="str">
        <f>IF(SeismicData[[#This Row],[shift]]="W","Production","Non-Production")</f>
        <v>Non-Production</v>
      </c>
      <c r="W1087" t="str">
        <f>IF(SeismicData[[#This Row],[genergy]]=0,"0","10^"&amp;INT(LOG10(SeismicData[[#This Row],[genergy]])))</f>
        <v>10^2</v>
      </c>
      <c r="X1087" t="str">
        <f>IF(OR(SeismicData[[#This Row],[genergy]]&lt;$AA$6,SeismicData[[#This Row],[genergy]]&gt;$AA$5),"Outlier","Normal")</f>
        <v>Normal</v>
      </c>
    </row>
    <row r="1088" spans="1:24" x14ac:dyDescent="0.15">
      <c r="A1088">
        <v>1087</v>
      </c>
      <c r="B1088" t="s">
        <v>20</v>
      </c>
      <c r="C1088" t="s">
        <v>20</v>
      </c>
      <c r="D1088" t="s">
        <v>21</v>
      </c>
      <c r="E1088">
        <v>2440</v>
      </c>
      <c r="F1088">
        <v>63</v>
      </c>
      <c r="G1088">
        <v>-10</v>
      </c>
      <c r="H1088">
        <v>58</v>
      </c>
      <c r="I1088" t="s">
        <v>20</v>
      </c>
      <c r="J1088">
        <v>0</v>
      </c>
      <c r="K1088">
        <v>0</v>
      </c>
      <c r="L1088">
        <v>0</v>
      </c>
      <c r="M1088">
        <v>0</v>
      </c>
      <c r="N1088">
        <v>0</v>
      </c>
      <c r="O1088">
        <v>0</v>
      </c>
      <c r="P1088">
        <v>0</v>
      </c>
      <c r="Q1088">
        <v>0</v>
      </c>
      <c r="R1088">
        <v>0</v>
      </c>
      <c r="S1088">
        <v>0</v>
      </c>
      <c r="T1088">
        <v>0</v>
      </c>
      <c r="U1088" t="str">
        <f>IF(SeismicData[[#This Row],[class]]=1,"Dangerous","Safe")</f>
        <v>Safe</v>
      </c>
      <c r="V1088" t="str">
        <f>IF(SeismicData[[#This Row],[shift]]="W","Production","Non-Production")</f>
        <v>Non-Production</v>
      </c>
      <c r="W1088" t="str">
        <f>IF(SeismicData[[#This Row],[genergy]]=0,"0","10^"&amp;INT(LOG10(SeismicData[[#This Row],[genergy]])))</f>
        <v>10^3</v>
      </c>
      <c r="X1088" t="str">
        <f>IF(OR(SeismicData[[#This Row],[genergy]]&lt;$AA$6,SeismicData[[#This Row],[genergy]]&gt;$AA$5),"Outlier","Normal")</f>
        <v>Normal</v>
      </c>
    </row>
    <row r="1089" spans="1:24" x14ac:dyDescent="0.15">
      <c r="A1089">
        <v>1088</v>
      </c>
      <c r="B1089" t="s">
        <v>20</v>
      </c>
      <c r="C1089" t="s">
        <v>20</v>
      </c>
      <c r="D1089" t="s">
        <v>21</v>
      </c>
      <c r="E1089">
        <v>1820</v>
      </c>
      <c r="F1089">
        <v>55</v>
      </c>
      <c r="G1089">
        <v>-34</v>
      </c>
      <c r="H1089">
        <v>38</v>
      </c>
      <c r="I1089" t="s">
        <v>20</v>
      </c>
      <c r="J1089">
        <v>0</v>
      </c>
      <c r="K1089">
        <v>0</v>
      </c>
      <c r="L1089">
        <v>0</v>
      </c>
      <c r="M1089">
        <v>0</v>
      </c>
      <c r="N1089">
        <v>0</v>
      </c>
      <c r="O1089">
        <v>0</v>
      </c>
      <c r="P1089">
        <v>0</v>
      </c>
      <c r="Q1089">
        <v>0</v>
      </c>
      <c r="R1089">
        <v>0</v>
      </c>
      <c r="S1089">
        <v>0</v>
      </c>
      <c r="T1089">
        <v>0</v>
      </c>
      <c r="U1089" t="str">
        <f>IF(SeismicData[[#This Row],[class]]=1,"Dangerous","Safe")</f>
        <v>Safe</v>
      </c>
      <c r="V1089" t="str">
        <f>IF(SeismicData[[#This Row],[shift]]="W","Production","Non-Production")</f>
        <v>Non-Production</v>
      </c>
      <c r="W1089" t="str">
        <f>IF(SeismicData[[#This Row],[genergy]]=0,"0","10^"&amp;INT(LOG10(SeismicData[[#This Row],[genergy]])))</f>
        <v>10^3</v>
      </c>
      <c r="X1089" t="str">
        <f>IF(OR(SeismicData[[#This Row],[genergy]]&lt;$AA$6,SeismicData[[#This Row],[genergy]]&gt;$AA$5),"Outlier","Normal")</f>
        <v>Normal</v>
      </c>
    </row>
    <row r="1090" spans="1:24" x14ac:dyDescent="0.15">
      <c r="A1090">
        <v>1089</v>
      </c>
      <c r="B1090" t="s">
        <v>20</v>
      </c>
      <c r="C1090" t="s">
        <v>20</v>
      </c>
      <c r="D1090" t="s">
        <v>21</v>
      </c>
      <c r="E1090">
        <v>1650</v>
      </c>
      <c r="F1090">
        <v>46</v>
      </c>
      <c r="G1090">
        <v>-37</v>
      </c>
      <c r="H1090">
        <v>15</v>
      </c>
      <c r="I1090" t="s">
        <v>20</v>
      </c>
      <c r="J1090">
        <v>0</v>
      </c>
      <c r="K1090">
        <v>0</v>
      </c>
      <c r="L1090">
        <v>0</v>
      </c>
      <c r="M1090">
        <v>0</v>
      </c>
      <c r="N1090">
        <v>0</v>
      </c>
      <c r="O1090">
        <v>0</v>
      </c>
      <c r="P1090">
        <v>0</v>
      </c>
      <c r="Q1090">
        <v>0</v>
      </c>
      <c r="R1090">
        <v>0</v>
      </c>
      <c r="S1090">
        <v>0</v>
      </c>
      <c r="T1090">
        <v>0</v>
      </c>
      <c r="U1090" t="str">
        <f>IF(SeismicData[[#This Row],[class]]=1,"Dangerous","Safe")</f>
        <v>Safe</v>
      </c>
      <c r="V1090" t="str">
        <f>IF(SeismicData[[#This Row],[shift]]="W","Production","Non-Production")</f>
        <v>Non-Production</v>
      </c>
      <c r="W1090" t="str">
        <f>IF(SeismicData[[#This Row],[genergy]]=0,"0","10^"&amp;INT(LOG10(SeismicData[[#This Row],[genergy]])))</f>
        <v>10^3</v>
      </c>
      <c r="X1090" t="str">
        <f>IF(OR(SeismicData[[#This Row],[genergy]]&lt;$AA$6,SeismicData[[#This Row],[genergy]]&gt;$AA$5),"Outlier","Normal")</f>
        <v>Normal</v>
      </c>
    </row>
    <row r="1091" spans="1:24" x14ac:dyDescent="0.15">
      <c r="A1091">
        <v>1090</v>
      </c>
      <c r="B1091" t="s">
        <v>20</v>
      </c>
      <c r="C1091" t="s">
        <v>20</v>
      </c>
      <c r="D1091" t="s">
        <v>21</v>
      </c>
      <c r="E1091">
        <v>4310</v>
      </c>
      <c r="F1091">
        <v>66</v>
      </c>
      <c r="G1091">
        <v>83</v>
      </c>
      <c r="H1091">
        <v>65</v>
      </c>
      <c r="I1091" t="s">
        <v>20</v>
      </c>
      <c r="J1091">
        <v>0</v>
      </c>
      <c r="K1091">
        <v>0</v>
      </c>
      <c r="L1091">
        <v>0</v>
      </c>
      <c r="M1091">
        <v>0</v>
      </c>
      <c r="N1091">
        <v>0</v>
      </c>
      <c r="O1091">
        <v>0</v>
      </c>
      <c r="P1091">
        <v>0</v>
      </c>
      <c r="Q1091">
        <v>0</v>
      </c>
      <c r="R1091">
        <v>0</v>
      </c>
      <c r="S1091">
        <v>0</v>
      </c>
      <c r="T1091">
        <v>0</v>
      </c>
      <c r="U1091" t="str">
        <f>IF(SeismicData[[#This Row],[class]]=1,"Dangerous","Safe")</f>
        <v>Safe</v>
      </c>
      <c r="V1091" t="str">
        <f>IF(SeismicData[[#This Row],[shift]]="W","Production","Non-Production")</f>
        <v>Non-Production</v>
      </c>
      <c r="W1091" t="str">
        <f>IF(SeismicData[[#This Row],[genergy]]=0,"0","10^"&amp;INT(LOG10(SeismicData[[#This Row],[genergy]])))</f>
        <v>10^3</v>
      </c>
      <c r="X1091" t="str">
        <f>IF(OR(SeismicData[[#This Row],[genergy]]&lt;$AA$6,SeismicData[[#This Row],[genergy]]&gt;$AA$5),"Outlier","Normal")</f>
        <v>Normal</v>
      </c>
    </row>
    <row r="1092" spans="1:24" x14ac:dyDescent="0.15">
      <c r="A1092">
        <v>1091</v>
      </c>
      <c r="B1092" t="s">
        <v>20</v>
      </c>
      <c r="C1092" t="s">
        <v>20</v>
      </c>
      <c r="D1092" t="s">
        <v>21</v>
      </c>
      <c r="E1092">
        <v>4200</v>
      </c>
      <c r="F1092">
        <v>74</v>
      </c>
      <c r="G1092">
        <v>54</v>
      </c>
      <c r="H1092">
        <v>85</v>
      </c>
      <c r="I1092" t="s">
        <v>20</v>
      </c>
      <c r="J1092">
        <v>0</v>
      </c>
      <c r="K1092">
        <v>0</v>
      </c>
      <c r="L1092">
        <v>0</v>
      </c>
      <c r="M1092">
        <v>0</v>
      </c>
      <c r="N1092">
        <v>0</v>
      </c>
      <c r="O1092">
        <v>0</v>
      </c>
      <c r="P1092">
        <v>0</v>
      </c>
      <c r="Q1092">
        <v>0</v>
      </c>
      <c r="R1092">
        <v>0</v>
      </c>
      <c r="S1092">
        <v>0</v>
      </c>
      <c r="T1092">
        <v>0</v>
      </c>
      <c r="U1092" t="str">
        <f>IF(SeismicData[[#This Row],[class]]=1,"Dangerous","Safe")</f>
        <v>Safe</v>
      </c>
      <c r="V1092" t="str">
        <f>IF(SeismicData[[#This Row],[shift]]="W","Production","Non-Production")</f>
        <v>Non-Production</v>
      </c>
      <c r="W1092" t="str">
        <f>IF(SeismicData[[#This Row],[genergy]]=0,"0","10^"&amp;INT(LOG10(SeismicData[[#This Row],[genergy]])))</f>
        <v>10^3</v>
      </c>
      <c r="X1092" t="str">
        <f>IF(OR(SeismicData[[#This Row],[genergy]]&lt;$AA$6,SeismicData[[#This Row],[genergy]]&gt;$AA$5),"Outlier","Normal")</f>
        <v>Normal</v>
      </c>
    </row>
    <row r="1093" spans="1:24" x14ac:dyDescent="0.15">
      <c r="A1093">
        <v>1092</v>
      </c>
      <c r="B1093" t="s">
        <v>20</v>
      </c>
      <c r="C1093" t="s">
        <v>23</v>
      </c>
      <c r="D1093" t="s">
        <v>21</v>
      </c>
      <c r="E1093">
        <v>7130</v>
      </c>
      <c r="F1093">
        <v>105</v>
      </c>
      <c r="G1093">
        <v>134</v>
      </c>
      <c r="H1093">
        <v>142</v>
      </c>
      <c r="I1093" t="s">
        <v>23</v>
      </c>
      <c r="J1093">
        <v>0</v>
      </c>
      <c r="K1093">
        <v>0</v>
      </c>
      <c r="L1093">
        <v>0</v>
      </c>
      <c r="M1093">
        <v>0</v>
      </c>
      <c r="N1093">
        <v>0</v>
      </c>
      <c r="O1093">
        <v>0</v>
      </c>
      <c r="P1093">
        <v>0</v>
      </c>
      <c r="Q1093">
        <v>0</v>
      </c>
      <c r="R1093">
        <v>0</v>
      </c>
      <c r="S1093">
        <v>0</v>
      </c>
      <c r="T1093">
        <v>0</v>
      </c>
      <c r="U1093" t="str">
        <f>IF(SeismicData[[#This Row],[class]]=1,"Dangerous","Safe")</f>
        <v>Safe</v>
      </c>
      <c r="V1093" t="str">
        <f>IF(SeismicData[[#This Row],[shift]]="W","Production","Non-Production")</f>
        <v>Non-Production</v>
      </c>
      <c r="W1093" t="str">
        <f>IF(SeismicData[[#This Row],[genergy]]=0,"0","10^"&amp;INT(LOG10(SeismicData[[#This Row],[genergy]])))</f>
        <v>10^3</v>
      </c>
      <c r="X1093" t="str">
        <f>IF(OR(SeismicData[[#This Row],[genergy]]&lt;$AA$6,SeismicData[[#This Row],[genergy]]&gt;$AA$5),"Outlier","Normal")</f>
        <v>Normal</v>
      </c>
    </row>
    <row r="1094" spans="1:24" x14ac:dyDescent="0.15">
      <c r="A1094">
        <v>1093</v>
      </c>
      <c r="B1094" t="s">
        <v>20</v>
      </c>
      <c r="C1094" t="s">
        <v>23</v>
      </c>
      <c r="D1094" t="s">
        <v>21</v>
      </c>
      <c r="E1094">
        <v>5630</v>
      </c>
      <c r="F1094">
        <v>98</v>
      </c>
      <c r="G1094">
        <v>64</v>
      </c>
      <c r="H1094">
        <v>86</v>
      </c>
      <c r="I1094" t="s">
        <v>20</v>
      </c>
      <c r="J1094">
        <v>0</v>
      </c>
      <c r="K1094">
        <v>0</v>
      </c>
      <c r="L1094">
        <v>0</v>
      </c>
      <c r="M1094">
        <v>0</v>
      </c>
      <c r="N1094">
        <v>0</v>
      </c>
      <c r="O1094">
        <v>0</v>
      </c>
      <c r="P1094">
        <v>0</v>
      </c>
      <c r="Q1094">
        <v>0</v>
      </c>
      <c r="R1094">
        <v>0</v>
      </c>
      <c r="S1094">
        <v>0</v>
      </c>
      <c r="T1094">
        <v>0</v>
      </c>
      <c r="U1094" t="str">
        <f>IF(SeismicData[[#This Row],[class]]=1,"Dangerous","Safe")</f>
        <v>Safe</v>
      </c>
      <c r="V1094" t="str">
        <f>IF(SeismicData[[#This Row],[shift]]="W","Production","Non-Production")</f>
        <v>Non-Production</v>
      </c>
      <c r="W1094" t="str">
        <f>IF(SeismicData[[#This Row],[genergy]]=0,"0","10^"&amp;INT(LOG10(SeismicData[[#This Row],[genergy]])))</f>
        <v>10^3</v>
      </c>
      <c r="X1094" t="str">
        <f>IF(OR(SeismicData[[#This Row],[genergy]]&lt;$AA$6,SeismicData[[#This Row],[genergy]]&gt;$AA$5),"Outlier","Normal")</f>
        <v>Normal</v>
      </c>
    </row>
    <row r="1095" spans="1:24" x14ac:dyDescent="0.15">
      <c r="A1095">
        <v>1094</v>
      </c>
      <c r="B1095" t="s">
        <v>20</v>
      </c>
      <c r="C1095" t="s">
        <v>23</v>
      </c>
      <c r="D1095" t="s">
        <v>21</v>
      </c>
      <c r="E1095">
        <v>5660</v>
      </c>
      <c r="F1095">
        <v>118</v>
      </c>
      <c r="G1095">
        <v>59</v>
      </c>
      <c r="H1095">
        <v>95</v>
      </c>
      <c r="I1095" t="s">
        <v>20</v>
      </c>
      <c r="J1095">
        <v>0</v>
      </c>
      <c r="K1095">
        <v>0</v>
      </c>
      <c r="L1095">
        <v>0</v>
      </c>
      <c r="M1095">
        <v>0</v>
      </c>
      <c r="N1095">
        <v>0</v>
      </c>
      <c r="O1095">
        <v>0</v>
      </c>
      <c r="P1095">
        <v>0</v>
      </c>
      <c r="Q1095">
        <v>0</v>
      </c>
      <c r="R1095">
        <v>0</v>
      </c>
      <c r="S1095">
        <v>0</v>
      </c>
      <c r="T1095">
        <v>0</v>
      </c>
      <c r="U1095" t="str">
        <f>IF(SeismicData[[#This Row],[class]]=1,"Dangerous","Safe")</f>
        <v>Safe</v>
      </c>
      <c r="V1095" t="str">
        <f>IF(SeismicData[[#This Row],[shift]]="W","Production","Non-Production")</f>
        <v>Non-Production</v>
      </c>
      <c r="W1095" t="str">
        <f>IF(SeismicData[[#This Row],[genergy]]=0,"0","10^"&amp;INT(LOG10(SeismicData[[#This Row],[genergy]])))</f>
        <v>10^3</v>
      </c>
      <c r="X1095" t="str">
        <f>IF(OR(SeismicData[[#This Row],[genergy]]&lt;$AA$6,SeismicData[[#This Row],[genergy]]&gt;$AA$5),"Outlier","Normal")</f>
        <v>Normal</v>
      </c>
    </row>
    <row r="1096" spans="1:24" x14ac:dyDescent="0.15">
      <c r="A1096">
        <v>1095</v>
      </c>
      <c r="B1096" t="s">
        <v>20</v>
      </c>
      <c r="C1096" t="s">
        <v>23</v>
      </c>
      <c r="D1096" t="s">
        <v>21</v>
      </c>
      <c r="E1096">
        <v>7190</v>
      </c>
      <c r="F1096">
        <v>123</v>
      </c>
      <c r="G1096">
        <v>98</v>
      </c>
      <c r="H1096">
        <v>79</v>
      </c>
      <c r="I1096" t="s">
        <v>23</v>
      </c>
      <c r="J1096">
        <v>0</v>
      </c>
      <c r="K1096">
        <v>0</v>
      </c>
      <c r="L1096">
        <v>0</v>
      </c>
      <c r="M1096">
        <v>0</v>
      </c>
      <c r="N1096">
        <v>0</v>
      </c>
      <c r="O1096">
        <v>0</v>
      </c>
      <c r="P1096">
        <v>0</v>
      </c>
      <c r="Q1096">
        <v>0</v>
      </c>
      <c r="R1096">
        <v>0</v>
      </c>
      <c r="S1096">
        <v>0</v>
      </c>
      <c r="T1096">
        <v>0</v>
      </c>
      <c r="U1096" t="str">
        <f>IF(SeismicData[[#This Row],[class]]=1,"Dangerous","Safe")</f>
        <v>Safe</v>
      </c>
      <c r="V1096" t="str">
        <f>IF(SeismicData[[#This Row],[shift]]="W","Production","Non-Production")</f>
        <v>Non-Production</v>
      </c>
      <c r="W1096" t="str">
        <f>IF(SeismicData[[#This Row],[genergy]]=0,"0","10^"&amp;INT(LOG10(SeismicData[[#This Row],[genergy]])))</f>
        <v>10^3</v>
      </c>
      <c r="X1096" t="str">
        <f>IF(OR(SeismicData[[#This Row],[genergy]]&lt;$AA$6,SeismicData[[#This Row],[genergy]]&gt;$AA$5),"Outlier","Normal")</f>
        <v>Normal</v>
      </c>
    </row>
    <row r="1097" spans="1:24" x14ac:dyDescent="0.15">
      <c r="A1097">
        <v>1096</v>
      </c>
      <c r="B1097" t="s">
        <v>20</v>
      </c>
      <c r="C1097" t="s">
        <v>23</v>
      </c>
      <c r="D1097" t="s">
        <v>21</v>
      </c>
      <c r="E1097">
        <v>6220</v>
      </c>
      <c r="F1097">
        <v>111</v>
      </c>
      <c r="G1097">
        <v>52</v>
      </c>
      <c r="H1097">
        <v>40</v>
      </c>
      <c r="I1097" t="s">
        <v>23</v>
      </c>
      <c r="J1097">
        <v>0</v>
      </c>
      <c r="K1097">
        <v>0</v>
      </c>
      <c r="L1097">
        <v>0</v>
      </c>
      <c r="M1097">
        <v>0</v>
      </c>
      <c r="N1097">
        <v>0</v>
      </c>
      <c r="O1097">
        <v>0</v>
      </c>
      <c r="P1097">
        <v>0</v>
      </c>
      <c r="Q1097">
        <v>0</v>
      </c>
      <c r="R1097">
        <v>0</v>
      </c>
      <c r="S1097">
        <v>0</v>
      </c>
      <c r="T1097">
        <v>0</v>
      </c>
      <c r="U1097" t="str">
        <f>IF(SeismicData[[#This Row],[class]]=1,"Dangerous","Safe")</f>
        <v>Safe</v>
      </c>
      <c r="V1097" t="str">
        <f>IF(SeismicData[[#This Row],[shift]]="W","Production","Non-Production")</f>
        <v>Non-Production</v>
      </c>
      <c r="W1097" t="str">
        <f>IF(SeismicData[[#This Row],[genergy]]=0,"0","10^"&amp;INT(LOG10(SeismicData[[#This Row],[genergy]])))</f>
        <v>10^3</v>
      </c>
      <c r="X1097" t="str">
        <f>IF(OR(SeismicData[[#This Row],[genergy]]&lt;$AA$6,SeismicData[[#This Row],[genergy]]&gt;$AA$5),"Outlier","Normal")</f>
        <v>Normal</v>
      </c>
    </row>
    <row r="1098" spans="1:24" x14ac:dyDescent="0.15">
      <c r="A1098">
        <v>1097</v>
      </c>
      <c r="B1098" t="s">
        <v>20</v>
      </c>
      <c r="C1098" t="s">
        <v>23</v>
      </c>
      <c r="D1098" t="s">
        <v>21</v>
      </c>
      <c r="E1098">
        <v>4030</v>
      </c>
      <c r="F1098">
        <v>127</v>
      </c>
      <c r="G1098">
        <v>-13</v>
      </c>
      <c r="H1098">
        <v>48</v>
      </c>
      <c r="I1098" t="s">
        <v>23</v>
      </c>
      <c r="J1098">
        <v>0</v>
      </c>
      <c r="K1098">
        <v>0</v>
      </c>
      <c r="L1098">
        <v>0</v>
      </c>
      <c r="M1098">
        <v>0</v>
      </c>
      <c r="N1098">
        <v>0</v>
      </c>
      <c r="O1098">
        <v>0</v>
      </c>
      <c r="P1098">
        <v>0</v>
      </c>
      <c r="Q1098">
        <v>0</v>
      </c>
      <c r="R1098">
        <v>0</v>
      </c>
      <c r="S1098">
        <v>0</v>
      </c>
      <c r="T1098">
        <v>0</v>
      </c>
      <c r="U1098" t="str">
        <f>IF(SeismicData[[#This Row],[class]]=1,"Dangerous","Safe")</f>
        <v>Safe</v>
      </c>
      <c r="V1098" t="str">
        <f>IF(SeismicData[[#This Row],[shift]]="W","Production","Non-Production")</f>
        <v>Non-Production</v>
      </c>
      <c r="W1098" t="str">
        <f>IF(SeismicData[[#This Row],[genergy]]=0,"0","10^"&amp;INT(LOG10(SeismicData[[#This Row],[genergy]])))</f>
        <v>10^3</v>
      </c>
      <c r="X1098" t="str">
        <f>IF(OR(SeismicData[[#This Row],[genergy]]&lt;$AA$6,SeismicData[[#This Row],[genergy]]&gt;$AA$5),"Outlier","Normal")</f>
        <v>Normal</v>
      </c>
    </row>
    <row r="1099" spans="1:24" x14ac:dyDescent="0.15">
      <c r="A1099">
        <v>1098</v>
      </c>
      <c r="B1099" t="s">
        <v>20</v>
      </c>
      <c r="C1099" t="s">
        <v>23</v>
      </c>
      <c r="D1099" t="s">
        <v>21</v>
      </c>
      <c r="E1099">
        <v>8670</v>
      </c>
      <c r="F1099">
        <v>151</v>
      </c>
      <c r="G1099">
        <v>-25</v>
      </c>
      <c r="H1099">
        <v>-58</v>
      </c>
      <c r="I1099" t="s">
        <v>20</v>
      </c>
      <c r="J1099">
        <v>0</v>
      </c>
      <c r="K1099">
        <v>0</v>
      </c>
      <c r="L1099">
        <v>0</v>
      </c>
      <c r="M1099">
        <v>0</v>
      </c>
      <c r="N1099">
        <v>0</v>
      </c>
      <c r="O1099">
        <v>0</v>
      </c>
      <c r="P1099">
        <v>0</v>
      </c>
      <c r="Q1099">
        <v>0</v>
      </c>
      <c r="R1099">
        <v>0</v>
      </c>
      <c r="S1099">
        <v>0</v>
      </c>
      <c r="T1099">
        <v>0</v>
      </c>
      <c r="U1099" t="str">
        <f>IF(SeismicData[[#This Row],[class]]=1,"Dangerous","Safe")</f>
        <v>Safe</v>
      </c>
      <c r="V1099" t="str">
        <f>IF(SeismicData[[#This Row],[shift]]="W","Production","Non-Production")</f>
        <v>Non-Production</v>
      </c>
      <c r="W1099" t="str">
        <f>IF(SeismicData[[#This Row],[genergy]]=0,"0","10^"&amp;INT(LOG10(SeismicData[[#This Row],[genergy]])))</f>
        <v>10^3</v>
      </c>
      <c r="X1099" t="str">
        <f>IF(OR(SeismicData[[#This Row],[genergy]]&lt;$AA$6,SeismicData[[#This Row],[genergy]]&gt;$AA$5),"Outlier","Normal")</f>
        <v>Normal</v>
      </c>
    </row>
    <row r="1100" spans="1:24" x14ac:dyDescent="0.15">
      <c r="A1100">
        <v>1099</v>
      </c>
      <c r="B1100" t="s">
        <v>20</v>
      </c>
      <c r="C1100" t="s">
        <v>23</v>
      </c>
      <c r="D1100" t="s">
        <v>21</v>
      </c>
      <c r="E1100">
        <v>7510</v>
      </c>
      <c r="F1100">
        <v>169</v>
      </c>
      <c r="G1100">
        <v>-35</v>
      </c>
      <c r="H1100">
        <v>-53</v>
      </c>
      <c r="I1100" t="s">
        <v>20</v>
      </c>
      <c r="J1100">
        <v>0</v>
      </c>
      <c r="K1100">
        <v>0</v>
      </c>
      <c r="L1100">
        <v>0</v>
      </c>
      <c r="M1100">
        <v>0</v>
      </c>
      <c r="N1100">
        <v>0</v>
      </c>
      <c r="O1100">
        <v>0</v>
      </c>
      <c r="P1100">
        <v>0</v>
      </c>
      <c r="Q1100">
        <v>0</v>
      </c>
      <c r="R1100">
        <v>0</v>
      </c>
      <c r="S1100">
        <v>0</v>
      </c>
      <c r="T1100">
        <v>0</v>
      </c>
      <c r="U1100" t="str">
        <f>IF(SeismicData[[#This Row],[class]]=1,"Dangerous","Safe")</f>
        <v>Safe</v>
      </c>
      <c r="V1100" t="str">
        <f>IF(SeismicData[[#This Row],[shift]]="W","Production","Non-Production")</f>
        <v>Non-Production</v>
      </c>
      <c r="W1100" t="str">
        <f>IF(SeismicData[[#This Row],[genergy]]=0,"0","10^"&amp;INT(LOG10(SeismicData[[#This Row],[genergy]])))</f>
        <v>10^3</v>
      </c>
      <c r="X1100" t="str">
        <f>IF(OR(SeismicData[[#This Row],[genergy]]&lt;$AA$6,SeismicData[[#This Row],[genergy]]&gt;$AA$5),"Outlier","Normal")</f>
        <v>Normal</v>
      </c>
    </row>
    <row r="1101" spans="1:24" x14ac:dyDescent="0.15">
      <c r="A1101">
        <v>1100</v>
      </c>
      <c r="B1101" t="s">
        <v>20</v>
      </c>
      <c r="C1101" t="s">
        <v>23</v>
      </c>
      <c r="D1101" t="s">
        <v>21</v>
      </c>
      <c r="E1101">
        <v>3110</v>
      </c>
      <c r="F1101">
        <v>164</v>
      </c>
      <c r="G1101">
        <v>-73</v>
      </c>
      <c r="H1101">
        <v>-54</v>
      </c>
      <c r="I1101" t="s">
        <v>20</v>
      </c>
      <c r="J1101">
        <v>0</v>
      </c>
      <c r="K1101">
        <v>0</v>
      </c>
      <c r="L1101">
        <v>0</v>
      </c>
      <c r="M1101">
        <v>0</v>
      </c>
      <c r="N1101">
        <v>0</v>
      </c>
      <c r="O1101">
        <v>0</v>
      </c>
      <c r="P1101">
        <v>0</v>
      </c>
      <c r="Q1101">
        <v>0</v>
      </c>
      <c r="R1101">
        <v>0</v>
      </c>
      <c r="S1101">
        <v>0</v>
      </c>
      <c r="T1101">
        <v>0</v>
      </c>
      <c r="U1101" t="str">
        <f>IF(SeismicData[[#This Row],[class]]=1,"Dangerous","Safe")</f>
        <v>Safe</v>
      </c>
      <c r="V1101" t="str">
        <f>IF(SeismicData[[#This Row],[shift]]="W","Production","Non-Production")</f>
        <v>Non-Production</v>
      </c>
      <c r="W1101" t="str">
        <f>IF(SeismicData[[#This Row],[genergy]]=0,"0","10^"&amp;INT(LOG10(SeismicData[[#This Row],[genergy]])))</f>
        <v>10^3</v>
      </c>
      <c r="X1101" t="str">
        <f>IF(OR(SeismicData[[#This Row],[genergy]]&lt;$AA$6,SeismicData[[#This Row],[genergy]]&gt;$AA$5),"Outlier","Normal")</f>
        <v>Normal</v>
      </c>
    </row>
    <row r="1102" spans="1:24" x14ac:dyDescent="0.15">
      <c r="A1102">
        <v>1101</v>
      </c>
      <c r="B1102" t="s">
        <v>20</v>
      </c>
      <c r="C1102" t="s">
        <v>23</v>
      </c>
      <c r="D1102" t="s">
        <v>21</v>
      </c>
      <c r="E1102">
        <v>5550</v>
      </c>
      <c r="F1102">
        <v>168</v>
      </c>
      <c r="G1102">
        <v>-52</v>
      </c>
      <c r="H1102">
        <v>-53</v>
      </c>
      <c r="I1102" t="s">
        <v>20</v>
      </c>
      <c r="J1102">
        <v>0</v>
      </c>
      <c r="K1102">
        <v>0</v>
      </c>
      <c r="L1102">
        <v>0</v>
      </c>
      <c r="M1102">
        <v>0</v>
      </c>
      <c r="N1102">
        <v>0</v>
      </c>
      <c r="O1102">
        <v>0</v>
      </c>
      <c r="P1102">
        <v>0</v>
      </c>
      <c r="Q1102">
        <v>0</v>
      </c>
      <c r="R1102">
        <v>0</v>
      </c>
      <c r="S1102">
        <v>0</v>
      </c>
      <c r="T1102">
        <v>0</v>
      </c>
      <c r="U1102" t="str">
        <f>IF(SeismicData[[#This Row],[class]]=1,"Dangerous","Safe")</f>
        <v>Safe</v>
      </c>
      <c r="V1102" t="str">
        <f>IF(SeismicData[[#This Row],[shift]]="W","Production","Non-Production")</f>
        <v>Non-Production</v>
      </c>
      <c r="W1102" t="str">
        <f>IF(SeismicData[[#This Row],[genergy]]=0,"0","10^"&amp;INT(LOG10(SeismicData[[#This Row],[genergy]])))</f>
        <v>10^3</v>
      </c>
      <c r="X1102" t="str">
        <f>IF(OR(SeismicData[[#This Row],[genergy]]&lt;$AA$6,SeismicData[[#This Row],[genergy]]&gt;$AA$5),"Outlier","Normal")</f>
        <v>Normal</v>
      </c>
    </row>
    <row r="1103" spans="1:24" x14ac:dyDescent="0.15">
      <c r="A1103">
        <v>1102</v>
      </c>
      <c r="B1103" t="s">
        <v>20</v>
      </c>
      <c r="C1103" t="s">
        <v>23</v>
      </c>
      <c r="D1103" t="s">
        <v>21</v>
      </c>
      <c r="E1103">
        <v>7560</v>
      </c>
      <c r="F1103">
        <v>133</v>
      </c>
      <c r="G1103">
        <v>-34</v>
      </c>
      <c r="H1103">
        <v>-47</v>
      </c>
      <c r="I1103" t="s">
        <v>20</v>
      </c>
      <c r="J1103">
        <v>1</v>
      </c>
      <c r="K1103">
        <v>0</v>
      </c>
      <c r="L1103">
        <v>1</v>
      </c>
      <c r="M1103">
        <v>0</v>
      </c>
      <c r="N1103">
        <v>0</v>
      </c>
      <c r="O1103">
        <v>0</v>
      </c>
      <c r="P1103">
        <v>0</v>
      </c>
      <c r="Q1103">
        <v>0</v>
      </c>
      <c r="R1103">
        <v>4000</v>
      </c>
      <c r="S1103">
        <v>4000</v>
      </c>
      <c r="T1103">
        <v>0</v>
      </c>
      <c r="U1103" t="str">
        <f>IF(SeismicData[[#This Row],[class]]=1,"Dangerous","Safe")</f>
        <v>Safe</v>
      </c>
      <c r="V1103" t="str">
        <f>IF(SeismicData[[#This Row],[shift]]="W","Production","Non-Production")</f>
        <v>Non-Production</v>
      </c>
      <c r="W1103" t="str">
        <f>IF(SeismicData[[#This Row],[genergy]]=0,"0","10^"&amp;INT(LOG10(SeismicData[[#This Row],[genergy]])))</f>
        <v>10^3</v>
      </c>
      <c r="X1103" t="str">
        <f>IF(OR(SeismicData[[#This Row],[genergy]]&lt;$AA$6,SeismicData[[#This Row],[genergy]]&gt;$AA$5),"Outlier","Normal")</f>
        <v>Normal</v>
      </c>
    </row>
    <row r="1104" spans="1:24" x14ac:dyDescent="0.15">
      <c r="A1104">
        <v>1103</v>
      </c>
      <c r="B1104" t="s">
        <v>20</v>
      </c>
      <c r="C1104" t="s">
        <v>20</v>
      </c>
      <c r="D1104" t="s">
        <v>21</v>
      </c>
      <c r="E1104">
        <v>3610</v>
      </c>
      <c r="F1104">
        <v>154</v>
      </c>
      <c r="G1104">
        <v>-67</v>
      </c>
      <c r="H1104">
        <v>-55</v>
      </c>
      <c r="I1104" t="s">
        <v>20</v>
      </c>
      <c r="J1104">
        <v>0</v>
      </c>
      <c r="K1104">
        <v>0</v>
      </c>
      <c r="L1104">
        <v>0</v>
      </c>
      <c r="M1104">
        <v>0</v>
      </c>
      <c r="N1104">
        <v>0</v>
      </c>
      <c r="O1104">
        <v>0</v>
      </c>
      <c r="P1104">
        <v>0</v>
      </c>
      <c r="Q1104">
        <v>0</v>
      </c>
      <c r="R1104">
        <v>0</v>
      </c>
      <c r="S1104">
        <v>0</v>
      </c>
      <c r="T1104">
        <v>0</v>
      </c>
      <c r="U1104" t="str">
        <f>IF(SeismicData[[#This Row],[class]]=1,"Dangerous","Safe")</f>
        <v>Safe</v>
      </c>
      <c r="V1104" t="str">
        <f>IF(SeismicData[[#This Row],[shift]]="W","Production","Non-Production")</f>
        <v>Non-Production</v>
      </c>
      <c r="W1104" t="str">
        <f>IF(SeismicData[[#This Row],[genergy]]=0,"0","10^"&amp;INT(LOG10(SeismicData[[#This Row],[genergy]])))</f>
        <v>10^3</v>
      </c>
      <c r="X1104" t="str">
        <f>IF(OR(SeismicData[[#This Row],[genergy]]&lt;$AA$6,SeismicData[[#This Row],[genergy]]&gt;$AA$5),"Outlier","Normal")</f>
        <v>Normal</v>
      </c>
    </row>
    <row r="1105" spans="1:24" x14ac:dyDescent="0.15">
      <c r="A1105">
        <v>1104</v>
      </c>
      <c r="B1105" t="s">
        <v>20</v>
      </c>
      <c r="C1105" t="s">
        <v>20</v>
      </c>
      <c r="D1105" t="s">
        <v>21</v>
      </c>
      <c r="E1105">
        <v>4490</v>
      </c>
      <c r="F1105">
        <v>177</v>
      </c>
      <c r="G1105">
        <v>-60</v>
      </c>
      <c r="H1105">
        <v>-49</v>
      </c>
      <c r="I1105" t="s">
        <v>20</v>
      </c>
      <c r="J1105">
        <v>0</v>
      </c>
      <c r="K1105">
        <v>0</v>
      </c>
      <c r="L1105">
        <v>0</v>
      </c>
      <c r="M1105">
        <v>0</v>
      </c>
      <c r="N1105">
        <v>0</v>
      </c>
      <c r="O1105">
        <v>0</v>
      </c>
      <c r="P1105">
        <v>0</v>
      </c>
      <c r="Q1105">
        <v>0</v>
      </c>
      <c r="R1105">
        <v>0</v>
      </c>
      <c r="S1105">
        <v>0</v>
      </c>
      <c r="T1105">
        <v>0</v>
      </c>
      <c r="U1105" t="str">
        <f>IF(SeismicData[[#This Row],[class]]=1,"Dangerous","Safe")</f>
        <v>Safe</v>
      </c>
      <c r="V1105" t="str">
        <f>IF(SeismicData[[#This Row],[shift]]="W","Production","Non-Production")</f>
        <v>Non-Production</v>
      </c>
      <c r="W1105" t="str">
        <f>IF(SeismicData[[#This Row],[genergy]]=0,"0","10^"&amp;INT(LOG10(SeismicData[[#This Row],[genergy]])))</f>
        <v>10^3</v>
      </c>
      <c r="X1105" t="str">
        <f>IF(OR(SeismicData[[#This Row],[genergy]]&lt;$AA$6,SeismicData[[#This Row],[genergy]]&gt;$AA$5),"Outlier","Normal")</f>
        <v>Normal</v>
      </c>
    </row>
    <row r="1106" spans="1:24" x14ac:dyDescent="0.15">
      <c r="A1106">
        <v>1105</v>
      </c>
      <c r="B1106" t="s">
        <v>20</v>
      </c>
      <c r="C1106" t="s">
        <v>20</v>
      </c>
      <c r="D1106" t="s">
        <v>21</v>
      </c>
      <c r="E1106">
        <v>3100</v>
      </c>
      <c r="F1106">
        <v>184</v>
      </c>
      <c r="G1106">
        <v>-72</v>
      </c>
      <c r="H1106">
        <v>-47</v>
      </c>
      <c r="I1106" t="s">
        <v>20</v>
      </c>
      <c r="J1106">
        <v>0</v>
      </c>
      <c r="K1106">
        <v>0</v>
      </c>
      <c r="L1106">
        <v>0</v>
      </c>
      <c r="M1106">
        <v>0</v>
      </c>
      <c r="N1106">
        <v>0</v>
      </c>
      <c r="O1106">
        <v>0</v>
      </c>
      <c r="P1106">
        <v>0</v>
      </c>
      <c r="Q1106">
        <v>0</v>
      </c>
      <c r="R1106">
        <v>0</v>
      </c>
      <c r="S1106">
        <v>0</v>
      </c>
      <c r="T1106">
        <v>0</v>
      </c>
      <c r="U1106" t="str">
        <f>IF(SeismicData[[#This Row],[class]]=1,"Dangerous","Safe")</f>
        <v>Safe</v>
      </c>
      <c r="V1106" t="str">
        <f>IF(SeismicData[[#This Row],[shift]]="W","Production","Non-Production")</f>
        <v>Non-Production</v>
      </c>
      <c r="W1106" t="str">
        <f>IF(SeismicData[[#This Row],[genergy]]=0,"0","10^"&amp;INT(LOG10(SeismicData[[#This Row],[genergy]])))</f>
        <v>10^3</v>
      </c>
      <c r="X1106" t="str">
        <f>IF(OR(SeismicData[[#This Row],[genergy]]&lt;$AA$6,SeismicData[[#This Row],[genergy]]&gt;$AA$5),"Outlier","Normal")</f>
        <v>Normal</v>
      </c>
    </row>
    <row r="1107" spans="1:24" x14ac:dyDescent="0.15">
      <c r="A1107">
        <v>1106</v>
      </c>
      <c r="B1107" t="s">
        <v>20</v>
      </c>
      <c r="C1107" t="s">
        <v>20</v>
      </c>
      <c r="D1107" t="s">
        <v>22</v>
      </c>
      <c r="E1107">
        <v>18470</v>
      </c>
      <c r="F1107">
        <v>525</v>
      </c>
      <c r="G1107">
        <v>-46</v>
      </c>
      <c r="H1107">
        <v>-41</v>
      </c>
      <c r="I1107" t="s">
        <v>20</v>
      </c>
      <c r="J1107">
        <v>0</v>
      </c>
      <c r="K1107">
        <v>0</v>
      </c>
      <c r="L1107">
        <v>0</v>
      </c>
      <c r="M1107">
        <v>0</v>
      </c>
      <c r="N1107">
        <v>0</v>
      </c>
      <c r="O1107">
        <v>0</v>
      </c>
      <c r="P1107">
        <v>0</v>
      </c>
      <c r="Q1107">
        <v>0</v>
      </c>
      <c r="R1107">
        <v>0</v>
      </c>
      <c r="S1107">
        <v>0</v>
      </c>
      <c r="T1107">
        <v>0</v>
      </c>
      <c r="U1107" t="str">
        <f>IF(SeismicData[[#This Row],[class]]=1,"Dangerous","Safe")</f>
        <v>Safe</v>
      </c>
      <c r="V1107" t="str">
        <f>IF(SeismicData[[#This Row],[shift]]="W","Production","Non-Production")</f>
        <v>Production</v>
      </c>
      <c r="W1107" t="str">
        <f>IF(SeismicData[[#This Row],[genergy]]=0,"0","10^"&amp;INT(LOG10(SeismicData[[#This Row],[genergy]])))</f>
        <v>10^4</v>
      </c>
      <c r="X1107" t="str">
        <f>IF(OR(SeismicData[[#This Row],[genergy]]&lt;$AA$6,SeismicData[[#This Row],[genergy]]&gt;$AA$5),"Outlier","Normal")</f>
        <v>Normal</v>
      </c>
    </row>
    <row r="1108" spans="1:24" x14ac:dyDescent="0.15">
      <c r="A1108">
        <v>1107</v>
      </c>
      <c r="B1108" t="s">
        <v>20</v>
      </c>
      <c r="C1108" t="s">
        <v>20</v>
      </c>
      <c r="D1108" t="s">
        <v>22</v>
      </c>
      <c r="E1108">
        <v>17220</v>
      </c>
      <c r="F1108">
        <v>529</v>
      </c>
      <c r="G1108">
        <v>-50</v>
      </c>
      <c r="H1108">
        <v>-41</v>
      </c>
      <c r="I1108" t="s">
        <v>20</v>
      </c>
      <c r="J1108">
        <v>0</v>
      </c>
      <c r="K1108">
        <v>0</v>
      </c>
      <c r="L1108">
        <v>0</v>
      </c>
      <c r="M1108">
        <v>0</v>
      </c>
      <c r="N1108">
        <v>0</v>
      </c>
      <c r="O1108">
        <v>0</v>
      </c>
      <c r="P1108">
        <v>0</v>
      </c>
      <c r="Q1108">
        <v>0</v>
      </c>
      <c r="R1108">
        <v>0</v>
      </c>
      <c r="S1108">
        <v>0</v>
      </c>
      <c r="T1108">
        <v>0</v>
      </c>
      <c r="U1108" t="str">
        <f>IF(SeismicData[[#This Row],[class]]=1,"Dangerous","Safe")</f>
        <v>Safe</v>
      </c>
      <c r="V1108" t="str">
        <f>IF(SeismicData[[#This Row],[shift]]="W","Production","Non-Production")</f>
        <v>Production</v>
      </c>
      <c r="W1108" t="str">
        <f>IF(SeismicData[[#This Row],[genergy]]=0,"0","10^"&amp;INT(LOG10(SeismicData[[#This Row],[genergy]])))</f>
        <v>10^4</v>
      </c>
      <c r="X1108" t="str">
        <f>IF(OR(SeismicData[[#This Row],[genergy]]&lt;$AA$6,SeismicData[[#This Row],[genergy]]&gt;$AA$5),"Outlier","Normal")</f>
        <v>Normal</v>
      </c>
    </row>
    <row r="1109" spans="1:24" x14ac:dyDescent="0.15">
      <c r="A1109">
        <v>1108</v>
      </c>
      <c r="B1109" t="s">
        <v>20</v>
      </c>
      <c r="C1109" t="s">
        <v>20</v>
      </c>
      <c r="D1109" t="s">
        <v>22</v>
      </c>
      <c r="E1109">
        <v>25010</v>
      </c>
      <c r="F1109">
        <v>524</v>
      </c>
      <c r="G1109">
        <v>-27</v>
      </c>
      <c r="H1109">
        <v>-41</v>
      </c>
      <c r="I1109" t="s">
        <v>20</v>
      </c>
      <c r="J1109">
        <v>0</v>
      </c>
      <c r="K1109">
        <v>0</v>
      </c>
      <c r="L1109">
        <v>0</v>
      </c>
      <c r="M1109">
        <v>0</v>
      </c>
      <c r="N1109">
        <v>0</v>
      </c>
      <c r="O1109">
        <v>0</v>
      </c>
      <c r="P1109">
        <v>0</v>
      </c>
      <c r="Q1109">
        <v>0</v>
      </c>
      <c r="R1109">
        <v>0</v>
      </c>
      <c r="S1109">
        <v>0</v>
      </c>
      <c r="T1109">
        <v>0</v>
      </c>
      <c r="U1109" t="str">
        <f>IF(SeismicData[[#This Row],[class]]=1,"Dangerous","Safe")</f>
        <v>Safe</v>
      </c>
      <c r="V1109" t="str">
        <f>IF(SeismicData[[#This Row],[shift]]="W","Production","Non-Production")</f>
        <v>Production</v>
      </c>
      <c r="W1109" t="str">
        <f>IF(SeismicData[[#This Row],[genergy]]=0,"0","10^"&amp;INT(LOG10(SeismicData[[#This Row],[genergy]])))</f>
        <v>10^4</v>
      </c>
      <c r="X1109" t="str">
        <f>IF(OR(SeismicData[[#This Row],[genergy]]&lt;$AA$6,SeismicData[[#This Row],[genergy]]&gt;$AA$5),"Outlier","Normal")</f>
        <v>Normal</v>
      </c>
    </row>
    <row r="1110" spans="1:24" x14ac:dyDescent="0.15">
      <c r="A1110">
        <v>1109</v>
      </c>
      <c r="B1110" t="s">
        <v>20</v>
      </c>
      <c r="C1110" t="s">
        <v>20</v>
      </c>
      <c r="D1110" t="s">
        <v>22</v>
      </c>
      <c r="E1110">
        <v>17540</v>
      </c>
      <c r="F1110">
        <v>252</v>
      </c>
      <c r="G1110">
        <v>-23</v>
      </c>
      <c r="H1110">
        <v>-48</v>
      </c>
      <c r="I1110" t="s">
        <v>20</v>
      </c>
      <c r="J1110">
        <v>0</v>
      </c>
      <c r="K1110">
        <v>0</v>
      </c>
      <c r="L1110">
        <v>0</v>
      </c>
      <c r="M1110">
        <v>0</v>
      </c>
      <c r="N1110">
        <v>0</v>
      </c>
      <c r="O1110">
        <v>0</v>
      </c>
      <c r="P1110">
        <v>0</v>
      </c>
      <c r="Q1110">
        <v>0</v>
      </c>
      <c r="R1110">
        <v>0</v>
      </c>
      <c r="S1110">
        <v>0</v>
      </c>
      <c r="T1110">
        <v>0</v>
      </c>
      <c r="U1110" t="str">
        <f>IF(SeismicData[[#This Row],[class]]=1,"Dangerous","Safe")</f>
        <v>Safe</v>
      </c>
      <c r="V1110" t="str">
        <f>IF(SeismicData[[#This Row],[shift]]="W","Production","Non-Production")</f>
        <v>Production</v>
      </c>
      <c r="W1110" t="str">
        <f>IF(SeismicData[[#This Row],[genergy]]=0,"0","10^"&amp;INT(LOG10(SeismicData[[#This Row],[genergy]])))</f>
        <v>10^4</v>
      </c>
      <c r="X1110" t="str">
        <f>IF(OR(SeismicData[[#This Row],[genergy]]&lt;$AA$6,SeismicData[[#This Row],[genergy]]&gt;$AA$5),"Outlier","Normal")</f>
        <v>Normal</v>
      </c>
    </row>
    <row r="1111" spans="1:24" x14ac:dyDescent="0.15">
      <c r="A1111">
        <v>1110</v>
      </c>
      <c r="B1111" t="s">
        <v>20</v>
      </c>
      <c r="C1111" t="s">
        <v>20</v>
      </c>
      <c r="D1111" t="s">
        <v>22</v>
      </c>
      <c r="E1111">
        <v>15170</v>
      </c>
      <c r="F1111">
        <v>414</v>
      </c>
      <c r="G1111">
        <v>-56</v>
      </c>
      <c r="H1111">
        <v>-54</v>
      </c>
      <c r="I1111" t="s">
        <v>20</v>
      </c>
      <c r="J1111">
        <v>0</v>
      </c>
      <c r="K1111">
        <v>0</v>
      </c>
      <c r="L1111">
        <v>0</v>
      </c>
      <c r="M1111">
        <v>0</v>
      </c>
      <c r="N1111">
        <v>0</v>
      </c>
      <c r="O1111">
        <v>0</v>
      </c>
      <c r="P1111">
        <v>0</v>
      </c>
      <c r="Q1111">
        <v>0</v>
      </c>
      <c r="R1111">
        <v>0</v>
      </c>
      <c r="S1111">
        <v>0</v>
      </c>
      <c r="T1111">
        <v>0</v>
      </c>
      <c r="U1111" t="str">
        <f>IF(SeismicData[[#This Row],[class]]=1,"Dangerous","Safe")</f>
        <v>Safe</v>
      </c>
      <c r="V1111" t="str">
        <f>IF(SeismicData[[#This Row],[shift]]="W","Production","Non-Production")</f>
        <v>Production</v>
      </c>
      <c r="W1111" t="str">
        <f>IF(SeismicData[[#This Row],[genergy]]=0,"0","10^"&amp;INT(LOG10(SeismicData[[#This Row],[genergy]])))</f>
        <v>10^4</v>
      </c>
      <c r="X1111" t="str">
        <f>IF(OR(SeismicData[[#This Row],[genergy]]&lt;$AA$6,SeismicData[[#This Row],[genergy]]&gt;$AA$5),"Outlier","Normal")</f>
        <v>Normal</v>
      </c>
    </row>
    <row r="1112" spans="1:24" x14ac:dyDescent="0.15">
      <c r="A1112">
        <v>1111</v>
      </c>
      <c r="B1112" t="s">
        <v>20</v>
      </c>
      <c r="C1112" t="s">
        <v>20</v>
      </c>
      <c r="D1112" t="s">
        <v>22</v>
      </c>
      <c r="E1112">
        <v>79240</v>
      </c>
      <c r="F1112">
        <v>1381</v>
      </c>
      <c r="G1112">
        <v>124</v>
      </c>
      <c r="H1112">
        <v>47</v>
      </c>
      <c r="I1112" t="s">
        <v>20</v>
      </c>
      <c r="J1112">
        <v>0</v>
      </c>
      <c r="K1112">
        <v>0</v>
      </c>
      <c r="L1112">
        <v>0</v>
      </c>
      <c r="M1112">
        <v>0</v>
      </c>
      <c r="N1112">
        <v>0</v>
      </c>
      <c r="O1112">
        <v>0</v>
      </c>
      <c r="P1112">
        <v>0</v>
      </c>
      <c r="Q1112">
        <v>0</v>
      </c>
      <c r="R1112">
        <v>0</v>
      </c>
      <c r="S1112">
        <v>0</v>
      </c>
      <c r="T1112">
        <v>1</v>
      </c>
      <c r="U1112" t="str">
        <f>IF(SeismicData[[#This Row],[class]]=1,"Dangerous","Safe")</f>
        <v>Dangerous</v>
      </c>
      <c r="V1112" t="str">
        <f>IF(SeismicData[[#This Row],[shift]]="W","Production","Non-Production")</f>
        <v>Production</v>
      </c>
      <c r="W1112" t="str">
        <f>IF(SeismicData[[#This Row],[genergy]]=0,"0","10^"&amp;INT(LOG10(SeismicData[[#This Row],[genergy]])))</f>
        <v>10^4</v>
      </c>
      <c r="X1112" t="str">
        <f>IF(OR(SeismicData[[#This Row],[genergy]]&lt;$AA$6,SeismicData[[#This Row],[genergy]]&gt;$AA$5),"Outlier","Normal")</f>
        <v>Normal</v>
      </c>
    </row>
    <row r="1113" spans="1:24" x14ac:dyDescent="0.15">
      <c r="A1113">
        <v>1112</v>
      </c>
      <c r="B1113" t="s">
        <v>20</v>
      </c>
      <c r="C1113" t="s">
        <v>20</v>
      </c>
      <c r="D1113" t="s">
        <v>22</v>
      </c>
      <c r="E1113">
        <v>103380</v>
      </c>
      <c r="F1113">
        <v>2701</v>
      </c>
      <c r="G1113">
        <v>193</v>
      </c>
      <c r="H1113">
        <v>187</v>
      </c>
      <c r="I1113" t="s">
        <v>20</v>
      </c>
      <c r="J1113">
        <v>1</v>
      </c>
      <c r="K1113">
        <v>0</v>
      </c>
      <c r="L1113">
        <v>0</v>
      </c>
      <c r="M1113">
        <v>0</v>
      </c>
      <c r="N1113">
        <v>1</v>
      </c>
      <c r="O1113">
        <v>0</v>
      </c>
      <c r="P1113">
        <v>0</v>
      </c>
      <c r="Q1113">
        <v>0</v>
      </c>
      <c r="R1113">
        <v>200000</v>
      </c>
      <c r="S1113">
        <v>200000</v>
      </c>
      <c r="T1113">
        <v>0</v>
      </c>
      <c r="U1113" t="str">
        <f>IF(SeismicData[[#This Row],[class]]=1,"Dangerous","Safe")</f>
        <v>Safe</v>
      </c>
      <c r="V1113" t="str">
        <f>IF(SeismicData[[#This Row],[shift]]="W","Production","Non-Production")</f>
        <v>Production</v>
      </c>
      <c r="W1113" t="str">
        <f>IF(SeismicData[[#This Row],[genergy]]=0,"0","10^"&amp;INT(LOG10(SeismicData[[#This Row],[genergy]])))</f>
        <v>10^5</v>
      </c>
      <c r="X1113" t="str">
        <f>IF(OR(SeismicData[[#This Row],[genergy]]&lt;$AA$6,SeismicData[[#This Row],[genergy]]&gt;$AA$5),"Outlier","Normal")</f>
        <v>Normal</v>
      </c>
    </row>
    <row r="1114" spans="1:24" x14ac:dyDescent="0.15">
      <c r="A1114">
        <v>1113</v>
      </c>
      <c r="B1114" t="s">
        <v>20</v>
      </c>
      <c r="C1114" t="s">
        <v>20</v>
      </c>
      <c r="D1114" t="s">
        <v>22</v>
      </c>
      <c r="E1114">
        <v>38230</v>
      </c>
      <c r="F1114">
        <v>835</v>
      </c>
      <c r="G1114">
        <v>61</v>
      </c>
      <c r="H1114">
        <v>63</v>
      </c>
      <c r="I1114" t="s">
        <v>20</v>
      </c>
      <c r="J1114">
        <v>0</v>
      </c>
      <c r="K1114">
        <v>0</v>
      </c>
      <c r="L1114">
        <v>0</v>
      </c>
      <c r="M1114">
        <v>0</v>
      </c>
      <c r="N1114">
        <v>0</v>
      </c>
      <c r="O1114">
        <v>0</v>
      </c>
      <c r="P1114">
        <v>0</v>
      </c>
      <c r="Q1114">
        <v>0</v>
      </c>
      <c r="R1114">
        <v>0</v>
      </c>
      <c r="S1114">
        <v>0</v>
      </c>
      <c r="T1114">
        <v>0</v>
      </c>
      <c r="U1114" t="str">
        <f>IF(SeismicData[[#This Row],[class]]=1,"Dangerous","Safe")</f>
        <v>Safe</v>
      </c>
      <c r="V1114" t="str">
        <f>IF(SeismicData[[#This Row],[shift]]="W","Production","Non-Production")</f>
        <v>Production</v>
      </c>
      <c r="W1114" t="str">
        <f>IF(SeismicData[[#This Row],[genergy]]=0,"0","10^"&amp;INT(LOG10(SeismicData[[#This Row],[genergy]])))</f>
        <v>10^4</v>
      </c>
      <c r="X1114" t="str">
        <f>IF(OR(SeismicData[[#This Row],[genergy]]&lt;$AA$6,SeismicData[[#This Row],[genergy]]&gt;$AA$5),"Outlier","Normal")</f>
        <v>Normal</v>
      </c>
    </row>
    <row r="1115" spans="1:24" x14ac:dyDescent="0.15">
      <c r="A1115">
        <v>1114</v>
      </c>
      <c r="B1115" t="s">
        <v>20</v>
      </c>
      <c r="C1115" t="s">
        <v>20</v>
      </c>
      <c r="D1115" t="s">
        <v>22</v>
      </c>
      <c r="E1115">
        <v>43380</v>
      </c>
      <c r="F1115">
        <v>693</v>
      </c>
      <c r="G1115">
        <v>83</v>
      </c>
      <c r="H1115">
        <v>36</v>
      </c>
      <c r="I1115" t="s">
        <v>20</v>
      </c>
      <c r="J1115">
        <v>0</v>
      </c>
      <c r="K1115">
        <v>0</v>
      </c>
      <c r="L1115">
        <v>0</v>
      </c>
      <c r="M1115">
        <v>0</v>
      </c>
      <c r="N1115">
        <v>0</v>
      </c>
      <c r="O1115">
        <v>0</v>
      </c>
      <c r="P1115">
        <v>0</v>
      </c>
      <c r="Q1115">
        <v>0</v>
      </c>
      <c r="R1115">
        <v>0</v>
      </c>
      <c r="S1115">
        <v>0</v>
      </c>
      <c r="T1115">
        <v>0</v>
      </c>
      <c r="U1115" t="str">
        <f>IF(SeismicData[[#This Row],[class]]=1,"Dangerous","Safe")</f>
        <v>Safe</v>
      </c>
      <c r="V1115" t="str">
        <f>IF(SeismicData[[#This Row],[shift]]="W","Production","Non-Production")</f>
        <v>Production</v>
      </c>
      <c r="W1115" t="str">
        <f>IF(SeismicData[[#This Row],[genergy]]=0,"0","10^"&amp;INT(LOG10(SeismicData[[#This Row],[genergy]])))</f>
        <v>10^4</v>
      </c>
      <c r="X1115" t="str">
        <f>IF(OR(SeismicData[[#This Row],[genergy]]&lt;$AA$6,SeismicData[[#This Row],[genergy]]&gt;$AA$5),"Outlier","Normal")</f>
        <v>Normal</v>
      </c>
    </row>
    <row r="1116" spans="1:24" x14ac:dyDescent="0.15">
      <c r="A1116">
        <v>1115</v>
      </c>
      <c r="B1116" t="s">
        <v>20</v>
      </c>
      <c r="C1116" t="s">
        <v>20</v>
      </c>
      <c r="D1116" t="s">
        <v>22</v>
      </c>
      <c r="E1116">
        <v>26450</v>
      </c>
      <c r="F1116">
        <v>529</v>
      </c>
      <c r="G1116">
        <v>12</v>
      </c>
      <c r="H1116">
        <v>3</v>
      </c>
      <c r="I1116" t="s">
        <v>20</v>
      </c>
      <c r="J1116">
        <v>0</v>
      </c>
      <c r="K1116">
        <v>0</v>
      </c>
      <c r="L1116">
        <v>0</v>
      </c>
      <c r="M1116">
        <v>0</v>
      </c>
      <c r="N1116">
        <v>0</v>
      </c>
      <c r="O1116">
        <v>0</v>
      </c>
      <c r="P1116">
        <v>0</v>
      </c>
      <c r="Q1116">
        <v>0</v>
      </c>
      <c r="R1116">
        <v>0</v>
      </c>
      <c r="S1116">
        <v>0</v>
      </c>
      <c r="T1116">
        <v>0</v>
      </c>
      <c r="U1116" t="str">
        <f>IF(SeismicData[[#This Row],[class]]=1,"Dangerous","Safe")</f>
        <v>Safe</v>
      </c>
      <c r="V1116" t="str">
        <f>IF(SeismicData[[#This Row],[shift]]="W","Production","Non-Production")</f>
        <v>Production</v>
      </c>
      <c r="W1116" t="str">
        <f>IF(SeismicData[[#This Row],[genergy]]=0,"0","10^"&amp;INT(LOG10(SeismicData[[#This Row],[genergy]])))</f>
        <v>10^4</v>
      </c>
      <c r="X1116" t="str">
        <f>IF(OR(SeismicData[[#This Row],[genergy]]&lt;$AA$6,SeismicData[[#This Row],[genergy]]&gt;$AA$5),"Outlier","Normal")</f>
        <v>Normal</v>
      </c>
    </row>
    <row r="1117" spans="1:24" x14ac:dyDescent="0.15">
      <c r="A1117">
        <v>1116</v>
      </c>
      <c r="B1117" t="s">
        <v>20</v>
      </c>
      <c r="C1117" t="s">
        <v>20</v>
      </c>
      <c r="D1117" t="s">
        <v>22</v>
      </c>
      <c r="E1117">
        <v>27450</v>
      </c>
      <c r="F1117">
        <v>512</v>
      </c>
      <c r="G1117">
        <v>16</v>
      </c>
      <c r="H1117">
        <v>0</v>
      </c>
      <c r="I1117" t="s">
        <v>20</v>
      </c>
      <c r="J1117">
        <v>1</v>
      </c>
      <c r="K1117">
        <v>1</v>
      </c>
      <c r="L1117">
        <v>0</v>
      </c>
      <c r="M1117">
        <v>0</v>
      </c>
      <c r="N1117">
        <v>0</v>
      </c>
      <c r="O1117">
        <v>0</v>
      </c>
      <c r="P1117">
        <v>0</v>
      </c>
      <c r="Q1117">
        <v>0</v>
      </c>
      <c r="R1117">
        <v>300</v>
      </c>
      <c r="S1117">
        <v>300</v>
      </c>
      <c r="T1117">
        <v>0</v>
      </c>
      <c r="U1117" t="str">
        <f>IF(SeismicData[[#This Row],[class]]=1,"Dangerous","Safe")</f>
        <v>Safe</v>
      </c>
      <c r="V1117" t="str">
        <f>IF(SeismicData[[#This Row],[shift]]="W","Production","Non-Production")</f>
        <v>Production</v>
      </c>
      <c r="W1117" t="str">
        <f>IF(SeismicData[[#This Row],[genergy]]=0,"0","10^"&amp;INT(LOG10(SeismicData[[#This Row],[genergy]])))</f>
        <v>10^4</v>
      </c>
      <c r="X1117" t="str">
        <f>IF(OR(SeismicData[[#This Row],[genergy]]&lt;$AA$6,SeismicData[[#This Row],[genergy]]&gt;$AA$5),"Outlier","Normal")</f>
        <v>Normal</v>
      </c>
    </row>
    <row r="1118" spans="1:24" x14ac:dyDescent="0.15">
      <c r="A1118">
        <v>1117</v>
      </c>
      <c r="B1118" t="s">
        <v>20</v>
      </c>
      <c r="C1118" t="s">
        <v>20</v>
      </c>
      <c r="D1118" t="s">
        <v>22</v>
      </c>
      <c r="E1118">
        <v>25750</v>
      </c>
      <c r="F1118">
        <v>494</v>
      </c>
      <c r="G1118">
        <v>9</v>
      </c>
      <c r="H1118">
        <v>-3</v>
      </c>
      <c r="I1118" t="s">
        <v>20</v>
      </c>
      <c r="J1118">
        <v>0</v>
      </c>
      <c r="K1118">
        <v>0</v>
      </c>
      <c r="L1118">
        <v>0</v>
      </c>
      <c r="M1118">
        <v>0</v>
      </c>
      <c r="N1118">
        <v>0</v>
      </c>
      <c r="O1118">
        <v>0</v>
      </c>
      <c r="P1118">
        <v>0</v>
      </c>
      <c r="Q1118">
        <v>0</v>
      </c>
      <c r="R1118">
        <v>0</v>
      </c>
      <c r="S1118">
        <v>0</v>
      </c>
      <c r="T1118">
        <v>0</v>
      </c>
      <c r="U1118" t="str">
        <f>IF(SeismicData[[#This Row],[class]]=1,"Dangerous","Safe")</f>
        <v>Safe</v>
      </c>
      <c r="V1118" t="str">
        <f>IF(SeismicData[[#This Row],[shift]]="W","Production","Non-Production")</f>
        <v>Production</v>
      </c>
      <c r="W1118" t="str">
        <f>IF(SeismicData[[#This Row],[genergy]]=0,"0","10^"&amp;INT(LOG10(SeismicData[[#This Row],[genergy]])))</f>
        <v>10^4</v>
      </c>
      <c r="X1118" t="str">
        <f>IF(OR(SeismicData[[#This Row],[genergy]]&lt;$AA$6,SeismicData[[#This Row],[genergy]]&gt;$AA$5),"Outlier","Normal")</f>
        <v>Normal</v>
      </c>
    </row>
    <row r="1119" spans="1:24" x14ac:dyDescent="0.15">
      <c r="A1119">
        <v>1118</v>
      </c>
      <c r="B1119" t="s">
        <v>20</v>
      </c>
      <c r="C1119" t="s">
        <v>20</v>
      </c>
      <c r="D1119" t="s">
        <v>22</v>
      </c>
      <c r="E1119">
        <v>23310</v>
      </c>
      <c r="F1119">
        <v>242</v>
      </c>
      <c r="G1119">
        <v>-2</v>
      </c>
      <c r="H1119">
        <v>-53</v>
      </c>
      <c r="I1119" t="s">
        <v>20</v>
      </c>
      <c r="J1119">
        <v>1</v>
      </c>
      <c r="K1119">
        <v>1</v>
      </c>
      <c r="L1119">
        <v>0</v>
      </c>
      <c r="M1119">
        <v>0</v>
      </c>
      <c r="N1119">
        <v>0</v>
      </c>
      <c r="O1119">
        <v>0</v>
      </c>
      <c r="P1119">
        <v>0</v>
      </c>
      <c r="Q1119">
        <v>0</v>
      </c>
      <c r="R1119">
        <v>700</v>
      </c>
      <c r="S1119">
        <v>700</v>
      </c>
      <c r="T1119">
        <v>0</v>
      </c>
      <c r="U1119" t="str">
        <f>IF(SeismicData[[#This Row],[class]]=1,"Dangerous","Safe")</f>
        <v>Safe</v>
      </c>
      <c r="V1119" t="str">
        <f>IF(SeismicData[[#This Row],[shift]]="W","Production","Non-Production")</f>
        <v>Production</v>
      </c>
      <c r="W1119" t="str">
        <f>IF(SeismicData[[#This Row],[genergy]]=0,"0","10^"&amp;INT(LOG10(SeismicData[[#This Row],[genergy]])))</f>
        <v>10^4</v>
      </c>
      <c r="X1119" t="str">
        <f>IF(OR(SeismicData[[#This Row],[genergy]]&lt;$AA$6,SeismicData[[#This Row],[genergy]]&gt;$AA$5),"Outlier","Normal")</f>
        <v>Normal</v>
      </c>
    </row>
    <row r="1120" spans="1:24" x14ac:dyDescent="0.15">
      <c r="A1120">
        <v>1119</v>
      </c>
      <c r="B1120" t="s">
        <v>23</v>
      </c>
      <c r="C1120" t="s">
        <v>20</v>
      </c>
      <c r="D1120" t="s">
        <v>22</v>
      </c>
      <c r="E1120">
        <v>26170</v>
      </c>
      <c r="F1120">
        <v>388</v>
      </c>
      <c r="G1120">
        <v>23</v>
      </c>
      <c r="H1120">
        <v>-19</v>
      </c>
      <c r="I1120" t="s">
        <v>20</v>
      </c>
      <c r="J1120">
        <v>0</v>
      </c>
      <c r="K1120">
        <v>0</v>
      </c>
      <c r="L1120">
        <v>0</v>
      </c>
      <c r="M1120">
        <v>0</v>
      </c>
      <c r="N1120">
        <v>0</v>
      </c>
      <c r="O1120">
        <v>0</v>
      </c>
      <c r="P1120">
        <v>0</v>
      </c>
      <c r="Q1120">
        <v>0</v>
      </c>
      <c r="R1120">
        <v>0</v>
      </c>
      <c r="S1120">
        <v>0</v>
      </c>
      <c r="T1120">
        <v>0</v>
      </c>
      <c r="U1120" t="str">
        <f>IF(SeismicData[[#This Row],[class]]=1,"Dangerous","Safe")</f>
        <v>Safe</v>
      </c>
      <c r="V1120" t="str">
        <f>IF(SeismicData[[#This Row],[shift]]="W","Production","Non-Production")</f>
        <v>Production</v>
      </c>
      <c r="W1120" t="str">
        <f>IF(SeismicData[[#This Row],[genergy]]=0,"0","10^"&amp;INT(LOG10(SeismicData[[#This Row],[genergy]])))</f>
        <v>10^4</v>
      </c>
      <c r="X1120" t="str">
        <f>IF(OR(SeismicData[[#This Row],[genergy]]&lt;$AA$6,SeismicData[[#This Row],[genergy]]&gt;$AA$5),"Outlier","Normal")</f>
        <v>Normal</v>
      </c>
    </row>
    <row r="1121" spans="1:24" x14ac:dyDescent="0.15">
      <c r="A1121">
        <v>1120</v>
      </c>
      <c r="B1121" t="s">
        <v>23</v>
      </c>
      <c r="C1121" t="s">
        <v>20</v>
      </c>
      <c r="D1121" t="s">
        <v>22</v>
      </c>
      <c r="E1121">
        <v>42450</v>
      </c>
      <c r="F1121">
        <v>429</v>
      </c>
      <c r="G1121">
        <v>99</v>
      </c>
      <c r="H1121">
        <v>-10</v>
      </c>
      <c r="I1121" t="s">
        <v>20</v>
      </c>
      <c r="J1121">
        <v>0</v>
      </c>
      <c r="K1121">
        <v>0</v>
      </c>
      <c r="L1121">
        <v>0</v>
      </c>
      <c r="M1121">
        <v>0</v>
      </c>
      <c r="N1121">
        <v>0</v>
      </c>
      <c r="O1121">
        <v>0</v>
      </c>
      <c r="P1121">
        <v>0</v>
      </c>
      <c r="Q1121">
        <v>0</v>
      </c>
      <c r="R1121">
        <v>0</v>
      </c>
      <c r="S1121">
        <v>0</v>
      </c>
      <c r="T1121">
        <v>0</v>
      </c>
      <c r="U1121" t="str">
        <f>IF(SeismicData[[#This Row],[class]]=1,"Dangerous","Safe")</f>
        <v>Safe</v>
      </c>
      <c r="V1121" t="str">
        <f>IF(SeismicData[[#This Row],[shift]]="W","Production","Non-Production")</f>
        <v>Production</v>
      </c>
      <c r="W1121" t="str">
        <f>IF(SeismicData[[#This Row],[genergy]]=0,"0","10^"&amp;INT(LOG10(SeismicData[[#This Row],[genergy]])))</f>
        <v>10^4</v>
      </c>
      <c r="X1121" t="str">
        <f>IF(OR(SeismicData[[#This Row],[genergy]]&lt;$AA$6,SeismicData[[#This Row],[genergy]]&gt;$AA$5),"Outlier","Normal")</f>
        <v>Normal</v>
      </c>
    </row>
    <row r="1122" spans="1:24" x14ac:dyDescent="0.15">
      <c r="A1122">
        <v>1121</v>
      </c>
      <c r="B1122" t="s">
        <v>23</v>
      </c>
      <c r="C1122" t="s">
        <v>20</v>
      </c>
      <c r="D1122" t="s">
        <v>22</v>
      </c>
      <c r="E1122">
        <v>63560</v>
      </c>
      <c r="F1122">
        <v>317</v>
      </c>
      <c r="G1122">
        <v>198</v>
      </c>
      <c r="H1122">
        <v>-33</v>
      </c>
      <c r="I1122" t="s">
        <v>20</v>
      </c>
      <c r="J1122">
        <v>0</v>
      </c>
      <c r="K1122">
        <v>0</v>
      </c>
      <c r="L1122">
        <v>0</v>
      </c>
      <c r="M1122">
        <v>0</v>
      </c>
      <c r="N1122">
        <v>0</v>
      </c>
      <c r="O1122">
        <v>0</v>
      </c>
      <c r="P1122">
        <v>0</v>
      </c>
      <c r="Q1122">
        <v>0</v>
      </c>
      <c r="R1122">
        <v>0</v>
      </c>
      <c r="S1122">
        <v>0</v>
      </c>
      <c r="T1122">
        <v>0</v>
      </c>
      <c r="U1122" t="str">
        <f>IF(SeismicData[[#This Row],[class]]=1,"Dangerous","Safe")</f>
        <v>Safe</v>
      </c>
      <c r="V1122" t="str">
        <f>IF(SeismicData[[#This Row],[shift]]="W","Production","Non-Production")</f>
        <v>Production</v>
      </c>
      <c r="W1122" t="str">
        <f>IF(SeismicData[[#This Row],[genergy]]=0,"0","10^"&amp;INT(LOG10(SeismicData[[#This Row],[genergy]])))</f>
        <v>10^4</v>
      </c>
      <c r="X1122" t="str">
        <f>IF(OR(SeismicData[[#This Row],[genergy]]&lt;$AA$6,SeismicData[[#This Row],[genergy]]&gt;$AA$5),"Outlier","Normal")</f>
        <v>Normal</v>
      </c>
    </row>
    <row r="1123" spans="1:24" x14ac:dyDescent="0.15">
      <c r="A1123">
        <v>1122</v>
      </c>
      <c r="B1123" t="s">
        <v>23</v>
      </c>
      <c r="C1123" t="s">
        <v>20</v>
      </c>
      <c r="D1123" t="s">
        <v>22</v>
      </c>
      <c r="E1123">
        <v>58720</v>
      </c>
      <c r="F1123">
        <v>513</v>
      </c>
      <c r="G1123">
        <v>175</v>
      </c>
      <c r="H1123">
        <v>8</v>
      </c>
      <c r="I1123" t="s">
        <v>20</v>
      </c>
      <c r="J1123">
        <v>0</v>
      </c>
      <c r="K1123">
        <v>0</v>
      </c>
      <c r="L1123">
        <v>0</v>
      </c>
      <c r="M1123">
        <v>0</v>
      </c>
      <c r="N1123">
        <v>0</v>
      </c>
      <c r="O1123">
        <v>0</v>
      </c>
      <c r="P1123">
        <v>0</v>
      </c>
      <c r="Q1123">
        <v>0</v>
      </c>
      <c r="R1123">
        <v>0</v>
      </c>
      <c r="S1123">
        <v>0</v>
      </c>
      <c r="T1123">
        <v>0</v>
      </c>
      <c r="U1123" t="str">
        <f>IF(SeismicData[[#This Row],[class]]=1,"Dangerous","Safe")</f>
        <v>Safe</v>
      </c>
      <c r="V1123" t="str">
        <f>IF(SeismicData[[#This Row],[shift]]="W","Production","Non-Production")</f>
        <v>Production</v>
      </c>
      <c r="W1123" t="str">
        <f>IF(SeismicData[[#This Row],[genergy]]=0,"0","10^"&amp;INT(LOG10(SeismicData[[#This Row],[genergy]])))</f>
        <v>10^4</v>
      </c>
      <c r="X1123" t="str">
        <f>IF(OR(SeismicData[[#This Row],[genergy]]&lt;$AA$6,SeismicData[[#This Row],[genergy]]&gt;$AA$5),"Outlier","Normal")</f>
        <v>Normal</v>
      </c>
    </row>
    <row r="1124" spans="1:24" x14ac:dyDescent="0.15">
      <c r="A1124">
        <v>1123</v>
      </c>
      <c r="B1124" t="s">
        <v>23</v>
      </c>
      <c r="C1124" t="s">
        <v>20</v>
      </c>
      <c r="D1124" t="s">
        <v>22</v>
      </c>
      <c r="E1124">
        <v>31010</v>
      </c>
      <c r="F1124">
        <v>512</v>
      </c>
      <c r="G1124">
        <v>45</v>
      </c>
      <c r="H1124">
        <v>7</v>
      </c>
      <c r="I1124" t="s">
        <v>20</v>
      </c>
      <c r="J1124">
        <v>0</v>
      </c>
      <c r="K1124">
        <v>0</v>
      </c>
      <c r="L1124">
        <v>0</v>
      </c>
      <c r="M1124">
        <v>0</v>
      </c>
      <c r="N1124">
        <v>0</v>
      </c>
      <c r="O1124">
        <v>0</v>
      </c>
      <c r="P1124">
        <v>0</v>
      </c>
      <c r="Q1124">
        <v>0</v>
      </c>
      <c r="R1124">
        <v>0</v>
      </c>
      <c r="S1124">
        <v>0</v>
      </c>
      <c r="T1124">
        <v>0</v>
      </c>
      <c r="U1124" t="str">
        <f>IF(SeismicData[[#This Row],[class]]=1,"Dangerous","Safe")</f>
        <v>Safe</v>
      </c>
      <c r="V1124" t="str">
        <f>IF(SeismicData[[#This Row],[shift]]="W","Production","Non-Production")</f>
        <v>Production</v>
      </c>
      <c r="W1124" t="str">
        <f>IF(SeismicData[[#This Row],[genergy]]=0,"0","10^"&amp;INT(LOG10(SeismicData[[#This Row],[genergy]])))</f>
        <v>10^4</v>
      </c>
      <c r="X1124" t="str">
        <f>IF(OR(SeismicData[[#This Row],[genergy]]&lt;$AA$6,SeismicData[[#This Row],[genergy]]&gt;$AA$5),"Outlier","Normal")</f>
        <v>Normal</v>
      </c>
    </row>
    <row r="1125" spans="1:24" x14ac:dyDescent="0.15">
      <c r="A1125">
        <v>1124</v>
      </c>
      <c r="B1125" t="s">
        <v>23</v>
      </c>
      <c r="C1125" t="s">
        <v>20</v>
      </c>
      <c r="D1125" t="s">
        <v>22</v>
      </c>
      <c r="E1125">
        <v>31450</v>
      </c>
      <c r="F1125">
        <v>286</v>
      </c>
      <c r="G1125">
        <v>47</v>
      </c>
      <c r="H1125">
        <v>-40</v>
      </c>
      <c r="I1125" t="s">
        <v>20</v>
      </c>
      <c r="J1125">
        <v>0</v>
      </c>
      <c r="K1125">
        <v>0</v>
      </c>
      <c r="L1125">
        <v>0</v>
      </c>
      <c r="M1125">
        <v>0</v>
      </c>
      <c r="N1125">
        <v>0</v>
      </c>
      <c r="O1125">
        <v>0</v>
      </c>
      <c r="P1125">
        <v>0</v>
      </c>
      <c r="Q1125">
        <v>0</v>
      </c>
      <c r="R1125">
        <v>0</v>
      </c>
      <c r="S1125">
        <v>0</v>
      </c>
      <c r="T1125">
        <v>0</v>
      </c>
      <c r="U1125" t="str">
        <f>IF(SeismicData[[#This Row],[class]]=1,"Dangerous","Safe")</f>
        <v>Safe</v>
      </c>
      <c r="V1125" t="str">
        <f>IF(SeismicData[[#This Row],[shift]]="W","Production","Non-Production")</f>
        <v>Production</v>
      </c>
      <c r="W1125" t="str">
        <f>IF(SeismicData[[#This Row],[genergy]]=0,"0","10^"&amp;INT(LOG10(SeismicData[[#This Row],[genergy]])))</f>
        <v>10^4</v>
      </c>
      <c r="X1125" t="str">
        <f>IF(OR(SeismicData[[#This Row],[genergy]]&lt;$AA$6,SeismicData[[#This Row],[genergy]]&gt;$AA$5),"Outlier","Normal")</f>
        <v>Normal</v>
      </c>
    </row>
    <row r="1126" spans="1:24" x14ac:dyDescent="0.15">
      <c r="A1126">
        <v>1125</v>
      </c>
      <c r="B1126" t="s">
        <v>23</v>
      </c>
      <c r="C1126" t="s">
        <v>20</v>
      </c>
      <c r="D1126" t="s">
        <v>22</v>
      </c>
      <c r="E1126">
        <v>31310</v>
      </c>
      <c r="F1126">
        <v>504</v>
      </c>
      <c r="G1126">
        <v>47</v>
      </c>
      <c r="H1126">
        <v>6</v>
      </c>
      <c r="I1126" t="s">
        <v>20</v>
      </c>
      <c r="J1126">
        <v>0</v>
      </c>
      <c r="K1126">
        <v>0</v>
      </c>
      <c r="L1126">
        <v>0</v>
      </c>
      <c r="M1126">
        <v>0</v>
      </c>
      <c r="N1126">
        <v>0</v>
      </c>
      <c r="O1126">
        <v>0</v>
      </c>
      <c r="P1126">
        <v>0</v>
      </c>
      <c r="Q1126">
        <v>0</v>
      </c>
      <c r="R1126">
        <v>0</v>
      </c>
      <c r="S1126">
        <v>0</v>
      </c>
      <c r="T1126">
        <v>0</v>
      </c>
      <c r="U1126" t="str">
        <f>IF(SeismicData[[#This Row],[class]]=1,"Dangerous","Safe")</f>
        <v>Safe</v>
      </c>
      <c r="V1126" t="str">
        <f>IF(SeismicData[[#This Row],[shift]]="W","Production","Non-Production")</f>
        <v>Production</v>
      </c>
      <c r="W1126" t="str">
        <f>IF(SeismicData[[#This Row],[genergy]]=0,"0","10^"&amp;INT(LOG10(SeismicData[[#This Row],[genergy]])))</f>
        <v>10^4</v>
      </c>
      <c r="X1126" t="str">
        <f>IF(OR(SeismicData[[#This Row],[genergy]]&lt;$AA$6,SeismicData[[#This Row],[genergy]]&gt;$AA$5),"Outlier","Normal")</f>
        <v>Normal</v>
      </c>
    </row>
    <row r="1127" spans="1:24" x14ac:dyDescent="0.15">
      <c r="A1127">
        <v>1126</v>
      </c>
      <c r="B1127" t="s">
        <v>23</v>
      </c>
      <c r="C1127" t="s">
        <v>20</v>
      </c>
      <c r="D1127" t="s">
        <v>22</v>
      </c>
      <c r="E1127">
        <v>27020</v>
      </c>
      <c r="F1127">
        <v>294</v>
      </c>
      <c r="G1127">
        <v>334</v>
      </c>
      <c r="H1127">
        <v>-5</v>
      </c>
      <c r="I1127" t="s">
        <v>23</v>
      </c>
      <c r="J1127">
        <v>0</v>
      </c>
      <c r="K1127">
        <v>0</v>
      </c>
      <c r="L1127">
        <v>0</v>
      </c>
      <c r="M1127">
        <v>0</v>
      </c>
      <c r="N1127">
        <v>0</v>
      </c>
      <c r="O1127">
        <v>0</v>
      </c>
      <c r="P1127">
        <v>0</v>
      </c>
      <c r="Q1127">
        <v>0</v>
      </c>
      <c r="R1127">
        <v>0</v>
      </c>
      <c r="S1127">
        <v>0</v>
      </c>
      <c r="T1127">
        <v>0</v>
      </c>
      <c r="U1127" t="str">
        <f>IF(SeismicData[[#This Row],[class]]=1,"Dangerous","Safe")</f>
        <v>Safe</v>
      </c>
      <c r="V1127" t="str">
        <f>IF(SeismicData[[#This Row],[shift]]="W","Production","Non-Production")</f>
        <v>Production</v>
      </c>
      <c r="W1127" t="str">
        <f>IF(SeismicData[[#This Row],[genergy]]=0,"0","10^"&amp;INT(LOG10(SeismicData[[#This Row],[genergy]])))</f>
        <v>10^4</v>
      </c>
      <c r="X1127" t="str">
        <f>IF(OR(SeismicData[[#This Row],[genergy]]&lt;$AA$6,SeismicData[[#This Row],[genergy]]&gt;$AA$5),"Outlier","Normal")</f>
        <v>Normal</v>
      </c>
    </row>
    <row r="1128" spans="1:24" x14ac:dyDescent="0.15">
      <c r="A1128">
        <v>1127</v>
      </c>
      <c r="B1128" t="s">
        <v>20</v>
      </c>
      <c r="C1128" t="s">
        <v>20</v>
      </c>
      <c r="D1128" t="s">
        <v>21</v>
      </c>
      <c r="E1128">
        <v>10160</v>
      </c>
      <c r="F1128">
        <v>278</v>
      </c>
      <c r="G1128">
        <v>-5</v>
      </c>
      <c r="H1128">
        <v>15</v>
      </c>
      <c r="I1128" t="s">
        <v>20</v>
      </c>
      <c r="J1128">
        <v>0</v>
      </c>
      <c r="K1128">
        <v>0</v>
      </c>
      <c r="L1128">
        <v>0</v>
      </c>
      <c r="M1128">
        <v>0</v>
      </c>
      <c r="N1128">
        <v>0</v>
      </c>
      <c r="O1128">
        <v>0</v>
      </c>
      <c r="P1128">
        <v>0</v>
      </c>
      <c r="Q1128">
        <v>0</v>
      </c>
      <c r="R1128">
        <v>0</v>
      </c>
      <c r="S1128">
        <v>0</v>
      </c>
      <c r="T1128">
        <v>0</v>
      </c>
      <c r="U1128" t="str">
        <f>IF(SeismicData[[#This Row],[class]]=1,"Dangerous","Safe")</f>
        <v>Safe</v>
      </c>
      <c r="V1128" t="str">
        <f>IF(SeismicData[[#This Row],[shift]]="W","Production","Non-Production")</f>
        <v>Non-Production</v>
      </c>
      <c r="W1128" t="str">
        <f>IF(SeismicData[[#This Row],[genergy]]=0,"0","10^"&amp;INT(LOG10(SeismicData[[#This Row],[genergy]])))</f>
        <v>10^4</v>
      </c>
      <c r="X1128" t="str">
        <f>IF(OR(SeismicData[[#This Row],[genergy]]&lt;$AA$6,SeismicData[[#This Row],[genergy]]&gt;$AA$5),"Outlier","Normal")</f>
        <v>Normal</v>
      </c>
    </row>
    <row r="1129" spans="1:24" x14ac:dyDescent="0.15">
      <c r="A1129">
        <v>1128</v>
      </c>
      <c r="B1129" t="s">
        <v>20</v>
      </c>
      <c r="C1129" t="s">
        <v>20</v>
      </c>
      <c r="D1129" t="s">
        <v>21</v>
      </c>
      <c r="E1129">
        <v>18820</v>
      </c>
      <c r="F1129">
        <v>299</v>
      </c>
      <c r="G1129">
        <v>75</v>
      </c>
      <c r="H1129">
        <v>24</v>
      </c>
      <c r="I1129" t="s">
        <v>20</v>
      </c>
      <c r="J1129">
        <v>1</v>
      </c>
      <c r="K1129">
        <v>0</v>
      </c>
      <c r="L1129">
        <v>1</v>
      </c>
      <c r="M1129">
        <v>0</v>
      </c>
      <c r="N1129">
        <v>0</v>
      </c>
      <c r="O1129">
        <v>0</v>
      </c>
      <c r="P1129">
        <v>0</v>
      </c>
      <c r="Q1129">
        <v>0</v>
      </c>
      <c r="R1129">
        <v>4000</v>
      </c>
      <c r="S1129">
        <v>4000</v>
      </c>
      <c r="T1129">
        <v>0</v>
      </c>
      <c r="U1129" t="str">
        <f>IF(SeismicData[[#This Row],[class]]=1,"Dangerous","Safe")</f>
        <v>Safe</v>
      </c>
      <c r="V1129" t="str">
        <f>IF(SeismicData[[#This Row],[shift]]="W","Production","Non-Production")</f>
        <v>Non-Production</v>
      </c>
      <c r="W1129" t="str">
        <f>IF(SeismicData[[#This Row],[genergy]]=0,"0","10^"&amp;INT(LOG10(SeismicData[[#This Row],[genergy]])))</f>
        <v>10^4</v>
      </c>
      <c r="X1129" t="str">
        <f>IF(OR(SeismicData[[#This Row],[genergy]]&lt;$AA$6,SeismicData[[#This Row],[genergy]]&gt;$AA$5),"Outlier","Normal")</f>
        <v>Normal</v>
      </c>
    </row>
    <row r="1130" spans="1:24" x14ac:dyDescent="0.15">
      <c r="A1130">
        <v>1129</v>
      </c>
      <c r="B1130" t="s">
        <v>20</v>
      </c>
      <c r="C1130" t="s">
        <v>20</v>
      </c>
      <c r="D1130" t="s">
        <v>21</v>
      </c>
      <c r="E1130">
        <v>13780</v>
      </c>
      <c r="F1130">
        <v>289</v>
      </c>
      <c r="G1130">
        <v>28</v>
      </c>
      <c r="H1130">
        <v>20</v>
      </c>
      <c r="I1130" t="s">
        <v>20</v>
      </c>
      <c r="J1130">
        <v>0</v>
      </c>
      <c r="K1130">
        <v>0</v>
      </c>
      <c r="L1130">
        <v>0</v>
      </c>
      <c r="M1130">
        <v>0</v>
      </c>
      <c r="N1130">
        <v>0</v>
      </c>
      <c r="O1130">
        <v>0</v>
      </c>
      <c r="P1130">
        <v>0</v>
      </c>
      <c r="Q1130">
        <v>0</v>
      </c>
      <c r="R1130">
        <v>0</v>
      </c>
      <c r="S1130">
        <v>0</v>
      </c>
      <c r="T1130">
        <v>0</v>
      </c>
      <c r="U1130" t="str">
        <f>IF(SeismicData[[#This Row],[class]]=1,"Dangerous","Safe")</f>
        <v>Safe</v>
      </c>
      <c r="V1130" t="str">
        <f>IF(SeismicData[[#This Row],[shift]]="W","Production","Non-Production")</f>
        <v>Non-Production</v>
      </c>
      <c r="W1130" t="str">
        <f>IF(SeismicData[[#This Row],[genergy]]=0,"0","10^"&amp;INT(LOG10(SeismicData[[#This Row],[genergy]])))</f>
        <v>10^4</v>
      </c>
      <c r="X1130" t="str">
        <f>IF(OR(SeismicData[[#This Row],[genergy]]&lt;$AA$6,SeismicData[[#This Row],[genergy]]&gt;$AA$5),"Outlier","Normal")</f>
        <v>Normal</v>
      </c>
    </row>
    <row r="1131" spans="1:24" x14ac:dyDescent="0.15">
      <c r="A1131">
        <v>1130</v>
      </c>
      <c r="B1131" t="s">
        <v>20</v>
      </c>
      <c r="C1131" t="s">
        <v>20</v>
      </c>
      <c r="D1131" t="s">
        <v>22</v>
      </c>
      <c r="E1131">
        <v>14080</v>
      </c>
      <c r="F1131">
        <v>172</v>
      </c>
      <c r="G1131">
        <v>-38</v>
      </c>
      <c r="H1131">
        <v>-65</v>
      </c>
      <c r="I1131" t="s">
        <v>20</v>
      </c>
      <c r="J1131">
        <v>0</v>
      </c>
      <c r="K1131">
        <v>0</v>
      </c>
      <c r="L1131">
        <v>0</v>
      </c>
      <c r="M1131">
        <v>0</v>
      </c>
      <c r="N1131">
        <v>0</v>
      </c>
      <c r="O1131">
        <v>0</v>
      </c>
      <c r="P1131">
        <v>0</v>
      </c>
      <c r="Q1131">
        <v>0</v>
      </c>
      <c r="R1131">
        <v>0</v>
      </c>
      <c r="S1131">
        <v>0</v>
      </c>
      <c r="T1131">
        <v>0</v>
      </c>
      <c r="U1131" t="str">
        <f>IF(SeismicData[[#This Row],[class]]=1,"Dangerous","Safe")</f>
        <v>Safe</v>
      </c>
      <c r="V1131" t="str">
        <f>IF(SeismicData[[#This Row],[shift]]="W","Production","Non-Production")</f>
        <v>Production</v>
      </c>
      <c r="W1131" t="str">
        <f>IF(SeismicData[[#This Row],[genergy]]=0,"0","10^"&amp;INT(LOG10(SeismicData[[#This Row],[genergy]])))</f>
        <v>10^4</v>
      </c>
      <c r="X1131" t="str">
        <f>IF(OR(SeismicData[[#This Row],[genergy]]&lt;$AA$6,SeismicData[[#This Row],[genergy]]&gt;$AA$5),"Outlier","Normal")</f>
        <v>Normal</v>
      </c>
    </row>
    <row r="1132" spans="1:24" x14ac:dyDescent="0.15">
      <c r="A1132">
        <v>1131</v>
      </c>
      <c r="B1132" t="s">
        <v>20</v>
      </c>
      <c r="C1132" t="s">
        <v>20</v>
      </c>
      <c r="D1132" t="s">
        <v>22</v>
      </c>
      <c r="E1132">
        <v>11690</v>
      </c>
      <c r="F1132">
        <v>235</v>
      </c>
      <c r="G1132">
        <v>-48</v>
      </c>
      <c r="H1132">
        <v>-52</v>
      </c>
      <c r="I1132" t="s">
        <v>20</v>
      </c>
      <c r="J1132">
        <v>0</v>
      </c>
      <c r="K1132">
        <v>0</v>
      </c>
      <c r="L1132">
        <v>0</v>
      </c>
      <c r="M1132">
        <v>0</v>
      </c>
      <c r="N1132">
        <v>0</v>
      </c>
      <c r="O1132">
        <v>0</v>
      </c>
      <c r="P1132">
        <v>0</v>
      </c>
      <c r="Q1132">
        <v>0</v>
      </c>
      <c r="R1132">
        <v>0</v>
      </c>
      <c r="S1132">
        <v>0</v>
      </c>
      <c r="T1132">
        <v>0</v>
      </c>
      <c r="U1132" t="str">
        <f>IF(SeismicData[[#This Row],[class]]=1,"Dangerous","Safe")</f>
        <v>Safe</v>
      </c>
      <c r="V1132" t="str">
        <f>IF(SeismicData[[#This Row],[shift]]="W","Production","Non-Production")</f>
        <v>Production</v>
      </c>
      <c r="W1132" t="str">
        <f>IF(SeismicData[[#This Row],[genergy]]=0,"0","10^"&amp;INT(LOG10(SeismicData[[#This Row],[genergy]])))</f>
        <v>10^4</v>
      </c>
      <c r="X1132" t="str">
        <f>IF(OR(SeismicData[[#This Row],[genergy]]&lt;$AA$6,SeismicData[[#This Row],[genergy]]&gt;$AA$5),"Outlier","Normal")</f>
        <v>Normal</v>
      </c>
    </row>
    <row r="1133" spans="1:24" x14ac:dyDescent="0.15">
      <c r="A1133">
        <v>1132</v>
      </c>
      <c r="B1133" t="s">
        <v>20</v>
      </c>
      <c r="C1133" t="s">
        <v>20</v>
      </c>
      <c r="D1133" t="s">
        <v>22</v>
      </c>
      <c r="E1133">
        <v>33500</v>
      </c>
      <c r="F1133">
        <v>231</v>
      </c>
      <c r="G1133">
        <v>48</v>
      </c>
      <c r="H1133">
        <v>-53</v>
      </c>
      <c r="I1133" t="s">
        <v>20</v>
      </c>
      <c r="J1133">
        <v>0</v>
      </c>
      <c r="K1133">
        <v>0</v>
      </c>
      <c r="L1133">
        <v>0</v>
      </c>
      <c r="M1133">
        <v>0</v>
      </c>
      <c r="N1133">
        <v>0</v>
      </c>
      <c r="O1133">
        <v>0</v>
      </c>
      <c r="P1133">
        <v>0</v>
      </c>
      <c r="Q1133">
        <v>0</v>
      </c>
      <c r="R1133">
        <v>0</v>
      </c>
      <c r="S1133">
        <v>0</v>
      </c>
      <c r="T1133">
        <v>0</v>
      </c>
      <c r="U1133" t="str">
        <f>IF(SeismicData[[#This Row],[class]]=1,"Dangerous","Safe")</f>
        <v>Safe</v>
      </c>
      <c r="V1133" t="str">
        <f>IF(SeismicData[[#This Row],[shift]]="W","Production","Non-Production")</f>
        <v>Production</v>
      </c>
      <c r="W1133" t="str">
        <f>IF(SeismicData[[#This Row],[genergy]]=0,"0","10^"&amp;INT(LOG10(SeismicData[[#This Row],[genergy]])))</f>
        <v>10^4</v>
      </c>
      <c r="X1133" t="str">
        <f>IF(OR(SeismicData[[#This Row],[genergy]]&lt;$AA$6,SeismicData[[#This Row],[genergy]]&gt;$AA$5),"Outlier","Normal")</f>
        <v>Normal</v>
      </c>
    </row>
    <row r="1134" spans="1:24" x14ac:dyDescent="0.15">
      <c r="A1134">
        <v>1133</v>
      </c>
      <c r="B1134" t="s">
        <v>20</v>
      </c>
      <c r="C1134" t="s">
        <v>20</v>
      </c>
      <c r="D1134" t="s">
        <v>22</v>
      </c>
      <c r="E1134">
        <v>58190</v>
      </c>
      <c r="F1134">
        <v>419</v>
      </c>
      <c r="G1134">
        <v>158</v>
      </c>
      <c r="H1134">
        <v>-14</v>
      </c>
      <c r="I1134" t="s">
        <v>20</v>
      </c>
      <c r="J1134">
        <v>0</v>
      </c>
      <c r="K1134">
        <v>0</v>
      </c>
      <c r="L1134">
        <v>0</v>
      </c>
      <c r="M1134">
        <v>0</v>
      </c>
      <c r="N1134">
        <v>0</v>
      </c>
      <c r="O1134">
        <v>0</v>
      </c>
      <c r="P1134">
        <v>0</v>
      </c>
      <c r="Q1134">
        <v>0</v>
      </c>
      <c r="R1134">
        <v>0</v>
      </c>
      <c r="S1134">
        <v>0</v>
      </c>
      <c r="T1134">
        <v>0</v>
      </c>
      <c r="U1134" t="str">
        <f>IF(SeismicData[[#This Row],[class]]=1,"Dangerous","Safe")</f>
        <v>Safe</v>
      </c>
      <c r="V1134" t="str">
        <f>IF(SeismicData[[#This Row],[shift]]="W","Production","Non-Production")</f>
        <v>Production</v>
      </c>
      <c r="W1134" t="str">
        <f>IF(SeismicData[[#This Row],[genergy]]=0,"0","10^"&amp;INT(LOG10(SeismicData[[#This Row],[genergy]])))</f>
        <v>10^4</v>
      </c>
      <c r="X1134" t="str">
        <f>IF(OR(SeismicData[[#This Row],[genergy]]&lt;$AA$6,SeismicData[[#This Row],[genergy]]&gt;$AA$5),"Outlier","Normal")</f>
        <v>Normal</v>
      </c>
    </row>
    <row r="1135" spans="1:24" x14ac:dyDescent="0.15">
      <c r="A1135">
        <v>1134</v>
      </c>
      <c r="B1135" t="s">
        <v>20</v>
      </c>
      <c r="C1135" t="s">
        <v>20</v>
      </c>
      <c r="D1135" t="s">
        <v>22</v>
      </c>
      <c r="E1135">
        <v>31390</v>
      </c>
      <c r="F1135">
        <v>362</v>
      </c>
      <c r="G1135">
        <v>39</v>
      </c>
      <c r="H1135">
        <v>-26</v>
      </c>
      <c r="I1135" t="s">
        <v>20</v>
      </c>
      <c r="J1135">
        <v>0</v>
      </c>
      <c r="K1135">
        <v>0</v>
      </c>
      <c r="L1135">
        <v>0</v>
      </c>
      <c r="M1135">
        <v>0</v>
      </c>
      <c r="N1135">
        <v>0</v>
      </c>
      <c r="O1135">
        <v>0</v>
      </c>
      <c r="P1135">
        <v>0</v>
      </c>
      <c r="Q1135">
        <v>0</v>
      </c>
      <c r="R1135">
        <v>0</v>
      </c>
      <c r="S1135">
        <v>0</v>
      </c>
      <c r="T1135">
        <v>0</v>
      </c>
      <c r="U1135" t="str">
        <f>IF(SeismicData[[#This Row],[class]]=1,"Dangerous","Safe")</f>
        <v>Safe</v>
      </c>
      <c r="V1135" t="str">
        <f>IF(SeismicData[[#This Row],[shift]]="W","Production","Non-Production")</f>
        <v>Production</v>
      </c>
      <c r="W1135" t="str">
        <f>IF(SeismicData[[#This Row],[genergy]]=0,"0","10^"&amp;INT(LOG10(SeismicData[[#This Row],[genergy]])))</f>
        <v>10^4</v>
      </c>
      <c r="X1135" t="str">
        <f>IF(OR(SeismicData[[#This Row],[genergy]]&lt;$AA$6,SeismicData[[#This Row],[genergy]]&gt;$AA$5),"Outlier","Normal")</f>
        <v>Normal</v>
      </c>
    </row>
    <row r="1136" spans="1:24" x14ac:dyDescent="0.15">
      <c r="A1136">
        <v>1135</v>
      </c>
      <c r="B1136" t="s">
        <v>20</v>
      </c>
      <c r="C1136" t="s">
        <v>23</v>
      </c>
      <c r="D1136" t="s">
        <v>22</v>
      </c>
      <c r="E1136">
        <v>25850</v>
      </c>
      <c r="F1136">
        <v>476</v>
      </c>
      <c r="G1136">
        <v>1</v>
      </c>
      <c r="H1136">
        <v>-6</v>
      </c>
      <c r="I1136" t="s">
        <v>20</v>
      </c>
      <c r="J1136">
        <v>0</v>
      </c>
      <c r="K1136">
        <v>0</v>
      </c>
      <c r="L1136">
        <v>0</v>
      </c>
      <c r="M1136">
        <v>0</v>
      </c>
      <c r="N1136">
        <v>0</v>
      </c>
      <c r="O1136">
        <v>0</v>
      </c>
      <c r="P1136">
        <v>0</v>
      </c>
      <c r="Q1136">
        <v>0</v>
      </c>
      <c r="R1136">
        <v>0</v>
      </c>
      <c r="S1136">
        <v>0</v>
      </c>
      <c r="T1136">
        <v>0</v>
      </c>
      <c r="U1136" t="str">
        <f>IF(SeismicData[[#This Row],[class]]=1,"Dangerous","Safe")</f>
        <v>Safe</v>
      </c>
      <c r="V1136" t="str">
        <f>IF(SeismicData[[#This Row],[shift]]="W","Production","Non-Production")</f>
        <v>Production</v>
      </c>
      <c r="W1136" t="str">
        <f>IF(SeismicData[[#This Row],[genergy]]=0,"0","10^"&amp;INT(LOG10(SeismicData[[#This Row],[genergy]])))</f>
        <v>10^4</v>
      </c>
      <c r="X1136" t="str">
        <f>IF(OR(SeismicData[[#This Row],[genergy]]&lt;$AA$6,SeismicData[[#This Row],[genergy]]&gt;$AA$5),"Outlier","Normal")</f>
        <v>Normal</v>
      </c>
    </row>
    <row r="1137" spans="1:24" x14ac:dyDescent="0.15">
      <c r="A1137">
        <v>1136</v>
      </c>
      <c r="B1137" t="s">
        <v>20</v>
      </c>
      <c r="C1137" t="s">
        <v>23</v>
      </c>
      <c r="D1137" t="s">
        <v>22</v>
      </c>
      <c r="E1137">
        <v>23040</v>
      </c>
      <c r="F1137">
        <v>392</v>
      </c>
      <c r="G1137">
        <v>-10</v>
      </c>
      <c r="H1137">
        <v>-22</v>
      </c>
      <c r="I1137" t="s">
        <v>20</v>
      </c>
      <c r="J1137">
        <v>0</v>
      </c>
      <c r="K1137">
        <v>0</v>
      </c>
      <c r="L1137">
        <v>0</v>
      </c>
      <c r="M1137">
        <v>0</v>
      </c>
      <c r="N1137">
        <v>0</v>
      </c>
      <c r="O1137">
        <v>0</v>
      </c>
      <c r="P1137">
        <v>0</v>
      </c>
      <c r="Q1137">
        <v>0</v>
      </c>
      <c r="R1137">
        <v>0</v>
      </c>
      <c r="S1137">
        <v>0</v>
      </c>
      <c r="T1137">
        <v>0</v>
      </c>
      <c r="U1137" t="str">
        <f>IF(SeismicData[[#This Row],[class]]=1,"Dangerous","Safe")</f>
        <v>Safe</v>
      </c>
      <c r="V1137" t="str">
        <f>IF(SeismicData[[#This Row],[shift]]="W","Production","Non-Production")</f>
        <v>Production</v>
      </c>
      <c r="W1137" t="str">
        <f>IF(SeismicData[[#This Row],[genergy]]=0,"0","10^"&amp;INT(LOG10(SeismicData[[#This Row],[genergy]])))</f>
        <v>10^4</v>
      </c>
      <c r="X1137" t="str">
        <f>IF(OR(SeismicData[[#This Row],[genergy]]&lt;$AA$6,SeismicData[[#This Row],[genergy]]&gt;$AA$5),"Outlier","Normal")</f>
        <v>Normal</v>
      </c>
    </row>
    <row r="1138" spans="1:24" x14ac:dyDescent="0.15">
      <c r="A1138">
        <v>1137</v>
      </c>
      <c r="B1138" t="s">
        <v>20</v>
      </c>
      <c r="C1138" t="s">
        <v>23</v>
      </c>
      <c r="D1138" t="s">
        <v>22</v>
      </c>
      <c r="E1138">
        <v>15300</v>
      </c>
      <c r="F1138">
        <v>295</v>
      </c>
      <c r="G1138">
        <v>-40</v>
      </c>
      <c r="H1138">
        <v>-41</v>
      </c>
      <c r="I1138" t="s">
        <v>20</v>
      </c>
      <c r="J1138">
        <v>0</v>
      </c>
      <c r="K1138">
        <v>0</v>
      </c>
      <c r="L1138">
        <v>0</v>
      </c>
      <c r="M1138">
        <v>0</v>
      </c>
      <c r="N1138">
        <v>0</v>
      </c>
      <c r="O1138">
        <v>0</v>
      </c>
      <c r="P1138">
        <v>0</v>
      </c>
      <c r="Q1138">
        <v>0</v>
      </c>
      <c r="R1138">
        <v>0</v>
      </c>
      <c r="S1138">
        <v>0</v>
      </c>
      <c r="T1138">
        <v>0</v>
      </c>
      <c r="U1138" t="str">
        <f>IF(SeismicData[[#This Row],[class]]=1,"Dangerous","Safe")</f>
        <v>Safe</v>
      </c>
      <c r="V1138" t="str">
        <f>IF(SeismicData[[#This Row],[shift]]="W","Production","Non-Production")</f>
        <v>Production</v>
      </c>
      <c r="W1138" t="str">
        <f>IF(SeismicData[[#This Row],[genergy]]=0,"0","10^"&amp;INT(LOG10(SeismicData[[#This Row],[genergy]])))</f>
        <v>10^4</v>
      </c>
      <c r="X1138" t="str">
        <f>IF(OR(SeismicData[[#This Row],[genergy]]&lt;$AA$6,SeismicData[[#This Row],[genergy]]&gt;$AA$5),"Outlier","Normal")</f>
        <v>Normal</v>
      </c>
    </row>
    <row r="1139" spans="1:24" x14ac:dyDescent="0.15">
      <c r="A1139">
        <v>1138</v>
      </c>
      <c r="B1139" t="s">
        <v>20</v>
      </c>
      <c r="C1139" t="s">
        <v>23</v>
      </c>
      <c r="D1139" t="s">
        <v>22</v>
      </c>
      <c r="E1139">
        <v>14050</v>
      </c>
      <c r="F1139">
        <v>228</v>
      </c>
      <c r="G1139">
        <v>-45</v>
      </c>
      <c r="H1139">
        <v>-55</v>
      </c>
      <c r="I1139" t="s">
        <v>20</v>
      </c>
      <c r="J1139">
        <v>0</v>
      </c>
      <c r="K1139">
        <v>0</v>
      </c>
      <c r="L1139">
        <v>0</v>
      </c>
      <c r="M1139">
        <v>0</v>
      </c>
      <c r="N1139">
        <v>0</v>
      </c>
      <c r="O1139">
        <v>0</v>
      </c>
      <c r="P1139">
        <v>0</v>
      </c>
      <c r="Q1139">
        <v>0</v>
      </c>
      <c r="R1139">
        <v>0</v>
      </c>
      <c r="S1139">
        <v>0</v>
      </c>
      <c r="T1139">
        <v>0</v>
      </c>
      <c r="U1139" t="str">
        <f>IF(SeismicData[[#This Row],[class]]=1,"Dangerous","Safe")</f>
        <v>Safe</v>
      </c>
      <c r="V1139" t="str">
        <f>IF(SeismicData[[#This Row],[shift]]="W","Production","Non-Production")</f>
        <v>Production</v>
      </c>
      <c r="W1139" t="str">
        <f>IF(SeismicData[[#This Row],[genergy]]=0,"0","10^"&amp;INT(LOG10(SeismicData[[#This Row],[genergy]])))</f>
        <v>10^4</v>
      </c>
      <c r="X1139" t="str">
        <f>IF(OR(SeismicData[[#This Row],[genergy]]&lt;$AA$6,SeismicData[[#This Row],[genergy]]&gt;$AA$5),"Outlier","Normal")</f>
        <v>Normal</v>
      </c>
    </row>
    <row r="1140" spans="1:24" x14ac:dyDescent="0.15">
      <c r="A1140">
        <v>1139</v>
      </c>
      <c r="B1140" t="s">
        <v>20</v>
      </c>
      <c r="C1140" t="s">
        <v>23</v>
      </c>
      <c r="D1140" t="s">
        <v>22</v>
      </c>
      <c r="E1140">
        <v>9450</v>
      </c>
      <c r="F1140">
        <v>209</v>
      </c>
      <c r="G1140">
        <v>-63</v>
      </c>
      <c r="H1140">
        <v>-59</v>
      </c>
      <c r="I1140" t="s">
        <v>20</v>
      </c>
      <c r="J1140">
        <v>0</v>
      </c>
      <c r="K1140">
        <v>0</v>
      </c>
      <c r="L1140">
        <v>0</v>
      </c>
      <c r="M1140">
        <v>0</v>
      </c>
      <c r="N1140">
        <v>0</v>
      </c>
      <c r="O1140">
        <v>0</v>
      </c>
      <c r="P1140">
        <v>0</v>
      </c>
      <c r="Q1140">
        <v>0</v>
      </c>
      <c r="R1140">
        <v>0</v>
      </c>
      <c r="S1140">
        <v>0</v>
      </c>
      <c r="T1140">
        <v>0</v>
      </c>
      <c r="U1140" t="str">
        <f>IF(SeismicData[[#This Row],[class]]=1,"Dangerous","Safe")</f>
        <v>Safe</v>
      </c>
      <c r="V1140" t="str">
        <f>IF(SeismicData[[#This Row],[shift]]="W","Production","Non-Production")</f>
        <v>Production</v>
      </c>
      <c r="W1140" t="str">
        <f>IF(SeismicData[[#This Row],[genergy]]=0,"0","10^"&amp;INT(LOG10(SeismicData[[#This Row],[genergy]])))</f>
        <v>10^3</v>
      </c>
      <c r="X1140" t="str">
        <f>IF(OR(SeismicData[[#This Row],[genergy]]&lt;$AA$6,SeismicData[[#This Row],[genergy]]&gt;$AA$5),"Outlier","Normal")</f>
        <v>Normal</v>
      </c>
    </row>
    <row r="1141" spans="1:24" x14ac:dyDescent="0.15">
      <c r="A1141">
        <v>1140</v>
      </c>
      <c r="B1141" t="s">
        <v>20</v>
      </c>
      <c r="C1141" t="s">
        <v>23</v>
      </c>
      <c r="D1141" t="s">
        <v>22</v>
      </c>
      <c r="E1141">
        <v>36250</v>
      </c>
      <c r="F1141">
        <v>361</v>
      </c>
      <c r="G1141">
        <v>42</v>
      </c>
      <c r="H1141">
        <v>-28</v>
      </c>
      <c r="I1141" t="s">
        <v>20</v>
      </c>
      <c r="J1141">
        <v>0</v>
      </c>
      <c r="K1141">
        <v>0</v>
      </c>
      <c r="L1141">
        <v>0</v>
      </c>
      <c r="M1141">
        <v>0</v>
      </c>
      <c r="N1141">
        <v>0</v>
      </c>
      <c r="O1141">
        <v>0</v>
      </c>
      <c r="P1141">
        <v>0</v>
      </c>
      <c r="Q1141">
        <v>0</v>
      </c>
      <c r="R1141">
        <v>0</v>
      </c>
      <c r="S1141">
        <v>0</v>
      </c>
      <c r="T1141">
        <v>0</v>
      </c>
      <c r="U1141" t="str">
        <f>IF(SeismicData[[#This Row],[class]]=1,"Dangerous","Safe")</f>
        <v>Safe</v>
      </c>
      <c r="V1141" t="str">
        <f>IF(SeismicData[[#This Row],[shift]]="W","Production","Non-Production")</f>
        <v>Production</v>
      </c>
      <c r="W1141" t="str">
        <f>IF(SeismicData[[#This Row],[genergy]]=0,"0","10^"&amp;INT(LOG10(SeismicData[[#This Row],[genergy]])))</f>
        <v>10^4</v>
      </c>
      <c r="X1141" t="str">
        <f>IF(OR(SeismicData[[#This Row],[genergy]]&lt;$AA$6,SeismicData[[#This Row],[genergy]]&gt;$AA$5),"Outlier","Normal")</f>
        <v>Normal</v>
      </c>
    </row>
    <row r="1142" spans="1:24" x14ac:dyDescent="0.15">
      <c r="A1142">
        <v>1141</v>
      </c>
      <c r="B1142" t="s">
        <v>20</v>
      </c>
      <c r="C1142" t="s">
        <v>23</v>
      </c>
      <c r="D1142" t="s">
        <v>22</v>
      </c>
      <c r="E1142">
        <v>24570</v>
      </c>
      <c r="F1142">
        <v>327</v>
      </c>
      <c r="G1142">
        <v>-4</v>
      </c>
      <c r="H1142">
        <v>-35</v>
      </c>
      <c r="I1142" t="s">
        <v>20</v>
      </c>
      <c r="J1142">
        <v>0</v>
      </c>
      <c r="K1142">
        <v>0</v>
      </c>
      <c r="L1142">
        <v>0</v>
      </c>
      <c r="M1142">
        <v>0</v>
      </c>
      <c r="N1142">
        <v>0</v>
      </c>
      <c r="O1142">
        <v>0</v>
      </c>
      <c r="P1142">
        <v>0</v>
      </c>
      <c r="Q1142">
        <v>0</v>
      </c>
      <c r="R1142">
        <v>0</v>
      </c>
      <c r="S1142">
        <v>0</v>
      </c>
      <c r="T1142">
        <v>0</v>
      </c>
      <c r="U1142" t="str">
        <f>IF(SeismicData[[#This Row],[class]]=1,"Dangerous","Safe")</f>
        <v>Safe</v>
      </c>
      <c r="V1142" t="str">
        <f>IF(SeismicData[[#This Row],[shift]]="W","Production","Non-Production")</f>
        <v>Production</v>
      </c>
      <c r="W1142" t="str">
        <f>IF(SeismicData[[#This Row],[genergy]]=0,"0","10^"&amp;INT(LOG10(SeismicData[[#This Row],[genergy]])))</f>
        <v>10^4</v>
      </c>
      <c r="X1142" t="str">
        <f>IF(OR(SeismicData[[#This Row],[genergy]]&lt;$AA$6,SeismicData[[#This Row],[genergy]]&gt;$AA$5),"Outlier","Normal")</f>
        <v>Normal</v>
      </c>
    </row>
    <row r="1143" spans="1:24" x14ac:dyDescent="0.15">
      <c r="A1143">
        <v>1142</v>
      </c>
      <c r="B1143" t="s">
        <v>20</v>
      </c>
      <c r="C1143" t="s">
        <v>23</v>
      </c>
      <c r="D1143" t="s">
        <v>22</v>
      </c>
      <c r="E1143">
        <v>26860</v>
      </c>
      <c r="F1143">
        <v>319</v>
      </c>
      <c r="G1143">
        <v>5</v>
      </c>
      <c r="H1143">
        <v>-37</v>
      </c>
      <c r="I1143" t="s">
        <v>20</v>
      </c>
      <c r="J1143">
        <v>0</v>
      </c>
      <c r="K1143">
        <v>0</v>
      </c>
      <c r="L1143">
        <v>0</v>
      </c>
      <c r="M1143">
        <v>0</v>
      </c>
      <c r="N1143">
        <v>0</v>
      </c>
      <c r="O1143">
        <v>0</v>
      </c>
      <c r="P1143">
        <v>0</v>
      </c>
      <c r="Q1143">
        <v>0</v>
      </c>
      <c r="R1143">
        <v>0</v>
      </c>
      <c r="S1143">
        <v>0</v>
      </c>
      <c r="T1143">
        <v>0</v>
      </c>
      <c r="U1143" t="str">
        <f>IF(SeismicData[[#This Row],[class]]=1,"Dangerous","Safe")</f>
        <v>Safe</v>
      </c>
      <c r="V1143" t="str">
        <f>IF(SeismicData[[#This Row],[shift]]="W","Production","Non-Production")</f>
        <v>Production</v>
      </c>
      <c r="W1143" t="str">
        <f>IF(SeismicData[[#This Row],[genergy]]=0,"0","10^"&amp;INT(LOG10(SeismicData[[#This Row],[genergy]])))</f>
        <v>10^4</v>
      </c>
      <c r="X1143" t="str">
        <f>IF(OR(SeismicData[[#This Row],[genergy]]&lt;$AA$6,SeismicData[[#This Row],[genergy]]&gt;$AA$5),"Outlier","Normal")</f>
        <v>Normal</v>
      </c>
    </row>
    <row r="1144" spans="1:24" x14ac:dyDescent="0.15">
      <c r="A1144">
        <v>1143</v>
      </c>
      <c r="B1144" t="s">
        <v>20</v>
      </c>
      <c r="C1144" t="s">
        <v>23</v>
      </c>
      <c r="D1144" t="s">
        <v>22</v>
      </c>
      <c r="E1144">
        <v>16000</v>
      </c>
      <c r="F1144">
        <v>313</v>
      </c>
      <c r="G1144">
        <v>-38</v>
      </c>
      <c r="H1144">
        <v>-36</v>
      </c>
      <c r="I1144" t="s">
        <v>20</v>
      </c>
      <c r="J1144">
        <v>0</v>
      </c>
      <c r="K1144">
        <v>0</v>
      </c>
      <c r="L1144">
        <v>0</v>
      </c>
      <c r="M1144">
        <v>0</v>
      </c>
      <c r="N1144">
        <v>0</v>
      </c>
      <c r="O1144">
        <v>0</v>
      </c>
      <c r="P1144">
        <v>0</v>
      </c>
      <c r="Q1144">
        <v>0</v>
      </c>
      <c r="R1144">
        <v>0</v>
      </c>
      <c r="S1144">
        <v>0</v>
      </c>
      <c r="T1144">
        <v>0</v>
      </c>
      <c r="U1144" t="str">
        <f>IF(SeismicData[[#This Row],[class]]=1,"Dangerous","Safe")</f>
        <v>Safe</v>
      </c>
      <c r="V1144" t="str">
        <f>IF(SeismicData[[#This Row],[shift]]="W","Production","Non-Production")</f>
        <v>Production</v>
      </c>
      <c r="W1144" t="str">
        <f>IF(SeismicData[[#This Row],[genergy]]=0,"0","10^"&amp;INT(LOG10(SeismicData[[#This Row],[genergy]])))</f>
        <v>10^4</v>
      </c>
      <c r="X1144" t="str">
        <f>IF(OR(SeismicData[[#This Row],[genergy]]&lt;$AA$6,SeismicData[[#This Row],[genergy]]&gt;$AA$5),"Outlier","Normal")</f>
        <v>Normal</v>
      </c>
    </row>
    <row r="1145" spans="1:24" x14ac:dyDescent="0.15">
      <c r="A1145">
        <v>1144</v>
      </c>
      <c r="B1145" t="s">
        <v>20</v>
      </c>
      <c r="C1145" t="s">
        <v>23</v>
      </c>
      <c r="D1145" t="s">
        <v>22</v>
      </c>
      <c r="E1145">
        <v>21860</v>
      </c>
      <c r="F1145">
        <v>196</v>
      </c>
      <c r="G1145">
        <v>-16</v>
      </c>
      <c r="H1145">
        <v>-60</v>
      </c>
      <c r="I1145" t="s">
        <v>20</v>
      </c>
      <c r="J1145">
        <v>0</v>
      </c>
      <c r="K1145">
        <v>0</v>
      </c>
      <c r="L1145">
        <v>0</v>
      </c>
      <c r="M1145">
        <v>0</v>
      </c>
      <c r="N1145">
        <v>0</v>
      </c>
      <c r="O1145">
        <v>0</v>
      </c>
      <c r="P1145">
        <v>0</v>
      </c>
      <c r="Q1145">
        <v>0</v>
      </c>
      <c r="R1145">
        <v>0</v>
      </c>
      <c r="S1145">
        <v>0</v>
      </c>
      <c r="T1145">
        <v>0</v>
      </c>
      <c r="U1145" t="str">
        <f>IF(SeismicData[[#This Row],[class]]=1,"Dangerous","Safe")</f>
        <v>Safe</v>
      </c>
      <c r="V1145" t="str">
        <f>IF(SeismicData[[#This Row],[shift]]="W","Production","Non-Production")</f>
        <v>Production</v>
      </c>
      <c r="W1145" t="str">
        <f>IF(SeismicData[[#This Row],[genergy]]=0,"0","10^"&amp;INT(LOG10(SeismicData[[#This Row],[genergy]])))</f>
        <v>10^4</v>
      </c>
      <c r="X1145" t="str">
        <f>IF(OR(SeismicData[[#This Row],[genergy]]&lt;$AA$6,SeismicData[[#This Row],[genergy]]&gt;$AA$5),"Outlier","Normal")</f>
        <v>Normal</v>
      </c>
    </row>
    <row r="1146" spans="1:24" x14ac:dyDescent="0.15">
      <c r="A1146">
        <v>1145</v>
      </c>
      <c r="B1146" t="s">
        <v>20</v>
      </c>
      <c r="C1146" t="s">
        <v>23</v>
      </c>
      <c r="D1146" t="s">
        <v>22</v>
      </c>
      <c r="E1146">
        <v>12900</v>
      </c>
      <c r="F1146">
        <v>201</v>
      </c>
      <c r="G1146">
        <v>-50</v>
      </c>
      <c r="H1146">
        <v>-59</v>
      </c>
      <c r="I1146" t="s">
        <v>20</v>
      </c>
      <c r="J1146">
        <v>0</v>
      </c>
      <c r="K1146">
        <v>0</v>
      </c>
      <c r="L1146">
        <v>0</v>
      </c>
      <c r="M1146">
        <v>0</v>
      </c>
      <c r="N1146">
        <v>0</v>
      </c>
      <c r="O1146">
        <v>0</v>
      </c>
      <c r="P1146">
        <v>0</v>
      </c>
      <c r="Q1146">
        <v>0</v>
      </c>
      <c r="R1146">
        <v>0</v>
      </c>
      <c r="S1146">
        <v>0</v>
      </c>
      <c r="T1146">
        <v>0</v>
      </c>
      <c r="U1146" t="str">
        <f>IF(SeismicData[[#This Row],[class]]=1,"Dangerous","Safe")</f>
        <v>Safe</v>
      </c>
      <c r="V1146" t="str">
        <f>IF(SeismicData[[#This Row],[shift]]="W","Production","Non-Production")</f>
        <v>Production</v>
      </c>
      <c r="W1146" t="str">
        <f>IF(SeismicData[[#This Row],[genergy]]=0,"0","10^"&amp;INT(LOG10(SeismicData[[#This Row],[genergy]])))</f>
        <v>10^4</v>
      </c>
      <c r="X1146" t="str">
        <f>IF(OR(SeismicData[[#This Row],[genergy]]&lt;$AA$6,SeismicData[[#This Row],[genergy]]&gt;$AA$5),"Outlier","Normal")</f>
        <v>Normal</v>
      </c>
    </row>
    <row r="1147" spans="1:24" x14ac:dyDescent="0.15">
      <c r="A1147">
        <v>1146</v>
      </c>
      <c r="B1147" t="s">
        <v>20</v>
      </c>
      <c r="C1147" t="s">
        <v>23</v>
      </c>
      <c r="D1147" t="s">
        <v>22</v>
      </c>
      <c r="E1147">
        <v>27590</v>
      </c>
      <c r="F1147">
        <v>314</v>
      </c>
      <c r="G1147">
        <v>6</v>
      </c>
      <c r="H1147">
        <v>-35</v>
      </c>
      <c r="I1147" t="s">
        <v>20</v>
      </c>
      <c r="J1147">
        <v>0</v>
      </c>
      <c r="K1147">
        <v>0</v>
      </c>
      <c r="L1147">
        <v>0</v>
      </c>
      <c r="M1147">
        <v>0</v>
      </c>
      <c r="N1147">
        <v>0</v>
      </c>
      <c r="O1147">
        <v>0</v>
      </c>
      <c r="P1147">
        <v>0</v>
      </c>
      <c r="Q1147">
        <v>0</v>
      </c>
      <c r="R1147">
        <v>0</v>
      </c>
      <c r="S1147">
        <v>0</v>
      </c>
      <c r="T1147">
        <v>0</v>
      </c>
      <c r="U1147" t="str">
        <f>IF(SeismicData[[#This Row],[class]]=1,"Dangerous","Safe")</f>
        <v>Safe</v>
      </c>
      <c r="V1147" t="str">
        <f>IF(SeismicData[[#This Row],[shift]]="W","Production","Non-Production")</f>
        <v>Production</v>
      </c>
      <c r="W1147" t="str">
        <f>IF(SeismicData[[#This Row],[genergy]]=0,"0","10^"&amp;INT(LOG10(SeismicData[[#This Row],[genergy]])))</f>
        <v>10^4</v>
      </c>
      <c r="X1147" t="str">
        <f>IF(OR(SeismicData[[#This Row],[genergy]]&lt;$AA$6,SeismicData[[#This Row],[genergy]]&gt;$AA$5),"Outlier","Normal")</f>
        <v>Normal</v>
      </c>
    </row>
    <row r="1148" spans="1:24" x14ac:dyDescent="0.15">
      <c r="A1148">
        <v>1147</v>
      </c>
      <c r="B1148" t="s">
        <v>20</v>
      </c>
      <c r="C1148" t="s">
        <v>23</v>
      </c>
      <c r="D1148" t="s">
        <v>22</v>
      </c>
      <c r="E1148">
        <v>15010</v>
      </c>
      <c r="F1148">
        <v>368</v>
      </c>
      <c r="G1148">
        <v>-42</v>
      </c>
      <c r="H1148">
        <v>-24</v>
      </c>
      <c r="I1148" t="s">
        <v>20</v>
      </c>
      <c r="J1148">
        <v>1</v>
      </c>
      <c r="K1148">
        <v>1</v>
      </c>
      <c r="L1148">
        <v>0</v>
      </c>
      <c r="M1148">
        <v>0</v>
      </c>
      <c r="N1148">
        <v>0</v>
      </c>
      <c r="O1148">
        <v>0</v>
      </c>
      <c r="P1148">
        <v>0</v>
      </c>
      <c r="Q1148">
        <v>0</v>
      </c>
      <c r="R1148">
        <v>800</v>
      </c>
      <c r="S1148">
        <v>800</v>
      </c>
      <c r="T1148">
        <v>0</v>
      </c>
      <c r="U1148" t="str">
        <f>IF(SeismicData[[#This Row],[class]]=1,"Dangerous","Safe")</f>
        <v>Safe</v>
      </c>
      <c r="V1148" t="str">
        <f>IF(SeismicData[[#This Row],[shift]]="W","Production","Non-Production")</f>
        <v>Production</v>
      </c>
      <c r="W1148" t="str">
        <f>IF(SeismicData[[#This Row],[genergy]]=0,"0","10^"&amp;INT(LOG10(SeismicData[[#This Row],[genergy]])))</f>
        <v>10^4</v>
      </c>
      <c r="X1148" t="str">
        <f>IF(OR(SeismicData[[#This Row],[genergy]]&lt;$AA$6,SeismicData[[#This Row],[genergy]]&gt;$AA$5),"Outlier","Normal")</f>
        <v>Normal</v>
      </c>
    </row>
    <row r="1149" spans="1:24" x14ac:dyDescent="0.15">
      <c r="A1149">
        <v>1148</v>
      </c>
      <c r="B1149" t="s">
        <v>20</v>
      </c>
      <c r="C1149" t="s">
        <v>23</v>
      </c>
      <c r="D1149" t="s">
        <v>22</v>
      </c>
      <c r="E1149">
        <v>9970</v>
      </c>
      <c r="F1149">
        <v>323</v>
      </c>
      <c r="G1149">
        <v>-62</v>
      </c>
      <c r="H1149">
        <v>-33</v>
      </c>
      <c r="I1149" t="s">
        <v>20</v>
      </c>
      <c r="J1149">
        <v>0</v>
      </c>
      <c r="K1149">
        <v>0</v>
      </c>
      <c r="L1149">
        <v>0</v>
      </c>
      <c r="M1149">
        <v>0</v>
      </c>
      <c r="N1149">
        <v>0</v>
      </c>
      <c r="O1149">
        <v>0</v>
      </c>
      <c r="P1149">
        <v>0</v>
      </c>
      <c r="Q1149">
        <v>0</v>
      </c>
      <c r="R1149">
        <v>0</v>
      </c>
      <c r="S1149">
        <v>0</v>
      </c>
      <c r="T1149">
        <v>0</v>
      </c>
      <c r="U1149" t="str">
        <f>IF(SeismicData[[#This Row],[class]]=1,"Dangerous","Safe")</f>
        <v>Safe</v>
      </c>
      <c r="V1149" t="str">
        <f>IF(SeismicData[[#This Row],[shift]]="W","Production","Non-Production")</f>
        <v>Production</v>
      </c>
      <c r="W1149" t="str">
        <f>IF(SeismicData[[#This Row],[genergy]]=0,"0","10^"&amp;INT(LOG10(SeismicData[[#This Row],[genergy]])))</f>
        <v>10^3</v>
      </c>
      <c r="X1149" t="str">
        <f>IF(OR(SeismicData[[#This Row],[genergy]]&lt;$AA$6,SeismicData[[#This Row],[genergy]]&gt;$AA$5),"Outlier","Normal")</f>
        <v>Normal</v>
      </c>
    </row>
    <row r="1150" spans="1:24" x14ac:dyDescent="0.15">
      <c r="A1150">
        <v>1149</v>
      </c>
      <c r="B1150" t="s">
        <v>20</v>
      </c>
      <c r="C1150" t="s">
        <v>23</v>
      </c>
      <c r="D1150" t="s">
        <v>22</v>
      </c>
      <c r="E1150">
        <v>18970</v>
      </c>
      <c r="F1150">
        <v>301</v>
      </c>
      <c r="G1150">
        <v>-27</v>
      </c>
      <c r="H1150">
        <v>-38</v>
      </c>
      <c r="I1150" t="s">
        <v>20</v>
      </c>
      <c r="J1150">
        <v>1</v>
      </c>
      <c r="K1150">
        <v>0</v>
      </c>
      <c r="L1150">
        <v>1</v>
      </c>
      <c r="M1150">
        <v>0</v>
      </c>
      <c r="N1150">
        <v>0</v>
      </c>
      <c r="O1150">
        <v>0</v>
      </c>
      <c r="P1150">
        <v>0</v>
      </c>
      <c r="Q1150">
        <v>0</v>
      </c>
      <c r="R1150">
        <v>1000</v>
      </c>
      <c r="S1150">
        <v>1000</v>
      </c>
      <c r="T1150">
        <v>0</v>
      </c>
      <c r="U1150" t="str">
        <f>IF(SeismicData[[#This Row],[class]]=1,"Dangerous","Safe")</f>
        <v>Safe</v>
      </c>
      <c r="V1150" t="str">
        <f>IF(SeismicData[[#This Row],[shift]]="W","Production","Non-Production")</f>
        <v>Production</v>
      </c>
      <c r="W1150" t="str">
        <f>IF(SeismicData[[#This Row],[genergy]]=0,"0","10^"&amp;INT(LOG10(SeismicData[[#This Row],[genergy]])))</f>
        <v>10^4</v>
      </c>
      <c r="X1150" t="str">
        <f>IF(OR(SeismicData[[#This Row],[genergy]]&lt;$AA$6,SeismicData[[#This Row],[genergy]]&gt;$AA$5),"Outlier","Normal")</f>
        <v>Normal</v>
      </c>
    </row>
    <row r="1151" spans="1:24" x14ac:dyDescent="0.15">
      <c r="A1151">
        <v>1150</v>
      </c>
      <c r="B1151" t="s">
        <v>20</v>
      </c>
      <c r="C1151" t="s">
        <v>23</v>
      </c>
      <c r="D1151" t="s">
        <v>22</v>
      </c>
      <c r="E1151">
        <v>13000</v>
      </c>
      <c r="F1151">
        <v>311</v>
      </c>
      <c r="G1151">
        <v>-50</v>
      </c>
      <c r="H1151">
        <v>-36</v>
      </c>
      <c r="I1151" t="s">
        <v>20</v>
      </c>
      <c r="J1151">
        <v>0</v>
      </c>
      <c r="K1151">
        <v>0</v>
      </c>
      <c r="L1151">
        <v>0</v>
      </c>
      <c r="M1151">
        <v>0</v>
      </c>
      <c r="N1151">
        <v>0</v>
      </c>
      <c r="O1151">
        <v>0</v>
      </c>
      <c r="P1151">
        <v>0</v>
      </c>
      <c r="Q1151">
        <v>0</v>
      </c>
      <c r="R1151">
        <v>0</v>
      </c>
      <c r="S1151">
        <v>0</v>
      </c>
      <c r="T1151">
        <v>0</v>
      </c>
      <c r="U1151" t="str">
        <f>IF(SeismicData[[#This Row],[class]]=1,"Dangerous","Safe")</f>
        <v>Safe</v>
      </c>
      <c r="V1151" t="str">
        <f>IF(SeismicData[[#This Row],[shift]]="W","Production","Non-Production")</f>
        <v>Production</v>
      </c>
      <c r="W1151" t="str">
        <f>IF(SeismicData[[#This Row],[genergy]]=0,"0","10^"&amp;INT(LOG10(SeismicData[[#This Row],[genergy]])))</f>
        <v>10^4</v>
      </c>
      <c r="X1151" t="str">
        <f>IF(OR(SeismicData[[#This Row],[genergy]]&lt;$AA$6,SeismicData[[#This Row],[genergy]]&gt;$AA$5),"Outlier","Normal")</f>
        <v>Normal</v>
      </c>
    </row>
    <row r="1152" spans="1:24" x14ac:dyDescent="0.15">
      <c r="A1152">
        <v>1151</v>
      </c>
      <c r="B1152" t="s">
        <v>20</v>
      </c>
      <c r="C1152" t="s">
        <v>23</v>
      </c>
      <c r="D1152" t="s">
        <v>21</v>
      </c>
      <c r="E1152">
        <v>14970</v>
      </c>
      <c r="F1152">
        <v>409</v>
      </c>
      <c r="G1152">
        <v>39</v>
      </c>
      <c r="H1152">
        <v>69</v>
      </c>
      <c r="I1152" t="s">
        <v>20</v>
      </c>
      <c r="J1152">
        <v>0</v>
      </c>
      <c r="K1152">
        <v>0</v>
      </c>
      <c r="L1152">
        <v>0</v>
      </c>
      <c r="M1152">
        <v>0</v>
      </c>
      <c r="N1152">
        <v>0</v>
      </c>
      <c r="O1152">
        <v>0</v>
      </c>
      <c r="P1152">
        <v>0</v>
      </c>
      <c r="Q1152">
        <v>0</v>
      </c>
      <c r="R1152">
        <v>0</v>
      </c>
      <c r="S1152">
        <v>0</v>
      </c>
      <c r="T1152">
        <v>0</v>
      </c>
      <c r="U1152" t="str">
        <f>IF(SeismicData[[#This Row],[class]]=1,"Dangerous","Safe")</f>
        <v>Safe</v>
      </c>
      <c r="V1152" t="str">
        <f>IF(SeismicData[[#This Row],[shift]]="W","Production","Non-Production")</f>
        <v>Non-Production</v>
      </c>
      <c r="W1152" t="str">
        <f>IF(SeismicData[[#This Row],[genergy]]=0,"0","10^"&amp;INT(LOG10(SeismicData[[#This Row],[genergy]])))</f>
        <v>10^4</v>
      </c>
      <c r="X1152" t="str">
        <f>IF(OR(SeismicData[[#This Row],[genergy]]&lt;$AA$6,SeismicData[[#This Row],[genergy]]&gt;$AA$5),"Outlier","Normal")</f>
        <v>Normal</v>
      </c>
    </row>
    <row r="1153" spans="1:24" x14ac:dyDescent="0.15">
      <c r="A1153">
        <v>1152</v>
      </c>
      <c r="B1153" t="s">
        <v>20</v>
      </c>
      <c r="C1153" t="s">
        <v>23</v>
      </c>
      <c r="D1153" t="s">
        <v>21</v>
      </c>
      <c r="E1153">
        <v>14390</v>
      </c>
      <c r="F1153">
        <v>329</v>
      </c>
      <c r="G1153">
        <v>34</v>
      </c>
      <c r="H1153">
        <v>36</v>
      </c>
      <c r="I1153" t="s">
        <v>20</v>
      </c>
      <c r="J1153">
        <v>0</v>
      </c>
      <c r="K1153">
        <v>0</v>
      </c>
      <c r="L1153">
        <v>0</v>
      </c>
      <c r="M1153">
        <v>0</v>
      </c>
      <c r="N1153">
        <v>0</v>
      </c>
      <c r="O1153">
        <v>0</v>
      </c>
      <c r="P1153">
        <v>0</v>
      </c>
      <c r="Q1153">
        <v>0</v>
      </c>
      <c r="R1153">
        <v>0</v>
      </c>
      <c r="S1153">
        <v>0</v>
      </c>
      <c r="T1153">
        <v>0</v>
      </c>
      <c r="U1153" t="str">
        <f>IF(SeismicData[[#This Row],[class]]=1,"Dangerous","Safe")</f>
        <v>Safe</v>
      </c>
      <c r="V1153" t="str">
        <f>IF(SeismicData[[#This Row],[shift]]="W","Production","Non-Production")</f>
        <v>Non-Production</v>
      </c>
      <c r="W1153" t="str">
        <f>IF(SeismicData[[#This Row],[genergy]]=0,"0","10^"&amp;INT(LOG10(SeismicData[[#This Row],[genergy]])))</f>
        <v>10^4</v>
      </c>
      <c r="X1153" t="str">
        <f>IF(OR(SeismicData[[#This Row],[genergy]]&lt;$AA$6,SeismicData[[#This Row],[genergy]]&gt;$AA$5),"Outlier","Normal")</f>
        <v>Normal</v>
      </c>
    </row>
    <row r="1154" spans="1:24" x14ac:dyDescent="0.15">
      <c r="A1154">
        <v>1153</v>
      </c>
      <c r="B1154" t="s">
        <v>20</v>
      </c>
      <c r="C1154" t="s">
        <v>23</v>
      </c>
      <c r="D1154" t="s">
        <v>21</v>
      </c>
      <c r="E1154">
        <v>6790</v>
      </c>
      <c r="F1154">
        <v>238</v>
      </c>
      <c r="G1154">
        <v>-37</v>
      </c>
      <c r="H1154">
        <v>-2</v>
      </c>
      <c r="I1154" t="s">
        <v>20</v>
      </c>
      <c r="J1154">
        <v>0</v>
      </c>
      <c r="K1154">
        <v>0</v>
      </c>
      <c r="L1154">
        <v>0</v>
      </c>
      <c r="M1154">
        <v>0</v>
      </c>
      <c r="N1154">
        <v>0</v>
      </c>
      <c r="O1154">
        <v>0</v>
      </c>
      <c r="P1154">
        <v>0</v>
      </c>
      <c r="Q1154">
        <v>0</v>
      </c>
      <c r="R1154">
        <v>0</v>
      </c>
      <c r="S1154">
        <v>0</v>
      </c>
      <c r="T1154">
        <v>0</v>
      </c>
      <c r="U1154" t="str">
        <f>IF(SeismicData[[#This Row],[class]]=1,"Dangerous","Safe")</f>
        <v>Safe</v>
      </c>
      <c r="V1154" t="str">
        <f>IF(SeismicData[[#This Row],[shift]]="W","Production","Non-Production")</f>
        <v>Non-Production</v>
      </c>
      <c r="W1154" t="str">
        <f>IF(SeismicData[[#This Row],[genergy]]=0,"0","10^"&amp;INT(LOG10(SeismicData[[#This Row],[genergy]])))</f>
        <v>10^3</v>
      </c>
      <c r="X1154" t="str">
        <f>IF(OR(SeismicData[[#This Row],[genergy]]&lt;$AA$6,SeismicData[[#This Row],[genergy]]&gt;$AA$5),"Outlier","Normal")</f>
        <v>Normal</v>
      </c>
    </row>
    <row r="1155" spans="1:24" x14ac:dyDescent="0.15">
      <c r="A1155">
        <v>1154</v>
      </c>
      <c r="B1155" t="s">
        <v>20</v>
      </c>
      <c r="C1155" t="s">
        <v>23</v>
      </c>
      <c r="D1155" t="s">
        <v>22</v>
      </c>
      <c r="E1155">
        <v>38430</v>
      </c>
      <c r="F1155">
        <v>406</v>
      </c>
      <c r="G1155">
        <v>54</v>
      </c>
      <c r="H1155">
        <v>-10</v>
      </c>
      <c r="I1155" t="s">
        <v>20</v>
      </c>
      <c r="J1155">
        <v>0</v>
      </c>
      <c r="K1155">
        <v>0</v>
      </c>
      <c r="L1155">
        <v>0</v>
      </c>
      <c r="M1155">
        <v>0</v>
      </c>
      <c r="N1155">
        <v>0</v>
      </c>
      <c r="O1155">
        <v>0</v>
      </c>
      <c r="P1155">
        <v>0</v>
      </c>
      <c r="Q1155">
        <v>0</v>
      </c>
      <c r="R1155">
        <v>0</v>
      </c>
      <c r="S1155">
        <v>0</v>
      </c>
      <c r="T1155">
        <v>0</v>
      </c>
      <c r="U1155" t="str">
        <f>IF(SeismicData[[#This Row],[class]]=1,"Dangerous","Safe")</f>
        <v>Safe</v>
      </c>
      <c r="V1155" t="str">
        <f>IF(SeismicData[[#This Row],[shift]]="W","Production","Non-Production")</f>
        <v>Production</v>
      </c>
      <c r="W1155" t="str">
        <f>IF(SeismicData[[#This Row],[genergy]]=0,"0","10^"&amp;INT(LOG10(SeismicData[[#This Row],[genergy]])))</f>
        <v>10^4</v>
      </c>
      <c r="X1155" t="str">
        <f>IF(OR(SeismicData[[#This Row],[genergy]]&lt;$AA$6,SeismicData[[#This Row],[genergy]]&gt;$AA$5),"Outlier","Normal")</f>
        <v>Normal</v>
      </c>
    </row>
    <row r="1156" spans="1:24" x14ac:dyDescent="0.15">
      <c r="A1156">
        <v>1155</v>
      </c>
      <c r="B1156" t="s">
        <v>20</v>
      </c>
      <c r="C1156" t="s">
        <v>23</v>
      </c>
      <c r="D1156" t="s">
        <v>22</v>
      </c>
      <c r="E1156">
        <v>29380</v>
      </c>
      <c r="F1156">
        <v>381</v>
      </c>
      <c r="G1156">
        <v>18</v>
      </c>
      <c r="H1156">
        <v>-15</v>
      </c>
      <c r="I1156" t="s">
        <v>20</v>
      </c>
      <c r="J1156">
        <v>0</v>
      </c>
      <c r="K1156">
        <v>0</v>
      </c>
      <c r="L1156">
        <v>0</v>
      </c>
      <c r="M1156">
        <v>0</v>
      </c>
      <c r="N1156">
        <v>0</v>
      </c>
      <c r="O1156">
        <v>0</v>
      </c>
      <c r="P1156">
        <v>0</v>
      </c>
      <c r="Q1156">
        <v>0</v>
      </c>
      <c r="R1156">
        <v>0</v>
      </c>
      <c r="S1156">
        <v>0</v>
      </c>
      <c r="T1156">
        <v>0</v>
      </c>
      <c r="U1156" t="str">
        <f>IF(SeismicData[[#This Row],[class]]=1,"Dangerous","Safe")</f>
        <v>Safe</v>
      </c>
      <c r="V1156" t="str">
        <f>IF(SeismicData[[#This Row],[shift]]="W","Production","Non-Production")</f>
        <v>Production</v>
      </c>
      <c r="W1156" t="str">
        <f>IF(SeismicData[[#This Row],[genergy]]=0,"0","10^"&amp;INT(LOG10(SeismicData[[#This Row],[genergy]])))</f>
        <v>10^4</v>
      </c>
      <c r="X1156" t="str">
        <f>IF(OR(SeismicData[[#This Row],[genergy]]&lt;$AA$6,SeismicData[[#This Row],[genergy]]&gt;$AA$5),"Outlier","Normal")</f>
        <v>Normal</v>
      </c>
    </row>
    <row r="1157" spans="1:24" x14ac:dyDescent="0.15">
      <c r="A1157">
        <v>1156</v>
      </c>
      <c r="B1157" t="s">
        <v>20</v>
      </c>
      <c r="C1157" t="s">
        <v>23</v>
      </c>
      <c r="D1157" t="s">
        <v>22</v>
      </c>
      <c r="E1157">
        <v>35720</v>
      </c>
      <c r="F1157">
        <v>306</v>
      </c>
      <c r="G1157">
        <v>43</v>
      </c>
      <c r="H1157">
        <v>-32</v>
      </c>
      <c r="I1157" t="s">
        <v>20</v>
      </c>
      <c r="J1157">
        <v>0</v>
      </c>
      <c r="K1157">
        <v>0</v>
      </c>
      <c r="L1157">
        <v>0</v>
      </c>
      <c r="M1157">
        <v>0</v>
      </c>
      <c r="N1157">
        <v>0</v>
      </c>
      <c r="O1157">
        <v>0</v>
      </c>
      <c r="P1157">
        <v>0</v>
      </c>
      <c r="Q1157">
        <v>0</v>
      </c>
      <c r="R1157">
        <v>0</v>
      </c>
      <c r="S1157">
        <v>0</v>
      </c>
      <c r="T1157">
        <v>0</v>
      </c>
      <c r="U1157" t="str">
        <f>IF(SeismicData[[#This Row],[class]]=1,"Dangerous","Safe")</f>
        <v>Safe</v>
      </c>
      <c r="V1157" t="str">
        <f>IF(SeismicData[[#This Row],[shift]]="W","Production","Non-Production")</f>
        <v>Production</v>
      </c>
      <c r="W1157" t="str">
        <f>IF(SeismicData[[#This Row],[genergy]]=0,"0","10^"&amp;INT(LOG10(SeismicData[[#This Row],[genergy]])))</f>
        <v>10^4</v>
      </c>
      <c r="X1157" t="str">
        <f>IF(OR(SeismicData[[#This Row],[genergy]]&lt;$AA$6,SeismicData[[#This Row],[genergy]]&gt;$AA$5),"Outlier","Normal")</f>
        <v>Normal</v>
      </c>
    </row>
    <row r="1158" spans="1:24" x14ac:dyDescent="0.15">
      <c r="A1158">
        <v>1157</v>
      </c>
      <c r="B1158" t="s">
        <v>20</v>
      </c>
      <c r="C1158" t="s">
        <v>23</v>
      </c>
      <c r="D1158" t="s">
        <v>22</v>
      </c>
      <c r="E1158">
        <v>22990</v>
      </c>
      <c r="F1158">
        <v>395</v>
      </c>
      <c r="G1158">
        <v>-8</v>
      </c>
      <c r="H1158">
        <v>-12</v>
      </c>
      <c r="I1158" t="s">
        <v>20</v>
      </c>
      <c r="J1158">
        <v>0</v>
      </c>
      <c r="K1158">
        <v>0</v>
      </c>
      <c r="L1158">
        <v>0</v>
      </c>
      <c r="M1158">
        <v>0</v>
      </c>
      <c r="N1158">
        <v>0</v>
      </c>
      <c r="O1158">
        <v>0</v>
      </c>
      <c r="P1158">
        <v>0</v>
      </c>
      <c r="Q1158">
        <v>0</v>
      </c>
      <c r="R1158">
        <v>0</v>
      </c>
      <c r="S1158">
        <v>0</v>
      </c>
      <c r="T1158">
        <v>0</v>
      </c>
      <c r="U1158" t="str">
        <f>IF(SeismicData[[#This Row],[class]]=1,"Dangerous","Safe")</f>
        <v>Safe</v>
      </c>
      <c r="V1158" t="str">
        <f>IF(SeismicData[[#This Row],[shift]]="W","Production","Non-Production")</f>
        <v>Production</v>
      </c>
      <c r="W1158" t="str">
        <f>IF(SeismicData[[#This Row],[genergy]]=0,"0","10^"&amp;INT(LOG10(SeismicData[[#This Row],[genergy]])))</f>
        <v>10^4</v>
      </c>
      <c r="X1158" t="str">
        <f>IF(OR(SeismicData[[#This Row],[genergy]]&lt;$AA$6,SeismicData[[#This Row],[genergy]]&gt;$AA$5),"Outlier","Normal")</f>
        <v>Normal</v>
      </c>
    </row>
    <row r="1159" spans="1:24" x14ac:dyDescent="0.15">
      <c r="A1159">
        <v>1158</v>
      </c>
      <c r="B1159" t="s">
        <v>20</v>
      </c>
      <c r="C1159" t="s">
        <v>23</v>
      </c>
      <c r="D1159" t="s">
        <v>22</v>
      </c>
      <c r="E1159">
        <v>15190</v>
      </c>
      <c r="F1159">
        <v>367</v>
      </c>
      <c r="G1159">
        <v>-39</v>
      </c>
      <c r="H1159">
        <v>-18</v>
      </c>
      <c r="I1159" t="s">
        <v>20</v>
      </c>
      <c r="J1159">
        <v>0</v>
      </c>
      <c r="K1159">
        <v>0</v>
      </c>
      <c r="L1159">
        <v>0</v>
      </c>
      <c r="M1159">
        <v>0</v>
      </c>
      <c r="N1159">
        <v>0</v>
      </c>
      <c r="O1159">
        <v>0</v>
      </c>
      <c r="P1159">
        <v>0</v>
      </c>
      <c r="Q1159">
        <v>0</v>
      </c>
      <c r="R1159">
        <v>0</v>
      </c>
      <c r="S1159">
        <v>0</v>
      </c>
      <c r="T1159">
        <v>0</v>
      </c>
      <c r="U1159" t="str">
        <f>IF(SeismicData[[#This Row],[class]]=1,"Dangerous","Safe")</f>
        <v>Safe</v>
      </c>
      <c r="V1159" t="str">
        <f>IF(SeismicData[[#This Row],[shift]]="W","Production","Non-Production")</f>
        <v>Production</v>
      </c>
      <c r="W1159" t="str">
        <f>IF(SeismicData[[#This Row],[genergy]]=0,"0","10^"&amp;INT(LOG10(SeismicData[[#This Row],[genergy]])))</f>
        <v>10^4</v>
      </c>
      <c r="X1159" t="str">
        <f>IF(OR(SeismicData[[#This Row],[genergy]]&lt;$AA$6,SeismicData[[#This Row],[genergy]]&gt;$AA$5),"Outlier","Normal")</f>
        <v>Normal</v>
      </c>
    </row>
    <row r="1160" spans="1:24" x14ac:dyDescent="0.15">
      <c r="A1160">
        <v>1159</v>
      </c>
      <c r="B1160" t="s">
        <v>20</v>
      </c>
      <c r="C1160" t="s">
        <v>23</v>
      </c>
      <c r="D1160" t="s">
        <v>22</v>
      </c>
      <c r="E1160">
        <v>34750</v>
      </c>
      <c r="F1160">
        <v>368</v>
      </c>
      <c r="G1160">
        <v>36</v>
      </c>
      <c r="H1160">
        <v>-17</v>
      </c>
      <c r="I1160" t="s">
        <v>20</v>
      </c>
      <c r="J1160">
        <v>0</v>
      </c>
      <c r="K1160">
        <v>0</v>
      </c>
      <c r="L1160">
        <v>0</v>
      </c>
      <c r="M1160">
        <v>0</v>
      </c>
      <c r="N1160">
        <v>0</v>
      </c>
      <c r="O1160">
        <v>0</v>
      </c>
      <c r="P1160">
        <v>0</v>
      </c>
      <c r="Q1160">
        <v>0</v>
      </c>
      <c r="R1160">
        <v>0</v>
      </c>
      <c r="S1160">
        <v>0</v>
      </c>
      <c r="T1160">
        <v>0</v>
      </c>
      <c r="U1160" t="str">
        <f>IF(SeismicData[[#This Row],[class]]=1,"Dangerous","Safe")</f>
        <v>Safe</v>
      </c>
      <c r="V1160" t="str">
        <f>IF(SeismicData[[#This Row],[shift]]="W","Production","Non-Production")</f>
        <v>Production</v>
      </c>
      <c r="W1160" t="str">
        <f>IF(SeismicData[[#This Row],[genergy]]=0,"0","10^"&amp;INT(LOG10(SeismicData[[#This Row],[genergy]])))</f>
        <v>10^4</v>
      </c>
      <c r="X1160" t="str">
        <f>IF(OR(SeismicData[[#This Row],[genergy]]&lt;$AA$6,SeismicData[[#This Row],[genergy]]&gt;$AA$5),"Outlier","Normal")</f>
        <v>Normal</v>
      </c>
    </row>
    <row r="1161" spans="1:24" x14ac:dyDescent="0.15">
      <c r="A1161">
        <v>1160</v>
      </c>
      <c r="B1161" t="s">
        <v>20</v>
      </c>
      <c r="C1161" t="s">
        <v>23</v>
      </c>
      <c r="D1161" t="s">
        <v>22</v>
      </c>
      <c r="E1161">
        <v>84880</v>
      </c>
      <c r="F1161">
        <v>807</v>
      </c>
      <c r="G1161">
        <v>233</v>
      </c>
      <c r="H1161">
        <v>82</v>
      </c>
      <c r="I1161" t="s">
        <v>20</v>
      </c>
      <c r="J1161">
        <v>1</v>
      </c>
      <c r="K1161">
        <v>1</v>
      </c>
      <c r="L1161">
        <v>0</v>
      </c>
      <c r="M1161">
        <v>0</v>
      </c>
      <c r="N1161">
        <v>0</v>
      </c>
      <c r="O1161">
        <v>0</v>
      </c>
      <c r="P1161">
        <v>0</v>
      </c>
      <c r="Q1161">
        <v>0</v>
      </c>
      <c r="R1161">
        <v>800</v>
      </c>
      <c r="S1161">
        <v>800</v>
      </c>
      <c r="T1161">
        <v>0</v>
      </c>
      <c r="U1161" t="str">
        <f>IF(SeismicData[[#This Row],[class]]=1,"Dangerous","Safe")</f>
        <v>Safe</v>
      </c>
      <c r="V1161" t="str">
        <f>IF(SeismicData[[#This Row],[shift]]="W","Production","Non-Production")</f>
        <v>Production</v>
      </c>
      <c r="W1161" t="str">
        <f>IF(SeismicData[[#This Row],[genergy]]=0,"0","10^"&amp;INT(LOG10(SeismicData[[#This Row],[genergy]])))</f>
        <v>10^4</v>
      </c>
      <c r="X1161" t="str">
        <f>IF(OR(SeismicData[[#This Row],[genergy]]&lt;$AA$6,SeismicData[[#This Row],[genergy]]&gt;$AA$5),"Outlier","Normal")</f>
        <v>Normal</v>
      </c>
    </row>
    <row r="1162" spans="1:24" x14ac:dyDescent="0.15">
      <c r="A1162">
        <v>1161</v>
      </c>
      <c r="B1162" t="s">
        <v>20</v>
      </c>
      <c r="C1162" t="s">
        <v>23</v>
      </c>
      <c r="D1162" t="s">
        <v>22</v>
      </c>
      <c r="E1162">
        <v>45560</v>
      </c>
      <c r="F1162">
        <v>591</v>
      </c>
      <c r="G1162">
        <v>79</v>
      </c>
      <c r="H1162">
        <v>33</v>
      </c>
      <c r="I1162" t="s">
        <v>20</v>
      </c>
      <c r="J1162">
        <v>0</v>
      </c>
      <c r="K1162">
        <v>0</v>
      </c>
      <c r="L1162">
        <v>0</v>
      </c>
      <c r="M1162">
        <v>0</v>
      </c>
      <c r="N1162">
        <v>0</v>
      </c>
      <c r="O1162">
        <v>0</v>
      </c>
      <c r="P1162">
        <v>0</v>
      </c>
      <c r="Q1162">
        <v>0</v>
      </c>
      <c r="R1162">
        <v>0</v>
      </c>
      <c r="S1162">
        <v>0</v>
      </c>
      <c r="T1162">
        <v>0</v>
      </c>
      <c r="U1162" t="str">
        <f>IF(SeismicData[[#This Row],[class]]=1,"Dangerous","Safe")</f>
        <v>Safe</v>
      </c>
      <c r="V1162" t="str">
        <f>IF(SeismicData[[#This Row],[shift]]="W","Production","Non-Production")</f>
        <v>Production</v>
      </c>
      <c r="W1162" t="str">
        <f>IF(SeismicData[[#This Row],[genergy]]=0,"0","10^"&amp;INT(LOG10(SeismicData[[#This Row],[genergy]])))</f>
        <v>10^4</v>
      </c>
      <c r="X1162" t="str">
        <f>IF(OR(SeismicData[[#This Row],[genergy]]&lt;$AA$6,SeismicData[[#This Row],[genergy]]&gt;$AA$5),"Outlier","Normal")</f>
        <v>Normal</v>
      </c>
    </row>
    <row r="1163" spans="1:24" x14ac:dyDescent="0.15">
      <c r="A1163">
        <v>1162</v>
      </c>
      <c r="B1163" t="s">
        <v>20</v>
      </c>
      <c r="C1163" t="s">
        <v>23</v>
      </c>
      <c r="D1163" t="s">
        <v>22</v>
      </c>
      <c r="E1163">
        <v>36940</v>
      </c>
      <c r="F1163">
        <v>439</v>
      </c>
      <c r="G1163">
        <v>45</v>
      </c>
      <c r="H1163">
        <v>-1</v>
      </c>
      <c r="I1163" t="s">
        <v>20</v>
      </c>
      <c r="J1163">
        <v>0</v>
      </c>
      <c r="K1163">
        <v>0</v>
      </c>
      <c r="L1163">
        <v>0</v>
      </c>
      <c r="M1163">
        <v>0</v>
      </c>
      <c r="N1163">
        <v>0</v>
      </c>
      <c r="O1163">
        <v>0</v>
      </c>
      <c r="P1163">
        <v>0</v>
      </c>
      <c r="Q1163">
        <v>0</v>
      </c>
      <c r="R1163">
        <v>0</v>
      </c>
      <c r="S1163">
        <v>0</v>
      </c>
      <c r="T1163">
        <v>0</v>
      </c>
      <c r="U1163" t="str">
        <f>IF(SeismicData[[#This Row],[class]]=1,"Dangerous","Safe")</f>
        <v>Safe</v>
      </c>
      <c r="V1163" t="str">
        <f>IF(SeismicData[[#This Row],[shift]]="W","Production","Non-Production")</f>
        <v>Production</v>
      </c>
      <c r="W1163" t="str">
        <f>IF(SeismicData[[#This Row],[genergy]]=0,"0","10^"&amp;INT(LOG10(SeismicData[[#This Row],[genergy]])))</f>
        <v>10^4</v>
      </c>
      <c r="X1163" t="str">
        <f>IF(OR(SeismicData[[#This Row],[genergy]]&lt;$AA$6,SeismicData[[#This Row],[genergy]]&gt;$AA$5),"Outlier","Normal")</f>
        <v>Normal</v>
      </c>
    </row>
    <row r="1164" spans="1:24" x14ac:dyDescent="0.15">
      <c r="A1164">
        <v>1163</v>
      </c>
      <c r="B1164" t="s">
        <v>20</v>
      </c>
      <c r="C1164" t="s">
        <v>23</v>
      </c>
      <c r="D1164" t="s">
        <v>22</v>
      </c>
      <c r="E1164">
        <v>28960</v>
      </c>
      <c r="F1164">
        <v>444</v>
      </c>
      <c r="G1164">
        <v>14</v>
      </c>
      <c r="H1164">
        <v>0</v>
      </c>
      <c r="I1164" t="s">
        <v>20</v>
      </c>
      <c r="J1164">
        <v>1</v>
      </c>
      <c r="K1164">
        <v>1</v>
      </c>
      <c r="L1164">
        <v>0</v>
      </c>
      <c r="M1164">
        <v>0</v>
      </c>
      <c r="N1164">
        <v>0</v>
      </c>
      <c r="O1164">
        <v>0</v>
      </c>
      <c r="P1164">
        <v>0</v>
      </c>
      <c r="Q1164">
        <v>0</v>
      </c>
      <c r="R1164">
        <v>300</v>
      </c>
      <c r="S1164">
        <v>300</v>
      </c>
      <c r="T1164">
        <v>0</v>
      </c>
      <c r="U1164" t="str">
        <f>IF(SeismicData[[#This Row],[class]]=1,"Dangerous","Safe")</f>
        <v>Safe</v>
      </c>
      <c r="V1164" t="str">
        <f>IF(SeismicData[[#This Row],[shift]]="W","Production","Non-Production")</f>
        <v>Production</v>
      </c>
      <c r="W1164" t="str">
        <f>IF(SeismicData[[#This Row],[genergy]]=0,"0","10^"&amp;INT(LOG10(SeismicData[[#This Row],[genergy]])))</f>
        <v>10^4</v>
      </c>
      <c r="X1164" t="str">
        <f>IF(OR(SeismicData[[#This Row],[genergy]]&lt;$AA$6,SeismicData[[#This Row],[genergy]]&gt;$AA$5),"Outlier","Normal")</f>
        <v>Normal</v>
      </c>
    </row>
    <row r="1165" spans="1:24" x14ac:dyDescent="0.15">
      <c r="A1165">
        <v>1164</v>
      </c>
      <c r="B1165" t="s">
        <v>20</v>
      </c>
      <c r="C1165" t="s">
        <v>23</v>
      </c>
      <c r="D1165" t="s">
        <v>22</v>
      </c>
      <c r="E1165">
        <v>22260</v>
      </c>
      <c r="F1165">
        <v>493</v>
      </c>
      <c r="G1165">
        <v>-13</v>
      </c>
      <c r="H1165">
        <v>11</v>
      </c>
      <c r="I1165" t="s">
        <v>20</v>
      </c>
      <c r="J1165">
        <v>1</v>
      </c>
      <c r="K1165">
        <v>1</v>
      </c>
      <c r="L1165">
        <v>0</v>
      </c>
      <c r="M1165">
        <v>0</v>
      </c>
      <c r="N1165">
        <v>0</v>
      </c>
      <c r="O1165">
        <v>0</v>
      </c>
      <c r="P1165">
        <v>0</v>
      </c>
      <c r="Q1165">
        <v>0</v>
      </c>
      <c r="R1165">
        <v>900</v>
      </c>
      <c r="S1165">
        <v>900</v>
      </c>
      <c r="T1165">
        <v>0</v>
      </c>
      <c r="U1165" t="str">
        <f>IF(SeismicData[[#This Row],[class]]=1,"Dangerous","Safe")</f>
        <v>Safe</v>
      </c>
      <c r="V1165" t="str">
        <f>IF(SeismicData[[#This Row],[shift]]="W","Production","Non-Production")</f>
        <v>Production</v>
      </c>
      <c r="W1165" t="str">
        <f>IF(SeismicData[[#This Row],[genergy]]=0,"0","10^"&amp;INT(LOG10(SeismicData[[#This Row],[genergy]])))</f>
        <v>10^4</v>
      </c>
      <c r="X1165" t="str">
        <f>IF(OR(SeismicData[[#This Row],[genergy]]&lt;$AA$6,SeismicData[[#This Row],[genergy]]&gt;$AA$5),"Outlier","Normal")</f>
        <v>Normal</v>
      </c>
    </row>
    <row r="1166" spans="1:24" x14ac:dyDescent="0.15">
      <c r="A1166">
        <v>1165</v>
      </c>
      <c r="B1166" t="s">
        <v>20</v>
      </c>
      <c r="C1166" t="s">
        <v>23</v>
      </c>
      <c r="D1166" t="s">
        <v>22</v>
      </c>
      <c r="E1166">
        <v>14370</v>
      </c>
      <c r="F1166">
        <v>338</v>
      </c>
      <c r="G1166">
        <v>-44</v>
      </c>
      <c r="H1166">
        <v>-24</v>
      </c>
      <c r="I1166" t="s">
        <v>20</v>
      </c>
      <c r="J1166">
        <v>1</v>
      </c>
      <c r="K1166">
        <v>1</v>
      </c>
      <c r="L1166">
        <v>0</v>
      </c>
      <c r="M1166">
        <v>0</v>
      </c>
      <c r="N1166">
        <v>0</v>
      </c>
      <c r="O1166">
        <v>0</v>
      </c>
      <c r="P1166">
        <v>0</v>
      </c>
      <c r="Q1166">
        <v>0</v>
      </c>
      <c r="R1166">
        <v>400</v>
      </c>
      <c r="S1166">
        <v>400</v>
      </c>
      <c r="T1166">
        <v>0</v>
      </c>
      <c r="U1166" t="str">
        <f>IF(SeismicData[[#This Row],[class]]=1,"Dangerous","Safe")</f>
        <v>Safe</v>
      </c>
      <c r="V1166" t="str">
        <f>IF(SeismicData[[#This Row],[shift]]="W","Production","Non-Production")</f>
        <v>Production</v>
      </c>
      <c r="W1166" t="str">
        <f>IF(SeismicData[[#This Row],[genergy]]=0,"0","10^"&amp;INT(LOG10(SeismicData[[#This Row],[genergy]])))</f>
        <v>10^4</v>
      </c>
      <c r="X1166" t="str">
        <f>IF(OR(SeismicData[[#This Row],[genergy]]&lt;$AA$6,SeismicData[[#This Row],[genergy]]&gt;$AA$5),"Outlier","Normal")</f>
        <v>Normal</v>
      </c>
    </row>
    <row r="1167" spans="1:24" x14ac:dyDescent="0.15">
      <c r="A1167">
        <v>1166</v>
      </c>
      <c r="B1167" t="s">
        <v>20</v>
      </c>
      <c r="C1167" t="s">
        <v>23</v>
      </c>
      <c r="D1167" t="s">
        <v>22</v>
      </c>
      <c r="E1167">
        <v>16480</v>
      </c>
      <c r="F1167">
        <v>401</v>
      </c>
      <c r="G1167">
        <v>-35</v>
      </c>
      <c r="H1167">
        <v>-10</v>
      </c>
      <c r="I1167" t="s">
        <v>20</v>
      </c>
      <c r="J1167">
        <v>0</v>
      </c>
      <c r="K1167">
        <v>0</v>
      </c>
      <c r="L1167">
        <v>0</v>
      </c>
      <c r="M1167">
        <v>0</v>
      </c>
      <c r="N1167">
        <v>0</v>
      </c>
      <c r="O1167">
        <v>0</v>
      </c>
      <c r="P1167">
        <v>0</v>
      </c>
      <c r="Q1167">
        <v>0</v>
      </c>
      <c r="R1167">
        <v>0</v>
      </c>
      <c r="S1167">
        <v>0</v>
      </c>
      <c r="T1167">
        <v>0</v>
      </c>
      <c r="U1167" t="str">
        <f>IF(SeismicData[[#This Row],[class]]=1,"Dangerous","Safe")</f>
        <v>Safe</v>
      </c>
      <c r="V1167" t="str">
        <f>IF(SeismicData[[#This Row],[shift]]="W","Production","Non-Production")</f>
        <v>Production</v>
      </c>
      <c r="W1167" t="str">
        <f>IF(SeismicData[[#This Row],[genergy]]=0,"0","10^"&amp;INT(LOG10(SeismicData[[#This Row],[genergy]])))</f>
        <v>10^4</v>
      </c>
      <c r="X1167" t="str">
        <f>IF(OR(SeismicData[[#This Row],[genergy]]&lt;$AA$6,SeismicData[[#This Row],[genergy]]&gt;$AA$5),"Outlier","Normal")</f>
        <v>Normal</v>
      </c>
    </row>
    <row r="1168" spans="1:24" x14ac:dyDescent="0.15">
      <c r="A1168">
        <v>1167</v>
      </c>
      <c r="B1168" t="s">
        <v>20</v>
      </c>
      <c r="C1168" t="s">
        <v>23</v>
      </c>
      <c r="D1168" t="s">
        <v>21</v>
      </c>
      <c r="E1168">
        <v>14300</v>
      </c>
      <c r="F1168">
        <v>275</v>
      </c>
      <c r="G1168">
        <v>33</v>
      </c>
      <c r="H1168">
        <v>14</v>
      </c>
      <c r="I1168" t="s">
        <v>20</v>
      </c>
      <c r="J1168">
        <v>0</v>
      </c>
      <c r="K1168">
        <v>0</v>
      </c>
      <c r="L1168">
        <v>0</v>
      </c>
      <c r="M1168">
        <v>0</v>
      </c>
      <c r="N1168">
        <v>0</v>
      </c>
      <c r="O1168">
        <v>0</v>
      </c>
      <c r="P1168">
        <v>0</v>
      </c>
      <c r="Q1168">
        <v>0</v>
      </c>
      <c r="R1168">
        <v>0</v>
      </c>
      <c r="S1168">
        <v>0</v>
      </c>
      <c r="T1168">
        <v>0</v>
      </c>
      <c r="U1168" t="str">
        <f>IF(SeismicData[[#This Row],[class]]=1,"Dangerous","Safe")</f>
        <v>Safe</v>
      </c>
      <c r="V1168" t="str">
        <f>IF(SeismicData[[#This Row],[shift]]="W","Production","Non-Production")</f>
        <v>Non-Production</v>
      </c>
      <c r="W1168" t="str">
        <f>IF(SeismicData[[#This Row],[genergy]]=0,"0","10^"&amp;INT(LOG10(SeismicData[[#This Row],[genergy]])))</f>
        <v>10^4</v>
      </c>
      <c r="X1168" t="str">
        <f>IF(OR(SeismicData[[#This Row],[genergy]]&lt;$AA$6,SeismicData[[#This Row],[genergy]]&gt;$AA$5),"Outlier","Normal")</f>
        <v>Normal</v>
      </c>
    </row>
    <row r="1169" spans="1:24" x14ac:dyDescent="0.15">
      <c r="A1169">
        <v>1168</v>
      </c>
      <c r="B1169" t="s">
        <v>20</v>
      </c>
      <c r="C1169" t="s">
        <v>23</v>
      </c>
      <c r="D1169" t="s">
        <v>21</v>
      </c>
      <c r="E1169">
        <v>12280</v>
      </c>
      <c r="F1169">
        <v>290</v>
      </c>
      <c r="G1169">
        <v>14</v>
      </c>
      <c r="H1169">
        <v>20</v>
      </c>
      <c r="I1169" t="s">
        <v>20</v>
      </c>
      <c r="J1169">
        <v>0</v>
      </c>
      <c r="K1169">
        <v>0</v>
      </c>
      <c r="L1169">
        <v>0</v>
      </c>
      <c r="M1169">
        <v>0</v>
      </c>
      <c r="N1169">
        <v>0</v>
      </c>
      <c r="O1169">
        <v>0</v>
      </c>
      <c r="P1169">
        <v>0</v>
      </c>
      <c r="Q1169">
        <v>0</v>
      </c>
      <c r="R1169">
        <v>0</v>
      </c>
      <c r="S1169">
        <v>0</v>
      </c>
      <c r="T1169">
        <v>0</v>
      </c>
      <c r="U1169" t="str">
        <f>IF(SeismicData[[#This Row],[class]]=1,"Dangerous","Safe")</f>
        <v>Safe</v>
      </c>
      <c r="V1169" t="str">
        <f>IF(SeismicData[[#This Row],[shift]]="W","Production","Non-Production")</f>
        <v>Non-Production</v>
      </c>
      <c r="W1169" t="str">
        <f>IF(SeismicData[[#This Row],[genergy]]=0,"0","10^"&amp;INT(LOG10(SeismicData[[#This Row],[genergy]])))</f>
        <v>10^4</v>
      </c>
      <c r="X1169" t="str">
        <f>IF(OR(SeismicData[[#This Row],[genergy]]&lt;$AA$6,SeismicData[[#This Row],[genergy]]&gt;$AA$5),"Outlier","Normal")</f>
        <v>Normal</v>
      </c>
    </row>
    <row r="1170" spans="1:24" x14ac:dyDescent="0.15">
      <c r="A1170">
        <v>1169</v>
      </c>
      <c r="B1170" t="s">
        <v>20</v>
      </c>
      <c r="C1170" t="s">
        <v>23</v>
      </c>
      <c r="D1170" t="s">
        <v>21</v>
      </c>
      <c r="E1170">
        <v>11140</v>
      </c>
      <c r="F1170">
        <v>295</v>
      </c>
      <c r="G1170">
        <v>4</v>
      </c>
      <c r="H1170">
        <v>22</v>
      </c>
      <c r="I1170" t="s">
        <v>20</v>
      </c>
      <c r="J1170">
        <v>0</v>
      </c>
      <c r="K1170">
        <v>0</v>
      </c>
      <c r="L1170">
        <v>0</v>
      </c>
      <c r="M1170">
        <v>0</v>
      </c>
      <c r="N1170">
        <v>0</v>
      </c>
      <c r="O1170">
        <v>0</v>
      </c>
      <c r="P1170">
        <v>0</v>
      </c>
      <c r="Q1170">
        <v>0</v>
      </c>
      <c r="R1170">
        <v>0</v>
      </c>
      <c r="S1170">
        <v>0</v>
      </c>
      <c r="T1170">
        <v>0</v>
      </c>
      <c r="U1170" t="str">
        <f>IF(SeismicData[[#This Row],[class]]=1,"Dangerous","Safe")</f>
        <v>Safe</v>
      </c>
      <c r="V1170" t="str">
        <f>IF(SeismicData[[#This Row],[shift]]="W","Production","Non-Production")</f>
        <v>Non-Production</v>
      </c>
      <c r="W1170" t="str">
        <f>IF(SeismicData[[#This Row],[genergy]]=0,"0","10^"&amp;INT(LOG10(SeismicData[[#This Row],[genergy]])))</f>
        <v>10^4</v>
      </c>
      <c r="X1170" t="str">
        <f>IF(OR(SeismicData[[#This Row],[genergy]]&lt;$AA$6,SeismicData[[#This Row],[genergy]]&gt;$AA$5),"Outlier","Normal")</f>
        <v>Normal</v>
      </c>
    </row>
    <row r="1171" spans="1:24" x14ac:dyDescent="0.15">
      <c r="A1171">
        <v>1170</v>
      </c>
      <c r="B1171" t="s">
        <v>20</v>
      </c>
      <c r="C1171" t="s">
        <v>23</v>
      </c>
      <c r="D1171" t="s">
        <v>21</v>
      </c>
      <c r="E1171">
        <v>4500</v>
      </c>
      <c r="F1171">
        <v>207</v>
      </c>
      <c r="G1171">
        <v>-58</v>
      </c>
      <c r="H1171">
        <v>-14</v>
      </c>
      <c r="I1171" t="s">
        <v>20</v>
      </c>
      <c r="J1171">
        <v>0</v>
      </c>
      <c r="K1171">
        <v>0</v>
      </c>
      <c r="L1171">
        <v>0</v>
      </c>
      <c r="M1171">
        <v>0</v>
      </c>
      <c r="N1171">
        <v>0</v>
      </c>
      <c r="O1171">
        <v>0</v>
      </c>
      <c r="P1171">
        <v>0</v>
      </c>
      <c r="Q1171">
        <v>0</v>
      </c>
      <c r="R1171">
        <v>0</v>
      </c>
      <c r="S1171">
        <v>0</v>
      </c>
      <c r="T1171">
        <v>0</v>
      </c>
      <c r="U1171" t="str">
        <f>IF(SeismicData[[#This Row],[class]]=1,"Dangerous","Safe")</f>
        <v>Safe</v>
      </c>
      <c r="V1171" t="str">
        <f>IF(SeismicData[[#This Row],[shift]]="W","Production","Non-Production")</f>
        <v>Non-Production</v>
      </c>
      <c r="W1171" t="str">
        <f>IF(SeismicData[[#This Row],[genergy]]=0,"0","10^"&amp;INT(LOG10(SeismicData[[#This Row],[genergy]])))</f>
        <v>10^3</v>
      </c>
      <c r="X1171" t="str">
        <f>IF(OR(SeismicData[[#This Row],[genergy]]&lt;$AA$6,SeismicData[[#This Row],[genergy]]&gt;$AA$5),"Outlier","Normal")</f>
        <v>Normal</v>
      </c>
    </row>
    <row r="1172" spans="1:24" x14ac:dyDescent="0.15">
      <c r="A1172">
        <v>1171</v>
      </c>
      <c r="B1172" t="s">
        <v>20</v>
      </c>
      <c r="C1172" t="s">
        <v>23</v>
      </c>
      <c r="D1172" t="s">
        <v>21</v>
      </c>
      <c r="E1172">
        <v>7400</v>
      </c>
      <c r="F1172">
        <v>206</v>
      </c>
      <c r="G1172">
        <v>-31</v>
      </c>
      <c r="H1172">
        <v>-15</v>
      </c>
      <c r="I1172" t="s">
        <v>20</v>
      </c>
      <c r="J1172">
        <v>0</v>
      </c>
      <c r="K1172">
        <v>0</v>
      </c>
      <c r="L1172">
        <v>0</v>
      </c>
      <c r="M1172">
        <v>0</v>
      </c>
      <c r="N1172">
        <v>0</v>
      </c>
      <c r="O1172">
        <v>0</v>
      </c>
      <c r="P1172">
        <v>0</v>
      </c>
      <c r="Q1172">
        <v>0</v>
      </c>
      <c r="R1172">
        <v>0</v>
      </c>
      <c r="S1172">
        <v>0</v>
      </c>
      <c r="T1172">
        <v>0</v>
      </c>
      <c r="U1172" t="str">
        <f>IF(SeismicData[[#This Row],[class]]=1,"Dangerous","Safe")</f>
        <v>Safe</v>
      </c>
      <c r="V1172" t="str">
        <f>IF(SeismicData[[#This Row],[shift]]="W","Production","Non-Production")</f>
        <v>Non-Production</v>
      </c>
      <c r="W1172" t="str">
        <f>IF(SeismicData[[#This Row],[genergy]]=0,"0","10^"&amp;INT(LOG10(SeismicData[[#This Row],[genergy]])))</f>
        <v>10^3</v>
      </c>
      <c r="X1172" t="str">
        <f>IF(OR(SeismicData[[#This Row],[genergy]]&lt;$AA$6,SeismicData[[#This Row],[genergy]]&gt;$AA$5),"Outlier","Normal")</f>
        <v>Normal</v>
      </c>
    </row>
    <row r="1173" spans="1:24" x14ac:dyDescent="0.15">
      <c r="A1173">
        <v>1172</v>
      </c>
      <c r="B1173" t="s">
        <v>20</v>
      </c>
      <c r="C1173" t="s">
        <v>23</v>
      </c>
      <c r="D1173" t="s">
        <v>21</v>
      </c>
      <c r="E1173">
        <v>9380</v>
      </c>
      <c r="F1173">
        <v>234</v>
      </c>
      <c r="G1173">
        <v>-13</v>
      </c>
      <c r="H1173">
        <v>-3</v>
      </c>
      <c r="I1173" t="s">
        <v>20</v>
      </c>
      <c r="J1173">
        <v>0</v>
      </c>
      <c r="K1173">
        <v>0</v>
      </c>
      <c r="L1173">
        <v>0</v>
      </c>
      <c r="M1173">
        <v>0</v>
      </c>
      <c r="N1173">
        <v>0</v>
      </c>
      <c r="O1173">
        <v>0</v>
      </c>
      <c r="P1173">
        <v>0</v>
      </c>
      <c r="Q1173">
        <v>0</v>
      </c>
      <c r="R1173">
        <v>0</v>
      </c>
      <c r="S1173">
        <v>0</v>
      </c>
      <c r="T1173">
        <v>0</v>
      </c>
      <c r="U1173" t="str">
        <f>IF(SeismicData[[#This Row],[class]]=1,"Dangerous","Safe")</f>
        <v>Safe</v>
      </c>
      <c r="V1173" t="str">
        <f>IF(SeismicData[[#This Row],[shift]]="W","Production","Non-Production")</f>
        <v>Non-Production</v>
      </c>
      <c r="W1173" t="str">
        <f>IF(SeismicData[[#This Row],[genergy]]=0,"0","10^"&amp;INT(LOG10(SeismicData[[#This Row],[genergy]])))</f>
        <v>10^3</v>
      </c>
      <c r="X1173" t="str">
        <f>IF(OR(SeismicData[[#This Row],[genergy]]&lt;$AA$6,SeismicData[[#This Row],[genergy]]&gt;$AA$5),"Outlier","Normal")</f>
        <v>Normal</v>
      </c>
    </row>
    <row r="1174" spans="1:24" x14ac:dyDescent="0.15">
      <c r="A1174">
        <v>1173</v>
      </c>
      <c r="B1174" t="s">
        <v>20</v>
      </c>
      <c r="C1174" t="s">
        <v>23</v>
      </c>
      <c r="D1174" t="s">
        <v>21</v>
      </c>
      <c r="E1174">
        <v>11550</v>
      </c>
      <c r="F1174">
        <v>204</v>
      </c>
      <c r="G1174">
        <v>8</v>
      </c>
      <c r="H1174">
        <v>-16</v>
      </c>
      <c r="I1174" t="s">
        <v>20</v>
      </c>
      <c r="J1174">
        <v>1</v>
      </c>
      <c r="K1174">
        <v>1</v>
      </c>
      <c r="L1174">
        <v>0</v>
      </c>
      <c r="M1174">
        <v>0</v>
      </c>
      <c r="N1174">
        <v>0</v>
      </c>
      <c r="O1174">
        <v>0</v>
      </c>
      <c r="P1174">
        <v>0</v>
      </c>
      <c r="Q1174">
        <v>0</v>
      </c>
      <c r="R1174">
        <v>600</v>
      </c>
      <c r="S1174">
        <v>600</v>
      </c>
      <c r="T1174">
        <v>0</v>
      </c>
      <c r="U1174" t="str">
        <f>IF(SeismicData[[#This Row],[class]]=1,"Dangerous","Safe")</f>
        <v>Safe</v>
      </c>
      <c r="V1174" t="str">
        <f>IF(SeismicData[[#This Row],[shift]]="W","Production","Non-Production")</f>
        <v>Non-Production</v>
      </c>
      <c r="W1174" t="str">
        <f>IF(SeismicData[[#This Row],[genergy]]=0,"0","10^"&amp;INT(LOG10(SeismicData[[#This Row],[genergy]])))</f>
        <v>10^4</v>
      </c>
      <c r="X1174" t="str">
        <f>IF(OR(SeismicData[[#This Row],[genergy]]&lt;$AA$6,SeismicData[[#This Row],[genergy]]&gt;$AA$5),"Outlier","Normal")</f>
        <v>Normal</v>
      </c>
    </row>
    <row r="1175" spans="1:24" x14ac:dyDescent="0.15">
      <c r="A1175">
        <v>1174</v>
      </c>
      <c r="B1175" t="s">
        <v>20</v>
      </c>
      <c r="C1175" t="s">
        <v>23</v>
      </c>
      <c r="D1175" t="s">
        <v>21</v>
      </c>
      <c r="E1175">
        <v>10070</v>
      </c>
      <c r="F1175">
        <v>243</v>
      </c>
      <c r="G1175">
        <v>-6</v>
      </c>
      <c r="H1175">
        <v>0</v>
      </c>
      <c r="I1175" t="s">
        <v>20</v>
      </c>
      <c r="J1175">
        <v>0</v>
      </c>
      <c r="K1175">
        <v>0</v>
      </c>
      <c r="L1175">
        <v>0</v>
      </c>
      <c r="M1175">
        <v>0</v>
      </c>
      <c r="N1175">
        <v>0</v>
      </c>
      <c r="O1175">
        <v>0</v>
      </c>
      <c r="P1175">
        <v>0</v>
      </c>
      <c r="Q1175">
        <v>0</v>
      </c>
      <c r="R1175">
        <v>0</v>
      </c>
      <c r="S1175">
        <v>0</v>
      </c>
      <c r="T1175">
        <v>0</v>
      </c>
      <c r="U1175" t="str">
        <f>IF(SeismicData[[#This Row],[class]]=1,"Dangerous","Safe")</f>
        <v>Safe</v>
      </c>
      <c r="V1175" t="str">
        <f>IF(SeismicData[[#This Row],[shift]]="W","Production","Non-Production")</f>
        <v>Non-Production</v>
      </c>
      <c r="W1175" t="str">
        <f>IF(SeismicData[[#This Row],[genergy]]=0,"0","10^"&amp;INT(LOG10(SeismicData[[#This Row],[genergy]])))</f>
        <v>10^4</v>
      </c>
      <c r="X1175" t="str">
        <f>IF(OR(SeismicData[[#This Row],[genergy]]&lt;$AA$6,SeismicData[[#This Row],[genergy]]&gt;$AA$5),"Outlier","Normal")</f>
        <v>Normal</v>
      </c>
    </row>
    <row r="1176" spans="1:24" x14ac:dyDescent="0.15">
      <c r="A1176">
        <v>1175</v>
      </c>
      <c r="B1176" t="s">
        <v>20</v>
      </c>
      <c r="C1176" t="s">
        <v>23</v>
      </c>
      <c r="D1176" t="s">
        <v>21</v>
      </c>
      <c r="E1176">
        <v>5940</v>
      </c>
      <c r="F1176">
        <v>182</v>
      </c>
      <c r="G1176">
        <v>-41</v>
      </c>
      <c r="H1176">
        <v>-21</v>
      </c>
      <c r="I1176" t="s">
        <v>20</v>
      </c>
      <c r="J1176">
        <v>0</v>
      </c>
      <c r="K1176">
        <v>0</v>
      </c>
      <c r="L1176">
        <v>0</v>
      </c>
      <c r="M1176">
        <v>0</v>
      </c>
      <c r="N1176">
        <v>0</v>
      </c>
      <c r="O1176">
        <v>0</v>
      </c>
      <c r="P1176">
        <v>0</v>
      </c>
      <c r="Q1176">
        <v>0</v>
      </c>
      <c r="R1176">
        <v>0</v>
      </c>
      <c r="S1176">
        <v>0</v>
      </c>
      <c r="T1176">
        <v>0</v>
      </c>
      <c r="U1176" t="str">
        <f>IF(SeismicData[[#This Row],[class]]=1,"Dangerous","Safe")</f>
        <v>Safe</v>
      </c>
      <c r="V1176" t="str">
        <f>IF(SeismicData[[#This Row],[shift]]="W","Production","Non-Production")</f>
        <v>Non-Production</v>
      </c>
      <c r="W1176" t="str">
        <f>IF(SeismicData[[#This Row],[genergy]]=0,"0","10^"&amp;INT(LOG10(SeismicData[[#This Row],[genergy]])))</f>
        <v>10^3</v>
      </c>
      <c r="X1176" t="str">
        <f>IF(OR(SeismicData[[#This Row],[genergy]]&lt;$AA$6,SeismicData[[#This Row],[genergy]]&gt;$AA$5),"Outlier","Normal")</f>
        <v>Normal</v>
      </c>
    </row>
    <row r="1177" spans="1:24" x14ac:dyDescent="0.15">
      <c r="A1177">
        <v>1176</v>
      </c>
      <c r="B1177" t="s">
        <v>20</v>
      </c>
      <c r="C1177" t="s">
        <v>23</v>
      </c>
      <c r="D1177" t="s">
        <v>21</v>
      </c>
      <c r="E1177">
        <v>7860</v>
      </c>
      <c r="F1177">
        <v>165</v>
      </c>
      <c r="G1177">
        <v>-21</v>
      </c>
      <c r="H1177">
        <v>-28</v>
      </c>
      <c r="I1177" t="s">
        <v>20</v>
      </c>
      <c r="J1177">
        <v>0</v>
      </c>
      <c r="K1177">
        <v>0</v>
      </c>
      <c r="L1177">
        <v>0</v>
      </c>
      <c r="M1177">
        <v>0</v>
      </c>
      <c r="N1177">
        <v>0</v>
      </c>
      <c r="O1177">
        <v>0</v>
      </c>
      <c r="P1177">
        <v>0</v>
      </c>
      <c r="Q1177">
        <v>0</v>
      </c>
      <c r="R1177">
        <v>0</v>
      </c>
      <c r="S1177">
        <v>0</v>
      </c>
      <c r="T1177">
        <v>0</v>
      </c>
      <c r="U1177" t="str">
        <f>IF(SeismicData[[#This Row],[class]]=1,"Dangerous","Safe")</f>
        <v>Safe</v>
      </c>
      <c r="V1177" t="str">
        <f>IF(SeismicData[[#This Row],[shift]]="W","Production","Non-Production")</f>
        <v>Non-Production</v>
      </c>
      <c r="W1177" t="str">
        <f>IF(SeismicData[[#This Row],[genergy]]=0,"0","10^"&amp;INT(LOG10(SeismicData[[#This Row],[genergy]])))</f>
        <v>10^3</v>
      </c>
      <c r="X1177" t="str">
        <f>IF(OR(SeismicData[[#This Row],[genergy]]&lt;$AA$6,SeismicData[[#This Row],[genergy]]&gt;$AA$5),"Outlier","Normal")</f>
        <v>Normal</v>
      </c>
    </row>
    <row r="1178" spans="1:24" x14ac:dyDescent="0.15">
      <c r="A1178">
        <v>1177</v>
      </c>
      <c r="B1178" t="s">
        <v>20</v>
      </c>
      <c r="C1178" t="s">
        <v>23</v>
      </c>
      <c r="D1178" t="s">
        <v>21</v>
      </c>
      <c r="E1178">
        <v>5420</v>
      </c>
      <c r="F1178">
        <v>163</v>
      </c>
      <c r="G1178">
        <v>-46</v>
      </c>
      <c r="H1178">
        <v>-29</v>
      </c>
      <c r="I1178" t="s">
        <v>20</v>
      </c>
      <c r="J1178">
        <v>0</v>
      </c>
      <c r="K1178">
        <v>0</v>
      </c>
      <c r="L1178">
        <v>0</v>
      </c>
      <c r="M1178">
        <v>0</v>
      </c>
      <c r="N1178">
        <v>0</v>
      </c>
      <c r="O1178">
        <v>0</v>
      </c>
      <c r="P1178">
        <v>0</v>
      </c>
      <c r="Q1178">
        <v>0</v>
      </c>
      <c r="R1178">
        <v>0</v>
      </c>
      <c r="S1178">
        <v>0</v>
      </c>
      <c r="T1178">
        <v>0</v>
      </c>
      <c r="U1178" t="str">
        <f>IF(SeismicData[[#This Row],[class]]=1,"Dangerous","Safe")</f>
        <v>Safe</v>
      </c>
      <c r="V1178" t="str">
        <f>IF(SeismicData[[#This Row],[shift]]="W","Production","Non-Production")</f>
        <v>Non-Production</v>
      </c>
      <c r="W1178" t="str">
        <f>IF(SeismicData[[#This Row],[genergy]]=0,"0","10^"&amp;INT(LOG10(SeismicData[[#This Row],[genergy]])))</f>
        <v>10^3</v>
      </c>
      <c r="X1178" t="str">
        <f>IF(OR(SeismicData[[#This Row],[genergy]]&lt;$AA$6,SeismicData[[#This Row],[genergy]]&gt;$AA$5),"Outlier","Normal")</f>
        <v>Normal</v>
      </c>
    </row>
    <row r="1179" spans="1:24" x14ac:dyDescent="0.15">
      <c r="A1179">
        <v>1178</v>
      </c>
      <c r="B1179" t="s">
        <v>20</v>
      </c>
      <c r="C1179" t="s">
        <v>23</v>
      </c>
      <c r="D1179" t="s">
        <v>21</v>
      </c>
      <c r="E1179">
        <v>7440</v>
      </c>
      <c r="F1179">
        <v>130</v>
      </c>
      <c r="G1179">
        <v>-26</v>
      </c>
      <c r="H1179">
        <v>-43</v>
      </c>
      <c r="I1179" t="s">
        <v>20</v>
      </c>
      <c r="J1179">
        <v>0</v>
      </c>
      <c r="K1179">
        <v>0</v>
      </c>
      <c r="L1179">
        <v>0</v>
      </c>
      <c r="M1179">
        <v>0</v>
      </c>
      <c r="N1179">
        <v>0</v>
      </c>
      <c r="O1179">
        <v>0</v>
      </c>
      <c r="P1179">
        <v>0</v>
      </c>
      <c r="Q1179">
        <v>0</v>
      </c>
      <c r="R1179">
        <v>0</v>
      </c>
      <c r="S1179">
        <v>0</v>
      </c>
      <c r="T1179">
        <v>0</v>
      </c>
      <c r="U1179" t="str">
        <f>IF(SeismicData[[#This Row],[class]]=1,"Dangerous","Safe")</f>
        <v>Safe</v>
      </c>
      <c r="V1179" t="str">
        <f>IF(SeismicData[[#This Row],[shift]]="W","Production","Non-Production")</f>
        <v>Non-Production</v>
      </c>
      <c r="W1179" t="str">
        <f>IF(SeismicData[[#This Row],[genergy]]=0,"0","10^"&amp;INT(LOG10(SeismicData[[#This Row],[genergy]])))</f>
        <v>10^3</v>
      </c>
      <c r="X1179" t="str">
        <f>IF(OR(SeismicData[[#This Row],[genergy]]&lt;$AA$6,SeismicData[[#This Row],[genergy]]&gt;$AA$5),"Outlier","Normal")</f>
        <v>Normal</v>
      </c>
    </row>
    <row r="1180" spans="1:24" x14ac:dyDescent="0.15">
      <c r="A1180">
        <v>1179</v>
      </c>
      <c r="B1180" t="s">
        <v>20</v>
      </c>
      <c r="C1180" t="s">
        <v>23</v>
      </c>
      <c r="D1180" t="s">
        <v>21</v>
      </c>
      <c r="E1180">
        <v>8550</v>
      </c>
      <c r="F1180">
        <v>205</v>
      </c>
      <c r="G1180">
        <v>-15</v>
      </c>
      <c r="H1180">
        <v>-11</v>
      </c>
      <c r="I1180" t="s">
        <v>20</v>
      </c>
      <c r="J1180">
        <v>0</v>
      </c>
      <c r="K1180">
        <v>0</v>
      </c>
      <c r="L1180">
        <v>0</v>
      </c>
      <c r="M1180">
        <v>0</v>
      </c>
      <c r="N1180">
        <v>0</v>
      </c>
      <c r="O1180">
        <v>0</v>
      </c>
      <c r="P1180">
        <v>0</v>
      </c>
      <c r="Q1180">
        <v>0</v>
      </c>
      <c r="R1180">
        <v>0</v>
      </c>
      <c r="S1180">
        <v>0</v>
      </c>
      <c r="T1180">
        <v>0</v>
      </c>
      <c r="U1180" t="str">
        <f>IF(SeismicData[[#This Row],[class]]=1,"Dangerous","Safe")</f>
        <v>Safe</v>
      </c>
      <c r="V1180" t="str">
        <f>IF(SeismicData[[#This Row],[shift]]="W","Production","Non-Production")</f>
        <v>Non-Production</v>
      </c>
      <c r="W1180" t="str">
        <f>IF(SeismicData[[#This Row],[genergy]]=0,"0","10^"&amp;INT(LOG10(SeismicData[[#This Row],[genergy]])))</f>
        <v>10^3</v>
      </c>
      <c r="X1180" t="str">
        <f>IF(OR(SeismicData[[#This Row],[genergy]]&lt;$AA$6,SeismicData[[#This Row],[genergy]]&gt;$AA$5),"Outlier","Normal")</f>
        <v>Normal</v>
      </c>
    </row>
    <row r="1181" spans="1:24" x14ac:dyDescent="0.15">
      <c r="A1181">
        <v>1180</v>
      </c>
      <c r="B1181" t="s">
        <v>20</v>
      </c>
      <c r="C1181" t="s">
        <v>23</v>
      </c>
      <c r="D1181" t="s">
        <v>21</v>
      </c>
      <c r="E1181">
        <v>11150</v>
      </c>
      <c r="F1181">
        <v>201</v>
      </c>
      <c r="G1181">
        <v>11</v>
      </c>
      <c r="H1181">
        <v>-12</v>
      </c>
      <c r="I1181" t="s">
        <v>20</v>
      </c>
      <c r="J1181">
        <v>0</v>
      </c>
      <c r="K1181">
        <v>0</v>
      </c>
      <c r="L1181">
        <v>0</v>
      </c>
      <c r="M1181">
        <v>0</v>
      </c>
      <c r="N1181">
        <v>0</v>
      </c>
      <c r="O1181">
        <v>0</v>
      </c>
      <c r="P1181">
        <v>0</v>
      </c>
      <c r="Q1181">
        <v>0</v>
      </c>
      <c r="R1181">
        <v>0</v>
      </c>
      <c r="S1181">
        <v>0</v>
      </c>
      <c r="T1181">
        <v>0</v>
      </c>
      <c r="U1181" t="str">
        <f>IF(SeismicData[[#This Row],[class]]=1,"Dangerous","Safe")</f>
        <v>Safe</v>
      </c>
      <c r="V1181" t="str">
        <f>IF(SeismicData[[#This Row],[shift]]="W","Production","Non-Production")</f>
        <v>Non-Production</v>
      </c>
      <c r="W1181" t="str">
        <f>IF(SeismicData[[#This Row],[genergy]]=0,"0","10^"&amp;INT(LOG10(SeismicData[[#This Row],[genergy]])))</f>
        <v>10^4</v>
      </c>
      <c r="X1181" t="str">
        <f>IF(OR(SeismicData[[#This Row],[genergy]]&lt;$AA$6,SeismicData[[#This Row],[genergy]]&gt;$AA$5),"Outlier","Normal")</f>
        <v>Normal</v>
      </c>
    </row>
    <row r="1182" spans="1:24" x14ac:dyDescent="0.15">
      <c r="A1182">
        <v>1181</v>
      </c>
      <c r="B1182" t="s">
        <v>20</v>
      </c>
      <c r="C1182" t="s">
        <v>23</v>
      </c>
      <c r="D1182" t="s">
        <v>21</v>
      </c>
      <c r="E1182">
        <v>6510</v>
      </c>
      <c r="F1182">
        <v>187</v>
      </c>
      <c r="G1182">
        <v>-35</v>
      </c>
      <c r="H1182">
        <v>-19</v>
      </c>
      <c r="I1182" t="s">
        <v>20</v>
      </c>
      <c r="J1182">
        <v>0</v>
      </c>
      <c r="K1182">
        <v>0</v>
      </c>
      <c r="L1182">
        <v>0</v>
      </c>
      <c r="M1182">
        <v>0</v>
      </c>
      <c r="N1182">
        <v>0</v>
      </c>
      <c r="O1182">
        <v>0</v>
      </c>
      <c r="P1182">
        <v>0</v>
      </c>
      <c r="Q1182">
        <v>0</v>
      </c>
      <c r="R1182">
        <v>0</v>
      </c>
      <c r="S1182">
        <v>0</v>
      </c>
      <c r="T1182">
        <v>0</v>
      </c>
      <c r="U1182" t="str">
        <f>IF(SeismicData[[#This Row],[class]]=1,"Dangerous","Safe")</f>
        <v>Safe</v>
      </c>
      <c r="V1182" t="str">
        <f>IF(SeismicData[[#This Row],[shift]]="W","Production","Non-Production")</f>
        <v>Non-Production</v>
      </c>
      <c r="W1182" t="str">
        <f>IF(SeismicData[[#This Row],[genergy]]=0,"0","10^"&amp;INT(LOG10(SeismicData[[#This Row],[genergy]])))</f>
        <v>10^3</v>
      </c>
      <c r="X1182" t="str">
        <f>IF(OR(SeismicData[[#This Row],[genergy]]&lt;$AA$6,SeismicData[[#This Row],[genergy]]&gt;$AA$5),"Outlier","Normal")</f>
        <v>Normal</v>
      </c>
    </row>
    <row r="1183" spans="1:24" x14ac:dyDescent="0.15">
      <c r="A1183">
        <v>1182</v>
      </c>
      <c r="B1183" t="s">
        <v>20</v>
      </c>
      <c r="C1183" t="s">
        <v>23</v>
      </c>
      <c r="D1183" t="s">
        <v>21</v>
      </c>
      <c r="E1183">
        <v>5000</v>
      </c>
      <c r="F1183">
        <v>163</v>
      </c>
      <c r="G1183">
        <v>-50</v>
      </c>
      <c r="H1183">
        <v>-29</v>
      </c>
      <c r="I1183" t="s">
        <v>20</v>
      </c>
      <c r="J1183">
        <v>0</v>
      </c>
      <c r="K1183">
        <v>0</v>
      </c>
      <c r="L1183">
        <v>0</v>
      </c>
      <c r="M1183">
        <v>0</v>
      </c>
      <c r="N1183">
        <v>0</v>
      </c>
      <c r="O1183">
        <v>0</v>
      </c>
      <c r="P1183">
        <v>0</v>
      </c>
      <c r="Q1183">
        <v>0</v>
      </c>
      <c r="R1183">
        <v>0</v>
      </c>
      <c r="S1183">
        <v>0</v>
      </c>
      <c r="T1183">
        <v>0</v>
      </c>
      <c r="U1183" t="str">
        <f>IF(SeismicData[[#This Row],[class]]=1,"Dangerous","Safe")</f>
        <v>Safe</v>
      </c>
      <c r="V1183" t="str">
        <f>IF(SeismicData[[#This Row],[shift]]="W","Production","Non-Production")</f>
        <v>Non-Production</v>
      </c>
      <c r="W1183" t="str">
        <f>IF(SeismicData[[#This Row],[genergy]]=0,"0","10^"&amp;INT(LOG10(SeismicData[[#This Row],[genergy]])))</f>
        <v>10^3</v>
      </c>
      <c r="X1183" t="str">
        <f>IF(OR(SeismicData[[#This Row],[genergy]]&lt;$AA$6,SeismicData[[#This Row],[genergy]]&gt;$AA$5),"Outlier","Normal")</f>
        <v>Normal</v>
      </c>
    </row>
    <row r="1184" spans="1:24" x14ac:dyDescent="0.15">
      <c r="A1184">
        <v>1183</v>
      </c>
      <c r="B1184" t="s">
        <v>20</v>
      </c>
      <c r="C1184" t="s">
        <v>23</v>
      </c>
      <c r="D1184" t="s">
        <v>21</v>
      </c>
      <c r="E1184">
        <v>6550</v>
      </c>
      <c r="F1184">
        <v>163</v>
      </c>
      <c r="G1184">
        <v>-33</v>
      </c>
      <c r="H1184">
        <v>-29</v>
      </c>
      <c r="I1184" t="s">
        <v>20</v>
      </c>
      <c r="J1184">
        <v>0</v>
      </c>
      <c r="K1184">
        <v>0</v>
      </c>
      <c r="L1184">
        <v>0</v>
      </c>
      <c r="M1184">
        <v>0</v>
      </c>
      <c r="N1184">
        <v>0</v>
      </c>
      <c r="O1184">
        <v>0</v>
      </c>
      <c r="P1184">
        <v>0</v>
      </c>
      <c r="Q1184">
        <v>0</v>
      </c>
      <c r="R1184">
        <v>0</v>
      </c>
      <c r="S1184">
        <v>0</v>
      </c>
      <c r="T1184">
        <v>0</v>
      </c>
      <c r="U1184" t="str">
        <f>IF(SeismicData[[#This Row],[class]]=1,"Dangerous","Safe")</f>
        <v>Safe</v>
      </c>
      <c r="V1184" t="str">
        <f>IF(SeismicData[[#This Row],[shift]]="W","Production","Non-Production")</f>
        <v>Non-Production</v>
      </c>
      <c r="W1184" t="str">
        <f>IF(SeismicData[[#This Row],[genergy]]=0,"0","10^"&amp;INT(LOG10(SeismicData[[#This Row],[genergy]])))</f>
        <v>10^3</v>
      </c>
      <c r="X1184" t="str">
        <f>IF(OR(SeismicData[[#This Row],[genergy]]&lt;$AA$6,SeismicData[[#This Row],[genergy]]&gt;$AA$5),"Outlier","Normal")</f>
        <v>Normal</v>
      </c>
    </row>
    <row r="1185" spans="1:24" x14ac:dyDescent="0.15">
      <c r="A1185">
        <v>1184</v>
      </c>
      <c r="B1185" t="s">
        <v>20</v>
      </c>
      <c r="C1185" t="s">
        <v>23</v>
      </c>
      <c r="D1185" t="s">
        <v>21</v>
      </c>
      <c r="E1185">
        <v>5880</v>
      </c>
      <c r="F1185">
        <v>175</v>
      </c>
      <c r="G1185">
        <v>-40</v>
      </c>
      <c r="H1185">
        <v>-24</v>
      </c>
      <c r="I1185" t="s">
        <v>20</v>
      </c>
      <c r="J1185">
        <v>0</v>
      </c>
      <c r="K1185">
        <v>0</v>
      </c>
      <c r="L1185">
        <v>0</v>
      </c>
      <c r="M1185">
        <v>0</v>
      </c>
      <c r="N1185">
        <v>0</v>
      </c>
      <c r="O1185">
        <v>0</v>
      </c>
      <c r="P1185">
        <v>0</v>
      </c>
      <c r="Q1185">
        <v>0</v>
      </c>
      <c r="R1185">
        <v>0</v>
      </c>
      <c r="S1185">
        <v>0</v>
      </c>
      <c r="T1185">
        <v>0</v>
      </c>
      <c r="U1185" t="str">
        <f>IF(SeismicData[[#This Row],[class]]=1,"Dangerous","Safe")</f>
        <v>Safe</v>
      </c>
      <c r="V1185" t="str">
        <f>IF(SeismicData[[#This Row],[shift]]="W","Production","Non-Production")</f>
        <v>Non-Production</v>
      </c>
      <c r="W1185" t="str">
        <f>IF(SeismicData[[#This Row],[genergy]]=0,"0","10^"&amp;INT(LOG10(SeismicData[[#This Row],[genergy]])))</f>
        <v>10^3</v>
      </c>
      <c r="X1185" t="str">
        <f>IF(OR(SeismicData[[#This Row],[genergy]]&lt;$AA$6,SeismicData[[#This Row],[genergy]]&gt;$AA$5),"Outlier","Normal")</f>
        <v>Normal</v>
      </c>
    </row>
    <row r="1186" spans="1:24" x14ac:dyDescent="0.15">
      <c r="A1186">
        <v>1185</v>
      </c>
      <c r="B1186" t="s">
        <v>20</v>
      </c>
      <c r="C1186" t="s">
        <v>23</v>
      </c>
      <c r="D1186" t="s">
        <v>21</v>
      </c>
      <c r="E1186">
        <v>8290</v>
      </c>
      <c r="F1186">
        <v>229</v>
      </c>
      <c r="G1186">
        <v>-15</v>
      </c>
      <c r="H1186">
        <v>0</v>
      </c>
      <c r="I1186" t="s">
        <v>20</v>
      </c>
      <c r="J1186">
        <v>0</v>
      </c>
      <c r="K1186">
        <v>0</v>
      </c>
      <c r="L1186">
        <v>0</v>
      </c>
      <c r="M1186">
        <v>0</v>
      </c>
      <c r="N1186">
        <v>0</v>
      </c>
      <c r="O1186">
        <v>0</v>
      </c>
      <c r="P1186">
        <v>0</v>
      </c>
      <c r="Q1186">
        <v>0</v>
      </c>
      <c r="R1186">
        <v>0</v>
      </c>
      <c r="S1186">
        <v>0</v>
      </c>
      <c r="T1186">
        <v>0</v>
      </c>
      <c r="U1186" t="str">
        <f>IF(SeismicData[[#This Row],[class]]=1,"Dangerous","Safe")</f>
        <v>Safe</v>
      </c>
      <c r="V1186" t="str">
        <f>IF(SeismicData[[#This Row],[shift]]="W","Production","Non-Production")</f>
        <v>Non-Production</v>
      </c>
      <c r="W1186" t="str">
        <f>IF(SeismicData[[#This Row],[genergy]]=0,"0","10^"&amp;INT(LOG10(SeismicData[[#This Row],[genergy]])))</f>
        <v>10^3</v>
      </c>
      <c r="X1186" t="str">
        <f>IF(OR(SeismicData[[#This Row],[genergy]]&lt;$AA$6,SeismicData[[#This Row],[genergy]]&gt;$AA$5),"Outlier","Normal")</f>
        <v>Normal</v>
      </c>
    </row>
    <row r="1187" spans="1:24" x14ac:dyDescent="0.15">
      <c r="A1187">
        <v>1186</v>
      </c>
      <c r="B1187" t="s">
        <v>20</v>
      </c>
      <c r="C1187" t="s">
        <v>23</v>
      </c>
      <c r="D1187" t="s">
        <v>21</v>
      </c>
      <c r="E1187">
        <v>6790</v>
      </c>
      <c r="F1187">
        <v>194</v>
      </c>
      <c r="G1187">
        <v>-30</v>
      </c>
      <c r="H1187">
        <v>-15</v>
      </c>
      <c r="I1187" t="s">
        <v>20</v>
      </c>
      <c r="J1187">
        <v>0</v>
      </c>
      <c r="K1187">
        <v>0</v>
      </c>
      <c r="L1187">
        <v>0</v>
      </c>
      <c r="M1187">
        <v>0</v>
      </c>
      <c r="N1187">
        <v>0</v>
      </c>
      <c r="O1187">
        <v>0</v>
      </c>
      <c r="P1187">
        <v>0</v>
      </c>
      <c r="Q1187">
        <v>0</v>
      </c>
      <c r="R1187">
        <v>0</v>
      </c>
      <c r="S1187">
        <v>0</v>
      </c>
      <c r="T1187">
        <v>0</v>
      </c>
      <c r="U1187" t="str">
        <f>IF(SeismicData[[#This Row],[class]]=1,"Dangerous","Safe")</f>
        <v>Safe</v>
      </c>
      <c r="V1187" t="str">
        <f>IF(SeismicData[[#This Row],[shift]]="W","Production","Non-Production")</f>
        <v>Non-Production</v>
      </c>
      <c r="W1187" t="str">
        <f>IF(SeismicData[[#This Row],[genergy]]=0,"0","10^"&amp;INT(LOG10(SeismicData[[#This Row],[genergy]])))</f>
        <v>10^3</v>
      </c>
      <c r="X1187" t="str">
        <f>IF(OR(SeismicData[[#This Row],[genergy]]&lt;$AA$6,SeismicData[[#This Row],[genergy]]&gt;$AA$5),"Outlier","Normal")</f>
        <v>Normal</v>
      </c>
    </row>
    <row r="1188" spans="1:24" x14ac:dyDescent="0.15">
      <c r="A1188">
        <v>1187</v>
      </c>
      <c r="B1188" t="s">
        <v>20</v>
      </c>
      <c r="C1188" t="s">
        <v>23</v>
      </c>
      <c r="D1188" t="s">
        <v>21</v>
      </c>
      <c r="E1188">
        <v>7170</v>
      </c>
      <c r="F1188">
        <v>170</v>
      </c>
      <c r="G1188">
        <v>-27</v>
      </c>
      <c r="H1188">
        <v>-26</v>
      </c>
      <c r="I1188" t="s">
        <v>20</v>
      </c>
      <c r="J1188">
        <v>0</v>
      </c>
      <c r="K1188">
        <v>0</v>
      </c>
      <c r="L1188">
        <v>0</v>
      </c>
      <c r="M1188">
        <v>0</v>
      </c>
      <c r="N1188">
        <v>0</v>
      </c>
      <c r="O1188">
        <v>0</v>
      </c>
      <c r="P1188">
        <v>0</v>
      </c>
      <c r="Q1188">
        <v>0</v>
      </c>
      <c r="R1188">
        <v>0</v>
      </c>
      <c r="S1188">
        <v>0</v>
      </c>
      <c r="T1188">
        <v>0</v>
      </c>
      <c r="U1188" t="str">
        <f>IF(SeismicData[[#This Row],[class]]=1,"Dangerous","Safe")</f>
        <v>Safe</v>
      </c>
      <c r="V1188" t="str">
        <f>IF(SeismicData[[#This Row],[shift]]="W","Production","Non-Production")</f>
        <v>Non-Production</v>
      </c>
      <c r="W1188" t="str">
        <f>IF(SeismicData[[#This Row],[genergy]]=0,"0","10^"&amp;INT(LOG10(SeismicData[[#This Row],[genergy]])))</f>
        <v>10^3</v>
      </c>
      <c r="X1188" t="str">
        <f>IF(OR(SeismicData[[#This Row],[genergy]]&lt;$AA$6,SeismicData[[#This Row],[genergy]]&gt;$AA$5),"Outlier","Normal")</f>
        <v>Normal</v>
      </c>
    </row>
    <row r="1189" spans="1:24" x14ac:dyDescent="0.15">
      <c r="A1189">
        <v>1188</v>
      </c>
      <c r="B1189" t="s">
        <v>20</v>
      </c>
      <c r="C1189" t="s">
        <v>23</v>
      </c>
      <c r="D1189" t="s">
        <v>21</v>
      </c>
      <c r="E1189">
        <v>8780</v>
      </c>
      <c r="F1189">
        <v>226</v>
      </c>
      <c r="G1189">
        <v>-10</v>
      </c>
      <c r="H1189">
        <v>-1</v>
      </c>
      <c r="I1189" t="s">
        <v>20</v>
      </c>
      <c r="J1189">
        <v>0</v>
      </c>
      <c r="K1189">
        <v>0</v>
      </c>
      <c r="L1189">
        <v>0</v>
      </c>
      <c r="M1189">
        <v>0</v>
      </c>
      <c r="N1189">
        <v>0</v>
      </c>
      <c r="O1189">
        <v>0</v>
      </c>
      <c r="P1189">
        <v>0</v>
      </c>
      <c r="Q1189">
        <v>0</v>
      </c>
      <c r="R1189">
        <v>0</v>
      </c>
      <c r="S1189">
        <v>0</v>
      </c>
      <c r="T1189">
        <v>0</v>
      </c>
      <c r="U1189" t="str">
        <f>IF(SeismicData[[#This Row],[class]]=1,"Dangerous","Safe")</f>
        <v>Safe</v>
      </c>
      <c r="V1189" t="str">
        <f>IF(SeismicData[[#This Row],[shift]]="W","Production","Non-Production")</f>
        <v>Non-Production</v>
      </c>
      <c r="W1189" t="str">
        <f>IF(SeismicData[[#This Row],[genergy]]=0,"0","10^"&amp;INT(LOG10(SeismicData[[#This Row],[genergy]])))</f>
        <v>10^3</v>
      </c>
      <c r="X1189" t="str">
        <f>IF(OR(SeismicData[[#This Row],[genergy]]&lt;$AA$6,SeismicData[[#This Row],[genergy]]&gt;$AA$5),"Outlier","Normal")</f>
        <v>Normal</v>
      </c>
    </row>
    <row r="1190" spans="1:24" x14ac:dyDescent="0.15">
      <c r="A1190">
        <v>1189</v>
      </c>
      <c r="B1190" t="s">
        <v>20</v>
      </c>
      <c r="C1190" t="s">
        <v>23</v>
      </c>
      <c r="D1190" t="s">
        <v>22</v>
      </c>
      <c r="E1190">
        <v>16980</v>
      </c>
      <c r="F1190">
        <v>451</v>
      </c>
      <c r="G1190">
        <v>-30</v>
      </c>
      <c r="H1190">
        <v>-38</v>
      </c>
      <c r="I1190" t="s">
        <v>20</v>
      </c>
      <c r="J1190">
        <v>0</v>
      </c>
      <c r="K1190">
        <v>0</v>
      </c>
      <c r="L1190">
        <v>0</v>
      </c>
      <c r="M1190">
        <v>0</v>
      </c>
      <c r="N1190">
        <v>0</v>
      </c>
      <c r="O1190">
        <v>0</v>
      </c>
      <c r="P1190">
        <v>0</v>
      </c>
      <c r="Q1190">
        <v>0</v>
      </c>
      <c r="R1190">
        <v>0</v>
      </c>
      <c r="S1190">
        <v>0</v>
      </c>
      <c r="T1190">
        <v>0</v>
      </c>
      <c r="U1190" t="str">
        <f>IF(SeismicData[[#This Row],[class]]=1,"Dangerous","Safe")</f>
        <v>Safe</v>
      </c>
      <c r="V1190" t="str">
        <f>IF(SeismicData[[#This Row],[shift]]="W","Production","Non-Production")</f>
        <v>Production</v>
      </c>
      <c r="W1190" t="str">
        <f>IF(SeismicData[[#This Row],[genergy]]=0,"0","10^"&amp;INT(LOG10(SeismicData[[#This Row],[genergy]])))</f>
        <v>10^4</v>
      </c>
      <c r="X1190" t="str">
        <f>IF(OR(SeismicData[[#This Row],[genergy]]&lt;$AA$6,SeismicData[[#This Row],[genergy]]&gt;$AA$5),"Outlier","Normal")</f>
        <v>Normal</v>
      </c>
    </row>
    <row r="1191" spans="1:24" x14ac:dyDescent="0.15">
      <c r="A1191">
        <v>1190</v>
      </c>
      <c r="B1191" t="s">
        <v>20</v>
      </c>
      <c r="C1191" t="s">
        <v>23</v>
      </c>
      <c r="D1191" t="s">
        <v>22</v>
      </c>
      <c r="E1191">
        <v>21910</v>
      </c>
      <c r="F1191">
        <v>695</v>
      </c>
      <c r="G1191">
        <v>-10</v>
      </c>
      <c r="H1191">
        <v>-4</v>
      </c>
      <c r="I1191" t="s">
        <v>20</v>
      </c>
      <c r="J1191">
        <v>1</v>
      </c>
      <c r="K1191">
        <v>1</v>
      </c>
      <c r="L1191">
        <v>0</v>
      </c>
      <c r="M1191">
        <v>0</v>
      </c>
      <c r="N1191">
        <v>0</v>
      </c>
      <c r="O1191">
        <v>0</v>
      </c>
      <c r="P1191">
        <v>0</v>
      </c>
      <c r="Q1191">
        <v>0</v>
      </c>
      <c r="R1191">
        <v>300</v>
      </c>
      <c r="S1191">
        <v>300</v>
      </c>
      <c r="T1191">
        <v>0</v>
      </c>
      <c r="U1191" t="str">
        <f>IF(SeismicData[[#This Row],[class]]=1,"Dangerous","Safe")</f>
        <v>Safe</v>
      </c>
      <c r="V1191" t="str">
        <f>IF(SeismicData[[#This Row],[shift]]="W","Production","Non-Production")</f>
        <v>Production</v>
      </c>
      <c r="W1191" t="str">
        <f>IF(SeismicData[[#This Row],[genergy]]=0,"0","10^"&amp;INT(LOG10(SeismicData[[#This Row],[genergy]])))</f>
        <v>10^4</v>
      </c>
      <c r="X1191" t="str">
        <f>IF(OR(SeismicData[[#This Row],[genergy]]&lt;$AA$6,SeismicData[[#This Row],[genergy]]&gt;$AA$5),"Outlier","Normal")</f>
        <v>Normal</v>
      </c>
    </row>
    <row r="1192" spans="1:24" x14ac:dyDescent="0.15">
      <c r="A1192">
        <v>1191</v>
      </c>
      <c r="B1192" t="s">
        <v>20</v>
      </c>
      <c r="C1192" t="s">
        <v>23</v>
      </c>
      <c r="D1192" t="s">
        <v>22</v>
      </c>
      <c r="E1192">
        <v>28130</v>
      </c>
      <c r="F1192">
        <v>304</v>
      </c>
      <c r="G1192">
        <v>15</v>
      </c>
      <c r="H1192">
        <v>-28</v>
      </c>
      <c r="I1192" t="s">
        <v>20</v>
      </c>
      <c r="J1192">
        <v>1</v>
      </c>
      <c r="K1192">
        <v>0</v>
      </c>
      <c r="L1192">
        <v>1</v>
      </c>
      <c r="M1192">
        <v>0</v>
      </c>
      <c r="N1192">
        <v>0</v>
      </c>
      <c r="O1192">
        <v>0</v>
      </c>
      <c r="P1192">
        <v>0</v>
      </c>
      <c r="Q1192">
        <v>0</v>
      </c>
      <c r="R1192">
        <v>6000</v>
      </c>
      <c r="S1192">
        <v>6000</v>
      </c>
      <c r="T1192">
        <v>0</v>
      </c>
      <c r="U1192" t="str">
        <f>IF(SeismicData[[#This Row],[class]]=1,"Dangerous","Safe")</f>
        <v>Safe</v>
      </c>
      <c r="V1192" t="str">
        <f>IF(SeismicData[[#This Row],[shift]]="W","Production","Non-Production")</f>
        <v>Production</v>
      </c>
      <c r="W1192" t="str">
        <f>IF(SeismicData[[#This Row],[genergy]]=0,"0","10^"&amp;INT(LOG10(SeismicData[[#This Row],[genergy]])))</f>
        <v>10^4</v>
      </c>
      <c r="X1192" t="str">
        <f>IF(OR(SeismicData[[#This Row],[genergy]]&lt;$AA$6,SeismicData[[#This Row],[genergy]]&gt;$AA$5),"Outlier","Normal")</f>
        <v>Normal</v>
      </c>
    </row>
    <row r="1193" spans="1:24" x14ac:dyDescent="0.15">
      <c r="A1193">
        <v>1192</v>
      </c>
      <c r="B1193" t="s">
        <v>20</v>
      </c>
      <c r="C1193" t="s">
        <v>23</v>
      </c>
      <c r="D1193" t="s">
        <v>22</v>
      </c>
      <c r="E1193">
        <v>28210</v>
      </c>
      <c r="F1193">
        <v>618</v>
      </c>
      <c r="G1193">
        <v>15</v>
      </c>
      <c r="H1193">
        <v>47</v>
      </c>
      <c r="I1193" t="s">
        <v>20</v>
      </c>
      <c r="J1193">
        <v>0</v>
      </c>
      <c r="K1193">
        <v>0</v>
      </c>
      <c r="L1193">
        <v>0</v>
      </c>
      <c r="M1193">
        <v>0</v>
      </c>
      <c r="N1193">
        <v>0</v>
      </c>
      <c r="O1193">
        <v>0</v>
      </c>
      <c r="P1193">
        <v>0</v>
      </c>
      <c r="Q1193">
        <v>0</v>
      </c>
      <c r="R1193">
        <v>0</v>
      </c>
      <c r="S1193">
        <v>0</v>
      </c>
      <c r="T1193">
        <v>0</v>
      </c>
      <c r="U1193" t="str">
        <f>IF(SeismicData[[#This Row],[class]]=1,"Dangerous","Safe")</f>
        <v>Safe</v>
      </c>
      <c r="V1193" t="str">
        <f>IF(SeismicData[[#This Row],[shift]]="W","Production","Non-Production")</f>
        <v>Production</v>
      </c>
      <c r="W1193" t="str">
        <f>IF(SeismicData[[#This Row],[genergy]]=0,"0","10^"&amp;INT(LOG10(SeismicData[[#This Row],[genergy]])))</f>
        <v>10^4</v>
      </c>
      <c r="X1193" t="str">
        <f>IF(OR(SeismicData[[#This Row],[genergy]]&lt;$AA$6,SeismicData[[#This Row],[genergy]]&gt;$AA$5),"Outlier","Normal")</f>
        <v>Normal</v>
      </c>
    </row>
    <row r="1194" spans="1:24" x14ac:dyDescent="0.15">
      <c r="A1194">
        <v>1193</v>
      </c>
      <c r="B1194" t="s">
        <v>20</v>
      </c>
      <c r="C1194" t="s">
        <v>23</v>
      </c>
      <c r="D1194" t="s">
        <v>22</v>
      </c>
      <c r="E1194">
        <v>21060</v>
      </c>
      <c r="F1194">
        <v>242</v>
      </c>
      <c r="G1194">
        <v>-14</v>
      </c>
      <c r="H1194">
        <v>-42</v>
      </c>
      <c r="I1194" t="s">
        <v>20</v>
      </c>
      <c r="J1194">
        <v>0</v>
      </c>
      <c r="K1194">
        <v>0</v>
      </c>
      <c r="L1194">
        <v>0</v>
      </c>
      <c r="M1194">
        <v>0</v>
      </c>
      <c r="N1194">
        <v>0</v>
      </c>
      <c r="O1194">
        <v>0</v>
      </c>
      <c r="P1194">
        <v>0</v>
      </c>
      <c r="Q1194">
        <v>0</v>
      </c>
      <c r="R1194">
        <v>0</v>
      </c>
      <c r="S1194">
        <v>0</v>
      </c>
      <c r="T1194">
        <v>1</v>
      </c>
      <c r="U1194" t="str">
        <f>IF(SeismicData[[#This Row],[class]]=1,"Dangerous","Safe")</f>
        <v>Dangerous</v>
      </c>
      <c r="V1194" t="str">
        <f>IF(SeismicData[[#This Row],[shift]]="W","Production","Non-Production")</f>
        <v>Production</v>
      </c>
      <c r="W1194" t="str">
        <f>IF(SeismicData[[#This Row],[genergy]]=0,"0","10^"&amp;INT(LOG10(SeismicData[[#This Row],[genergy]])))</f>
        <v>10^4</v>
      </c>
      <c r="X1194" t="str">
        <f>IF(OR(SeismicData[[#This Row],[genergy]]&lt;$AA$6,SeismicData[[#This Row],[genergy]]&gt;$AA$5),"Outlier","Normal")</f>
        <v>Normal</v>
      </c>
    </row>
    <row r="1195" spans="1:24" x14ac:dyDescent="0.15">
      <c r="A1195">
        <v>1194</v>
      </c>
      <c r="B1195" t="s">
        <v>20</v>
      </c>
      <c r="C1195" t="s">
        <v>23</v>
      </c>
      <c r="D1195" t="s">
        <v>22</v>
      </c>
      <c r="E1195">
        <v>22130</v>
      </c>
      <c r="F1195">
        <v>390</v>
      </c>
      <c r="G1195">
        <v>-10</v>
      </c>
      <c r="H1195">
        <v>-7</v>
      </c>
      <c r="I1195" t="s">
        <v>20</v>
      </c>
      <c r="J1195">
        <v>2</v>
      </c>
      <c r="K1195">
        <v>1</v>
      </c>
      <c r="L1195">
        <v>0</v>
      </c>
      <c r="M1195">
        <v>1</v>
      </c>
      <c r="N1195">
        <v>0</v>
      </c>
      <c r="O1195">
        <v>0</v>
      </c>
      <c r="P1195">
        <v>0</v>
      </c>
      <c r="Q1195">
        <v>0</v>
      </c>
      <c r="R1195">
        <v>30300</v>
      </c>
      <c r="S1195">
        <v>30000</v>
      </c>
      <c r="T1195">
        <v>0</v>
      </c>
      <c r="U1195" t="str">
        <f>IF(SeismicData[[#This Row],[class]]=1,"Dangerous","Safe")</f>
        <v>Safe</v>
      </c>
      <c r="V1195" t="str">
        <f>IF(SeismicData[[#This Row],[shift]]="W","Production","Non-Production")</f>
        <v>Production</v>
      </c>
      <c r="W1195" t="str">
        <f>IF(SeismicData[[#This Row],[genergy]]=0,"0","10^"&amp;INT(LOG10(SeismicData[[#This Row],[genergy]])))</f>
        <v>10^4</v>
      </c>
      <c r="X1195" t="str">
        <f>IF(OR(SeismicData[[#This Row],[genergy]]&lt;$AA$6,SeismicData[[#This Row],[genergy]]&gt;$AA$5),"Outlier","Normal")</f>
        <v>Normal</v>
      </c>
    </row>
    <row r="1196" spans="1:24" x14ac:dyDescent="0.15">
      <c r="A1196">
        <v>1195</v>
      </c>
      <c r="B1196" t="s">
        <v>20</v>
      </c>
      <c r="C1196" t="s">
        <v>23</v>
      </c>
      <c r="D1196" t="s">
        <v>21</v>
      </c>
      <c r="E1196">
        <v>9860</v>
      </c>
      <c r="F1196">
        <v>324</v>
      </c>
      <c r="G1196">
        <v>7</v>
      </c>
      <c r="H1196">
        <v>46</v>
      </c>
      <c r="I1196" t="s">
        <v>20</v>
      </c>
      <c r="J1196">
        <v>0</v>
      </c>
      <c r="K1196">
        <v>0</v>
      </c>
      <c r="L1196">
        <v>0</v>
      </c>
      <c r="M1196">
        <v>0</v>
      </c>
      <c r="N1196">
        <v>0</v>
      </c>
      <c r="O1196">
        <v>0</v>
      </c>
      <c r="P1196">
        <v>0</v>
      </c>
      <c r="Q1196">
        <v>0</v>
      </c>
      <c r="R1196">
        <v>0</v>
      </c>
      <c r="S1196">
        <v>0</v>
      </c>
      <c r="T1196">
        <v>0</v>
      </c>
      <c r="U1196" t="str">
        <f>IF(SeismicData[[#This Row],[class]]=1,"Dangerous","Safe")</f>
        <v>Safe</v>
      </c>
      <c r="V1196" t="str">
        <f>IF(SeismicData[[#This Row],[shift]]="W","Production","Non-Production")</f>
        <v>Non-Production</v>
      </c>
      <c r="W1196" t="str">
        <f>IF(SeismicData[[#This Row],[genergy]]=0,"0","10^"&amp;INT(LOG10(SeismicData[[#This Row],[genergy]])))</f>
        <v>10^3</v>
      </c>
      <c r="X1196" t="str">
        <f>IF(OR(SeismicData[[#This Row],[genergy]]&lt;$AA$6,SeismicData[[#This Row],[genergy]]&gt;$AA$5),"Outlier","Normal")</f>
        <v>Normal</v>
      </c>
    </row>
    <row r="1197" spans="1:24" x14ac:dyDescent="0.15">
      <c r="A1197">
        <v>1196</v>
      </c>
      <c r="B1197" t="s">
        <v>20</v>
      </c>
      <c r="C1197" t="s">
        <v>23</v>
      </c>
      <c r="D1197" t="s">
        <v>22</v>
      </c>
      <c r="E1197">
        <v>18830</v>
      </c>
      <c r="F1197">
        <v>201</v>
      </c>
      <c r="G1197">
        <v>-23</v>
      </c>
      <c r="H1197">
        <v>-52</v>
      </c>
      <c r="I1197" t="s">
        <v>20</v>
      </c>
      <c r="J1197">
        <v>0</v>
      </c>
      <c r="K1197">
        <v>0</v>
      </c>
      <c r="L1197">
        <v>0</v>
      </c>
      <c r="M1197">
        <v>0</v>
      </c>
      <c r="N1197">
        <v>0</v>
      </c>
      <c r="O1197">
        <v>0</v>
      </c>
      <c r="P1197">
        <v>0</v>
      </c>
      <c r="Q1197">
        <v>0</v>
      </c>
      <c r="R1197">
        <v>0</v>
      </c>
      <c r="S1197">
        <v>0</v>
      </c>
      <c r="T1197">
        <v>0</v>
      </c>
      <c r="U1197" t="str">
        <f>IF(SeismicData[[#This Row],[class]]=1,"Dangerous","Safe")</f>
        <v>Safe</v>
      </c>
      <c r="V1197" t="str">
        <f>IF(SeismicData[[#This Row],[shift]]="W","Production","Non-Production")</f>
        <v>Production</v>
      </c>
      <c r="W1197" t="str">
        <f>IF(SeismicData[[#This Row],[genergy]]=0,"0","10^"&amp;INT(LOG10(SeismicData[[#This Row],[genergy]])))</f>
        <v>10^4</v>
      </c>
      <c r="X1197" t="str">
        <f>IF(OR(SeismicData[[#This Row],[genergy]]&lt;$AA$6,SeismicData[[#This Row],[genergy]]&gt;$AA$5),"Outlier","Normal")</f>
        <v>Normal</v>
      </c>
    </row>
    <row r="1198" spans="1:24" x14ac:dyDescent="0.15">
      <c r="A1198">
        <v>1197</v>
      </c>
      <c r="B1198" t="s">
        <v>20</v>
      </c>
      <c r="C1198" t="s">
        <v>23</v>
      </c>
      <c r="D1198" t="s">
        <v>22</v>
      </c>
      <c r="E1198">
        <v>34360</v>
      </c>
      <c r="F1198">
        <v>604</v>
      </c>
      <c r="G1198">
        <v>40</v>
      </c>
      <c r="H1198">
        <v>44</v>
      </c>
      <c r="I1198" t="s">
        <v>20</v>
      </c>
      <c r="J1198">
        <v>0</v>
      </c>
      <c r="K1198">
        <v>0</v>
      </c>
      <c r="L1198">
        <v>0</v>
      </c>
      <c r="M1198">
        <v>0</v>
      </c>
      <c r="N1198">
        <v>0</v>
      </c>
      <c r="O1198">
        <v>0</v>
      </c>
      <c r="P1198">
        <v>0</v>
      </c>
      <c r="Q1198">
        <v>0</v>
      </c>
      <c r="R1198">
        <v>0</v>
      </c>
      <c r="S1198">
        <v>0</v>
      </c>
      <c r="T1198">
        <v>0</v>
      </c>
      <c r="U1198" t="str">
        <f>IF(SeismicData[[#This Row],[class]]=1,"Dangerous","Safe")</f>
        <v>Safe</v>
      </c>
      <c r="V1198" t="str">
        <f>IF(SeismicData[[#This Row],[shift]]="W","Production","Non-Production")</f>
        <v>Production</v>
      </c>
      <c r="W1198" t="str">
        <f>IF(SeismicData[[#This Row],[genergy]]=0,"0","10^"&amp;INT(LOG10(SeismicData[[#This Row],[genergy]])))</f>
        <v>10^4</v>
      </c>
      <c r="X1198" t="str">
        <f>IF(OR(SeismicData[[#This Row],[genergy]]&lt;$AA$6,SeismicData[[#This Row],[genergy]]&gt;$AA$5),"Outlier","Normal")</f>
        <v>Normal</v>
      </c>
    </row>
    <row r="1199" spans="1:24" x14ac:dyDescent="0.15">
      <c r="A1199">
        <v>1198</v>
      </c>
      <c r="B1199" t="s">
        <v>20</v>
      </c>
      <c r="C1199" t="s">
        <v>23</v>
      </c>
      <c r="D1199" t="s">
        <v>21</v>
      </c>
      <c r="E1199">
        <v>15640</v>
      </c>
      <c r="F1199">
        <v>517</v>
      </c>
      <c r="G1199">
        <v>67</v>
      </c>
      <c r="H1199">
        <v>72</v>
      </c>
      <c r="I1199" t="s">
        <v>20</v>
      </c>
      <c r="J1199">
        <v>0</v>
      </c>
      <c r="K1199">
        <v>0</v>
      </c>
      <c r="L1199">
        <v>0</v>
      </c>
      <c r="M1199">
        <v>0</v>
      </c>
      <c r="N1199">
        <v>0</v>
      </c>
      <c r="O1199">
        <v>0</v>
      </c>
      <c r="P1199">
        <v>0</v>
      </c>
      <c r="Q1199">
        <v>0</v>
      </c>
      <c r="R1199">
        <v>0</v>
      </c>
      <c r="S1199">
        <v>0</v>
      </c>
      <c r="T1199">
        <v>0</v>
      </c>
      <c r="U1199" t="str">
        <f>IF(SeismicData[[#This Row],[class]]=1,"Dangerous","Safe")</f>
        <v>Safe</v>
      </c>
      <c r="V1199" t="str">
        <f>IF(SeismicData[[#This Row],[shift]]="W","Production","Non-Production")</f>
        <v>Non-Production</v>
      </c>
      <c r="W1199" t="str">
        <f>IF(SeismicData[[#This Row],[genergy]]=0,"0","10^"&amp;INT(LOG10(SeismicData[[#This Row],[genergy]])))</f>
        <v>10^4</v>
      </c>
      <c r="X1199" t="str">
        <f>IF(OR(SeismicData[[#This Row],[genergy]]&lt;$AA$6,SeismicData[[#This Row],[genergy]]&gt;$AA$5),"Outlier","Normal")</f>
        <v>Normal</v>
      </c>
    </row>
    <row r="1200" spans="1:24" x14ac:dyDescent="0.15">
      <c r="A1200">
        <v>1199</v>
      </c>
      <c r="B1200" t="s">
        <v>23</v>
      </c>
      <c r="C1200" t="s">
        <v>23</v>
      </c>
      <c r="D1200" t="s">
        <v>21</v>
      </c>
      <c r="E1200">
        <v>19760</v>
      </c>
      <c r="F1200">
        <v>445</v>
      </c>
      <c r="G1200">
        <v>114</v>
      </c>
      <c r="H1200">
        <v>101</v>
      </c>
      <c r="I1200" t="s">
        <v>20</v>
      </c>
      <c r="J1200">
        <v>0</v>
      </c>
      <c r="K1200">
        <v>0</v>
      </c>
      <c r="L1200">
        <v>0</v>
      </c>
      <c r="M1200">
        <v>0</v>
      </c>
      <c r="N1200">
        <v>0</v>
      </c>
      <c r="O1200">
        <v>0</v>
      </c>
      <c r="P1200">
        <v>0</v>
      </c>
      <c r="Q1200">
        <v>0</v>
      </c>
      <c r="R1200">
        <v>0</v>
      </c>
      <c r="S1200">
        <v>0</v>
      </c>
      <c r="T1200">
        <v>0</v>
      </c>
      <c r="U1200" t="str">
        <f>IF(SeismicData[[#This Row],[class]]=1,"Dangerous","Safe")</f>
        <v>Safe</v>
      </c>
      <c r="V1200" t="str">
        <f>IF(SeismicData[[#This Row],[shift]]="W","Production","Non-Production")</f>
        <v>Non-Production</v>
      </c>
      <c r="W1200" t="str">
        <f>IF(SeismicData[[#This Row],[genergy]]=0,"0","10^"&amp;INT(LOG10(SeismicData[[#This Row],[genergy]])))</f>
        <v>10^4</v>
      </c>
      <c r="X1200" t="str">
        <f>IF(OR(SeismicData[[#This Row],[genergy]]&lt;$AA$6,SeismicData[[#This Row],[genergy]]&gt;$AA$5),"Outlier","Normal")</f>
        <v>Normal</v>
      </c>
    </row>
    <row r="1201" spans="1:24" x14ac:dyDescent="0.15">
      <c r="A1201">
        <v>1200</v>
      </c>
      <c r="B1201" t="s">
        <v>23</v>
      </c>
      <c r="C1201" t="s">
        <v>23</v>
      </c>
      <c r="D1201" t="s">
        <v>21</v>
      </c>
      <c r="E1201">
        <v>11660</v>
      </c>
      <c r="F1201">
        <v>330</v>
      </c>
      <c r="G1201">
        <v>26</v>
      </c>
      <c r="H1201">
        <v>49</v>
      </c>
      <c r="I1201" t="s">
        <v>20</v>
      </c>
      <c r="J1201">
        <v>0</v>
      </c>
      <c r="K1201">
        <v>0</v>
      </c>
      <c r="L1201">
        <v>0</v>
      </c>
      <c r="M1201">
        <v>0</v>
      </c>
      <c r="N1201">
        <v>0</v>
      </c>
      <c r="O1201">
        <v>0</v>
      </c>
      <c r="P1201">
        <v>0</v>
      </c>
      <c r="Q1201">
        <v>0</v>
      </c>
      <c r="R1201">
        <v>0</v>
      </c>
      <c r="S1201">
        <v>0</v>
      </c>
      <c r="T1201">
        <v>0</v>
      </c>
      <c r="U1201" t="str">
        <f>IF(SeismicData[[#This Row],[class]]=1,"Dangerous","Safe")</f>
        <v>Safe</v>
      </c>
      <c r="V1201" t="str">
        <f>IF(SeismicData[[#This Row],[shift]]="W","Production","Non-Production")</f>
        <v>Non-Production</v>
      </c>
      <c r="W1201" t="str">
        <f>IF(SeismicData[[#This Row],[genergy]]=0,"0","10^"&amp;INT(LOG10(SeismicData[[#This Row],[genergy]])))</f>
        <v>10^4</v>
      </c>
      <c r="X1201" t="str">
        <f>IF(OR(SeismicData[[#This Row],[genergy]]&lt;$AA$6,SeismicData[[#This Row],[genergy]]&gt;$AA$5),"Outlier","Normal")</f>
        <v>Normal</v>
      </c>
    </row>
    <row r="1202" spans="1:24" x14ac:dyDescent="0.15">
      <c r="A1202">
        <v>1201</v>
      </c>
      <c r="B1202" t="s">
        <v>23</v>
      </c>
      <c r="C1202" t="s">
        <v>23</v>
      </c>
      <c r="D1202" t="s">
        <v>22</v>
      </c>
      <c r="E1202">
        <v>17390</v>
      </c>
      <c r="F1202">
        <v>278</v>
      </c>
      <c r="G1202">
        <v>-31</v>
      </c>
      <c r="H1202">
        <v>-32</v>
      </c>
      <c r="I1202" t="s">
        <v>20</v>
      </c>
      <c r="J1202">
        <v>1</v>
      </c>
      <c r="K1202">
        <v>1</v>
      </c>
      <c r="L1202">
        <v>0</v>
      </c>
      <c r="M1202">
        <v>0</v>
      </c>
      <c r="N1202">
        <v>0</v>
      </c>
      <c r="O1202">
        <v>0</v>
      </c>
      <c r="P1202">
        <v>0</v>
      </c>
      <c r="Q1202">
        <v>0</v>
      </c>
      <c r="R1202">
        <v>600</v>
      </c>
      <c r="S1202">
        <v>600</v>
      </c>
      <c r="T1202">
        <v>0</v>
      </c>
      <c r="U1202" t="str">
        <f>IF(SeismicData[[#This Row],[class]]=1,"Dangerous","Safe")</f>
        <v>Safe</v>
      </c>
      <c r="V1202" t="str">
        <f>IF(SeismicData[[#This Row],[shift]]="W","Production","Non-Production")</f>
        <v>Production</v>
      </c>
      <c r="W1202" t="str">
        <f>IF(SeismicData[[#This Row],[genergy]]=0,"0","10^"&amp;INT(LOG10(SeismicData[[#This Row],[genergy]])))</f>
        <v>10^4</v>
      </c>
      <c r="X1202" t="str">
        <f>IF(OR(SeismicData[[#This Row],[genergy]]&lt;$AA$6,SeismicData[[#This Row],[genergy]]&gt;$AA$5),"Outlier","Normal")</f>
        <v>Normal</v>
      </c>
    </row>
    <row r="1203" spans="1:24" x14ac:dyDescent="0.15">
      <c r="A1203">
        <v>1202</v>
      </c>
      <c r="B1203" t="s">
        <v>23</v>
      </c>
      <c r="C1203" t="s">
        <v>23</v>
      </c>
      <c r="D1203" t="s">
        <v>22</v>
      </c>
      <c r="E1203">
        <v>41300</v>
      </c>
      <c r="F1203">
        <v>336</v>
      </c>
      <c r="G1203">
        <v>64</v>
      </c>
      <c r="H1203">
        <v>-17</v>
      </c>
      <c r="I1203" t="s">
        <v>20</v>
      </c>
      <c r="J1203">
        <v>1</v>
      </c>
      <c r="K1203">
        <v>0</v>
      </c>
      <c r="L1203">
        <v>1</v>
      </c>
      <c r="M1203">
        <v>0</v>
      </c>
      <c r="N1203">
        <v>0</v>
      </c>
      <c r="O1203">
        <v>0</v>
      </c>
      <c r="P1203">
        <v>0</v>
      </c>
      <c r="Q1203">
        <v>0</v>
      </c>
      <c r="R1203">
        <v>4000</v>
      </c>
      <c r="S1203">
        <v>4000</v>
      </c>
      <c r="T1203">
        <v>0</v>
      </c>
      <c r="U1203" t="str">
        <f>IF(SeismicData[[#This Row],[class]]=1,"Dangerous","Safe")</f>
        <v>Safe</v>
      </c>
      <c r="V1203" t="str">
        <f>IF(SeismicData[[#This Row],[shift]]="W","Production","Non-Production")</f>
        <v>Production</v>
      </c>
      <c r="W1203" t="str">
        <f>IF(SeismicData[[#This Row],[genergy]]=0,"0","10^"&amp;INT(LOG10(SeismicData[[#This Row],[genergy]])))</f>
        <v>10^4</v>
      </c>
      <c r="X1203" t="str">
        <f>IF(OR(SeismicData[[#This Row],[genergy]]&lt;$AA$6,SeismicData[[#This Row],[genergy]]&gt;$AA$5),"Outlier","Normal")</f>
        <v>Normal</v>
      </c>
    </row>
    <row r="1204" spans="1:24" x14ac:dyDescent="0.15">
      <c r="A1204">
        <v>1203</v>
      </c>
      <c r="B1204" t="s">
        <v>23</v>
      </c>
      <c r="C1204" t="s">
        <v>23</v>
      </c>
      <c r="D1204" t="s">
        <v>22</v>
      </c>
      <c r="E1204">
        <v>26880</v>
      </c>
      <c r="F1204">
        <v>317</v>
      </c>
      <c r="G1204">
        <v>6</v>
      </c>
      <c r="H1204">
        <v>-22</v>
      </c>
      <c r="I1204" t="s">
        <v>20</v>
      </c>
      <c r="J1204">
        <v>0</v>
      </c>
      <c r="K1204">
        <v>0</v>
      </c>
      <c r="L1204">
        <v>0</v>
      </c>
      <c r="M1204">
        <v>0</v>
      </c>
      <c r="N1204">
        <v>0</v>
      </c>
      <c r="O1204">
        <v>0</v>
      </c>
      <c r="P1204">
        <v>0</v>
      </c>
      <c r="Q1204">
        <v>0</v>
      </c>
      <c r="R1204">
        <v>0</v>
      </c>
      <c r="S1204">
        <v>0</v>
      </c>
      <c r="T1204">
        <v>0</v>
      </c>
      <c r="U1204" t="str">
        <f>IF(SeismicData[[#This Row],[class]]=1,"Dangerous","Safe")</f>
        <v>Safe</v>
      </c>
      <c r="V1204" t="str">
        <f>IF(SeismicData[[#This Row],[shift]]="W","Production","Non-Production")</f>
        <v>Production</v>
      </c>
      <c r="W1204" t="str">
        <f>IF(SeismicData[[#This Row],[genergy]]=0,"0","10^"&amp;INT(LOG10(SeismicData[[#This Row],[genergy]])))</f>
        <v>10^4</v>
      </c>
      <c r="X1204" t="str">
        <f>IF(OR(SeismicData[[#This Row],[genergy]]&lt;$AA$6,SeismicData[[#This Row],[genergy]]&gt;$AA$5),"Outlier","Normal")</f>
        <v>Normal</v>
      </c>
    </row>
    <row r="1205" spans="1:24" x14ac:dyDescent="0.15">
      <c r="A1205">
        <v>1204</v>
      </c>
      <c r="B1205" t="s">
        <v>23</v>
      </c>
      <c r="C1205" t="s">
        <v>23</v>
      </c>
      <c r="D1205" t="s">
        <v>22</v>
      </c>
      <c r="E1205">
        <v>30820</v>
      </c>
      <c r="F1205">
        <v>389</v>
      </c>
      <c r="G1205">
        <v>22</v>
      </c>
      <c r="H1205">
        <v>-4</v>
      </c>
      <c r="I1205" t="s">
        <v>20</v>
      </c>
      <c r="J1205">
        <v>0</v>
      </c>
      <c r="K1205">
        <v>0</v>
      </c>
      <c r="L1205">
        <v>0</v>
      </c>
      <c r="M1205">
        <v>0</v>
      </c>
      <c r="N1205">
        <v>0</v>
      </c>
      <c r="O1205">
        <v>0</v>
      </c>
      <c r="P1205">
        <v>0</v>
      </c>
      <c r="Q1205">
        <v>0</v>
      </c>
      <c r="R1205">
        <v>0</v>
      </c>
      <c r="S1205">
        <v>0</v>
      </c>
      <c r="T1205">
        <v>0</v>
      </c>
      <c r="U1205" t="str">
        <f>IF(SeismicData[[#This Row],[class]]=1,"Dangerous","Safe")</f>
        <v>Safe</v>
      </c>
      <c r="V1205" t="str">
        <f>IF(SeismicData[[#This Row],[shift]]="W","Production","Non-Production")</f>
        <v>Production</v>
      </c>
      <c r="W1205" t="str">
        <f>IF(SeismicData[[#This Row],[genergy]]=0,"0","10^"&amp;INT(LOG10(SeismicData[[#This Row],[genergy]])))</f>
        <v>10^4</v>
      </c>
      <c r="X1205" t="str">
        <f>IF(OR(SeismicData[[#This Row],[genergy]]&lt;$AA$6,SeismicData[[#This Row],[genergy]]&gt;$AA$5),"Outlier","Normal")</f>
        <v>Normal</v>
      </c>
    </row>
    <row r="1206" spans="1:24" x14ac:dyDescent="0.15">
      <c r="A1206">
        <v>1205</v>
      </c>
      <c r="B1206" t="s">
        <v>23</v>
      </c>
      <c r="C1206" t="s">
        <v>23</v>
      </c>
      <c r="D1206" t="s">
        <v>22</v>
      </c>
      <c r="E1206">
        <v>20610</v>
      </c>
      <c r="F1206">
        <v>274</v>
      </c>
      <c r="G1206">
        <v>-18</v>
      </c>
      <c r="H1206">
        <v>-33</v>
      </c>
      <c r="I1206" t="s">
        <v>20</v>
      </c>
      <c r="J1206">
        <v>0</v>
      </c>
      <c r="K1206">
        <v>0</v>
      </c>
      <c r="L1206">
        <v>0</v>
      </c>
      <c r="M1206">
        <v>0</v>
      </c>
      <c r="N1206">
        <v>0</v>
      </c>
      <c r="O1206">
        <v>0</v>
      </c>
      <c r="P1206">
        <v>0</v>
      </c>
      <c r="Q1206">
        <v>0</v>
      </c>
      <c r="R1206">
        <v>0</v>
      </c>
      <c r="S1206">
        <v>0</v>
      </c>
      <c r="T1206">
        <v>0</v>
      </c>
      <c r="U1206" t="str">
        <f>IF(SeismicData[[#This Row],[class]]=1,"Dangerous","Safe")</f>
        <v>Safe</v>
      </c>
      <c r="V1206" t="str">
        <f>IF(SeismicData[[#This Row],[shift]]="W","Production","Non-Production")</f>
        <v>Production</v>
      </c>
      <c r="W1206" t="str">
        <f>IF(SeismicData[[#This Row],[genergy]]=0,"0","10^"&amp;INT(LOG10(SeismicData[[#This Row],[genergy]])))</f>
        <v>10^4</v>
      </c>
      <c r="X1206" t="str">
        <f>IF(OR(SeismicData[[#This Row],[genergy]]&lt;$AA$6,SeismicData[[#This Row],[genergy]]&gt;$AA$5),"Outlier","Normal")</f>
        <v>Normal</v>
      </c>
    </row>
    <row r="1207" spans="1:24" x14ac:dyDescent="0.15">
      <c r="A1207">
        <v>1206</v>
      </c>
      <c r="B1207" t="s">
        <v>23</v>
      </c>
      <c r="C1207" t="s">
        <v>23</v>
      </c>
      <c r="D1207" t="s">
        <v>22</v>
      </c>
      <c r="E1207">
        <v>47470</v>
      </c>
      <c r="F1207">
        <v>466</v>
      </c>
      <c r="G1207">
        <v>88</v>
      </c>
      <c r="H1207">
        <v>14</v>
      </c>
      <c r="I1207" t="s">
        <v>20</v>
      </c>
      <c r="J1207">
        <v>0</v>
      </c>
      <c r="K1207">
        <v>0</v>
      </c>
      <c r="L1207">
        <v>0</v>
      </c>
      <c r="M1207">
        <v>0</v>
      </c>
      <c r="N1207">
        <v>0</v>
      </c>
      <c r="O1207">
        <v>0</v>
      </c>
      <c r="P1207">
        <v>0</v>
      </c>
      <c r="Q1207">
        <v>0</v>
      </c>
      <c r="R1207">
        <v>0</v>
      </c>
      <c r="S1207">
        <v>0</v>
      </c>
      <c r="T1207">
        <v>0</v>
      </c>
      <c r="U1207" t="str">
        <f>IF(SeismicData[[#This Row],[class]]=1,"Dangerous","Safe")</f>
        <v>Safe</v>
      </c>
      <c r="V1207" t="str">
        <f>IF(SeismicData[[#This Row],[shift]]="W","Production","Non-Production")</f>
        <v>Production</v>
      </c>
      <c r="W1207" t="str">
        <f>IF(SeismicData[[#This Row],[genergy]]=0,"0","10^"&amp;INT(LOG10(SeismicData[[#This Row],[genergy]])))</f>
        <v>10^4</v>
      </c>
      <c r="X1207" t="str">
        <f>IF(OR(SeismicData[[#This Row],[genergy]]&lt;$AA$6,SeismicData[[#This Row],[genergy]]&gt;$AA$5),"Outlier","Normal")</f>
        <v>Normal</v>
      </c>
    </row>
    <row r="1208" spans="1:24" x14ac:dyDescent="0.15">
      <c r="A1208">
        <v>1207</v>
      </c>
      <c r="B1208" t="s">
        <v>23</v>
      </c>
      <c r="C1208" t="s">
        <v>20</v>
      </c>
      <c r="D1208" t="s">
        <v>22</v>
      </c>
      <c r="E1208">
        <v>49510</v>
      </c>
      <c r="F1208">
        <v>521</v>
      </c>
      <c r="G1208">
        <v>89</v>
      </c>
      <c r="H1208">
        <v>27</v>
      </c>
      <c r="I1208" t="s">
        <v>20</v>
      </c>
      <c r="J1208">
        <v>0</v>
      </c>
      <c r="K1208">
        <v>0</v>
      </c>
      <c r="L1208">
        <v>0</v>
      </c>
      <c r="M1208">
        <v>0</v>
      </c>
      <c r="N1208">
        <v>0</v>
      </c>
      <c r="O1208">
        <v>0</v>
      </c>
      <c r="P1208">
        <v>0</v>
      </c>
      <c r="Q1208">
        <v>0</v>
      </c>
      <c r="R1208">
        <v>0</v>
      </c>
      <c r="S1208">
        <v>0</v>
      </c>
      <c r="T1208">
        <v>1</v>
      </c>
      <c r="U1208" t="str">
        <f>IF(SeismicData[[#This Row],[class]]=1,"Dangerous","Safe")</f>
        <v>Dangerous</v>
      </c>
      <c r="V1208" t="str">
        <f>IF(SeismicData[[#This Row],[shift]]="W","Production","Non-Production")</f>
        <v>Production</v>
      </c>
      <c r="W1208" t="str">
        <f>IF(SeismicData[[#This Row],[genergy]]=0,"0","10^"&amp;INT(LOG10(SeismicData[[#This Row],[genergy]])))</f>
        <v>10^4</v>
      </c>
      <c r="X1208" t="str">
        <f>IF(OR(SeismicData[[#This Row],[genergy]]&lt;$AA$6,SeismicData[[#This Row],[genergy]]&gt;$AA$5),"Outlier","Normal")</f>
        <v>Normal</v>
      </c>
    </row>
    <row r="1209" spans="1:24" x14ac:dyDescent="0.15">
      <c r="A1209">
        <v>1208</v>
      </c>
      <c r="B1209" t="s">
        <v>23</v>
      </c>
      <c r="C1209" t="s">
        <v>20</v>
      </c>
      <c r="D1209" t="s">
        <v>22</v>
      </c>
      <c r="E1209">
        <v>87260</v>
      </c>
      <c r="F1209">
        <v>2457</v>
      </c>
      <c r="G1209">
        <v>275</v>
      </c>
      <c r="H1209">
        <v>258</v>
      </c>
      <c r="I1209" t="s">
        <v>20</v>
      </c>
      <c r="J1209">
        <v>1</v>
      </c>
      <c r="K1209">
        <v>0</v>
      </c>
      <c r="L1209">
        <v>0</v>
      </c>
      <c r="M1209">
        <v>1</v>
      </c>
      <c r="N1209">
        <v>0</v>
      </c>
      <c r="O1209">
        <v>0</v>
      </c>
      <c r="P1209">
        <v>0</v>
      </c>
      <c r="Q1209">
        <v>0</v>
      </c>
      <c r="R1209">
        <v>80000</v>
      </c>
      <c r="S1209">
        <v>80000</v>
      </c>
      <c r="T1209">
        <v>0</v>
      </c>
      <c r="U1209" t="str">
        <f>IF(SeismicData[[#This Row],[class]]=1,"Dangerous","Safe")</f>
        <v>Safe</v>
      </c>
      <c r="V1209" t="str">
        <f>IF(SeismicData[[#This Row],[shift]]="W","Production","Non-Production")</f>
        <v>Production</v>
      </c>
      <c r="W1209" t="str">
        <f>IF(SeismicData[[#This Row],[genergy]]=0,"0","10^"&amp;INT(LOG10(SeismicData[[#This Row],[genergy]])))</f>
        <v>10^4</v>
      </c>
      <c r="X1209" t="str">
        <f>IF(OR(SeismicData[[#This Row],[genergy]]&lt;$AA$6,SeismicData[[#This Row],[genergy]]&gt;$AA$5),"Outlier","Normal")</f>
        <v>Normal</v>
      </c>
    </row>
    <row r="1210" spans="1:24" x14ac:dyDescent="0.15">
      <c r="A1210">
        <v>1209</v>
      </c>
      <c r="B1210" t="s">
        <v>23</v>
      </c>
      <c r="C1210" t="s">
        <v>20</v>
      </c>
      <c r="D1210" t="s">
        <v>22</v>
      </c>
      <c r="E1210">
        <v>30060</v>
      </c>
      <c r="F1210">
        <v>1135</v>
      </c>
      <c r="G1210">
        <v>29</v>
      </c>
      <c r="H1210">
        <v>66</v>
      </c>
      <c r="I1210" t="s">
        <v>20</v>
      </c>
      <c r="J1210">
        <v>0</v>
      </c>
      <c r="K1210">
        <v>0</v>
      </c>
      <c r="L1210">
        <v>0</v>
      </c>
      <c r="M1210">
        <v>0</v>
      </c>
      <c r="N1210">
        <v>0</v>
      </c>
      <c r="O1210">
        <v>0</v>
      </c>
      <c r="P1210">
        <v>0</v>
      </c>
      <c r="Q1210">
        <v>0</v>
      </c>
      <c r="R1210">
        <v>0</v>
      </c>
      <c r="S1210">
        <v>0</v>
      </c>
      <c r="T1210">
        <v>0</v>
      </c>
      <c r="U1210" t="str">
        <f>IF(SeismicData[[#This Row],[class]]=1,"Dangerous","Safe")</f>
        <v>Safe</v>
      </c>
      <c r="V1210" t="str">
        <f>IF(SeismicData[[#This Row],[shift]]="W","Production","Non-Production")</f>
        <v>Production</v>
      </c>
      <c r="W1210" t="str">
        <f>IF(SeismicData[[#This Row],[genergy]]=0,"0","10^"&amp;INT(LOG10(SeismicData[[#This Row],[genergy]])))</f>
        <v>10^4</v>
      </c>
      <c r="X1210" t="str">
        <f>IF(OR(SeismicData[[#This Row],[genergy]]&lt;$AA$6,SeismicData[[#This Row],[genergy]]&gt;$AA$5),"Outlier","Normal")</f>
        <v>Normal</v>
      </c>
    </row>
    <row r="1211" spans="1:24" x14ac:dyDescent="0.15">
      <c r="A1211">
        <v>1210</v>
      </c>
      <c r="B1211" t="s">
        <v>23</v>
      </c>
      <c r="C1211" t="s">
        <v>20</v>
      </c>
      <c r="D1211" t="s">
        <v>21</v>
      </c>
      <c r="E1211">
        <v>23670</v>
      </c>
      <c r="F1211">
        <v>721</v>
      </c>
      <c r="G1211">
        <v>153</v>
      </c>
      <c r="H1211">
        <v>140</v>
      </c>
      <c r="I1211" t="s">
        <v>20</v>
      </c>
      <c r="J1211">
        <v>1</v>
      </c>
      <c r="K1211">
        <v>1</v>
      </c>
      <c r="L1211">
        <v>0</v>
      </c>
      <c r="M1211">
        <v>0</v>
      </c>
      <c r="N1211">
        <v>0</v>
      </c>
      <c r="O1211">
        <v>0</v>
      </c>
      <c r="P1211">
        <v>0</v>
      </c>
      <c r="Q1211">
        <v>0</v>
      </c>
      <c r="R1211">
        <v>300</v>
      </c>
      <c r="S1211">
        <v>300</v>
      </c>
      <c r="T1211">
        <v>0</v>
      </c>
      <c r="U1211" t="str">
        <f>IF(SeismicData[[#This Row],[class]]=1,"Dangerous","Safe")</f>
        <v>Safe</v>
      </c>
      <c r="V1211" t="str">
        <f>IF(SeismicData[[#This Row],[shift]]="W","Production","Non-Production")</f>
        <v>Non-Production</v>
      </c>
      <c r="W1211" t="str">
        <f>IF(SeismicData[[#This Row],[genergy]]=0,"0","10^"&amp;INT(LOG10(SeismicData[[#This Row],[genergy]])))</f>
        <v>10^4</v>
      </c>
      <c r="X1211" t="str">
        <f>IF(OR(SeismicData[[#This Row],[genergy]]&lt;$AA$6,SeismicData[[#This Row],[genergy]]&gt;$AA$5),"Outlier","Normal")</f>
        <v>Normal</v>
      </c>
    </row>
    <row r="1212" spans="1:24" x14ac:dyDescent="0.15">
      <c r="A1212">
        <v>1211</v>
      </c>
      <c r="B1212" t="s">
        <v>23</v>
      </c>
      <c r="C1212" t="s">
        <v>20</v>
      </c>
      <c r="D1212" t="s">
        <v>21</v>
      </c>
      <c r="E1212">
        <v>15600</v>
      </c>
      <c r="F1212">
        <v>548</v>
      </c>
      <c r="G1212">
        <v>67</v>
      </c>
      <c r="H1212">
        <v>83</v>
      </c>
      <c r="I1212" t="s">
        <v>20</v>
      </c>
      <c r="J1212">
        <v>0</v>
      </c>
      <c r="K1212">
        <v>0</v>
      </c>
      <c r="L1212">
        <v>0</v>
      </c>
      <c r="M1212">
        <v>0</v>
      </c>
      <c r="N1212">
        <v>0</v>
      </c>
      <c r="O1212">
        <v>0</v>
      </c>
      <c r="P1212">
        <v>0</v>
      </c>
      <c r="Q1212">
        <v>0</v>
      </c>
      <c r="R1212">
        <v>0</v>
      </c>
      <c r="S1212">
        <v>0</v>
      </c>
      <c r="T1212">
        <v>0</v>
      </c>
      <c r="U1212" t="str">
        <f>IF(SeismicData[[#This Row],[class]]=1,"Dangerous","Safe")</f>
        <v>Safe</v>
      </c>
      <c r="V1212" t="str">
        <f>IF(SeismicData[[#This Row],[shift]]="W","Production","Non-Production")</f>
        <v>Non-Production</v>
      </c>
      <c r="W1212" t="str">
        <f>IF(SeismicData[[#This Row],[genergy]]=0,"0","10^"&amp;INT(LOG10(SeismicData[[#This Row],[genergy]])))</f>
        <v>10^4</v>
      </c>
      <c r="X1212" t="str">
        <f>IF(OR(SeismicData[[#This Row],[genergy]]&lt;$AA$6,SeismicData[[#This Row],[genergy]]&gt;$AA$5),"Outlier","Normal")</f>
        <v>Normal</v>
      </c>
    </row>
    <row r="1213" spans="1:24" x14ac:dyDescent="0.15">
      <c r="A1213">
        <v>1212</v>
      </c>
      <c r="B1213" t="s">
        <v>23</v>
      </c>
      <c r="C1213" t="s">
        <v>20</v>
      </c>
      <c r="D1213" t="s">
        <v>22</v>
      </c>
      <c r="E1213">
        <v>13520</v>
      </c>
      <c r="F1213">
        <v>528</v>
      </c>
      <c r="G1213">
        <v>-42</v>
      </c>
      <c r="H1213">
        <v>-23</v>
      </c>
      <c r="I1213" t="s">
        <v>20</v>
      </c>
      <c r="J1213">
        <v>0</v>
      </c>
      <c r="K1213">
        <v>0</v>
      </c>
      <c r="L1213">
        <v>0</v>
      </c>
      <c r="M1213">
        <v>0</v>
      </c>
      <c r="N1213">
        <v>0</v>
      </c>
      <c r="O1213">
        <v>0</v>
      </c>
      <c r="P1213">
        <v>0</v>
      </c>
      <c r="Q1213">
        <v>0</v>
      </c>
      <c r="R1213">
        <v>0</v>
      </c>
      <c r="S1213">
        <v>0</v>
      </c>
      <c r="T1213">
        <v>0</v>
      </c>
      <c r="U1213" t="str">
        <f>IF(SeismicData[[#This Row],[class]]=1,"Dangerous","Safe")</f>
        <v>Safe</v>
      </c>
      <c r="V1213" t="str">
        <f>IF(SeismicData[[#This Row],[shift]]="W","Production","Non-Production")</f>
        <v>Production</v>
      </c>
      <c r="W1213" t="str">
        <f>IF(SeismicData[[#This Row],[genergy]]=0,"0","10^"&amp;INT(LOG10(SeismicData[[#This Row],[genergy]])))</f>
        <v>10^4</v>
      </c>
      <c r="X1213" t="str">
        <f>IF(OR(SeismicData[[#This Row],[genergy]]&lt;$AA$6,SeismicData[[#This Row],[genergy]]&gt;$AA$5),"Outlier","Normal")</f>
        <v>Normal</v>
      </c>
    </row>
    <row r="1214" spans="1:24" x14ac:dyDescent="0.15">
      <c r="A1214">
        <v>1213</v>
      </c>
      <c r="B1214" t="s">
        <v>23</v>
      </c>
      <c r="C1214" t="s">
        <v>20</v>
      </c>
      <c r="D1214" t="s">
        <v>22</v>
      </c>
      <c r="E1214">
        <v>16590</v>
      </c>
      <c r="F1214">
        <v>324</v>
      </c>
      <c r="G1214">
        <v>61</v>
      </c>
      <c r="H1214">
        <v>17</v>
      </c>
      <c r="I1214" t="s">
        <v>20</v>
      </c>
      <c r="J1214">
        <v>1</v>
      </c>
      <c r="K1214">
        <v>1</v>
      </c>
      <c r="L1214">
        <v>0</v>
      </c>
      <c r="M1214">
        <v>0</v>
      </c>
      <c r="N1214">
        <v>0</v>
      </c>
      <c r="O1214">
        <v>0</v>
      </c>
      <c r="P1214">
        <v>0</v>
      </c>
      <c r="Q1214">
        <v>0</v>
      </c>
      <c r="R1214">
        <v>300</v>
      </c>
      <c r="S1214">
        <v>300</v>
      </c>
      <c r="T1214">
        <v>0</v>
      </c>
      <c r="U1214" t="str">
        <f>IF(SeismicData[[#This Row],[class]]=1,"Dangerous","Safe")</f>
        <v>Safe</v>
      </c>
      <c r="V1214" t="str">
        <f>IF(SeismicData[[#This Row],[shift]]="W","Production","Non-Production")</f>
        <v>Production</v>
      </c>
      <c r="W1214" t="str">
        <f>IF(SeismicData[[#This Row],[genergy]]=0,"0","10^"&amp;INT(LOG10(SeismicData[[#This Row],[genergy]])))</f>
        <v>10^4</v>
      </c>
      <c r="X1214" t="str">
        <f>IF(OR(SeismicData[[#This Row],[genergy]]&lt;$AA$6,SeismicData[[#This Row],[genergy]]&gt;$AA$5),"Outlier","Normal")</f>
        <v>Normal</v>
      </c>
    </row>
    <row r="1215" spans="1:24" x14ac:dyDescent="0.15">
      <c r="A1215">
        <v>1214</v>
      </c>
      <c r="B1215" t="s">
        <v>23</v>
      </c>
      <c r="C1215" t="s">
        <v>20</v>
      </c>
      <c r="D1215" t="s">
        <v>22</v>
      </c>
      <c r="E1215">
        <v>10000</v>
      </c>
      <c r="F1215">
        <v>208</v>
      </c>
      <c r="G1215">
        <v>-62</v>
      </c>
      <c r="H1215">
        <v>-49</v>
      </c>
      <c r="I1215" t="s">
        <v>20</v>
      </c>
      <c r="J1215">
        <v>1</v>
      </c>
      <c r="K1215">
        <v>1</v>
      </c>
      <c r="L1215">
        <v>0</v>
      </c>
      <c r="M1215">
        <v>0</v>
      </c>
      <c r="N1215">
        <v>0</v>
      </c>
      <c r="O1215">
        <v>0</v>
      </c>
      <c r="P1215">
        <v>0</v>
      </c>
      <c r="Q1215">
        <v>0</v>
      </c>
      <c r="R1215">
        <v>500</v>
      </c>
      <c r="S1215">
        <v>500</v>
      </c>
      <c r="T1215">
        <v>0</v>
      </c>
      <c r="U1215" t="str">
        <f>IF(SeismicData[[#This Row],[class]]=1,"Dangerous","Safe")</f>
        <v>Safe</v>
      </c>
      <c r="V1215" t="str">
        <f>IF(SeismicData[[#This Row],[shift]]="W","Production","Non-Production")</f>
        <v>Production</v>
      </c>
      <c r="W1215" t="str">
        <f>IF(SeismicData[[#This Row],[genergy]]=0,"0","10^"&amp;INT(LOG10(SeismicData[[#This Row],[genergy]])))</f>
        <v>10^4</v>
      </c>
      <c r="X1215" t="str">
        <f>IF(OR(SeismicData[[#This Row],[genergy]]&lt;$AA$6,SeismicData[[#This Row],[genergy]]&gt;$AA$5),"Outlier","Normal")</f>
        <v>Normal</v>
      </c>
    </row>
    <row r="1216" spans="1:24" x14ac:dyDescent="0.15">
      <c r="A1216">
        <v>1215</v>
      </c>
      <c r="B1216" t="s">
        <v>23</v>
      </c>
      <c r="C1216" t="s">
        <v>20</v>
      </c>
      <c r="D1216" t="s">
        <v>22</v>
      </c>
      <c r="E1216">
        <v>19140</v>
      </c>
      <c r="F1216">
        <v>545</v>
      </c>
      <c r="G1216">
        <v>-10</v>
      </c>
      <c r="H1216">
        <v>-12</v>
      </c>
      <c r="I1216" t="s">
        <v>20</v>
      </c>
      <c r="J1216">
        <v>0</v>
      </c>
      <c r="K1216">
        <v>0</v>
      </c>
      <c r="L1216">
        <v>0</v>
      </c>
      <c r="M1216">
        <v>0</v>
      </c>
      <c r="N1216">
        <v>0</v>
      </c>
      <c r="O1216">
        <v>0</v>
      </c>
      <c r="P1216">
        <v>0</v>
      </c>
      <c r="Q1216">
        <v>0</v>
      </c>
      <c r="R1216">
        <v>0</v>
      </c>
      <c r="S1216">
        <v>0</v>
      </c>
      <c r="T1216">
        <v>0</v>
      </c>
      <c r="U1216" t="str">
        <f>IF(SeismicData[[#This Row],[class]]=1,"Dangerous","Safe")</f>
        <v>Safe</v>
      </c>
      <c r="V1216" t="str">
        <f>IF(SeismicData[[#This Row],[shift]]="W","Production","Non-Production")</f>
        <v>Production</v>
      </c>
      <c r="W1216" t="str">
        <f>IF(SeismicData[[#This Row],[genergy]]=0,"0","10^"&amp;INT(LOG10(SeismicData[[#This Row],[genergy]])))</f>
        <v>10^4</v>
      </c>
      <c r="X1216" t="str">
        <f>IF(OR(SeismicData[[#This Row],[genergy]]&lt;$AA$6,SeismicData[[#This Row],[genergy]]&gt;$AA$5),"Outlier","Normal")</f>
        <v>Normal</v>
      </c>
    </row>
    <row r="1217" spans="1:24" x14ac:dyDescent="0.15">
      <c r="A1217">
        <v>1216</v>
      </c>
      <c r="B1217" t="s">
        <v>23</v>
      </c>
      <c r="C1217" t="s">
        <v>20</v>
      </c>
      <c r="D1217" t="s">
        <v>22</v>
      </c>
      <c r="E1217">
        <v>34020</v>
      </c>
      <c r="F1217">
        <v>858</v>
      </c>
      <c r="G1217">
        <v>60</v>
      </c>
      <c r="H1217">
        <v>38</v>
      </c>
      <c r="I1217" t="s">
        <v>20</v>
      </c>
      <c r="J1217">
        <v>0</v>
      </c>
      <c r="K1217">
        <v>0</v>
      </c>
      <c r="L1217">
        <v>0</v>
      </c>
      <c r="M1217">
        <v>0</v>
      </c>
      <c r="N1217">
        <v>0</v>
      </c>
      <c r="O1217">
        <v>0</v>
      </c>
      <c r="P1217">
        <v>0</v>
      </c>
      <c r="Q1217">
        <v>0</v>
      </c>
      <c r="R1217">
        <v>0</v>
      </c>
      <c r="S1217">
        <v>0</v>
      </c>
      <c r="T1217">
        <v>0</v>
      </c>
      <c r="U1217" t="str">
        <f>IF(SeismicData[[#This Row],[class]]=1,"Dangerous","Safe")</f>
        <v>Safe</v>
      </c>
      <c r="V1217" t="str">
        <f>IF(SeismicData[[#This Row],[shift]]="W","Production","Non-Production")</f>
        <v>Production</v>
      </c>
      <c r="W1217" t="str">
        <f>IF(SeismicData[[#This Row],[genergy]]=0,"0","10^"&amp;INT(LOG10(SeismicData[[#This Row],[genergy]])))</f>
        <v>10^4</v>
      </c>
      <c r="X1217" t="str">
        <f>IF(OR(SeismicData[[#This Row],[genergy]]&lt;$AA$6,SeismicData[[#This Row],[genergy]]&gt;$AA$5),"Outlier","Normal")</f>
        <v>Normal</v>
      </c>
    </row>
    <row r="1218" spans="1:24" x14ac:dyDescent="0.15">
      <c r="A1218">
        <v>1217</v>
      </c>
      <c r="B1218" t="s">
        <v>23</v>
      </c>
      <c r="C1218" t="s">
        <v>20</v>
      </c>
      <c r="D1218" t="s">
        <v>22</v>
      </c>
      <c r="E1218">
        <v>25400</v>
      </c>
      <c r="F1218">
        <v>810</v>
      </c>
      <c r="G1218">
        <v>19</v>
      </c>
      <c r="H1218">
        <v>31</v>
      </c>
      <c r="I1218" t="s">
        <v>20</v>
      </c>
      <c r="J1218">
        <v>0</v>
      </c>
      <c r="K1218">
        <v>0</v>
      </c>
      <c r="L1218">
        <v>0</v>
      </c>
      <c r="M1218">
        <v>0</v>
      </c>
      <c r="N1218">
        <v>0</v>
      </c>
      <c r="O1218">
        <v>0</v>
      </c>
      <c r="P1218">
        <v>0</v>
      </c>
      <c r="Q1218">
        <v>0</v>
      </c>
      <c r="R1218">
        <v>0</v>
      </c>
      <c r="S1218">
        <v>0</v>
      </c>
      <c r="T1218">
        <v>0</v>
      </c>
      <c r="U1218" t="str">
        <f>IF(SeismicData[[#This Row],[class]]=1,"Dangerous","Safe")</f>
        <v>Safe</v>
      </c>
      <c r="V1218" t="str">
        <f>IF(SeismicData[[#This Row],[shift]]="W","Production","Non-Production")</f>
        <v>Production</v>
      </c>
      <c r="W1218" t="str">
        <f>IF(SeismicData[[#This Row],[genergy]]=0,"0","10^"&amp;INT(LOG10(SeismicData[[#This Row],[genergy]])))</f>
        <v>10^4</v>
      </c>
      <c r="X1218" t="str">
        <f>IF(OR(SeismicData[[#This Row],[genergy]]&lt;$AA$6,SeismicData[[#This Row],[genergy]]&gt;$AA$5),"Outlier","Normal")</f>
        <v>Normal</v>
      </c>
    </row>
    <row r="1219" spans="1:24" x14ac:dyDescent="0.15">
      <c r="A1219">
        <v>1218</v>
      </c>
      <c r="B1219" t="s">
        <v>23</v>
      </c>
      <c r="C1219" t="s">
        <v>20</v>
      </c>
      <c r="D1219" t="s">
        <v>22</v>
      </c>
      <c r="E1219">
        <v>19910</v>
      </c>
      <c r="F1219">
        <v>373</v>
      </c>
      <c r="G1219">
        <v>-24</v>
      </c>
      <c r="H1219">
        <v>-2</v>
      </c>
      <c r="I1219" t="s">
        <v>20</v>
      </c>
      <c r="J1219">
        <v>1</v>
      </c>
      <c r="K1219">
        <v>0</v>
      </c>
      <c r="L1219">
        <v>1</v>
      </c>
      <c r="M1219">
        <v>0</v>
      </c>
      <c r="N1219">
        <v>0</v>
      </c>
      <c r="O1219">
        <v>0</v>
      </c>
      <c r="P1219">
        <v>0</v>
      </c>
      <c r="Q1219">
        <v>0</v>
      </c>
      <c r="R1219">
        <v>5000</v>
      </c>
      <c r="S1219">
        <v>5000</v>
      </c>
      <c r="T1219">
        <v>0</v>
      </c>
      <c r="U1219" t="str">
        <f>IF(SeismicData[[#This Row],[class]]=1,"Dangerous","Safe")</f>
        <v>Safe</v>
      </c>
      <c r="V1219" t="str">
        <f>IF(SeismicData[[#This Row],[shift]]="W","Production","Non-Production")</f>
        <v>Production</v>
      </c>
      <c r="W1219" t="str">
        <f>IF(SeismicData[[#This Row],[genergy]]=0,"0","10^"&amp;INT(LOG10(SeismicData[[#This Row],[genergy]])))</f>
        <v>10^4</v>
      </c>
      <c r="X1219" t="str">
        <f>IF(OR(SeismicData[[#This Row],[genergy]]&lt;$AA$6,SeismicData[[#This Row],[genergy]]&gt;$AA$5),"Outlier","Normal")</f>
        <v>Normal</v>
      </c>
    </row>
    <row r="1220" spans="1:24" x14ac:dyDescent="0.15">
      <c r="A1220">
        <v>1219</v>
      </c>
      <c r="B1220" t="s">
        <v>23</v>
      </c>
      <c r="C1220" t="s">
        <v>20</v>
      </c>
      <c r="D1220" t="s">
        <v>22</v>
      </c>
      <c r="E1220">
        <v>15770</v>
      </c>
      <c r="F1220">
        <v>549</v>
      </c>
      <c r="G1220">
        <v>-26</v>
      </c>
      <c r="H1220">
        <v>-12</v>
      </c>
      <c r="I1220" t="s">
        <v>20</v>
      </c>
      <c r="J1220">
        <v>0</v>
      </c>
      <c r="K1220">
        <v>0</v>
      </c>
      <c r="L1220">
        <v>0</v>
      </c>
      <c r="M1220">
        <v>0</v>
      </c>
      <c r="N1220">
        <v>0</v>
      </c>
      <c r="O1220">
        <v>0</v>
      </c>
      <c r="P1220">
        <v>0</v>
      </c>
      <c r="Q1220">
        <v>0</v>
      </c>
      <c r="R1220">
        <v>0</v>
      </c>
      <c r="S1220">
        <v>0</v>
      </c>
      <c r="T1220">
        <v>0</v>
      </c>
      <c r="U1220" t="str">
        <f>IF(SeismicData[[#This Row],[class]]=1,"Dangerous","Safe")</f>
        <v>Safe</v>
      </c>
      <c r="V1220" t="str">
        <f>IF(SeismicData[[#This Row],[shift]]="W","Production","Non-Production")</f>
        <v>Production</v>
      </c>
      <c r="W1220" t="str">
        <f>IF(SeismicData[[#This Row],[genergy]]=0,"0","10^"&amp;INT(LOG10(SeismicData[[#This Row],[genergy]])))</f>
        <v>10^4</v>
      </c>
      <c r="X1220" t="str">
        <f>IF(OR(SeismicData[[#This Row],[genergy]]&lt;$AA$6,SeismicData[[#This Row],[genergy]]&gt;$AA$5),"Outlier","Normal")</f>
        <v>Normal</v>
      </c>
    </row>
    <row r="1221" spans="1:24" x14ac:dyDescent="0.15">
      <c r="A1221">
        <v>1220</v>
      </c>
      <c r="B1221" t="s">
        <v>23</v>
      </c>
      <c r="C1221" t="s">
        <v>20</v>
      </c>
      <c r="D1221" t="s">
        <v>22</v>
      </c>
      <c r="E1221">
        <v>19860</v>
      </c>
      <c r="F1221">
        <v>300</v>
      </c>
      <c r="G1221">
        <v>-24</v>
      </c>
      <c r="H1221">
        <v>-21</v>
      </c>
      <c r="I1221" t="s">
        <v>20</v>
      </c>
      <c r="J1221">
        <v>0</v>
      </c>
      <c r="K1221">
        <v>0</v>
      </c>
      <c r="L1221">
        <v>0</v>
      </c>
      <c r="M1221">
        <v>0</v>
      </c>
      <c r="N1221">
        <v>0</v>
      </c>
      <c r="O1221">
        <v>0</v>
      </c>
      <c r="P1221">
        <v>0</v>
      </c>
      <c r="Q1221">
        <v>0</v>
      </c>
      <c r="R1221">
        <v>0</v>
      </c>
      <c r="S1221">
        <v>0</v>
      </c>
      <c r="T1221">
        <v>0</v>
      </c>
      <c r="U1221" t="str">
        <f>IF(SeismicData[[#This Row],[class]]=1,"Dangerous","Safe")</f>
        <v>Safe</v>
      </c>
      <c r="V1221" t="str">
        <f>IF(SeismicData[[#This Row],[shift]]="W","Production","Non-Production")</f>
        <v>Production</v>
      </c>
      <c r="W1221" t="str">
        <f>IF(SeismicData[[#This Row],[genergy]]=0,"0","10^"&amp;INT(LOG10(SeismicData[[#This Row],[genergy]])))</f>
        <v>10^4</v>
      </c>
      <c r="X1221" t="str">
        <f>IF(OR(SeismicData[[#This Row],[genergy]]&lt;$AA$6,SeismicData[[#This Row],[genergy]]&gt;$AA$5),"Outlier","Normal")</f>
        <v>Normal</v>
      </c>
    </row>
    <row r="1222" spans="1:24" x14ac:dyDescent="0.15">
      <c r="A1222">
        <v>1221</v>
      </c>
      <c r="B1222" t="s">
        <v>23</v>
      </c>
      <c r="C1222" t="s">
        <v>20</v>
      </c>
      <c r="D1222" t="s">
        <v>22</v>
      </c>
      <c r="E1222">
        <v>35130</v>
      </c>
      <c r="F1222">
        <v>859</v>
      </c>
      <c r="G1222">
        <v>65</v>
      </c>
      <c r="H1222">
        <v>38</v>
      </c>
      <c r="I1222" t="s">
        <v>20</v>
      </c>
      <c r="J1222">
        <v>0</v>
      </c>
      <c r="K1222">
        <v>0</v>
      </c>
      <c r="L1222">
        <v>0</v>
      </c>
      <c r="M1222">
        <v>0</v>
      </c>
      <c r="N1222">
        <v>0</v>
      </c>
      <c r="O1222">
        <v>0</v>
      </c>
      <c r="P1222">
        <v>0</v>
      </c>
      <c r="Q1222">
        <v>0</v>
      </c>
      <c r="R1222">
        <v>0</v>
      </c>
      <c r="S1222">
        <v>0</v>
      </c>
      <c r="T1222">
        <v>0</v>
      </c>
      <c r="U1222" t="str">
        <f>IF(SeismicData[[#This Row],[class]]=1,"Dangerous","Safe")</f>
        <v>Safe</v>
      </c>
      <c r="V1222" t="str">
        <f>IF(SeismicData[[#This Row],[shift]]="W","Production","Non-Production")</f>
        <v>Production</v>
      </c>
      <c r="W1222" t="str">
        <f>IF(SeismicData[[#This Row],[genergy]]=0,"0","10^"&amp;INT(LOG10(SeismicData[[#This Row],[genergy]])))</f>
        <v>10^4</v>
      </c>
      <c r="X1222" t="str">
        <f>IF(OR(SeismicData[[#This Row],[genergy]]&lt;$AA$6,SeismicData[[#This Row],[genergy]]&gt;$AA$5),"Outlier","Normal")</f>
        <v>Normal</v>
      </c>
    </row>
    <row r="1223" spans="1:24" x14ac:dyDescent="0.15">
      <c r="A1223">
        <v>1222</v>
      </c>
      <c r="B1223" t="s">
        <v>23</v>
      </c>
      <c r="C1223" t="s">
        <v>20</v>
      </c>
      <c r="D1223" t="s">
        <v>22</v>
      </c>
      <c r="E1223">
        <v>26630</v>
      </c>
      <c r="F1223">
        <v>785</v>
      </c>
      <c r="G1223">
        <v>25</v>
      </c>
      <c r="H1223">
        <v>27</v>
      </c>
      <c r="I1223" t="s">
        <v>20</v>
      </c>
      <c r="J1223">
        <v>0</v>
      </c>
      <c r="K1223">
        <v>0</v>
      </c>
      <c r="L1223">
        <v>0</v>
      </c>
      <c r="M1223">
        <v>0</v>
      </c>
      <c r="N1223">
        <v>0</v>
      </c>
      <c r="O1223">
        <v>0</v>
      </c>
      <c r="P1223">
        <v>0</v>
      </c>
      <c r="Q1223">
        <v>0</v>
      </c>
      <c r="R1223">
        <v>0</v>
      </c>
      <c r="S1223">
        <v>0</v>
      </c>
      <c r="T1223">
        <v>0</v>
      </c>
      <c r="U1223" t="str">
        <f>IF(SeismicData[[#This Row],[class]]=1,"Dangerous","Safe")</f>
        <v>Safe</v>
      </c>
      <c r="V1223" t="str">
        <f>IF(SeismicData[[#This Row],[shift]]="W","Production","Non-Production")</f>
        <v>Production</v>
      </c>
      <c r="W1223" t="str">
        <f>IF(SeismicData[[#This Row],[genergy]]=0,"0","10^"&amp;INT(LOG10(SeismicData[[#This Row],[genergy]])))</f>
        <v>10^4</v>
      </c>
      <c r="X1223" t="str">
        <f>IF(OR(SeismicData[[#This Row],[genergy]]&lt;$AA$6,SeismicData[[#This Row],[genergy]]&gt;$AA$5),"Outlier","Normal")</f>
        <v>Normal</v>
      </c>
    </row>
    <row r="1224" spans="1:24" x14ac:dyDescent="0.15">
      <c r="A1224">
        <v>1223</v>
      </c>
      <c r="B1224" t="s">
        <v>23</v>
      </c>
      <c r="C1224" t="s">
        <v>20</v>
      </c>
      <c r="D1224" t="s">
        <v>21</v>
      </c>
      <c r="E1224">
        <v>15280</v>
      </c>
      <c r="F1224">
        <v>521</v>
      </c>
      <c r="G1224">
        <v>63</v>
      </c>
      <c r="H1224">
        <v>74</v>
      </c>
      <c r="I1224" t="s">
        <v>20</v>
      </c>
      <c r="J1224">
        <v>0</v>
      </c>
      <c r="K1224">
        <v>0</v>
      </c>
      <c r="L1224">
        <v>0</v>
      </c>
      <c r="M1224">
        <v>0</v>
      </c>
      <c r="N1224">
        <v>0</v>
      </c>
      <c r="O1224">
        <v>0</v>
      </c>
      <c r="P1224">
        <v>0</v>
      </c>
      <c r="Q1224">
        <v>0</v>
      </c>
      <c r="R1224">
        <v>0</v>
      </c>
      <c r="S1224">
        <v>0</v>
      </c>
      <c r="T1224">
        <v>0</v>
      </c>
      <c r="U1224" t="str">
        <f>IF(SeismicData[[#This Row],[class]]=1,"Dangerous","Safe")</f>
        <v>Safe</v>
      </c>
      <c r="V1224" t="str">
        <f>IF(SeismicData[[#This Row],[shift]]="W","Production","Non-Production")</f>
        <v>Non-Production</v>
      </c>
      <c r="W1224" t="str">
        <f>IF(SeismicData[[#This Row],[genergy]]=0,"0","10^"&amp;INT(LOG10(SeismicData[[#This Row],[genergy]])))</f>
        <v>10^4</v>
      </c>
      <c r="X1224" t="str">
        <f>IF(OR(SeismicData[[#This Row],[genergy]]&lt;$AA$6,SeismicData[[#This Row],[genergy]]&gt;$AA$5),"Outlier","Normal")</f>
        <v>Normal</v>
      </c>
    </row>
    <row r="1225" spans="1:24" x14ac:dyDescent="0.15">
      <c r="A1225">
        <v>1224</v>
      </c>
      <c r="B1225" t="s">
        <v>23</v>
      </c>
      <c r="C1225" t="s">
        <v>20</v>
      </c>
      <c r="D1225" t="s">
        <v>21</v>
      </c>
      <c r="E1225">
        <v>10820</v>
      </c>
      <c r="F1225">
        <v>524</v>
      </c>
      <c r="G1225">
        <v>16</v>
      </c>
      <c r="H1225">
        <v>75</v>
      </c>
      <c r="I1225" t="s">
        <v>20</v>
      </c>
      <c r="J1225">
        <v>0</v>
      </c>
      <c r="K1225">
        <v>0</v>
      </c>
      <c r="L1225">
        <v>0</v>
      </c>
      <c r="M1225">
        <v>0</v>
      </c>
      <c r="N1225">
        <v>0</v>
      </c>
      <c r="O1225">
        <v>0</v>
      </c>
      <c r="P1225">
        <v>0</v>
      </c>
      <c r="Q1225">
        <v>0</v>
      </c>
      <c r="R1225">
        <v>0</v>
      </c>
      <c r="S1225">
        <v>0</v>
      </c>
      <c r="T1225">
        <v>0</v>
      </c>
      <c r="U1225" t="str">
        <f>IF(SeismicData[[#This Row],[class]]=1,"Dangerous","Safe")</f>
        <v>Safe</v>
      </c>
      <c r="V1225" t="str">
        <f>IF(SeismicData[[#This Row],[shift]]="W","Production","Non-Production")</f>
        <v>Non-Production</v>
      </c>
      <c r="W1225" t="str">
        <f>IF(SeismicData[[#This Row],[genergy]]=0,"0","10^"&amp;INT(LOG10(SeismicData[[#This Row],[genergy]])))</f>
        <v>10^4</v>
      </c>
      <c r="X1225" t="str">
        <f>IF(OR(SeismicData[[#This Row],[genergy]]&lt;$AA$6,SeismicData[[#This Row],[genergy]]&gt;$AA$5),"Outlier","Normal")</f>
        <v>Normal</v>
      </c>
    </row>
    <row r="1226" spans="1:24" x14ac:dyDescent="0.15">
      <c r="A1226">
        <v>1225</v>
      </c>
      <c r="B1226" t="s">
        <v>23</v>
      </c>
      <c r="C1226" t="s">
        <v>20</v>
      </c>
      <c r="D1226" t="s">
        <v>21</v>
      </c>
      <c r="E1226">
        <v>7170</v>
      </c>
      <c r="F1226">
        <v>278</v>
      </c>
      <c r="G1226">
        <v>-23</v>
      </c>
      <c r="H1226">
        <v>-7</v>
      </c>
      <c r="I1226" t="s">
        <v>20</v>
      </c>
      <c r="J1226">
        <v>0</v>
      </c>
      <c r="K1226">
        <v>0</v>
      </c>
      <c r="L1226">
        <v>0</v>
      </c>
      <c r="M1226">
        <v>0</v>
      </c>
      <c r="N1226">
        <v>0</v>
      </c>
      <c r="O1226">
        <v>0</v>
      </c>
      <c r="P1226">
        <v>0</v>
      </c>
      <c r="Q1226">
        <v>0</v>
      </c>
      <c r="R1226">
        <v>0</v>
      </c>
      <c r="S1226">
        <v>0</v>
      </c>
      <c r="T1226">
        <v>0</v>
      </c>
      <c r="U1226" t="str">
        <f>IF(SeismicData[[#This Row],[class]]=1,"Dangerous","Safe")</f>
        <v>Safe</v>
      </c>
      <c r="V1226" t="str">
        <f>IF(SeismicData[[#This Row],[shift]]="W","Production","Non-Production")</f>
        <v>Non-Production</v>
      </c>
      <c r="W1226" t="str">
        <f>IF(SeismicData[[#This Row],[genergy]]=0,"0","10^"&amp;INT(LOG10(SeismicData[[#This Row],[genergy]])))</f>
        <v>10^3</v>
      </c>
      <c r="X1226" t="str">
        <f>IF(OR(SeismicData[[#This Row],[genergy]]&lt;$AA$6,SeismicData[[#This Row],[genergy]]&gt;$AA$5),"Outlier","Normal")</f>
        <v>Normal</v>
      </c>
    </row>
    <row r="1227" spans="1:24" x14ac:dyDescent="0.15">
      <c r="A1227">
        <v>1226</v>
      </c>
      <c r="B1227" t="s">
        <v>23</v>
      </c>
      <c r="C1227" t="s">
        <v>20</v>
      </c>
      <c r="D1227" t="s">
        <v>22</v>
      </c>
      <c r="E1227">
        <v>14930</v>
      </c>
      <c r="F1227">
        <v>244</v>
      </c>
      <c r="G1227">
        <v>-46</v>
      </c>
      <c r="H1227">
        <v>-42</v>
      </c>
      <c r="I1227" t="s">
        <v>20</v>
      </c>
      <c r="J1227">
        <v>0</v>
      </c>
      <c r="K1227">
        <v>0</v>
      </c>
      <c r="L1227">
        <v>0</v>
      </c>
      <c r="M1227">
        <v>0</v>
      </c>
      <c r="N1227">
        <v>0</v>
      </c>
      <c r="O1227">
        <v>0</v>
      </c>
      <c r="P1227">
        <v>0</v>
      </c>
      <c r="Q1227">
        <v>0</v>
      </c>
      <c r="R1227">
        <v>0</v>
      </c>
      <c r="S1227">
        <v>0</v>
      </c>
      <c r="T1227">
        <v>0</v>
      </c>
      <c r="U1227" t="str">
        <f>IF(SeismicData[[#This Row],[class]]=1,"Dangerous","Safe")</f>
        <v>Safe</v>
      </c>
      <c r="V1227" t="str">
        <f>IF(SeismicData[[#This Row],[shift]]="W","Production","Non-Production")</f>
        <v>Production</v>
      </c>
      <c r="W1227" t="str">
        <f>IF(SeismicData[[#This Row],[genergy]]=0,"0","10^"&amp;INT(LOG10(SeismicData[[#This Row],[genergy]])))</f>
        <v>10^4</v>
      </c>
      <c r="X1227" t="str">
        <f>IF(OR(SeismicData[[#This Row],[genergy]]&lt;$AA$6,SeismicData[[#This Row],[genergy]]&gt;$AA$5),"Outlier","Normal")</f>
        <v>Normal</v>
      </c>
    </row>
    <row r="1228" spans="1:24" x14ac:dyDescent="0.15">
      <c r="A1228">
        <v>1227</v>
      </c>
      <c r="B1228" t="s">
        <v>23</v>
      </c>
      <c r="C1228" t="s">
        <v>20</v>
      </c>
      <c r="D1228" t="s">
        <v>22</v>
      </c>
      <c r="E1228">
        <v>20670</v>
      </c>
      <c r="F1228">
        <v>376</v>
      </c>
      <c r="G1228">
        <v>-25</v>
      </c>
      <c r="H1228">
        <v>-10</v>
      </c>
      <c r="I1228" t="s">
        <v>20</v>
      </c>
      <c r="J1228">
        <v>0</v>
      </c>
      <c r="K1228">
        <v>0</v>
      </c>
      <c r="L1228">
        <v>0</v>
      </c>
      <c r="M1228">
        <v>0</v>
      </c>
      <c r="N1228">
        <v>0</v>
      </c>
      <c r="O1228">
        <v>0</v>
      </c>
      <c r="P1228">
        <v>0</v>
      </c>
      <c r="Q1228">
        <v>0</v>
      </c>
      <c r="R1228">
        <v>0</v>
      </c>
      <c r="S1228">
        <v>0</v>
      </c>
      <c r="T1228">
        <v>0</v>
      </c>
      <c r="U1228" t="str">
        <f>IF(SeismicData[[#This Row],[class]]=1,"Dangerous","Safe")</f>
        <v>Safe</v>
      </c>
      <c r="V1228" t="str">
        <f>IF(SeismicData[[#This Row],[shift]]="W","Production","Non-Production")</f>
        <v>Production</v>
      </c>
      <c r="W1228" t="str">
        <f>IF(SeismicData[[#This Row],[genergy]]=0,"0","10^"&amp;INT(LOG10(SeismicData[[#This Row],[genergy]])))</f>
        <v>10^4</v>
      </c>
      <c r="X1228" t="str">
        <f>IF(OR(SeismicData[[#This Row],[genergy]]&lt;$AA$6,SeismicData[[#This Row],[genergy]]&gt;$AA$5),"Outlier","Normal")</f>
        <v>Normal</v>
      </c>
    </row>
    <row r="1229" spans="1:24" x14ac:dyDescent="0.15">
      <c r="A1229">
        <v>1228</v>
      </c>
      <c r="B1229" t="s">
        <v>23</v>
      </c>
      <c r="C1229" t="s">
        <v>20</v>
      </c>
      <c r="D1229" t="s">
        <v>22</v>
      </c>
      <c r="E1229">
        <v>17360</v>
      </c>
      <c r="F1229">
        <v>380</v>
      </c>
      <c r="G1229">
        <v>-37</v>
      </c>
      <c r="H1229">
        <v>-9</v>
      </c>
      <c r="I1229" t="s">
        <v>20</v>
      </c>
      <c r="J1229">
        <v>0</v>
      </c>
      <c r="K1229">
        <v>0</v>
      </c>
      <c r="L1229">
        <v>0</v>
      </c>
      <c r="M1229">
        <v>0</v>
      </c>
      <c r="N1229">
        <v>0</v>
      </c>
      <c r="O1229">
        <v>0</v>
      </c>
      <c r="P1229">
        <v>0</v>
      </c>
      <c r="Q1229">
        <v>0</v>
      </c>
      <c r="R1229">
        <v>0</v>
      </c>
      <c r="S1229">
        <v>0</v>
      </c>
      <c r="T1229">
        <v>0</v>
      </c>
      <c r="U1229" t="str">
        <f>IF(SeismicData[[#This Row],[class]]=1,"Dangerous","Safe")</f>
        <v>Safe</v>
      </c>
      <c r="V1229" t="str">
        <f>IF(SeismicData[[#This Row],[shift]]="W","Production","Non-Production")</f>
        <v>Production</v>
      </c>
      <c r="W1229" t="str">
        <f>IF(SeismicData[[#This Row],[genergy]]=0,"0","10^"&amp;INT(LOG10(SeismicData[[#This Row],[genergy]])))</f>
        <v>10^4</v>
      </c>
      <c r="X1229" t="str">
        <f>IF(OR(SeismicData[[#This Row],[genergy]]&lt;$AA$6,SeismicData[[#This Row],[genergy]]&gt;$AA$5),"Outlier","Normal")</f>
        <v>Normal</v>
      </c>
    </row>
    <row r="1230" spans="1:24" x14ac:dyDescent="0.15">
      <c r="A1230">
        <v>1229</v>
      </c>
      <c r="B1230" t="s">
        <v>23</v>
      </c>
      <c r="C1230" t="s">
        <v>20</v>
      </c>
      <c r="D1230" t="s">
        <v>22</v>
      </c>
      <c r="E1230">
        <v>12840</v>
      </c>
      <c r="F1230">
        <v>350</v>
      </c>
      <c r="G1230">
        <v>157</v>
      </c>
      <c r="H1230">
        <v>40</v>
      </c>
      <c r="I1230" t="s">
        <v>20</v>
      </c>
      <c r="J1230">
        <v>0</v>
      </c>
      <c r="K1230">
        <v>0</v>
      </c>
      <c r="L1230">
        <v>0</v>
      </c>
      <c r="M1230">
        <v>0</v>
      </c>
      <c r="N1230">
        <v>0</v>
      </c>
      <c r="O1230">
        <v>0</v>
      </c>
      <c r="P1230">
        <v>0</v>
      </c>
      <c r="Q1230">
        <v>0</v>
      </c>
      <c r="R1230">
        <v>0</v>
      </c>
      <c r="S1230">
        <v>0</v>
      </c>
      <c r="T1230">
        <v>0</v>
      </c>
      <c r="U1230" t="str">
        <f>IF(SeismicData[[#This Row],[class]]=1,"Dangerous","Safe")</f>
        <v>Safe</v>
      </c>
      <c r="V1230" t="str">
        <f>IF(SeismicData[[#This Row],[shift]]="W","Production","Non-Production")</f>
        <v>Production</v>
      </c>
      <c r="W1230" t="str">
        <f>IF(SeismicData[[#This Row],[genergy]]=0,"0","10^"&amp;INT(LOG10(SeismicData[[#This Row],[genergy]])))</f>
        <v>10^4</v>
      </c>
      <c r="X1230" t="str">
        <f>IF(OR(SeismicData[[#This Row],[genergy]]&lt;$AA$6,SeismicData[[#This Row],[genergy]]&gt;$AA$5),"Outlier","Normal")</f>
        <v>Normal</v>
      </c>
    </row>
    <row r="1231" spans="1:24" x14ac:dyDescent="0.15">
      <c r="A1231">
        <v>1230</v>
      </c>
      <c r="B1231" t="s">
        <v>23</v>
      </c>
      <c r="C1231" t="s">
        <v>20</v>
      </c>
      <c r="D1231" t="s">
        <v>22</v>
      </c>
      <c r="E1231">
        <v>28010</v>
      </c>
      <c r="F1231">
        <v>693</v>
      </c>
      <c r="G1231">
        <v>23</v>
      </c>
      <c r="H1231">
        <v>3</v>
      </c>
      <c r="I1231" t="s">
        <v>20</v>
      </c>
      <c r="J1231">
        <v>0</v>
      </c>
      <c r="K1231">
        <v>0</v>
      </c>
      <c r="L1231">
        <v>0</v>
      </c>
      <c r="M1231">
        <v>0</v>
      </c>
      <c r="N1231">
        <v>0</v>
      </c>
      <c r="O1231">
        <v>0</v>
      </c>
      <c r="P1231">
        <v>0</v>
      </c>
      <c r="Q1231">
        <v>0</v>
      </c>
      <c r="R1231">
        <v>0</v>
      </c>
      <c r="S1231">
        <v>0</v>
      </c>
      <c r="T1231">
        <v>0</v>
      </c>
      <c r="U1231" t="str">
        <f>IF(SeismicData[[#This Row],[class]]=1,"Dangerous","Safe")</f>
        <v>Safe</v>
      </c>
      <c r="V1231" t="str">
        <f>IF(SeismicData[[#This Row],[shift]]="W","Production","Non-Production")</f>
        <v>Production</v>
      </c>
      <c r="W1231" t="str">
        <f>IF(SeismicData[[#This Row],[genergy]]=0,"0","10^"&amp;INT(LOG10(SeismicData[[#This Row],[genergy]])))</f>
        <v>10^4</v>
      </c>
      <c r="X1231" t="str">
        <f>IF(OR(SeismicData[[#This Row],[genergy]]&lt;$AA$6,SeismicData[[#This Row],[genergy]]&gt;$AA$5),"Outlier","Normal")</f>
        <v>Normal</v>
      </c>
    </row>
    <row r="1232" spans="1:24" x14ac:dyDescent="0.15">
      <c r="A1232">
        <v>1231</v>
      </c>
      <c r="B1232" t="s">
        <v>23</v>
      </c>
      <c r="C1232" t="s">
        <v>20</v>
      </c>
      <c r="D1232" t="s">
        <v>21</v>
      </c>
      <c r="E1232">
        <v>17620</v>
      </c>
      <c r="F1232">
        <v>557</v>
      </c>
      <c r="G1232">
        <v>91</v>
      </c>
      <c r="H1232">
        <v>151</v>
      </c>
      <c r="I1232" t="s">
        <v>20</v>
      </c>
      <c r="J1232">
        <v>1</v>
      </c>
      <c r="K1232">
        <v>1</v>
      </c>
      <c r="L1232">
        <v>0</v>
      </c>
      <c r="M1232">
        <v>0</v>
      </c>
      <c r="N1232">
        <v>0</v>
      </c>
      <c r="O1232">
        <v>0</v>
      </c>
      <c r="P1232">
        <v>0</v>
      </c>
      <c r="Q1232">
        <v>0</v>
      </c>
      <c r="R1232">
        <v>300</v>
      </c>
      <c r="S1232">
        <v>300</v>
      </c>
      <c r="T1232">
        <v>0</v>
      </c>
      <c r="U1232" t="str">
        <f>IF(SeismicData[[#This Row],[class]]=1,"Dangerous","Safe")</f>
        <v>Safe</v>
      </c>
      <c r="V1232" t="str">
        <f>IF(SeismicData[[#This Row],[shift]]="W","Production","Non-Production")</f>
        <v>Non-Production</v>
      </c>
      <c r="W1232" t="str">
        <f>IF(SeismicData[[#This Row],[genergy]]=0,"0","10^"&amp;INT(LOG10(SeismicData[[#This Row],[genergy]])))</f>
        <v>10^4</v>
      </c>
      <c r="X1232" t="str">
        <f>IF(OR(SeismicData[[#This Row],[genergy]]&lt;$AA$6,SeismicData[[#This Row],[genergy]]&gt;$AA$5),"Outlier","Normal")</f>
        <v>Normal</v>
      </c>
    </row>
    <row r="1233" spans="1:24" x14ac:dyDescent="0.15">
      <c r="A1233">
        <v>1232</v>
      </c>
      <c r="B1233" t="s">
        <v>23</v>
      </c>
      <c r="C1233" t="s">
        <v>20</v>
      </c>
      <c r="D1233" t="s">
        <v>22</v>
      </c>
      <c r="E1233">
        <v>12950</v>
      </c>
      <c r="F1233">
        <v>428</v>
      </c>
      <c r="G1233">
        <v>-38</v>
      </c>
      <c r="H1233">
        <v>-31</v>
      </c>
      <c r="I1233" t="s">
        <v>20</v>
      </c>
      <c r="J1233">
        <v>0</v>
      </c>
      <c r="K1233">
        <v>0</v>
      </c>
      <c r="L1233">
        <v>0</v>
      </c>
      <c r="M1233">
        <v>0</v>
      </c>
      <c r="N1233">
        <v>0</v>
      </c>
      <c r="O1233">
        <v>0</v>
      </c>
      <c r="P1233">
        <v>0</v>
      </c>
      <c r="Q1233">
        <v>0</v>
      </c>
      <c r="R1233">
        <v>0</v>
      </c>
      <c r="S1233">
        <v>0</v>
      </c>
      <c r="T1233">
        <v>0</v>
      </c>
      <c r="U1233" t="str">
        <f>IF(SeismicData[[#This Row],[class]]=1,"Dangerous","Safe")</f>
        <v>Safe</v>
      </c>
      <c r="V1233" t="str">
        <f>IF(SeismicData[[#This Row],[shift]]="W","Production","Non-Production")</f>
        <v>Production</v>
      </c>
      <c r="W1233" t="str">
        <f>IF(SeismicData[[#This Row],[genergy]]=0,"0","10^"&amp;INT(LOG10(SeismicData[[#This Row],[genergy]])))</f>
        <v>10^4</v>
      </c>
      <c r="X1233" t="str">
        <f>IF(OR(SeismicData[[#This Row],[genergy]]&lt;$AA$6,SeismicData[[#This Row],[genergy]]&gt;$AA$5),"Outlier","Normal")</f>
        <v>Normal</v>
      </c>
    </row>
    <row r="1234" spans="1:24" x14ac:dyDescent="0.15">
      <c r="A1234">
        <v>1233</v>
      </c>
      <c r="B1234" t="s">
        <v>23</v>
      </c>
      <c r="C1234" t="s">
        <v>20</v>
      </c>
      <c r="D1234" t="s">
        <v>22</v>
      </c>
      <c r="E1234">
        <v>17320</v>
      </c>
      <c r="F1234">
        <v>586</v>
      </c>
      <c r="G1234">
        <v>-17</v>
      </c>
      <c r="H1234">
        <v>-6</v>
      </c>
      <c r="I1234" t="s">
        <v>20</v>
      </c>
      <c r="J1234">
        <v>0</v>
      </c>
      <c r="K1234">
        <v>0</v>
      </c>
      <c r="L1234">
        <v>0</v>
      </c>
      <c r="M1234">
        <v>0</v>
      </c>
      <c r="N1234">
        <v>0</v>
      </c>
      <c r="O1234">
        <v>0</v>
      </c>
      <c r="P1234">
        <v>0</v>
      </c>
      <c r="Q1234">
        <v>0</v>
      </c>
      <c r="R1234">
        <v>0</v>
      </c>
      <c r="S1234">
        <v>0</v>
      </c>
      <c r="T1234">
        <v>0</v>
      </c>
      <c r="U1234" t="str">
        <f>IF(SeismicData[[#This Row],[class]]=1,"Dangerous","Safe")</f>
        <v>Safe</v>
      </c>
      <c r="V1234" t="str">
        <f>IF(SeismicData[[#This Row],[shift]]="W","Production","Non-Production")</f>
        <v>Production</v>
      </c>
      <c r="W1234" t="str">
        <f>IF(SeismicData[[#This Row],[genergy]]=0,"0","10^"&amp;INT(LOG10(SeismicData[[#This Row],[genergy]])))</f>
        <v>10^4</v>
      </c>
      <c r="X1234" t="str">
        <f>IF(OR(SeismicData[[#This Row],[genergy]]&lt;$AA$6,SeismicData[[#This Row],[genergy]]&gt;$AA$5),"Outlier","Normal")</f>
        <v>Normal</v>
      </c>
    </row>
    <row r="1235" spans="1:24" x14ac:dyDescent="0.15">
      <c r="A1235">
        <v>1234</v>
      </c>
      <c r="B1235" t="s">
        <v>23</v>
      </c>
      <c r="C1235" t="s">
        <v>20</v>
      </c>
      <c r="D1235" t="s">
        <v>22</v>
      </c>
      <c r="E1235">
        <v>28610</v>
      </c>
      <c r="F1235">
        <v>330</v>
      </c>
      <c r="G1235">
        <v>12</v>
      </c>
      <c r="H1235">
        <v>-15</v>
      </c>
      <c r="I1235" t="s">
        <v>20</v>
      </c>
      <c r="J1235">
        <v>2</v>
      </c>
      <c r="K1235">
        <v>1</v>
      </c>
      <c r="L1235">
        <v>1</v>
      </c>
      <c r="M1235">
        <v>0</v>
      </c>
      <c r="N1235">
        <v>0</v>
      </c>
      <c r="O1235">
        <v>0</v>
      </c>
      <c r="P1235">
        <v>0</v>
      </c>
      <c r="Q1235">
        <v>0</v>
      </c>
      <c r="R1235">
        <v>6900</v>
      </c>
      <c r="S1235">
        <v>6000</v>
      </c>
      <c r="T1235">
        <v>0</v>
      </c>
      <c r="U1235" t="str">
        <f>IF(SeismicData[[#This Row],[class]]=1,"Dangerous","Safe")</f>
        <v>Safe</v>
      </c>
      <c r="V1235" t="str">
        <f>IF(SeismicData[[#This Row],[shift]]="W","Production","Non-Production")</f>
        <v>Production</v>
      </c>
      <c r="W1235" t="str">
        <f>IF(SeismicData[[#This Row],[genergy]]=0,"0","10^"&amp;INT(LOG10(SeismicData[[#This Row],[genergy]])))</f>
        <v>10^4</v>
      </c>
      <c r="X1235" t="str">
        <f>IF(OR(SeismicData[[#This Row],[genergy]]&lt;$AA$6,SeismicData[[#This Row],[genergy]]&gt;$AA$5),"Outlier","Normal")</f>
        <v>Normal</v>
      </c>
    </row>
    <row r="1236" spans="1:24" x14ac:dyDescent="0.15">
      <c r="A1236">
        <v>1235</v>
      </c>
      <c r="B1236" t="s">
        <v>23</v>
      </c>
      <c r="C1236" t="s">
        <v>20</v>
      </c>
      <c r="D1236" t="s">
        <v>22</v>
      </c>
      <c r="E1236">
        <v>16170</v>
      </c>
      <c r="F1236">
        <v>414</v>
      </c>
      <c r="G1236">
        <v>-37</v>
      </c>
      <c r="H1236">
        <v>6</v>
      </c>
      <c r="I1236" t="s">
        <v>20</v>
      </c>
      <c r="J1236">
        <v>0</v>
      </c>
      <c r="K1236">
        <v>0</v>
      </c>
      <c r="L1236">
        <v>0</v>
      </c>
      <c r="M1236">
        <v>0</v>
      </c>
      <c r="N1236">
        <v>0</v>
      </c>
      <c r="O1236">
        <v>0</v>
      </c>
      <c r="P1236">
        <v>0</v>
      </c>
      <c r="Q1236">
        <v>0</v>
      </c>
      <c r="R1236">
        <v>0</v>
      </c>
      <c r="S1236">
        <v>0</v>
      </c>
      <c r="T1236">
        <v>0</v>
      </c>
      <c r="U1236" t="str">
        <f>IF(SeismicData[[#This Row],[class]]=1,"Dangerous","Safe")</f>
        <v>Safe</v>
      </c>
      <c r="V1236" t="str">
        <f>IF(SeismicData[[#This Row],[shift]]="W","Production","Non-Production")</f>
        <v>Production</v>
      </c>
      <c r="W1236" t="str">
        <f>IF(SeismicData[[#This Row],[genergy]]=0,"0","10^"&amp;INT(LOG10(SeismicData[[#This Row],[genergy]])))</f>
        <v>10^4</v>
      </c>
      <c r="X1236" t="str">
        <f>IF(OR(SeismicData[[#This Row],[genergy]]&lt;$AA$6,SeismicData[[#This Row],[genergy]]&gt;$AA$5),"Outlier","Normal")</f>
        <v>Normal</v>
      </c>
    </row>
    <row r="1237" spans="1:24" x14ac:dyDescent="0.15">
      <c r="A1237">
        <v>1236</v>
      </c>
      <c r="B1237" t="s">
        <v>23</v>
      </c>
      <c r="C1237" t="s">
        <v>20</v>
      </c>
      <c r="D1237" t="s">
        <v>22</v>
      </c>
      <c r="E1237">
        <v>15600</v>
      </c>
      <c r="F1237">
        <v>274</v>
      </c>
      <c r="G1237">
        <v>-39</v>
      </c>
      <c r="H1237">
        <v>-30</v>
      </c>
      <c r="I1237" t="s">
        <v>20</v>
      </c>
      <c r="J1237">
        <v>0</v>
      </c>
      <c r="K1237">
        <v>0</v>
      </c>
      <c r="L1237">
        <v>0</v>
      </c>
      <c r="M1237">
        <v>0</v>
      </c>
      <c r="N1237">
        <v>0</v>
      </c>
      <c r="O1237">
        <v>0</v>
      </c>
      <c r="P1237">
        <v>0</v>
      </c>
      <c r="Q1237">
        <v>0</v>
      </c>
      <c r="R1237">
        <v>0</v>
      </c>
      <c r="S1237">
        <v>0</v>
      </c>
      <c r="T1237">
        <v>0</v>
      </c>
      <c r="U1237" t="str">
        <f>IF(SeismicData[[#This Row],[class]]=1,"Dangerous","Safe")</f>
        <v>Safe</v>
      </c>
      <c r="V1237" t="str">
        <f>IF(SeismicData[[#This Row],[shift]]="W","Production","Non-Production")</f>
        <v>Production</v>
      </c>
      <c r="W1237" t="str">
        <f>IF(SeismicData[[#This Row],[genergy]]=0,"0","10^"&amp;INT(LOG10(SeismicData[[#This Row],[genergy]])))</f>
        <v>10^4</v>
      </c>
      <c r="X1237" t="str">
        <f>IF(OR(SeismicData[[#This Row],[genergy]]&lt;$AA$6,SeismicData[[#This Row],[genergy]]&gt;$AA$5),"Outlier","Normal")</f>
        <v>Normal</v>
      </c>
    </row>
    <row r="1238" spans="1:24" x14ac:dyDescent="0.15">
      <c r="A1238">
        <v>1237</v>
      </c>
      <c r="B1238" t="s">
        <v>23</v>
      </c>
      <c r="C1238" t="s">
        <v>20</v>
      </c>
      <c r="D1238" t="s">
        <v>22</v>
      </c>
      <c r="E1238">
        <v>52360</v>
      </c>
      <c r="F1238">
        <v>1004</v>
      </c>
      <c r="G1238">
        <v>150</v>
      </c>
      <c r="H1238">
        <v>61</v>
      </c>
      <c r="I1238" t="s">
        <v>20</v>
      </c>
      <c r="J1238">
        <v>0</v>
      </c>
      <c r="K1238">
        <v>0</v>
      </c>
      <c r="L1238">
        <v>0</v>
      </c>
      <c r="M1238">
        <v>0</v>
      </c>
      <c r="N1238">
        <v>0</v>
      </c>
      <c r="O1238">
        <v>0</v>
      </c>
      <c r="P1238">
        <v>0</v>
      </c>
      <c r="Q1238">
        <v>0</v>
      </c>
      <c r="R1238">
        <v>0</v>
      </c>
      <c r="S1238">
        <v>0</v>
      </c>
      <c r="T1238">
        <v>0</v>
      </c>
      <c r="U1238" t="str">
        <f>IF(SeismicData[[#This Row],[class]]=1,"Dangerous","Safe")</f>
        <v>Safe</v>
      </c>
      <c r="V1238" t="str">
        <f>IF(SeismicData[[#This Row],[shift]]="W","Production","Non-Production")</f>
        <v>Production</v>
      </c>
      <c r="W1238" t="str">
        <f>IF(SeismicData[[#This Row],[genergy]]=0,"0","10^"&amp;INT(LOG10(SeismicData[[#This Row],[genergy]])))</f>
        <v>10^4</v>
      </c>
      <c r="X1238" t="str">
        <f>IF(OR(SeismicData[[#This Row],[genergy]]&lt;$AA$6,SeismicData[[#This Row],[genergy]]&gt;$AA$5),"Outlier","Normal")</f>
        <v>Normal</v>
      </c>
    </row>
    <row r="1239" spans="1:24" x14ac:dyDescent="0.15">
      <c r="A1239">
        <v>1238</v>
      </c>
      <c r="B1239" t="s">
        <v>23</v>
      </c>
      <c r="C1239" t="s">
        <v>20</v>
      </c>
      <c r="D1239" t="s">
        <v>22</v>
      </c>
      <c r="E1239">
        <v>44960</v>
      </c>
      <c r="F1239">
        <v>1172</v>
      </c>
      <c r="G1239">
        <v>115</v>
      </c>
      <c r="H1239">
        <v>88</v>
      </c>
      <c r="I1239" t="s">
        <v>20</v>
      </c>
      <c r="J1239">
        <v>1</v>
      </c>
      <c r="K1239">
        <v>1</v>
      </c>
      <c r="L1239">
        <v>0</v>
      </c>
      <c r="M1239">
        <v>0</v>
      </c>
      <c r="N1239">
        <v>0</v>
      </c>
      <c r="O1239">
        <v>0</v>
      </c>
      <c r="P1239">
        <v>0</v>
      </c>
      <c r="Q1239">
        <v>0</v>
      </c>
      <c r="R1239">
        <v>200</v>
      </c>
      <c r="S1239">
        <v>200</v>
      </c>
      <c r="T1239">
        <v>0</v>
      </c>
      <c r="U1239" t="str">
        <f>IF(SeismicData[[#This Row],[class]]=1,"Dangerous","Safe")</f>
        <v>Safe</v>
      </c>
      <c r="V1239" t="str">
        <f>IF(SeismicData[[#This Row],[shift]]="W","Production","Non-Production")</f>
        <v>Production</v>
      </c>
      <c r="W1239" t="str">
        <f>IF(SeismicData[[#This Row],[genergy]]=0,"0","10^"&amp;INT(LOG10(SeismicData[[#This Row],[genergy]])))</f>
        <v>10^4</v>
      </c>
      <c r="X1239" t="str">
        <f>IF(OR(SeismicData[[#This Row],[genergy]]&lt;$AA$6,SeismicData[[#This Row],[genergy]]&gt;$AA$5),"Outlier","Normal")</f>
        <v>Normal</v>
      </c>
    </row>
    <row r="1240" spans="1:24" x14ac:dyDescent="0.15">
      <c r="A1240">
        <v>1239</v>
      </c>
      <c r="B1240" t="s">
        <v>20</v>
      </c>
      <c r="C1240" t="s">
        <v>20</v>
      </c>
      <c r="D1240" t="s">
        <v>22</v>
      </c>
      <c r="E1240">
        <v>18580</v>
      </c>
      <c r="F1240">
        <v>753</v>
      </c>
      <c r="G1240">
        <v>-7</v>
      </c>
      <c r="H1240">
        <v>25</v>
      </c>
      <c r="I1240" t="s">
        <v>20</v>
      </c>
      <c r="J1240">
        <v>0</v>
      </c>
      <c r="K1240">
        <v>0</v>
      </c>
      <c r="L1240">
        <v>0</v>
      </c>
      <c r="M1240">
        <v>0</v>
      </c>
      <c r="N1240">
        <v>0</v>
      </c>
      <c r="O1240">
        <v>0</v>
      </c>
      <c r="P1240">
        <v>0</v>
      </c>
      <c r="Q1240">
        <v>0</v>
      </c>
      <c r="R1240">
        <v>0</v>
      </c>
      <c r="S1240">
        <v>0</v>
      </c>
      <c r="T1240">
        <v>0</v>
      </c>
      <c r="U1240" t="str">
        <f>IF(SeismicData[[#This Row],[class]]=1,"Dangerous","Safe")</f>
        <v>Safe</v>
      </c>
      <c r="V1240" t="str">
        <f>IF(SeismicData[[#This Row],[shift]]="W","Production","Non-Production")</f>
        <v>Production</v>
      </c>
      <c r="W1240" t="str">
        <f>IF(SeismicData[[#This Row],[genergy]]=0,"0","10^"&amp;INT(LOG10(SeismicData[[#This Row],[genergy]])))</f>
        <v>10^4</v>
      </c>
      <c r="X1240" t="str">
        <f>IF(OR(SeismicData[[#This Row],[genergy]]&lt;$AA$6,SeismicData[[#This Row],[genergy]]&gt;$AA$5),"Outlier","Normal")</f>
        <v>Normal</v>
      </c>
    </row>
    <row r="1241" spans="1:24" x14ac:dyDescent="0.15">
      <c r="A1241">
        <v>1240</v>
      </c>
      <c r="B1241" t="s">
        <v>20</v>
      </c>
      <c r="C1241" t="s">
        <v>20</v>
      </c>
      <c r="D1241" t="s">
        <v>21</v>
      </c>
      <c r="E1241">
        <v>12240</v>
      </c>
      <c r="F1241">
        <v>452</v>
      </c>
      <c r="G1241">
        <v>33</v>
      </c>
      <c r="H1241">
        <v>104</v>
      </c>
      <c r="I1241" t="s">
        <v>20</v>
      </c>
      <c r="J1241">
        <v>0</v>
      </c>
      <c r="K1241">
        <v>0</v>
      </c>
      <c r="L1241">
        <v>0</v>
      </c>
      <c r="M1241">
        <v>0</v>
      </c>
      <c r="N1241">
        <v>0</v>
      </c>
      <c r="O1241">
        <v>0</v>
      </c>
      <c r="P1241">
        <v>0</v>
      </c>
      <c r="Q1241">
        <v>0</v>
      </c>
      <c r="R1241">
        <v>0</v>
      </c>
      <c r="S1241">
        <v>0</v>
      </c>
      <c r="T1241">
        <v>0</v>
      </c>
      <c r="U1241" t="str">
        <f>IF(SeismicData[[#This Row],[class]]=1,"Dangerous","Safe")</f>
        <v>Safe</v>
      </c>
      <c r="V1241" t="str">
        <f>IF(SeismicData[[#This Row],[shift]]="W","Production","Non-Production")</f>
        <v>Non-Production</v>
      </c>
      <c r="W1241" t="str">
        <f>IF(SeismicData[[#This Row],[genergy]]=0,"0","10^"&amp;INT(LOG10(SeismicData[[#This Row],[genergy]])))</f>
        <v>10^4</v>
      </c>
      <c r="X1241" t="str">
        <f>IF(OR(SeismicData[[#This Row],[genergy]]&lt;$AA$6,SeismicData[[#This Row],[genergy]]&gt;$AA$5),"Outlier","Normal")</f>
        <v>Normal</v>
      </c>
    </row>
    <row r="1242" spans="1:24" x14ac:dyDescent="0.15">
      <c r="A1242">
        <v>1241</v>
      </c>
      <c r="B1242" t="s">
        <v>20</v>
      </c>
      <c r="C1242" t="s">
        <v>20</v>
      </c>
      <c r="D1242" t="s">
        <v>22</v>
      </c>
      <c r="E1242">
        <v>16840</v>
      </c>
      <c r="F1242">
        <v>318</v>
      </c>
      <c r="G1242">
        <v>-28</v>
      </c>
      <c r="H1242">
        <v>-17</v>
      </c>
      <c r="I1242" t="s">
        <v>20</v>
      </c>
      <c r="J1242">
        <v>0</v>
      </c>
      <c r="K1242">
        <v>0</v>
      </c>
      <c r="L1242">
        <v>0</v>
      </c>
      <c r="M1242">
        <v>0</v>
      </c>
      <c r="N1242">
        <v>0</v>
      </c>
      <c r="O1242">
        <v>0</v>
      </c>
      <c r="P1242">
        <v>0</v>
      </c>
      <c r="Q1242">
        <v>0</v>
      </c>
      <c r="R1242">
        <v>0</v>
      </c>
      <c r="S1242">
        <v>0</v>
      </c>
      <c r="T1242">
        <v>0</v>
      </c>
      <c r="U1242" t="str">
        <f>IF(SeismicData[[#This Row],[class]]=1,"Dangerous","Safe")</f>
        <v>Safe</v>
      </c>
      <c r="V1242" t="str">
        <f>IF(SeismicData[[#This Row],[shift]]="W","Production","Non-Production")</f>
        <v>Production</v>
      </c>
      <c r="W1242" t="str">
        <f>IF(SeismicData[[#This Row],[genergy]]=0,"0","10^"&amp;INT(LOG10(SeismicData[[#This Row],[genergy]])))</f>
        <v>10^4</v>
      </c>
      <c r="X1242" t="str">
        <f>IF(OR(SeismicData[[#This Row],[genergy]]&lt;$AA$6,SeismicData[[#This Row],[genergy]]&gt;$AA$5),"Outlier","Normal")</f>
        <v>Normal</v>
      </c>
    </row>
    <row r="1243" spans="1:24" x14ac:dyDescent="0.15">
      <c r="A1243">
        <v>1242</v>
      </c>
      <c r="B1243" t="s">
        <v>20</v>
      </c>
      <c r="C1243" t="s">
        <v>20</v>
      </c>
      <c r="D1243" t="s">
        <v>22</v>
      </c>
      <c r="E1243">
        <v>15820</v>
      </c>
      <c r="F1243">
        <v>382</v>
      </c>
      <c r="G1243">
        <v>-32</v>
      </c>
      <c r="H1243">
        <v>0</v>
      </c>
      <c r="I1243" t="s">
        <v>20</v>
      </c>
      <c r="J1243">
        <v>0</v>
      </c>
      <c r="K1243">
        <v>0</v>
      </c>
      <c r="L1243">
        <v>0</v>
      </c>
      <c r="M1243">
        <v>0</v>
      </c>
      <c r="N1243">
        <v>0</v>
      </c>
      <c r="O1243">
        <v>0</v>
      </c>
      <c r="P1243">
        <v>0</v>
      </c>
      <c r="Q1243">
        <v>0</v>
      </c>
      <c r="R1243">
        <v>0</v>
      </c>
      <c r="S1243">
        <v>0</v>
      </c>
      <c r="T1243">
        <v>0</v>
      </c>
      <c r="U1243" t="str">
        <f>IF(SeismicData[[#This Row],[class]]=1,"Dangerous","Safe")</f>
        <v>Safe</v>
      </c>
      <c r="V1243" t="str">
        <f>IF(SeismicData[[#This Row],[shift]]="W","Production","Non-Production")</f>
        <v>Production</v>
      </c>
      <c r="W1243" t="str">
        <f>IF(SeismicData[[#This Row],[genergy]]=0,"0","10^"&amp;INT(LOG10(SeismicData[[#This Row],[genergy]])))</f>
        <v>10^4</v>
      </c>
      <c r="X1243" t="str">
        <f>IF(OR(SeismicData[[#This Row],[genergy]]&lt;$AA$6,SeismicData[[#This Row],[genergy]]&gt;$AA$5),"Outlier","Normal")</f>
        <v>Normal</v>
      </c>
    </row>
    <row r="1244" spans="1:24" x14ac:dyDescent="0.15">
      <c r="A1244">
        <v>1243</v>
      </c>
      <c r="B1244" t="s">
        <v>20</v>
      </c>
      <c r="C1244" t="s">
        <v>20</v>
      </c>
      <c r="D1244" t="s">
        <v>22</v>
      </c>
      <c r="E1244">
        <v>17690</v>
      </c>
      <c r="F1244">
        <v>284</v>
      </c>
      <c r="G1244">
        <v>-24</v>
      </c>
      <c r="H1244">
        <v>-26</v>
      </c>
      <c r="I1244" t="s">
        <v>20</v>
      </c>
      <c r="J1244">
        <v>1</v>
      </c>
      <c r="K1244">
        <v>1</v>
      </c>
      <c r="L1244">
        <v>0</v>
      </c>
      <c r="M1244">
        <v>0</v>
      </c>
      <c r="N1244">
        <v>0</v>
      </c>
      <c r="O1244">
        <v>0</v>
      </c>
      <c r="P1244">
        <v>0</v>
      </c>
      <c r="Q1244">
        <v>0</v>
      </c>
      <c r="R1244">
        <v>300</v>
      </c>
      <c r="S1244">
        <v>300</v>
      </c>
      <c r="T1244">
        <v>0</v>
      </c>
      <c r="U1244" t="str">
        <f>IF(SeismicData[[#This Row],[class]]=1,"Dangerous","Safe")</f>
        <v>Safe</v>
      </c>
      <c r="V1244" t="str">
        <f>IF(SeismicData[[#This Row],[shift]]="W","Production","Non-Production")</f>
        <v>Production</v>
      </c>
      <c r="W1244" t="str">
        <f>IF(SeismicData[[#This Row],[genergy]]=0,"0","10^"&amp;INT(LOG10(SeismicData[[#This Row],[genergy]])))</f>
        <v>10^4</v>
      </c>
      <c r="X1244" t="str">
        <f>IF(OR(SeismicData[[#This Row],[genergy]]&lt;$AA$6,SeismicData[[#This Row],[genergy]]&gt;$AA$5),"Outlier","Normal")</f>
        <v>Normal</v>
      </c>
    </row>
    <row r="1245" spans="1:24" x14ac:dyDescent="0.15">
      <c r="A1245">
        <v>1244</v>
      </c>
      <c r="B1245" t="s">
        <v>20</v>
      </c>
      <c r="C1245" t="s">
        <v>20</v>
      </c>
      <c r="D1245" t="s">
        <v>22</v>
      </c>
      <c r="E1245">
        <v>15380</v>
      </c>
      <c r="F1245">
        <v>251</v>
      </c>
      <c r="G1245">
        <v>-34</v>
      </c>
      <c r="H1245">
        <v>-34</v>
      </c>
      <c r="I1245" t="s">
        <v>20</v>
      </c>
      <c r="J1245">
        <v>0</v>
      </c>
      <c r="K1245">
        <v>0</v>
      </c>
      <c r="L1245">
        <v>0</v>
      </c>
      <c r="M1245">
        <v>0</v>
      </c>
      <c r="N1245">
        <v>0</v>
      </c>
      <c r="O1245">
        <v>0</v>
      </c>
      <c r="P1245">
        <v>0</v>
      </c>
      <c r="Q1245">
        <v>0</v>
      </c>
      <c r="R1245">
        <v>0</v>
      </c>
      <c r="S1245">
        <v>0</v>
      </c>
      <c r="T1245">
        <v>0</v>
      </c>
      <c r="U1245" t="str">
        <f>IF(SeismicData[[#This Row],[class]]=1,"Dangerous","Safe")</f>
        <v>Safe</v>
      </c>
      <c r="V1245" t="str">
        <f>IF(SeismicData[[#This Row],[shift]]="W","Production","Non-Production")</f>
        <v>Production</v>
      </c>
      <c r="W1245" t="str">
        <f>IF(SeismicData[[#This Row],[genergy]]=0,"0","10^"&amp;INT(LOG10(SeismicData[[#This Row],[genergy]])))</f>
        <v>10^4</v>
      </c>
      <c r="X1245" t="str">
        <f>IF(OR(SeismicData[[#This Row],[genergy]]&lt;$AA$6,SeismicData[[#This Row],[genergy]]&gt;$AA$5),"Outlier","Normal")</f>
        <v>Normal</v>
      </c>
    </row>
    <row r="1246" spans="1:24" x14ac:dyDescent="0.15">
      <c r="A1246">
        <v>1245</v>
      </c>
      <c r="B1246" t="s">
        <v>20</v>
      </c>
      <c r="C1246" t="s">
        <v>20</v>
      </c>
      <c r="D1246" t="s">
        <v>21</v>
      </c>
      <c r="E1246">
        <v>9540</v>
      </c>
      <c r="F1246">
        <v>339</v>
      </c>
      <c r="G1246">
        <v>3</v>
      </c>
      <c r="H1246">
        <v>53</v>
      </c>
      <c r="I1246" t="s">
        <v>20</v>
      </c>
      <c r="J1246">
        <v>0</v>
      </c>
      <c r="K1246">
        <v>0</v>
      </c>
      <c r="L1246">
        <v>0</v>
      </c>
      <c r="M1246">
        <v>0</v>
      </c>
      <c r="N1246">
        <v>0</v>
      </c>
      <c r="O1246">
        <v>0</v>
      </c>
      <c r="P1246">
        <v>0</v>
      </c>
      <c r="Q1246">
        <v>0</v>
      </c>
      <c r="R1246">
        <v>0</v>
      </c>
      <c r="S1246">
        <v>0</v>
      </c>
      <c r="T1246">
        <v>0</v>
      </c>
      <c r="U1246" t="str">
        <f>IF(SeismicData[[#This Row],[class]]=1,"Dangerous","Safe")</f>
        <v>Safe</v>
      </c>
      <c r="V1246" t="str">
        <f>IF(SeismicData[[#This Row],[shift]]="W","Production","Non-Production")</f>
        <v>Non-Production</v>
      </c>
      <c r="W1246" t="str">
        <f>IF(SeismicData[[#This Row],[genergy]]=0,"0","10^"&amp;INT(LOG10(SeismicData[[#This Row],[genergy]])))</f>
        <v>10^3</v>
      </c>
      <c r="X1246" t="str">
        <f>IF(OR(SeismicData[[#This Row],[genergy]]&lt;$AA$6,SeismicData[[#This Row],[genergy]]&gt;$AA$5),"Outlier","Normal")</f>
        <v>Normal</v>
      </c>
    </row>
    <row r="1247" spans="1:24" x14ac:dyDescent="0.15">
      <c r="A1247">
        <v>1246</v>
      </c>
      <c r="B1247" t="s">
        <v>20</v>
      </c>
      <c r="C1247" t="s">
        <v>20</v>
      </c>
      <c r="D1247" t="s">
        <v>21</v>
      </c>
      <c r="E1247">
        <v>18040</v>
      </c>
      <c r="F1247">
        <v>317</v>
      </c>
      <c r="G1247">
        <v>95</v>
      </c>
      <c r="H1247">
        <v>43</v>
      </c>
      <c r="I1247" t="s">
        <v>20</v>
      </c>
      <c r="J1247">
        <v>0</v>
      </c>
      <c r="K1247">
        <v>0</v>
      </c>
      <c r="L1247">
        <v>0</v>
      </c>
      <c r="M1247">
        <v>0</v>
      </c>
      <c r="N1247">
        <v>0</v>
      </c>
      <c r="O1247">
        <v>0</v>
      </c>
      <c r="P1247">
        <v>0</v>
      </c>
      <c r="Q1247">
        <v>0</v>
      </c>
      <c r="R1247">
        <v>0</v>
      </c>
      <c r="S1247">
        <v>0</v>
      </c>
      <c r="T1247">
        <v>0</v>
      </c>
      <c r="U1247" t="str">
        <f>IF(SeismicData[[#This Row],[class]]=1,"Dangerous","Safe")</f>
        <v>Safe</v>
      </c>
      <c r="V1247" t="str">
        <f>IF(SeismicData[[#This Row],[shift]]="W","Production","Non-Production")</f>
        <v>Non-Production</v>
      </c>
      <c r="W1247" t="str">
        <f>IF(SeismicData[[#This Row],[genergy]]=0,"0","10^"&amp;INT(LOG10(SeismicData[[#This Row],[genergy]])))</f>
        <v>10^4</v>
      </c>
      <c r="X1247" t="str">
        <f>IF(OR(SeismicData[[#This Row],[genergy]]&lt;$AA$6,SeismicData[[#This Row],[genergy]]&gt;$AA$5),"Outlier","Normal")</f>
        <v>Normal</v>
      </c>
    </row>
    <row r="1248" spans="1:24" x14ac:dyDescent="0.15">
      <c r="A1248">
        <v>1247</v>
      </c>
      <c r="B1248" t="s">
        <v>20</v>
      </c>
      <c r="C1248" t="s">
        <v>20</v>
      </c>
      <c r="D1248" t="s">
        <v>21</v>
      </c>
      <c r="E1248">
        <v>8100</v>
      </c>
      <c r="F1248">
        <v>300</v>
      </c>
      <c r="G1248">
        <v>-12</v>
      </c>
      <c r="H1248">
        <v>35</v>
      </c>
      <c r="I1248" t="s">
        <v>20</v>
      </c>
      <c r="J1248">
        <v>0</v>
      </c>
      <c r="K1248">
        <v>0</v>
      </c>
      <c r="L1248">
        <v>0</v>
      </c>
      <c r="M1248">
        <v>0</v>
      </c>
      <c r="N1248">
        <v>0</v>
      </c>
      <c r="O1248">
        <v>0</v>
      </c>
      <c r="P1248">
        <v>0</v>
      </c>
      <c r="Q1248">
        <v>0</v>
      </c>
      <c r="R1248">
        <v>0</v>
      </c>
      <c r="S1248">
        <v>0</v>
      </c>
      <c r="T1248">
        <v>0</v>
      </c>
      <c r="U1248" t="str">
        <f>IF(SeismicData[[#This Row],[class]]=1,"Dangerous","Safe")</f>
        <v>Safe</v>
      </c>
      <c r="V1248" t="str">
        <f>IF(SeismicData[[#This Row],[shift]]="W","Production","Non-Production")</f>
        <v>Non-Production</v>
      </c>
      <c r="W1248" t="str">
        <f>IF(SeismicData[[#This Row],[genergy]]=0,"0","10^"&amp;INT(LOG10(SeismicData[[#This Row],[genergy]])))</f>
        <v>10^3</v>
      </c>
      <c r="X1248" t="str">
        <f>IF(OR(SeismicData[[#This Row],[genergy]]&lt;$AA$6,SeismicData[[#This Row],[genergy]]&gt;$AA$5),"Outlier","Normal")</f>
        <v>Normal</v>
      </c>
    </row>
    <row r="1249" spans="1:24" x14ac:dyDescent="0.15">
      <c r="A1249">
        <v>1248</v>
      </c>
      <c r="B1249" t="s">
        <v>20</v>
      </c>
      <c r="C1249" t="s">
        <v>20</v>
      </c>
      <c r="D1249" t="s">
        <v>21</v>
      </c>
      <c r="E1249">
        <v>8690</v>
      </c>
      <c r="F1249">
        <v>262</v>
      </c>
      <c r="G1249">
        <v>-6</v>
      </c>
      <c r="H1249">
        <v>18</v>
      </c>
      <c r="I1249" t="s">
        <v>20</v>
      </c>
      <c r="J1249">
        <v>0</v>
      </c>
      <c r="K1249">
        <v>0</v>
      </c>
      <c r="L1249">
        <v>0</v>
      </c>
      <c r="M1249">
        <v>0</v>
      </c>
      <c r="N1249">
        <v>0</v>
      </c>
      <c r="O1249">
        <v>0</v>
      </c>
      <c r="P1249">
        <v>0</v>
      </c>
      <c r="Q1249">
        <v>0</v>
      </c>
      <c r="R1249">
        <v>0</v>
      </c>
      <c r="S1249">
        <v>0</v>
      </c>
      <c r="T1249">
        <v>0</v>
      </c>
      <c r="U1249" t="str">
        <f>IF(SeismicData[[#This Row],[class]]=1,"Dangerous","Safe")</f>
        <v>Safe</v>
      </c>
      <c r="V1249" t="str">
        <f>IF(SeismicData[[#This Row],[shift]]="W","Production","Non-Production")</f>
        <v>Non-Production</v>
      </c>
      <c r="W1249" t="str">
        <f>IF(SeismicData[[#This Row],[genergy]]=0,"0","10^"&amp;INT(LOG10(SeismicData[[#This Row],[genergy]])))</f>
        <v>10^3</v>
      </c>
      <c r="X1249" t="str">
        <f>IF(OR(SeismicData[[#This Row],[genergy]]&lt;$AA$6,SeismicData[[#This Row],[genergy]]&gt;$AA$5),"Outlier","Normal")</f>
        <v>Normal</v>
      </c>
    </row>
    <row r="1250" spans="1:24" x14ac:dyDescent="0.15">
      <c r="A1250">
        <v>1249</v>
      </c>
      <c r="B1250" t="s">
        <v>20</v>
      </c>
      <c r="C1250" t="s">
        <v>20</v>
      </c>
      <c r="D1250" t="s">
        <v>21</v>
      </c>
      <c r="E1250">
        <v>7120</v>
      </c>
      <c r="F1250">
        <v>227</v>
      </c>
      <c r="G1250">
        <v>-23</v>
      </c>
      <c r="H1250">
        <v>2</v>
      </c>
      <c r="I1250" t="s">
        <v>20</v>
      </c>
      <c r="J1250">
        <v>0</v>
      </c>
      <c r="K1250">
        <v>0</v>
      </c>
      <c r="L1250">
        <v>0</v>
      </c>
      <c r="M1250">
        <v>0</v>
      </c>
      <c r="N1250">
        <v>0</v>
      </c>
      <c r="O1250">
        <v>0</v>
      </c>
      <c r="P1250">
        <v>0</v>
      </c>
      <c r="Q1250">
        <v>0</v>
      </c>
      <c r="R1250">
        <v>0</v>
      </c>
      <c r="S1250">
        <v>0</v>
      </c>
      <c r="T1250">
        <v>0</v>
      </c>
      <c r="U1250" t="str">
        <f>IF(SeismicData[[#This Row],[class]]=1,"Dangerous","Safe")</f>
        <v>Safe</v>
      </c>
      <c r="V1250" t="str">
        <f>IF(SeismicData[[#This Row],[shift]]="W","Production","Non-Production")</f>
        <v>Non-Production</v>
      </c>
      <c r="W1250" t="str">
        <f>IF(SeismicData[[#This Row],[genergy]]=0,"0","10^"&amp;INT(LOG10(SeismicData[[#This Row],[genergy]])))</f>
        <v>10^3</v>
      </c>
      <c r="X1250" t="str">
        <f>IF(OR(SeismicData[[#This Row],[genergy]]&lt;$AA$6,SeismicData[[#This Row],[genergy]]&gt;$AA$5),"Outlier","Normal")</f>
        <v>Normal</v>
      </c>
    </row>
    <row r="1251" spans="1:24" x14ac:dyDescent="0.15">
      <c r="A1251">
        <v>1250</v>
      </c>
      <c r="B1251" t="s">
        <v>20</v>
      </c>
      <c r="C1251" t="s">
        <v>20</v>
      </c>
      <c r="D1251" t="s">
        <v>21</v>
      </c>
      <c r="E1251">
        <v>8380</v>
      </c>
      <c r="F1251">
        <v>234</v>
      </c>
      <c r="G1251">
        <v>-9</v>
      </c>
      <c r="H1251">
        <v>6</v>
      </c>
      <c r="I1251" t="s">
        <v>20</v>
      </c>
      <c r="J1251">
        <v>0</v>
      </c>
      <c r="K1251">
        <v>0</v>
      </c>
      <c r="L1251">
        <v>0</v>
      </c>
      <c r="M1251">
        <v>0</v>
      </c>
      <c r="N1251">
        <v>0</v>
      </c>
      <c r="O1251">
        <v>0</v>
      </c>
      <c r="P1251">
        <v>0</v>
      </c>
      <c r="Q1251">
        <v>0</v>
      </c>
      <c r="R1251">
        <v>0</v>
      </c>
      <c r="S1251">
        <v>0</v>
      </c>
      <c r="T1251">
        <v>0</v>
      </c>
      <c r="U1251" t="str">
        <f>IF(SeismicData[[#This Row],[class]]=1,"Dangerous","Safe")</f>
        <v>Safe</v>
      </c>
      <c r="V1251" t="str">
        <f>IF(SeismicData[[#This Row],[shift]]="W","Production","Non-Production")</f>
        <v>Non-Production</v>
      </c>
      <c r="W1251" t="str">
        <f>IF(SeismicData[[#This Row],[genergy]]=0,"0","10^"&amp;INT(LOG10(SeismicData[[#This Row],[genergy]])))</f>
        <v>10^3</v>
      </c>
      <c r="X1251" t="str">
        <f>IF(OR(SeismicData[[#This Row],[genergy]]&lt;$AA$6,SeismicData[[#This Row],[genergy]]&gt;$AA$5),"Outlier","Normal")</f>
        <v>Normal</v>
      </c>
    </row>
    <row r="1252" spans="1:24" x14ac:dyDescent="0.15">
      <c r="A1252">
        <v>1251</v>
      </c>
      <c r="B1252" t="s">
        <v>20</v>
      </c>
      <c r="C1252" t="s">
        <v>20</v>
      </c>
      <c r="D1252" t="s">
        <v>21</v>
      </c>
      <c r="E1252">
        <v>5280</v>
      </c>
      <c r="F1252">
        <v>232</v>
      </c>
      <c r="G1252">
        <v>-43</v>
      </c>
      <c r="H1252">
        <v>5</v>
      </c>
      <c r="I1252" t="s">
        <v>20</v>
      </c>
      <c r="J1252">
        <v>0</v>
      </c>
      <c r="K1252">
        <v>0</v>
      </c>
      <c r="L1252">
        <v>0</v>
      </c>
      <c r="M1252">
        <v>0</v>
      </c>
      <c r="N1252">
        <v>0</v>
      </c>
      <c r="O1252">
        <v>0</v>
      </c>
      <c r="P1252">
        <v>0</v>
      </c>
      <c r="Q1252">
        <v>0</v>
      </c>
      <c r="R1252">
        <v>0</v>
      </c>
      <c r="S1252">
        <v>0</v>
      </c>
      <c r="T1252">
        <v>0</v>
      </c>
      <c r="U1252" t="str">
        <f>IF(SeismicData[[#This Row],[class]]=1,"Dangerous","Safe")</f>
        <v>Safe</v>
      </c>
      <c r="V1252" t="str">
        <f>IF(SeismicData[[#This Row],[shift]]="W","Production","Non-Production")</f>
        <v>Non-Production</v>
      </c>
      <c r="W1252" t="str">
        <f>IF(SeismicData[[#This Row],[genergy]]=0,"0","10^"&amp;INT(LOG10(SeismicData[[#This Row],[genergy]])))</f>
        <v>10^3</v>
      </c>
      <c r="X1252" t="str">
        <f>IF(OR(SeismicData[[#This Row],[genergy]]&lt;$AA$6,SeismicData[[#This Row],[genergy]]&gt;$AA$5),"Outlier","Normal")</f>
        <v>Normal</v>
      </c>
    </row>
    <row r="1253" spans="1:24" x14ac:dyDescent="0.15">
      <c r="A1253">
        <v>1252</v>
      </c>
      <c r="B1253" t="s">
        <v>20</v>
      </c>
      <c r="C1253" t="s">
        <v>20</v>
      </c>
      <c r="D1253" t="s">
        <v>21</v>
      </c>
      <c r="E1253">
        <v>6260</v>
      </c>
      <c r="F1253">
        <v>268</v>
      </c>
      <c r="G1253">
        <v>-33</v>
      </c>
      <c r="H1253">
        <v>-11</v>
      </c>
      <c r="I1253" t="s">
        <v>20</v>
      </c>
      <c r="J1253">
        <v>0</v>
      </c>
      <c r="K1253">
        <v>0</v>
      </c>
      <c r="L1253">
        <v>0</v>
      </c>
      <c r="M1253">
        <v>0</v>
      </c>
      <c r="N1253">
        <v>0</v>
      </c>
      <c r="O1253">
        <v>0</v>
      </c>
      <c r="P1253">
        <v>0</v>
      </c>
      <c r="Q1253">
        <v>0</v>
      </c>
      <c r="R1253">
        <v>0</v>
      </c>
      <c r="S1253">
        <v>0</v>
      </c>
      <c r="T1253">
        <v>0</v>
      </c>
      <c r="U1253" t="str">
        <f>IF(SeismicData[[#This Row],[class]]=1,"Dangerous","Safe")</f>
        <v>Safe</v>
      </c>
      <c r="V1253" t="str">
        <f>IF(SeismicData[[#This Row],[shift]]="W","Production","Non-Production")</f>
        <v>Non-Production</v>
      </c>
      <c r="W1253" t="str">
        <f>IF(SeismicData[[#This Row],[genergy]]=0,"0","10^"&amp;INT(LOG10(SeismicData[[#This Row],[genergy]])))</f>
        <v>10^3</v>
      </c>
      <c r="X1253" t="str">
        <f>IF(OR(SeismicData[[#This Row],[genergy]]&lt;$AA$6,SeismicData[[#This Row],[genergy]]&gt;$AA$5),"Outlier","Normal")</f>
        <v>Normal</v>
      </c>
    </row>
    <row r="1254" spans="1:24" x14ac:dyDescent="0.15">
      <c r="A1254">
        <v>1253</v>
      </c>
      <c r="B1254" t="s">
        <v>20</v>
      </c>
      <c r="C1254" t="s">
        <v>20</v>
      </c>
      <c r="D1254" t="s">
        <v>21</v>
      </c>
      <c r="E1254">
        <v>6170</v>
      </c>
      <c r="F1254">
        <v>187</v>
      </c>
      <c r="G1254">
        <v>-33</v>
      </c>
      <c r="H1254">
        <v>-16</v>
      </c>
      <c r="I1254" t="s">
        <v>20</v>
      </c>
      <c r="J1254">
        <v>0</v>
      </c>
      <c r="K1254">
        <v>0</v>
      </c>
      <c r="L1254">
        <v>0</v>
      </c>
      <c r="M1254">
        <v>0</v>
      </c>
      <c r="N1254">
        <v>0</v>
      </c>
      <c r="O1254">
        <v>0</v>
      </c>
      <c r="P1254">
        <v>0</v>
      </c>
      <c r="Q1254">
        <v>0</v>
      </c>
      <c r="R1254">
        <v>0</v>
      </c>
      <c r="S1254">
        <v>0</v>
      </c>
      <c r="T1254">
        <v>0</v>
      </c>
      <c r="U1254" t="str">
        <f>IF(SeismicData[[#This Row],[class]]=1,"Dangerous","Safe")</f>
        <v>Safe</v>
      </c>
      <c r="V1254" t="str">
        <f>IF(SeismicData[[#This Row],[shift]]="W","Production","Non-Production")</f>
        <v>Non-Production</v>
      </c>
      <c r="W1254" t="str">
        <f>IF(SeismicData[[#This Row],[genergy]]=0,"0","10^"&amp;INT(LOG10(SeismicData[[#This Row],[genergy]])))</f>
        <v>10^3</v>
      </c>
      <c r="X1254" t="str">
        <f>IF(OR(SeismicData[[#This Row],[genergy]]&lt;$AA$6,SeismicData[[#This Row],[genergy]]&gt;$AA$5),"Outlier","Normal")</f>
        <v>Normal</v>
      </c>
    </row>
    <row r="1255" spans="1:24" x14ac:dyDescent="0.15">
      <c r="A1255">
        <v>1254</v>
      </c>
      <c r="B1255" t="s">
        <v>20</v>
      </c>
      <c r="C1255" t="s">
        <v>20</v>
      </c>
      <c r="D1255" t="s">
        <v>21</v>
      </c>
      <c r="E1255">
        <v>5510</v>
      </c>
      <c r="F1255">
        <v>157</v>
      </c>
      <c r="G1255">
        <v>-40</v>
      </c>
      <c r="H1255">
        <v>-29</v>
      </c>
      <c r="I1255" t="s">
        <v>20</v>
      </c>
      <c r="J1255">
        <v>0</v>
      </c>
      <c r="K1255">
        <v>0</v>
      </c>
      <c r="L1255">
        <v>0</v>
      </c>
      <c r="M1255">
        <v>0</v>
      </c>
      <c r="N1255">
        <v>0</v>
      </c>
      <c r="O1255">
        <v>0</v>
      </c>
      <c r="P1255">
        <v>0</v>
      </c>
      <c r="Q1255">
        <v>0</v>
      </c>
      <c r="R1255">
        <v>0</v>
      </c>
      <c r="S1255">
        <v>0</v>
      </c>
      <c r="T1255">
        <v>0</v>
      </c>
      <c r="U1255" t="str">
        <f>IF(SeismicData[[#This Row],[class]]=1,"Dangerous","Safe")</f>
        <v>Safe</v>
      </c>
      <c r="V1255" t="str">
        <f>IF(SeismicData[[#This Row],[shift]]="W","Production","Non-Production")</f>
        <v>Non-Production</v>
      </c>
      <c r="W1255" t="str">
        <f>IF(SeismicData[[#This Row],[genergy]]=0,"0","10^"&amp;INT(LOG10(SeismicData[[#This Row],[genergy]])))</f>
        <v>10^3</v>
      </c>
      <c r="X1255" t="str">
        <f>IF(OR(SeismicData[[#This Row],[genergy]]&lt;$AA$6,SeismicData[[#This Row],[genergy]]&gt;$AA$5),"Outlier","Normal")</f>
        <v>Normal</v>
      </c>
    </row>
    <row r="1256" spans="1:24" x14ac:dyDescent="0.15">
      <c r="A1256">
        <v>1255</v>
      </c>
      <c r="B1256" t="s">
        <v>20</v>
      </c>
      <c r="C1256" t="s">
        <v>20</v>
      </c>
      <c r="D1256" t="s">
        <v>21</v>
      </c>
      <c r="E1256">
        <v>5780</v>
      </c>
      <c r="F1256">
        <v>163</v>
      </c>
      <c r="G1256">
        <v>-36</v>
      </c>
      <c r="H1256">
        <v>-25</v>
      </c>
      <c r="I1256" t="s">
        <v>20</v>
      </c>
      <c r="J1256">
        <v>0</v>
      </c>
      <c r="K1256">
        <v>0</v>
      </c>
      <c r="L1256">
        <v>0</v>
      </c>
      <c r="M1256">
        <v>0</v>
      </c>
      <c r="N1256">
        <v>0</v>
      </c>
      <c r="O1256">
        <v>0</v>
      </c>
      <c r="P1256">
        <v>0</v>
      </c>
      <c r="Q1256">
        <v>0</v>
      </c>
      <c r="R1256">
        <v>0</v>
      </c>
      <c r="S1256">
        <v>0</v>
      </c>
      <c r="T1256">
        <v>0</v>
      </c>
      <c r="U1256" t="str">
        <f>IF(SeismicData[[#This Row],[class]]=1,"Dangerous","Safe")</f>
        <v>Safe</v>
      </c>
      <c r="V1256" t="str">
        <f>IF(SeismicData[[#This Row],[shift]]="W","Production","Non-Production")</f>
        <v>Non-Production</v>
      </c>
      <c r="W1256" t="str">
        <f>IF(SeismicData[[#This Row],[genergy]]=0,"0","10^"&amp;INT(LOG10(SeismicData[[#This Row],[genergy]])))</f>
        <v>10^3</v>
      </c>
      <c r="X1256" t="str">
        <f>IF(OR(SeismicData[[#This Row],[genergy]]&lt;$AA$6,SeismicData[[#This Row],[genergy]]&gt;$AA$5),"Outlier","Normal")</f>
        <v>Normal</v>
      </c>
    </row>
    <row r="1257" spans="1:24" x14ac:dyDescent="0.15">
      <c r="A1257">
        <v>1256</v>
      </c>
      <c r="B1257" t="s">
        <v>20</v>
      </c>
      <c r="C1257" t="s">
        <v>20</v>
      </c>
      <c r="D1257" t="s">
        <v>21</v>
      </c>
      <c r="E1257">
        <v>6390</v>
      </c>
      <c r="F1257">
        <v>138</v>
      </c>
      <c r="G1257">
        <v>-29</v>
      </c>
      <c r="H1257">
        <v>-36</v>
      </c>
      <c r="I1257" t="s">
        <v>20</v>
      </c>
      <c r="J1257">
        <v>0</v>
      </c>
      <c r="K1257">
        <v>0</v>
      </c>
      <c r="L1257">
        <v>0</v>
      </c>
      <c r="M1257">
        <v>0</v>
      </c>
      <c r="N1257">
        <v>0</v>
      </c>
      <c r="O1257">
        <v>0</v>
      </c>
      <c r="P1257">
        <v>0</v>
      </c>
      <c r="Q1257">
        <v>0</v>
      </c>
      <c r="R1257">
        <v>0</v>
      </c>
      <c r="S1257">
        <v>0</v>
      </c>
      <c r="T1257">
        <v>0</v>
      </c>
      <c r="U1257" t="str">
        <f>IF(SeismicData[[#This Row],[class]]=1,"Dangerous","Safe")</f>
        <v>Safe</v>
      </c>
      <c r="V1257" t="str">
        <f>IF(SeismicData[[#This Row],[shift]]="W","Production","Non-Production")</f>
        <v>Non-Production</v>
      </c>
      <c r="W1257" t="str">
        <f>IF(SeismicData[[#This Row],[genergy]]=0,"0","10^"&amp;INT(LOG10(SeismicData[[#This Row],[genergy]])))</f>
        <v>10^3</v>
      </c>
      <c r="X1257" t="str">
        <f>IF(OR(SeismicData[[#This Row],[genergy]]&lt;$AA$6,SeismicData[[#This Row],[genergy]]&gt;$AA$5),"Outlier","Normal")</f>
        <v>Normal</v>
      </c>
    </row>
    <row r="1258" spans="1:24" x14ac:dyDescent="0.15">
      <c r="A1258">
        <v>1257</v>
      </c>
      <c r="B1258" t="s">
        <v>20</v>
      </c>
      <c r="C1258" t="s">
        <v>20</v>
      </c>
      <c r="D1258" t="s">
        <v>21</v>
      </c>
      <c r="E1258">
        <v>7340</v>
      </c>
      <c r="F1258">
        <v>213</v>
      </c>
      <c r="G1258">
        <v>-19</v>
      </c>
      <c r="H1258">
        <v>-28</v>
      </c>
      <c r="I1258" t="s">
        <v>20</v>
      </c>
      <c r="J1258">
        <v>0</v>
      </c>
      <c r="K1258">
        <v>0</v>
      </c>
      <c r="L1258">
        <v>0</v>
      </c>
      <c r="M1258">
        <v>0</v>
      </c>
      <c r="N1258">
        <v>0</v>
      </c>
      <c r="O1258">
        <v>0</v>
      </c>
      <c r="P1258">
        <v>0</v>
      </c>
      <c r="Q1258">
        <v>0</v>
      </c>
      <c r="R1258">
        <v>0</v>
      </c>
      <c r="S1258">
        <v>0</v>
      </c>
      <c r="T1258">
        <v>0</v>
      </c>
      <c r="U1258" t="str">
        <f>IF(SeismicData[[#This Row],[class]]=1,"Dangerous","Safe")</f>
        <v>Safe</v>
      </c>
      <c r="V1258" t="str">
        <f>IF(SeismicData[[#This Row],[shift]]="W","Production","Non-Production")</f>
        <v>Non-Production</v>
      </c>
      <c r="W1258" t="str">
        <f>IF(SeismicData[[#This Row],[genergy]]=0,"0","10^"&amp;INT(LOG10(SeismicData[[#This Row],[genergy]])))</f>
        <v>10^3</v>
      </c>
      <c r="X1258" t="str">
        <f>IF(OR(SeismicData[[#This Row],[genergy]]&lt;$AA$6,SeismicData[[#This Row],[genergy]]&gt;$AA$5),"Outlier","Normal")</f>
        <v>Normal</v>
      </c>
    </row>
    <row r="1259" spans="1:24" x14ac:dyDescent="0.15">
      <c r="A1259">
        <v>1258</v>
      </c>
      <c r="B1259" t="s">
        <v>20</v>
      </c>
      <c r="C1259" t="s">
        <v>20</v>
      </c>
      <c r="D1259" t="s">
        <v>21</v>
      </c>
      <c r="E1259">
        <v>17730</v>
      </c>
      <c r="F1259">
        <v>134</v>
      </c>
      <c r="G1259">
        <v>97</v>
      </c>
      <c r="H1259">
        <v>-38</v>
      </c>
      <c r="I1259" t="s">
        <v>20</v>
      </c>
      <c r="J1259">
        <v>0</v>
      </c>
      <c r="K1259">
        <v>0</v>
      </c>
      <c r="L1259">
        <v>0</v>
      </c>
      <c r="M1259">
        <v>0</v>
      </c>
      <c r="N1259">
        <v>0</v>
      </c>
      <c r="O1259">
        <v>0</v>
      </c>
      <c r="P1259">
        <v>0</v>
      </c>
      <c r="Q1259">
        <v>0</v>
      </c>
      <c r="R1259">
        <v>0</v>
      </c>
      <c r="S1259">
        <v>0</v>
      </c>
      <c r="T1259">
        <v>0</v>
      </c>
      <c r="U1259" t="str">
        <f>IF(SeismicData[[#This Row],[class]]=1,"Dangerous","Safe")</f>
        <v>Safe</v>
      </c>
      <c r="V1259" t="str">
        <f>IF(SeismicData[[#This Row],[shift]]="W","Production","Non-Production")</f>
        <v>Non-Production</v>
      </c>
      <c r="W1259" t="str">
        <f>IF(SeismicData[[#This Row],[genergy]]=0,"0","10^"&amp;INT(LOG10(SeismicData[[#This Row],[genergy]])))</f>
        <v>10^4</v>
      </c>
      <c r="X1259" t="str">
        <f>IF(OR(SeismicData[[#This Row],[genergy]]&lt;$AA$6,SeismicData[[#This Row],[genergy]]&gt;$AA$5),"Outlier","Normal")</f>
        <v>Normal</v>
      </c>
    </row>
    <row r="1260" spans="1:24" x14ac:dyDescent="0.15">
      <c r="A1260">
        <v>1259</v>
      </c>
      <c r="B1260" t="s">
        <v>20</v>
      </c>
      <c r="C1260" t="s">
        <v>20</v>
      </c>
      <c r="D1260" t="s">
        <v>21</v>
      </c>
      <c r="E1260">
        <v>650</v>
      </c>
      <c r="F1260">
        <v>80</v>
      </c>
      <c r="G1260">
        <v>-82</v>
      </c>
      <c r="H1260">
        <v>-28</v>
      </c>
      <c r="I1260" t="s">
        <v>20</v>
      </c>
      <c r="J1260">
        <v>0</v>
      </c>
      <c r="K1260">
        <v>0</v>
      </c>
      <c r="L1260">
        <v>0</v>
      </c>
      <c r="M1260">
        <v>0</v>
      </c>
      <c r="N1260">
        <v>0</v>
      </c>
      <c r="O1260">
        <v>0</v>
      </c>
      <c r="P1260">
        <v>0</v>
      </c>
      <c r="Q1260">
        <v>0</v>
      </c>
      <c r="R1260">
        <v>0</v>
      </c>
      <c r="S1260">
        <v>0</v>
      </c>
      <c r="T1260">
        <v>0</v>
      </c>
      <c r="U1260" t="str">
        <f>IF(SeismicData[[#This Row],[class]]=1,"Dangerous","Safe")</f>
        <v>Safe</v>
      </c>
      <c r="V1260" t="str">
        <f>IF(SeismicData[[#This Row],[shift]]="W","Production","Non-Production")</f>
        <v>Non-Production</v>
      </c>
      <c r="W1260" t="str">
        <f>IF(SeismicData[[#This Row],[genergy]]=0,"0","10^"&amp;INT(LOG10(SeismicData[[#This Row],[genergy]])))</f>
        <v>10^2</v>
      </c>
      <c r="X1260" t="str">
        <f>IF(OR(SeismicData[[#This Row],[genergy]]&lt;$AA$6,SeismicData[[#This Row],[genergy]]&gt;$AA$5),"Outlier","Normal")</f>
        <v>Normal</v>
      </c>
    </row>
    <row r="1261" spans="1:24" x14ac:dyDescent="0.15">
      <c r="A1261">
        <v>1260</v>
      </c>
      <c r="B1261" t="s">
        <v>20</v>
      </c>
      <c r="C1261" t="s">
        <v>20</v>
      </c>
      <c r="D1261" t="s">
        <v>21</v>
      </c>
      <c r="E1261">
        <v>1400</v>
      </c>
      <c r="F1261">
        <v>58</v>
      </c>
      <c r="G1261">
        <v>-62</v>
      </c>
      <c r="H1261">
        <v>-47</v>
      </c>
      <c r="I1261" t="s">
        <v>20</v>
      </c>
      <c r="J1261">
        <v>0</v>
      </c>
      <c r="K1261">
        <v>0</v>
      </c>
      <c r="L1261">
        <v>0</v>
      </c>
      <c r="M1261">
        <v>0</v>
      </c>
      <c r="N1261">
        <v>0</v>
      </c>
      <c r="O1261">
        <v>0</v>
      </c>
      <c r="P1261">
        <v>0</v>
      </c>
      <c r="Q1261">
        <v>0</v>
      </c>
      <c r="R1261">
        <v>0</v>
      </c>
      <c r="S1261">
        <v>0</v>
      </c>
      <c r="T1261">
        <v>0</v>
      </c>
      <c r="U1261" t="str">
        <f>IF(SeismicData[[#This Row],[class]]=1,"Dangerous","Safe")</f>
        <v>Safe</v>
      </c>
      <c r="V1261" t="str">
        <f>IF(SeismicData[[#This Row],[shift]]="W","Production","Non-Production")</f>
        <v>Non-Production</v>
      </c>
      <c r="W1261" t="str">
        <f>IF(SeismicData[[#This Row],[genergy]]=0,"0","10^"&amp;INT(LOG10(SeismicData[[#This Row],[genergy]])))</f>
        <v>10^3</v>
      </c>
      <c r="X1261" t="str">
        <f>IF(OR(SeismicData[[#This Row],[genergy]]&lt;$AA$6,SeismicData[[#This Row],[genergy]]&gt;$AA$5),"Outlier","Normal")</f>
        <v>Normal</v>
      </c>
    </row>
    <row r="1262" spans="1:24" x14ac:dyDescent="0.15">
      <c r="A1262">
        <v>1261</v>
      </c>
      <c r="B1262" t="s">
        <v>20</v>
      </c>
      <c r="C1262" t="s">
        <v>20</v>
      </c>
      <c r="D1262" t="s">
        <v>21</v>
      </c>
      <c r="E1262">
        <v>2390</v>
      </c>
      <c r="F1262">
        <v>50</v>
      </c>
      <c r="G1262">
        <v>-73</v>
      </c>
      <c r="H1262">
        <v>-77</v>
      </c>
      <c r="I1262" t="s">
        <v>20</v>
      </c>
      <c r="J1262">
        <v>0</v>
      </c>
      <c r="K1262">
        <v>0</v>
      </c>
      <c r="L1262">
        <v>0</v>
      </c>
      <c r="M1262">
        <v>0</v>
      </c>
      <c r="N1262">
        <v>0</v>
      </c>
      <c r="O1262">
        <v>0</v>
      </c>
      <c r="P1262">
        <v>0</v>
      </c>
      <c r="Q1262">
        <v>0</v>
      </c>
      <c r="R1262">
        <v>0</v>
      </c>
      <c r="S1262">
        <v>0</v>
      </c>
      <c r="T1262">
        <v>0</v>
      </c>
      <c r="U1262" t="str">
        <f>IF(SeismicData[[#This Row],[class]]=1,"Dangerous","Safe")</f>
        <v>Safe</v>
      </c>
      <c r="V1262" t="str">
        <f>IF(SeismicData[[#This Row],[shift]]="W","Production","Non-Production")</f>
        <v>Non-Production</v>
      </c>
      <c r="W1262" t="str">
        <f>IF(SeismicData[[#This Row],[genergy]]=0,"0","10^"&amp;INT(LOG10(SeismicData[[#This Row],[genergy]])))</f>
        <v>10^3</v>
      </c>
      <c r="X1262" t="str">
        <f>IF(OR(SeismicData[[#This Row],[genergy]]&lt;$AA$6,SeismicData[[#This Row],[genergy]]&gt;$AA$5),"Outlier","Normal")</f>
        <v>Normal</v>
      </c>
    </row>
    <row r="1263" spans="1:24" x14ac:dyDescent="0.15">
      <c r="A1263">
        <v>1262</v>
      </c>
      <c r="B1263" t="s">
        <v>20</v>
      </c>
      <c r="C1263" t="s">
        <v>20</v>
      </c>
      <c r="D1263" t="s">
        <v>21</v>
      </c>
      <c r="E1263">
        <v>5760</v>
      </c>
      <c r="F1263">
        <v>65</v>
      </c>
      <c r="G1263">
        <v>-36</v>
      </c>
      <c r="H1263">
        <v>-70</v>
      </c>
      <c r="I1263" t="s">
        <v>20</v>
      </c>
      <c r="J1263">
        <v>0</v>
      </c>
      <c r="K1263">
        <v>0</v>
      </c>
      <c r="L1263">
        <v>0</v>
      </c>
      <c r="M1263">
        <v>0</v>
      </c>
      <c r="N1263">
        <v>0</v>
      </c>
      <c r="O1263">
        <v>0</v>
      </c>
      <c r="P1263">
        <v>0</v>
      </c>
      <c r="Q1263">
        <v>0</v>
      </c>
      <c r="R1263">
        <v>0</v>
      </c>
      <c r="S1263">
        <v>0</v>
      </c>
      <c r="T1263">
        <v>0</v>
      </c>
      <c r="U1263" t="str">
        <f>IF(SeismicData[[#This Row],[class]]=1,"Dangerous","Safe")</f>
        <v>Safe</v>
      </c>
      <c r="V1263" t="str">
        <f>IF(SeismicData[[#This Row],[shift]]="W","Production","Non-Production")</f>
        <v>Non-Production</v>
      </c>
      <c r="W1263" t="str">
        <f>IF(SeismicData[[#This Row],[genergy]]=0,"0","10^"&amp;INT(LOG10(SeismicData[[#This Row],[genergy]])))</f>
        <v>10^3</v>
      </c>
      <c r="X1263" t="str">
        <f>IF(OR(SeismicData[[#This Row],[genergy]]&lt;$AA$6,SeismicData[[#This Row],[genergy]]&gt;$AA$5),"Outlier","Normal")</f>
        <v>Normal</v>
      </c>
    </row>
    <row r="1264" spans="1:24" x14ac:dyDescent="0.15">
      <c r="A1264">
        <v>1263</v>
      </c>
      <c r="B1264" t="s">
        <v>20</v>
      </c>
      <c r="C1264" t="s">
        <v>20</v>
      </c>
      <c r="D1264" t="s">
        <v>21</v>
      </c>
      <c r="E1264">
        <v>1910</v>
      </c>
      <c r="F1264">
        <v>87</v>
      </c>
      <c r="G1264">
        <v>-48</v>
      </c>
      <c r="H1264">
        <v>-20</v>
      </c>
      <c r="I1264" t="s">
        <v>20</v>
      </c>
      <c r="J1264">
        <v>0</v>
      </c>
      <c r="K1264">
        <v>0</v>
      </c>
      <c r="L1264">
        <v>0</v>
      </c>
      <c r="M1264">
        <v>0</v>
      </c>
      <c r="N1264">
        <v>0</v>
      </c>
      <c r="O1264">
        <v>0</v>
      </c>
      <c r="P1264">
        <v>0</v>
      </c>
      <c r="Q1264">
        <v>0</v>
      </c>
      <c r="R1264">
        <v>0</v>
      </c>
      <c r="S1264">
        <v>0</v>
      </c>
      <c r="T1264">
        <v>0</v>
      </c>
      <c r="U1264" t="str">
        <f>IF(SeismicData[[#This Row],[class]]=1,"Dangerous","Safe")</f>
        <v>Safe</v>
      </c>
      <c r="V1264" t="str">
        <f>IF(SeismicData[[#This Row],[shift]]="W","Production","Non-Production")</f>
        <v>Non-Production</v>
      </c>
      <c r="W1264" t="str">
        <f>IF(SeismicData[[#This Row],[genergy]]=0,"0","10^"&amp;INT(LOG10(SeismicData[[#This Row],[genergy]])))</f>
        <v>10^3</v>
      </c>
      <c r="X1264" t="str">
        <f>IF(OR(SeismicData[[#This Row],[genergy]]&lt;$AA$6,SeismicData[[#This Row],[genergy]]&gt;$AA$5),"Outlier","Normal")</f>
        <v>Normal</v>
      </c>
    </row>
    <row r="1265" spans="1:24" x14ac:dyDescent="0.15">
      <c r="A1265">
        <v>1264</v>
      </c>
      <c r="B1265" t="s">
        <v>20</v>
      </c>
      <c r="C1265" t="s">
        <v>20</v>
      </c>
      <c r="D1265" t="s">
        <v>21</v>
      </c>
      <c r="E1265">
        <v>6220</v>
      </c>
      <c r="F1265">
        <v>76</v>
      </c>
      <c r="G1265">
        <v>-26</v>
      </c>
      <c r="H1265">
        <v>-65</v>
      </c>
      <c r="I1265" t="s">
        <v>20</v>
      </c>
      <c r="J1265">
        <v>0</v>
      </c>
      <c r="K1265">
        <v>0</v>
      </c>
      <c r="L1265">
        <v>0</v>
      </c>
      <c r="M1265">
        <v>0</v>
      </c>
      <c r="N1265">
        <v>0</v>
      </c>
      <c r="O1265">
        <v>0</v>
      </c>
      <c r="P1265">
        <v>0</v>
      </c>
      <c r="Q1265">
        <v>0</v>
      </c>
      <c r="R1265">
        <v>0</v>
      </c>
      <c r="S1265">
        <v>0</v>
      </c>
      <c r="T1265">
        <v>0</v>
      </c>
      <c r="U1265" t="str">
        <f>IF(SeismicData[[#This Row],[class]]=1,"Dangerous","Safe")</f>
        <v>Safe</v>
      </c>
      <c r="V1265" t="str">
        <f>IF(SeismicData[[#This Row],[shift]]="W","Production","Non-Production")</f>
        <v>Non-Production</v>
      </c>
      <c r="W1265" t="str">
        <f>IF(SeismicData[[#This Row],[genergy]]=0,"0","10^"&amp;INT(LOG10(SeismicData[[#This Row],[genergy]])))</f>
        <v>10^3</v>
      </c>
      <c r="X1265" t="str">
        <f>IF(OR(SeismicData[[#This Row],[genergy]]&lt;$AA$6,SeismicData[[#This Row],[genergy]]&gt;$AA$5),"Outlier","Normal")</f>
        <v>Normal</v>
      </c>
    </row>
    <row r="1266" spans="1:24" x14ac:dyDescent="0.15">
      <c r="A1266">
        <v>1265</v>
      </c>
      <c r="B1266" t="s">
        <v>20</v>
      </c>
      <c r="C1266" t="s">
        <v>20</v>
      </c>
      <c r="D1266" t="s">
        <v>21</v>
      </c>
      <c r="E1266">
        <v>2770</v>
      </c>
      <c r="F1266">
        <v>45</v>
      </c>
      <c r="G1266">
        <v>-67</v>
      </c>
      <c r="H1266">
        <v>-79</v>
      </c>
      <c r="I1266" t="s">
        <v>20</v>
      </c>
      <c r="J1266">
        <v>0</v>
      </c>
      <c r="K1266">
        <v>0</v>
      </c>
      <c r="L1266">
        <v>0</v>
      </c>
      <c r="M1266">
        <v>0</v>
      </c>
      <c r="N1266">
        <v>0</v>
      </c>
      <c r="O1266">
        <v>0</v>
      </c>
      <c r="P1266">
        <v>0</v>
      </c>
      <c r="Q1266">
        <v>0</v>
      </c>
      <c r="R1266">
        <v>0</v>
      </c>
      <c r="S1266">
        <v>0</v>
      </c>
      <c r="T1266">
        <v>0</v>
      </c>
      <c r="U1266" t="str">
        <f>IF(SeismicData[[#This Row],[class]]=1,"Dangerous","Safe")</f>
        <v>Safe</v>
      </c>
      <c r="V1266" t="str">
        <f>IF(SeismicData[[#This Row],[shift]]="W","Production","Non-Production")</f>
        <v>Non-Production</v>
      </c>
      <c r="W1266" t="str">
        <f>IF(SeismicData[[#This Row],[genergy]]=0,"0","10^"&amp;INT(LOG10(SeismicData[[#This Row],[genergy]])))</f>
        <v>10^3</v>
      </c>
      <c r="X1266" t="str">
        <f>IF(OR(SeismicData[[#This Row],[genergy]]&lt;$AA$6,SeismicData[[#This Row],[genergy]]&gt;$AA$5),"Outlier","Normal")</f>
        <v>Normal</v>
      </c>
    </row>
    <row r="1267" spans="1:24" x14ac:dyDescent="0.15">
      <c r="A1267">
        <v>1266</v>
      </c>
      <c r="B1267" t="s">
        <v>20</v>
      </c>
      <c r="C1267" t="s">
        <v>20</v>
      </c>
      <c r="D1267" t="s">
        <v>21</v>
      </c>
      <c r="E1267">
        <v>2940</v>
      </c>
      <c r="F1267">
        <v>65</v>
      </c>
      <c r="G1267">
        <v>-20</v>
      </c>
      <c r="H1267">
        <v>-40</v>
      </c>
      <c r="I1267" t="s">
        <v>20</v>
      </c>
      <c r="J1267">
        <v>0</v>
      </c>
      <c r="K1267">
        <v>0</v>
      </c>
      <c r="L1267">
        <v>0</v>
      </c>
      <c r="M1267">
        <v>0</v>
      </c>
      <c r="N1267">
        <v>0</v>
      </c>
      <c r="O1267">
        <v>0</v>
      </c>
      <c r="P1267">
        <v>0</v>
      </c>
      <c r="Q1267">
        <v>0</v>
      </c>
      <c r="R1267">
        <v>0</v>
      </c>
      <c r="S1267">
        <v>0</v>
      </c>
      <c r="T1267">
        <v>0</v>
      </c>
      <c r="U1267" t="str">
        <f>IF(SeismicData[[#This Row],[class]]=1,"Dangerous","Safe")</f>
        <v>Safe</v>
      </c>
      <c r="V1267" t="str">
        <f>IF(SeismicData[[#This Row],[shift]]="W","Production","Non-Production")</f>
        <v>Non-Production</v>
      </c>
      <c r="W1267" t="str">
        <f>IF(SeismicData[[#This Row],[genergy]]=0,"0","10^"&amp;INT(LOG10(SeismicData[[#This Row],[genergy]])))</f>
        <v>10^3</v>
      </c>
      <c r="X1267" t="str">
        <f>IF(OR(SeismicData[[#This Row],[genergy]]&lt;$AA$6,SeismicData[[#This Row],[genergy]]&gt;$AA$5),"Outlier","Normal")</f>
        <v>Normal</v>
      </c>
    </row>
    <row r="1268" spans="1:24" x14ac:dyDescent="0.15">
      <c r="A1268">
        <v>1267</v>
      </c>
      <c r="B1268" t="s">
        <v>20</v>
      </c>
      <c r="C1268" t="s">
        <v>20</v>
      </c>
      <c r="D1268" t="s">
        <v>21</v>
      </c>
      <c r="E1268">
        <v>2960</v>
      </c>
      <c r="F1268">
        <v>91</v>
      </c>
      <c r="G1268">
        <v>-19</v>
      </c>
      <c r="H1268">
        <v>-16</v>
      </c>
      <c r="I1268" t="s">
        <v>20</v>
      </c>
      <c r="J1268">
        <v>0</v>
      </c>
      <c r="K1268">
        <v>0</v>
      </c>
      <c r="L1268">
        <v>0</v>
      </c>
      <c r="M1268">
        <v>0</v>
      </c>
      <c r="N1268">
        <v>0</v>
      </c>
      <c r="O1268">
        <v>0</v>
      </c>
      <c r="P1268">
        <v>0</v>
      </c>
      <c r="Q1268">
        <v>0</v>
      </c>
      <c r="R1268">
        <v>0</v>
      </c>
      <c r="S1268">
        <v>0</v>
      </c>
      <c r="T1268">
        <v>0</v>
      </c>
      <c r="U1268" t="str">
        <f>IF(SeismicData[[#This Row],[class]]=1,"Dangerous","Safe")</f>
        <v>Safe</v>
      </c>
      <c r="V1268" t="str">
        <f>IF(SeismicData[[#This Row],[shift]]="W","Production","Non-Production")</f>
        <v>Non-Production</v>
      </c>
      <c r="W1268" t="str">
        <f>IF(SeismicData[[#This Row],[genergy]]=0,"0","10^"&amp;INT(LOG10(SeismicData[[#This Row],[genergy]])))</f>
        <v>10^3</v>
      </c>
      <c r="X1268" t="str">
        <f>IF(OR(SeismicData[[#This Row],[genergy]]&lt;$AA$6,SeismicData[[#This Row],[genergy]]&gt;$AA$5),"Outlier","Normal")</f>
        <v>Normal</v>
      </c>
    </row>
    <row r="1269" spans="1:24" x14ac:dyDescent="0.15">
      <c r="A1269">
        <v>1268</v>
      </c>
      <c r="B1269" t="s">
        <v>20</v>
      </c>
      <c r="C1269" t="s">
        <v>20</v>
      </c>
      <c r="D1269" t="s">
        <v>21</v>
      </c>
      <c r="E1269">
        <v>3990</v>
      </c>
      <c r="F1269">
        <v>231</v>
      </c>
      <c r="G1269">
        <v>66</v>
      </c>
      <c r="H1269">
        <v>98</v>
      </c>
      <c r="I1269" t="s">
        <v>20</v>
      </c>
      <c r="J1269">
        <v>0</v>
      </c>
      <c r="K1269">
        <v>0</v>
      </c>
      <c r="L1269">
        <v>0</v>
      </c>
      <c r="M1269">
        <v>0</v>
      </c>
      <c r="N1269">
        <v>0</v>
      </c>
      <c r="O1269">
        <v>0</v>
      </c>
      <c r="P1269">
        <v>0</v>
      </c>
      <c r="Q1269">
        <v>0</v>
      </c>
      <c r="R1269">
        <v>0</v>
      </c>
      <c r="S1269">
        <v>0</v>
      </c>
      <c r="T1269">
        <v>0</v>
      </c>
      <c r="U1269" t="str">
        <f>IF(SeismicData[[#This Row],[class]]=1,"Dangerous","Safe")</f>
        <v>Safe</v>
      </c>
      <c r="V1269" t="str">
        <f>IF(SeismicData[[#This Row],[shift]]="W","Production","Non-Production")</f>
        <v>Non-Production</v>
      </c>
      <c r="W1269" t="str">
        <f>IF(SeismicData[[#This Row],[genergy]]=0,"0","10^"&amp;INT(LOG10(SeismicData[[#This Row],[genergy]])))</f>
        <v>10^3</v>
      </c>
      <c r="X1269" t="str">
        <f>IF(OR(SeismicData[[#This Row],[genergy]]&lt;$AA$6,SeismicData[[#This Row],[genergy]]&gt;$AA$5),"Outlier","Normal")</f>
        <v>Normal</v>
      </c>
    </row>
    <row r="1270" spans="1:24" x14ac:dyDescent="0.15">
      <c r="A1270">
        <v>1269</v>
      </c>
      <c r="B1270" t="s">
        <v>20</v>
      </c>
      <c r="C1270" t="s">
        <v>20</v>
      </c>
      <c r="D1270" t="s">
        <v>21</v>
      </c>
      <c r="E1270">
        <v>2840</v>
      </c>
      <c r="F1270">
        <v>115</v>
      </c>
      <c r="G1270">
        <v>18</v>
      </c>
      <c r="H1270">
        <v>-1</v>
      </c>
      <c r="I1270" t="s">
        <v>20</v>
      </c>
      <c r="J1270">
        <v>0</v>
      </c>
      <c r="K1270">
        <v>0</v>
      </c>
      <c r="L1270">
        <v>0</v>
      </c>
      <c r="M1270">
        <v>0</v>
      </c>
      <c r="N1270">
        <v>0</v>
      </c>
      <c r="O1270">
        <v>0</v>
      </c>
      <c r="P1270">
        <v>0</v>
      </c>
      <c r="Q1270">
        <v>0</v>
      </c>
      <c r="R1270">
        <v>0</v>
      </c>
      <c r="S1270">
        <v>0</v>
      </c>
      <c r="T1270">
        <v>0</v>
      </c>
      <c r="U1270" t="str">
        <f>IF(SeismicData[[#This Row],[class]]=1,"Dangerous","Safe")</f>
        <v>Safe</v>
      </c>
      <c r="V1270" t="str">
        <f>IF(SeismicData[[#This Row],[shift]]="W","Production","Non-Production")</f>
        <v>Non-Production</v>
      </c>
      <c r="W1270" t="str">
        <f>IF(SeismicData[[#This Row],[genergy]]=0,"0","10^"&amp;INT(LOG10(SeismicData[[#This Row],[genergy]])))</f>
        <v>10^3</v>
      </c>
      <c r="X1270" t="str">
        <f>IF(OR(SeismicData[[#This Row],[genergy]]&lt;$AA$6,SeismicData[[#This Row],[genergy]]&gt;$AA$5),"Outlier","Normal")</f>
        <v>Normal</v>
      </c>
    </row>
    <row r="1271" spans="1:24" x14ac:dyDescent="0.15">
      <c r="A1271">
        <v>1270</v>
      </c>
      <c r="B1271" t="s">
        <v>20</v>
      </c>
      <c r="C1271" t="s">
        <v>20</v>
      </c>
      <c r="D1271" t="s">
        <v>21</v>
      </c>
      <c r="E1271">
        <v>5900</v>
      </c>
      <c r="F1271">
        <v>63</v>
      </c>
      <c r="G1271">
        <v>-30</v>
      </c>
      <c r="H1271">
        <v>-71</v>
      </c>
      <c r="I1271" t="s">
        <v>20</v>
      </c>
      <c r="J1271">
        <v>1</v>
      </c>
      <c r="K1271">
        <v>0</v>
      </c>
      <c r="L1271">
        <v>1</v>
      </c>
      <c r="M1271">
        <v>0</v>
      </c>
      <c r="N1271">
        <v>0</v>
      </c>
      <c r="O1271">
        <v>0</v>
      </c>
      <c r="P1271">
        <v>0</v>
      </c>
      <c r="Q1271">
        <v>0</v>
      </c>
      <c r="R1271">
        <v>2000</v>
      </c>
      <c r="S1271">
        <v>2000</v>
      </c>
      <c r="T1271">
        <v>0</v>
      </c>
      <c r="U1271" t="str">
        <f>IF(SeismicData[[#This Row],[class]]=1,"Dangerous","Safe")</f>
        <v>Safe</v>
      </c>
      <c r="V1271" t="str">
        <f>IF(SeismicData[[#This Row],[shift]]="W","Production","Non-Production")</f>
        <v>Non-Production</v>
      </c>
      <c r="W1271" t="str">
        <f>IF(SeismicData[[#This Row],[genergy]]=0,"0","10^"&amp;INT(LOG10(SeismicData[[#This Row],[genergy]])))</f>
        <v>10^3</v>
      </c>
      <c r="X1271" t="str">
        <f>IF(OR(SeismicData[[#This Row],[genergy]]&lt;$AA$6,SeismicData[[#This Row],[genergy]]&gt;$AA$5),"Outlier","Normal")</f>
        <v>Normal</v>
      </c>
    </row>
    <row r="1272" spans="1:24" x14ac:dyDescent="0.15">
      <c r="A1272">
        <v>1271</v>
      </c>
      <c r="B1272" t="s">
        <v>20</v>
      </c>
      <c r="C1272" t="s">
        <v>20</v>
      </c>
      <c r="D1272" t="s">
        <v>21</v>
      </c>
      <c r="E1272">
        <v>6980</v>
      </c>
      <c r="F1272">
        <v>37</v>
      </c>
      <c r="G1272">
        <v>-10</v>
      </c>
      <c r="H1272">
        <v>-81</v>
      </c>
      <c r="I1272" t="s">
        <v>20</v>
      </c>
      <c r="J1272">
        <v>1</v>
      </c>
      <c r="K1272">
        <v>1</v>
      </c>
      <c r="L1272">
        <v>0</v>
      </c>
      <c r="M1272">
        <v>0</v>
      </c>
      <c r="N1272">
        <v>0</v>
      </c>
      <c r="O1272">
        <v>0</v>
      </c>
      <c r="P1272">
        <v>0</v>
      </c>
      <c r="Q1272">
        <v>0</v>
      </c>
      <c r="R1272">
        <v>300</v>
      </c>
      <c r="S1272">
        <v>300</v>
      </c>
      <c r="T1272">
        <v>0</v>
      </c>
      <c r="U1272" t="str">
        <f>IF(SeismicData[[#This Row],[class]]=1,"Dangerous","Safe")</f>
        <v>Safe</v>
      </c>
      <c r="V1272" t="str">
        <f>IF(SeismicData[[#This Row],[shift]]="W","Production","Non-Production")</f>
        <v>Non-Production</v>
      </c>
      <c r="W1272" t="str">
        <f>IF(SeismicData[[#This Row],[genergy]]=0,"0","10^"&amp;INT(LOG10(SeismicData[[#This Row],[genergy]])))</f>
        <v>10^3</v>
      </c>
      <c r="X1272" t="str">
        <f>IF(OR(SeismicData[[#This Row],[genergy]]&lt;$AA$6,SeismicData[[#This Row],[genergy]]&gt;$AA$5),"Outlier","Normal")</f>
        <v>Normal</v>
      </c>
    </row>
    <row r="1273" spans="1:24" x14ac:dyDescent="0.15">
      <c r="A1273">
        <v>1272</v>
      </c>
      <c r="B1273" t="s">
        <v>20</v>
      </c>
      <c r="C1273" t="s">
        <v>20</v>
      </c>
      <c r="D1273" t="s">
        <v>21</v>
      </c>
      <c r="E1273">
        <v>3540</v>
      </c>
      <c r="F1273">
        <v>186</v>
      </c>
      <c r="G1273">
        <v>62</v>
      </c>
      <c r="H1273">
        <v>74</v>
      </c>
      <c r="I1273" t="s">
        <v>20</v>
      </c>
      <c r="J1273">
        <v>0</v>
      </c>
      <c r="K1273">
        <v>0</v>
      </c>
      <c r="L1273">
        <v>0</v>
      </c>
      <c r="M1273">
        <v>0</v>
      </c>
      <c r="N1273">
        <v>0</v>
      </c>
      <c r="O1273">
        <v>0</v>
      </c>
      <c r="P1273">
        <v>0</v>
      </c>
      <c r="Q1273">
        <v>0</v>
      </c>
      <c r="R1273">
        <v>0</v>
      </c>
      <c r="S1273">
        <v>0</v>
      </c>
      <c r="T1273">
        <v>0</v>
      </c>
      <c r="U1273" t="str">
        <f>IF(SeismicData[[#This Row],[class]]=1,"Dangerous","Safe")</f>
        <v>Safe</v>
      </c>
      <c r="V1273" t="str">
        <f>IF(SeismicData[[#This Row],[shift]]="W","Production","Non-Production")</f>
        <v>Non-Production</v>
      </c>
      <c r="W1273" t="str">
        <f>IF(SeismicData[[#This Row],[genergy]]=0,"0","10^"&amp;INT(LOG10(SeismicData[[#This Row],[genergy]])))</f>
        <v>10^3</v>
      </c>
      <c r="X1273" t="str">
        <f>IF(OR(SeismicData[[#This Row],[genergy]]&lt;$AA$6,SeismicData[[#This Row],[genergy]]&gt;$AA$5),"Outlier","Normal")</f>
        <v>Normal</v>
      </c>
    </row>
    <row r="1274" spans="1:24" x14ac:dyDescent="0.15">
      <c r="A1274">
        <v>1273</v>
      </c>
      <c r="B1274" t="s">
        <v>20</v>
      </c>
      <c r="C1274" t="s">
        <v>20</v>
      </c>
      <c r="D1274" t="s">
        <v>22</v>
      </c>
      <c r="E1274">
        <v>10360</v>
      </c>
      <c r="F1274">
        <v>131</v>
      </c>
      <c r="G1274">
        <v>76</v>
      </c>
      <c r="H1274">
        <v>-49</v>
      </c>
      <c r="I1274" t="s">
        <v>20</v>
      </c>
      <c r="J1274">
        <v>0</v>
      </c>
      <c r="K1274">
        <v>0</v>
      </c>
      <c r="L1274">
        <v>0</v>
      </c>
      <c r="M1274">
        <v>0</v>
      </c>
      <c r="N1274">
        <v>0</v>
      </c>
      <c r="O1274">
        <v>0</v>
      </c>
      <c r="P1274">
        <v>0</v>
      </c>
      <c r="Q1274">
        <v>0</v>
      </c>
      <c r="R1274">
        <v>0</v>
      </c>
      <c r="S1274">
        <v>0</v>
      </c>
      <c r="T1274">
        <v>0</v>
      </c>
      <c r="U1274" t="str">
        <f>IF(SeismicData[[#This Row],[class]]=1,"Dangerous","Safe")</f>
        <v>Safe</v>
      </c>
      <c r="V1274" t="str">
        <f>IF(SeismicData[[#This Row],[shift]]="W","Production","Non-Production")</f>
        <v>Production</v>
      </c>
      <c r="W1274" t="str">
        <f>IF(SeismicData[[#This Row],[genergy]]=0,"0","10^"&amp;INT(LOG10(SeismicData[[#This Row],[genergy]])))</f>
        <v>10^4</v>
      </c>
      <c r="X1274" t="str">
        <f>IF(OR(SeismicData[[#This Row],[genergy]]&lt;$AA$6,SeismicData[[#This Row],[genergy]]&gt;$AA$5),"Outlier","Normal")</f>
        <v>Normal</v>
      </c>
    </row>
    <row r="1275" spans="1:24" x14ac:dyDescent="0.15">
      <c r="A1275">
        <v>1274</v>
      </c>
      <c r="B1275" t="s">
        <v>20</v>
      </c>
      <c r="C1275" t="s">
        <v>20</v>
      </c>
      <c r="D1275" t="s">
        <v>22</v>
      </c>
      <c r="E1275">
        <v>8820</v>
      </c>
      <c r="F1275">
        <v>243</v>
      </c>
      <c r="G1275">
        <v>50</v>
      </c>
      <c r="H1275">
        <v>-5</v>
      </c>
      <c r="I1275" t="s">
        <v>20</v>
      </c>
      <c r="J1275">
        <v>0</v>
      </c>
      <c r="K1275">
        <v>0</v>
      </c>
      <c r="L1275">
        <v>0</v>
      </c>
      <c r="M1275">
        <v>0</v>
      </c>
      <c r="N1275">
        <v>0</v>
      </c>
      <c r="O1275">
        <v>0</v>
      </c>
      <c r="P1275">
        <v>0</v>
      </c>
      <c r="Q1275">
        <v>0</v>
      </c>
      <c r="R1275">
        <v>0</v>
      </c>
      <c r="S1275">
        <v>0</v>
      </c>
      <c r="T1275">
        <v>0</v>
      </c>
      <c r="U1275" t="str">
        <f>IF(SeismicData[[#This Row],[class]]=1,"Dangerous","Safe")</f>
        <v>Safe</v>
      </c>
      <c r="V1275" t="str">
        <f>IF(SeismicData[[#This Row],[shift]]="W","Production","Non-Production")</f>
        <v>Production</v>
      </c>
      <c r="W1275" t="str">
        <f>IF(SeismicData[[#This Row],[genergy]]=0,"0","10^"&amp;INT(LOG10(SeismicData[[#This Row],[genergy]])))</f>
        <v>10^3</v>
      </c>
      <c r="X1275" t="str">
        <f>IF(OR(SeismicData[[#This Row],[genergy]]&lt;$AA$6,SeismicData[[#This Row],[genergy]]&gt;$AA$5),"Outlier","Normal")</f>
        <v>Normal</v>
      </c>
    </row>
    <row r="1276" spans="1:24" x14ac:dyDescent="0.15">
      <c r="A1276">
        <v>1275</v>
      </c>
      <c r="B1276" t="s">
        <v>20</v>
      </c>
      <c r="C1276" t="s">
        <v>20</v>
      </c>
      <c r="D1276" t="s">
        <v>22</v>
      </c>
      <c r="E1276">
        <v>2880</v>
      </c>
      <c r="F1276">
        <v>92</v>
      </c>
      <c r="G1276">
        <v>-74</v>
      </c>
      <c r="H1276">
        <v>-67</v>
      </c>
      <c r="I1276" t="s">
        <v>20</v>
      </c>
      <c r="J1276">
        <v>1</v>
      </c>
      <c r="K1276">
        <v>0</v>
      </c>
      <c r="L1276">
        <v>1</v>
      </c>
      <c r="M1276">
        <v>0</v>
      </c>
      <c r="N1276">
        <v>0</v>
      </c>
      <c r="O1276">
        <v>0</v>
      </c>
      <c r="P1276">
        <v>0</v>
      </c>
      <c r="Q1276">
        <v>0</v>
      </c>
      <c r="R1276">
        <v>2000</v>
      </c>
      <c r="S1276">
        <v>2000</v>
      </c>
      <c r="T1276">
        <v>0</v>
      </c>
      <c r="U1276" t="str">
        <f>IF(SeismicData[[#This Row],[class]]=1,"Dangerous","Safe")</f>
        <v>Safe</v>
      </c>
      <c r="V1276" t="str">
        <f>IF(SeismicData[[#This Row],[shift]]="W","Production","Non-Production")</f>
        <v>Production</v>
      </c>
      <c r="W1276" t="str">
        <f>IF(SeismicData[[#This Row],[genergy]]=0,"0","10^"&amp;INT(LOG10(SeismicData[[#This Row],[genergy]])))</f>
        <v>10^3</v>
      </c>
      <c r="X1276" t="str">
        <f>IF(OR(SeismicData[[#This Row],[genergy]]&lt;$AA$6,SeismicData[[#This Row],[genergy]]&gt;$AA$5),"Outlier","Normal")</f>
        <v>Normal</v>
      </c>
    </row>
    <row r="1277" spans="1:24" x14ac:dyDescent="0.15">
      <c r="A1277">
        <v>1276</v>
      </c>
      <c r="B1277" t="s">
        <v>20</v>
      </c>
      <c r="C1277" t="s">
        <v>20</v>
      </c>
      <c r="D1277" t="s">
        <v>22</v>
      </c>
      <c r="E1277">
        <v>15470</v>
      </c>
      <c r="F1277">
        <v>286</v>
      </c>
      <c r="G1277">
        <v>163</v>
      </c>
      <c r="H1277">
        <v>12</v>
      </c>
      <c r="I1277" t="s">
        <v>20</v>
      </c>
      <c r="J1277">
        <v>0</v>
      </c>
      <c r="K1277">
        <v>0</v>
      </c>
      <c r="L1277">
        <v>0</v>
      </c>
      <c r="M1277">
        <v>0</v>
      </c>
      <c r="N1277">
        <v>0</v>
      </c>
      <c r="O1277">
        <v>0</v>
      </c>
      <c r="P1277">
        <v>0</v>
      </c>
      <c r="Q1277">
        <v>0</v>
      </c>
      <c r="R1277">
        <v>0</v>
      </c>
      <c r="S1277">
        <v>0</v>
      </c>
      <c r="T1277">
        <v>0</v>
      </c>
      <c r="U1277" t="str">
        <f>IF(SeismicData[[#This Row],[class]]=1,"Dangerous","Safe")</f>
        <v>Safe</v>
      </c>
      <c r="V1277" t="str">
        <f>IF(SeismicData[[#This Row],[shift]]="W","Production","Non-Production")</f>
        <v>Production</v>
      </c>
      <c r="W1277" t="str">
        <f>IF(SeismicData[[#This Row],[genergy]]=0,"0","10^"&amp;INT(LOG10(SeismicData[[#This Row],[genergy]])))</f>
        <v>10^4</v>
      </c>
      <c r="X1277" t="str">
        <f>IF(OR(SeismicData[[#This Row],[genergy]]&lt;$AA$6,SeismicData[[#This Row],[genergy]]&gt;$AA$5),"Outlier","Normal")</f>
        <v>Normal</v>
      </c>
    </row>
    <row r="1278" spans="1:24" x14ac:dyDescent="0.15">
      <c r="A1278">
        <v>1277</v>
      </c>
      <c r="B1278" t="s">
        <v>20</v>
      </c>
      <c r="C1278" t="s">
        <v>20</v>
      </c>
      <c r="D1278" t="s">
        <v>22</v>
      </c>
      <c r="E1278">
        <v>15120</v>
      </c>
      <c r="F1278">
        <v>166</v>
      </c>
      <c r="G1278">
        <v>-35</v>
      </c>
      <c r="H1278">
        <v>-58</v>
      </c>
      <c r="I1278" t="s">
        <v>20</v>
      </c>
      <c r="J1278">
        <v>1</v>
      </c>
      <c r="K1278">
        <v>0</v>
      </c>
      <c r="L1278">
        <v>1</v>
      </c>
      <c r="M1278">
        <v>0</v>
      </c>
      <c r="N1278">
        <v>0</v>
      </c>
      <c r="O1278">
        <v>0</v>
      </c>
      <c r="P1278">
        <v>0</v>
      </c>
      <c r="Q1278">
        <v>0</v>
      </c>
      <c r="R1278">
        <v>3000</v>
      </c>
      <c r="S1278">
        <v>3000</v>
      </c>
      <c r="T1278">
        <v>0</v>
      </c>
      <c r="U1278" t="str">
        <f>IF(SeismicData[[#This Row],[class]]=1,"Dangerous","Safe")</f>
        <v>Safe</v>
      </c>
      <c r="V1278" t="str">
        <f>IF(SeismicData[[#This Row],[shift]]="W","Production","Non-Production")</f>
        <v>Production</v>
      </c>
      <c r="W1278" t="str">
        <f>IF(SeismicData[[#This Row],[genergy]]=0,"0","10^"&amp;INT(LOG10(SeismicData[[#This Row],[genergy]])))</f>
        <v>10^4</v>
      </c>
      <c r="X1278" t="str">
        <f>IF(OR(SeismicData[[#This Row],[genergy]]&lt;$AA$6,SeismicData[[#This Row],[genergy]]&gt;$AA$5),"Outlier","Normal")</f>
        <v>Normal</v>
      </c>
    </row>
    <row r="1279" spans="1:24" x14ac:dyDescent="0.15">
      <c r="A1279">
        <v>1278</v>
      </c>
      <c r="B1279" t="s">
        <v>20</v>
      </c>
      <c r="C1279" t="s">
        <v>20</v>
      </c>
      <c r="D1279" t="s">
        <v>22</v>
      </c>
      <c r="E1279">
        <v>14140</v>
      </c>
      <c r="F1279">
        <v>200</v>
      </c>
      <c r="G1279">
        <v>-39</v>
      </c>
      <c r="H1279">
        <v>-50</v>
      </c>
      <c r="I1279" t="s">
        <v>20</v>
      </c>
      <c r="J1279">
        <v>0</v>
      </c>
      <c r="K1279">
        <v>0</v>
      </c>
      <c r="L1279">
        <v>0</v>
      </c>
      <c r="M1279">
        <v>0</v>
      </c>
      <c r="N1279">
        <v>0</v>
      </c>
      <c r="O1279">
        <v>0</v>
      </c>
      <c r="P1279">
        <v>0</v>
      </c>
      <c r="Q1279">
        <v>0</v>
      </c>
      <c r="R1279">
        <v>0</v>
      </c>
      <c r="S1279">
        <v>0</v>
      </c>
      <c r="T1279">
        <v>0</v>
      </c>
      <c r="U1279" t="str">
        <f>IF(SeismicData[[#This Row],[class]]=1,"Dangerous","Safe")</f>
        <v>Safe</v>
      </c>
      <c r="V1279" t="str">
        <f>IF(SeismicData[[#This Row],[shift]]="W","Production","Non-Production")</f>
        <v>Production</v>
      </c>
      <c r="W1279" t="str">
        <f>IF(SeismicData[[#This Row],[genergy]]=0,"0","10^"&amp;INT(LOG10(SeismicData[[#This Row],[genergy]])))</f>
        <v>10^4</v>
      </c>
      <c r="X1279" t="str">
        <f>IF(OR(SeismicData[[#This Row],[genergy]]&lt;$AA$6,SeismicData[[#This Row],[genergy]]&gt;$AA$5),"Outlier","Normal")</f>
        <v>Normal</v>
      </c>
    </row>
    <row r="1280" spans="1:24" x14ac:dyDescent="0.15">
      <c r="A1280">
        <v>1279</v>
      </c>
      <c r="B1280" t="s">
        <v>20</v>
      </c>
      <c r="C1280" t="s">
        <v>20</v>
      </c>
      <c r="D1280" t="s">
        <v>22</v>
      </c>
      <c r="E1280">
        <v>8180</v>
      </c>
      <c r="F1280">
        <v>136</v>
      </c>
      <c r="G1280">
        <v>-64</v>
      </c>
      <c r="H1280">
        <v>-66</v>
      </c>
      <c r="I1280" t="s">
        <v>20</v>
      </c>
      <c r="J1280">
        <v>0</v>
      </c>
      <c r="K1280">
        <v>0</v>
      </c>
      <c r="L1280">
        <v>0</v>
      </c>
      <c r="M1280">
        <v>0</v>
      </c>
      <c r="N1280">
        <v>0</v>
      </c>
      <c r="O1280">
        <v>0</v>
      </c>
      <c r="P1280">
        <v>0</v>
      </c>
      <c r="Q1280">
        <v>0</v>
      </c>
      <c r="R1280">
        <v>0</v>
      </c>
      <c r="S1280">
        <v>0</v>
      </c>
      <c r="T1280">
        <v>0</v>
      </c>
      <c r="U1280" t="str">
        <f>IF(SeismicData[[#This Row],[class]]=1,"Dangerous","Safe")</f>
        <v>Safe</v>
      </c>
      <c r="V1280" t="str">
        <f>IF(SeismicData[[#This Row],[shift]]="W","Production","Non-Production")</f>
        <v>Production</v>
      </c>
      <c r="W1280" t="str">
        <f>IF(SeismicData[[#This Row],[genergy]]=0,"0","10^"&amp;INT(LOG10(SeismicData[[#This Row],[genergy]])))</f>
        <v>10^3</v>
      </c>
      <c r="X1280" t="str">
        <f>IF(OR(SeismicData[[#This Row],[genergy]]&lt;$AA$6,SeismicData[[#This Row],[genergy]]&gt;$AA$5),"Outlier","Normal")</f>
        <v>Normal</v>
      </c>
    </row>
    <row r="1281" spans="1:24" x14ac:dyDescent="0.15">
      <c r="A1281">
        <v>1280</v>
      </c>
      <c r="B1281" t="s">
        <v>20</v>
      </c>
      <c r="C1281" t="s">
        <v>20</v>
      </c>
      <c r="D1281" t="s">
        <v>22</v>
      </c>
      <c r="E1281">
        <v>16360</v>
      </c>
      <c r="F1281">
        <v>149</v>
      </c>
      <c r="G1281">
        <v>-28</v>
      </c>
      <c r="H1281">
        <v>-63</v>
      </c>
      <c r="I1281" t="s">
        <v>20</v>
      </c>
      <c r="J1281">
        <v>1</v>
      </c>
      <c r="K1281">
        <v>1</v>
      </c>
      <c r="L1281">
        <v>0</v>
      </c>
      <c r="M1281">
        <v>0</v>
      </c>
      <c r="N1281">
        <v>0</v>
      </c>
      <c r="O1281">
        <v>0</v>
      </c>
      <c r="P1281">
        <v>0</v>
      </c>
      <c r="Q1281">
        <v>0</v>
      </c>
      <c r="R1281">
        <v>800</v>
      </c>
      <c r="S1281">
        <v>800</v>
      </c>
      <c r="T1281">
        <v>0</v>
      </c>
      <c r="U1281" t="str">
        <f>IF(SeismicData[[#This Row],[class]]=1,"Dangerous","Safe")</f>
        <v>Safe</v>
      </c>
      <c r="V1281" t="str">
        <f>IF(SeismicData[[#This Row],[shift]]="W","Production","Non-Production")</f>
        <v>Production</v>
      </c>
      <c r="W1281" t="str">
        <f>IF(SeismicData[[#This Row],[genergy]]=0,"0","10^"&amp;INT(LOG10(SeismicData[[#This Row],[genergy]])))</f>
        <v>10^4</v>
      </c>
      <c r="X1281" t="str">
        <f>IF(OR(SeismicData[[#This Row],[genergy]]&lt;$AA$6,SeismicData[[#This Row],[genergy]]&gt;$AA$5),"Outlier","Normal")</f>
        <v>Normal</v>
      </c>
    </row>
    <row r="1282" spans="1:24" x14ac:dyDescent="0.15">
      <c r="A1282">
        <v>1281</v>
      </c>
      <c r="B1282" t="s">
        <v>20</v>
      </c>
      <c r="C1282" t="s">
        <v>20</v>
      </c>
      <c r="D1282" t="s">
        <v>22</v>
      </c>
      <c r="E1282">
        <v>8450</v>
      </c>
      <c r="F1282">
        <v>121</v>
      </c>
      <c r="G1282">
        <v>-63</v>
      </c>
      <c r="H1282">
        <v>-70</v>
      </c>
      <c r="I1282" t="s">
        <v>20</v>
      </c>
      <c r="J1282">
        <v>0</v>
      </c>
      <c r="K1282">
        <v>0</v>
      </c>
      <c r="L1282">
        <v>0</v>
      </c>
      <c r="M1282">
        <v>0</v>
      </c>
      <c r="N1282">
        <v>0</v>
      </c>
      <c r="O1282">
        <v>0</v>
      </c>
      <c r="P1282">
        <v>0</v>
      </c>
      <c r="Q1282">
        <v>0</v>
      </c>
      <c r="R1282">
        <v>0</v>
      </c>
      <c r="S1282">
        <v>0</v>
      </c>
      <c r="T1282">
        <v>0</v>
      </c>
      <c r="U1282" t="str">
        <f>IF(SeismicData[[#This Row],[class]]=1,"Dangerous","Safe")</f>
        <v>Safe</v>
      </c>
      <c r="V1282" t="str">
        <f>IF(SeismicData[[#This Row],[shift]]="W","Production","Non-Production")</f>
        <v>Production</v>
      </c>
      <c r="W1282" t="str">
        <f>IF(SeismicData[[#This Row],[genergy]]=0,"0","10^"&amp;INT(LOG10(SeismicData[[#This Row],[genergy]])))</f>
        <v>10^3</v>
      </c>
      <c r="X1282" t="str">
        <f>IF(OR(SeismicData[[#This Row],[genergy]]&lt;$AA$6,SeismicData[[#This Row],[genergy]]&gt;$AA$5),"Outlier","Normal")</f>
        <v>Normal</v>
      </c>
    </row>
    <row r="1283" spans="1:24" x14ac:dyDescent="0.15">
      <c r="A1283">
        <v>1282</v>
      </c>
      <c r="B1283" t="s">
        <v>20</v>
      </c>
      <c r="C1283" t="s">
        <v>20</v>
      </c>
      <c r="D1283" t="s">
        <v>22</v>
      </c>
      <c r="E1283">
        <v>7090</v>
      </c>
      <c r="F1283">
        <v>124</v>
      </c>
      <c r="G1283">
        <v>-69</v>
      </c>
      <c r="H1283">
        <v>-69</v>
      </c>
      <c r="I1283" t="s">
        <v>20</v>
      </c>
      <c r="J1283">
        <v>0</v>
      </c>
      <c r="K1283">
        <v>0</v>
      </c>
      <c r="L1283">
        <v>0</v>
      </c>
      <c r="M1283">
        <v>0</v>
      </c>
      <c r="N1283">
        <v>0</v>
      </c>
      <c r="O1283">
        <v>0</v>
      </c>
      <c r="P1283">
        <v>0</v>
      </c>
      <c r="Q1283">
        <v>0</v>
      </c>
      <c r="R1283">
        <v>0</v>
      </c>
      <c r="S1283">
        <v>0</v>
      </c>
      <c r="T1283">
        <v>0</v>
      </c>
      <c r="U1283" t="str">
        <f>IF(SeismicData[[#This Row],[class]]=1,"Dangerous","Safe")</f>
        <v>Safe</v>
      </c>
      <c r="V1283" t="str">
        <f>IF(SeismicData[[#This Row],[shift]]="W","Production","Non-Production")</f>
        <v>Production</v>
      </c>
      <c r="W1283" t="str">
        <f>IF(SeismicData[[#This Row],[genergy]]=0,"0","10^"&amp;INT(LOG10(SeismicData[[#This Row],[genergy]])))</f>
        <v>10^3</v>
      </c>
      <c r="X1283" t="str">
        <f>IF(OR(SeismicData[[#This Row],[genergy]]&lt;$AA$6,SeismicData[[#This Row],[genergy]]&gt;$AA$5),"Outlier","Normal")</f>
        <v>Normal</v>
      </c>
    </row>
    <row r="1284" spans="1:24" x14ac:dyDescent="0.15">
      <c r="A1284">
        <v>1283</v>
      </c>
      <c r="B1284" t="s">
        <v>20</v>
      </c>
      <c r="C1284" t="s">
        <v>20</v>
      </c>
      <c r="D1284" t="s">
        <v>22</v>
      </c>
      <c r="E1284">
        <v>15160</v>
      </c>
      <c r="F1284">
        <v>180</v>
      </c>
      <c r="G1284">
        <v>-33</v>
      </c>
      <c r="H1284">
        <v>-55</v>
      </c>
      <c r="I1284" t="s">
        <v>20</v>
      </c>
      <c r="J1284">
        <v>1</v>
      </c>
      <c r="K1284">
        <v>1</v>
      </c>
      <c r="L1284">
        <v>0</v>
      </c>
      <c r="M1284">
        <v>0</v>
      </c>
      <c r="N1284">
        <v>0</v>
      </c>
      <c r="O1284">
        <v>0</v>
      </c>
      <c r="P1284">
        <v>0</v>
      </c>
      <c r="Q1284">
        <v>0</v>
      </c>
      <c r="R1284">
        <v>500</v>
      </c>
      <c r="S1284">
        <v>500</v>
      </c>
      <c r="T1284">
        <v>0</v>
      </c>
      <c r="U1284" t="str">
        <f>IF(SeismicData[[#This Row],[class]]=1,"Dangerous","Safe")</f>
        <v>Safe</v>
      </c>
      <c r="V1284" t="str">
        <f>IF(SeismicData[[#This Row],[shift]]="W","Production","Non-Production")</f>
        <v>Production</v>
      </c>
      <c r="W1284" t="str">
        <f>IF(SeismicData[[#This Row],[genergy]]=0,"0","10^"&amp;INT(LOG10(SeismicData[[#This Row],[genergy]])))</f>
        <v>10^4</v>
      </c>
      <c r="X1284" t="str">
        <f>IF(OR(SeismicData[[#This Row],[genergy]]&lt;$AA$6,SeismicData[[#This Row],[genergy]]&gt;$AA$5),"Outlier","Normal")</f>
        <v>Normal</v>
      </c>
    </row>
    <row r="1285" spans="1:24" x14ac:dyDescent="0.15">
      <c r="A1285">
        <v>1284</v>
      </c>
      <c r="B1285" t="s">
        <v>20</v>
      </c>
      <c r="C1285" t="s">
        <v>20</v>
      </c>
      <c r="D1285" t="s">
        <v>22</v>
      </c>
      <c r="E1285">
        <v>22140</v>
      </c>
      <c r="F1285">
        <v>190</v>
      </c>
      <c r="G1285">
        <v>-2</v>
      </c>
      <c r="H1285">
        <v>-53</v>
      </c>
      <c r="I1285" t="s">
        <v>20</v>
      </c>
      <c r="J1285">
        <v>1</v>
      </c>
      <c r="K1285">
        <v>0</v>
      </c>
      <c r="L1285">
        <v>1</v>
      </c>
      <c r="M1285">
        <v>0</v>
      </c>
      <c r="N1285">
        <v>0</v>
      </c>
      <c r="O1285">
        <v>0</v>
      </c>
      <c r="P1285">
        <v>0</v>
      </c>
      <c r="Q1285">
        <v>0</v>
      </c>
      <c r="R1285">
        <v>2000</v>
      </c>
      <c r="S1285">
        <v>2000</v>
      </c>
      <c r="T1285">
        <v>0</v>
      </c>
      <c r="U1285" t="str">
        <f>IF(SeismicData[[#This Row],[class]]=1,"Dangerous","Safe")</f>
        <v>Safe</v>
      </c>
      <c r="V1285" t="str">
        <f>IF(SeismicData[[#This Row],[shift]]="W","Production","Non-Production")</f>
        <v>Production</v>
      </c>
      <c r="W1285" t="str">
        <f>IF(SeismicData[[#This Row],[genergy]]=0,"0","10^"&amp;INT(LOG10(SeismicData[[#This Row],[genergy]])))</f>
        <v>10^4</v>
      </c>
      <c r="X1285" t="str">
        <f>IF(OR(SeismicData[[#This Row],[genergy]]&lt;$AA$6,SeismicData[[#This Row],[genergy]]&gt;$AA$5),"Outlier","Normal")</f>
        <v>Normal</v>
      </c>
    </row>
    <row r="1286" spans="1:24" x14ac:dyDescent="0.15">
      <c r="A1286">
        <v>1285</v>
      </c>
      <c r="B1286" t="s">
        <v>20</v>
      </c>
      <c r="C1286" t="s">
        <v>20</v>
      </c>
      <c r="D1286" t="s">
        <v>22</v>
      </c>
      <c r="E1286">
        <v>17710</v>
      </c>
      <c r="F1286">
        <v>191</v>
      </c>
      <c r="G1286">
        <v>-22</v>
      </c>
      <c r="H1286">
        <v>-52</v>
      </c>
      <c r="I1286" t="s">
        <v>20</v>
      </c>
      <c r="J1286">
        <v>0</v>
      </c>
      <c r="K1286">
        <v>0</v>
      </c>
      <c r="L1286">
        <v>0</v>
      </c>
      <c r="M1286">
        <v>0</v>
      </c>
      <c r="N1286">
        <v>0</v>
      </c>
      <c r="O1286">
        <v>0</v>
      </c>
      <c r="P1286">
        <v>0</v>
      </c>
      <c r="Q1286">
        <v>0</v>
      </c>
      <c r="R1286">
        <v>0</v>
      </c>
      <c r="S1286">
        <v>0</v>
      </c>
      <c r="T1286">
        <v>0</v>
      </c>
      <c r="U1286" t="str">
        <f>IF(SeismicData[[#This Row],[class]]=1,"Dangerous","Safe")</f>
        <v>Safe</v>
      </c>
      <c r="V1286" t="str">
        <f>IF(SeismicData[[#This Row],[shift]]="W","Production","Non-Production")</f>
        <v>Production</v>
      </c>
      <c r="W1286" t="str">
        <f>IF(SeismicData[[#This Row],[genergy]]=0,"0","10^"&amp;INT(LOG10(SeismicData[[#This Row],[genergy]])))</f>
        <v>10^4</v>
      </c>
      <c r="X1286" t="str">
        <f>IF(OR(SeismicData[[#This Row],[genergy]]&lt;$AA$6,SeismicData[[#This Row],[genergy]]&gt;$AA$5),"Outlier","Normal")</f>
        <v>Normal</v>
      </c>
    </row>
    <row r="1287" spans="1:24" x14ac:dyDescent="0.15">
      <c r="A1287">
        <v>1286</v>
      </c>
      <c r="B1287" t="s">
        <v>20</v>
      </c>
      <c r="C1287" t="s">
        <v>20</v>
      </c>
      <c r="D1287" t="s">
        <v>22</v>
      </c>
      <c r="E1287">
        <v>16430</v>
      </c>
      <c r="F1287">
        <v>213</v>
      </c>
      <c r="G1287">
        <v>-27</v>
      </c>
      <c r="H1287">
        <v>-47</v>
      </c>
      <c r="I1287" t="s">
        <v>20</v>
      </c>
      <c r="J1287">
        <v>1</v>
      </c>
      <c r="K1287">
        <v>0</v>
      </c>
      <c r="L1287">
        <v>1</v>
      </c>
      <c r="M1287">
        <v>0</v>
      </c>
      <c r="N1287">
        <v>0</v>
      </c>
      <c r="O1287">
        <v>0</v>
      </c>
      <c r="P1287">
        <v>0</v>
      </c>
      <c r="Q1287">
        <v>0</v>
      </c>
      <c r="R1287">
        <v>6000</v>
      </c>
      <c r="S1287">
        <v>6000</v>
      </c>
      <c r="T1287">
        <v>0</v>
      </c>
      <c r="U1287" t="str">
        <f>IF(SeismicData[[#This Row],[class]]=1,"Dangerous","Safe")</f>
        <v>Safe</v>
      </c>
      <c r="V1287" t="str">
        <f>IF(SeismicData[[#This Row],[shift]]="W","Production","Non-Production")</f>
        <v>Production</v>
      </c>
      <c r="W1287" t="str">
        <f>IF(SeismicData[[#This Row],[genergy]]=0,"0","10^"&amp;INT(LOG10(SeismicData[[#This Row],[genergy]])))</f>
        <v>10^4</v>
      </c>
      <c r="X1287" t="str">
        <f>IF(OR(SeismicData[[#This Row],[genergy]]&lt;$AA$6,SeismicData[[#This Row],[genergy]]&gt;$AA$5),"Outlier","Normal")</f>
        <v>Normal</v>
      </c>
    </row>
    <row r="1288" spans="1:24" x14ac:dyDescent="0.15">
      <c r="A1288">
        <v>1287</v>
      </c>
      <c r="B1288" t="s">
        <v>20</v>
      </c>
      <c r="C1288" t="s">
        <v>20</v>
      </c>
      <c r="D1288" t="s">
        <v>22</v>
      </c>
      <c r="E1288">
        <v>38820</v>
      </c>
      <c r="F1288">
        <v>647</v>
      </c>
      <c r="G1288">
        <v>259</v>
      </c>
      <c r="H1288">
        <v>137</v>
      </c>
      <c r="I1288" t="s">
        <v>20</v>
      </c>
      <c r="J1288">
        <v>0</v>
      </c>
      <c r="K1288">
        <v>0</v>
      </c>
      <c r="L1288">
        <v>0</v>
      </c>
      <c r="M1288">
        <v>0</v>
      </c>
      <c r="N1288">
        <v>0</v>
      </c>
      <c r="O1288">
        <v>0</v>
      </c>
      <c r="P1288">
        <v>0</v>
      </c>
      <c r="Q1288">
        <v>0</v>
      </c>
      <c r="R1288">
        <v>0</v>
      </c>
      <c r="S1288">
        <v>0</v>
      </c>
      <c r="T1288">
        <v>0</v>
      </c>
      <c r="U1288" t="str">
        <f>IF(SeismicData[[#This Row],[class]]=1,"Dangerous","Safe")</f>
        <v>Safe</v>
      </c>
      <c r="V1288" t="str">
        <f>IF(SeismicData[[#This Row],[shift]]="W","Production","Non-Production")</f>
        <v>Production</v>
      </c>
      <c r="W1288" t="str">
        <f>IF(SeismicData[[#This Row],[genergy]]=0,"0","10^"&amp;INT(LOG10(SeismicData[[#This Row],[genergy]])))</f>
        <v>10^4</v>
      </c>
      <c r="X1288" t="str">
        <f>IF(OR(SeismicData[[#This Row],[genergy]]&lt;$AA$6,SeismicData[[#This Row],[genergy]]&gt;$AA$5),"Outlier","Normal")</f>
        <v>Normal</v>
      </c>
    </row>
    <row r="1289" spans="1:24" x14ac:dyDescent="0.15">
      <c r="A1289">
        <v>1288</v>
      </c>
      <c r="B1289" t="s">
        <v>20</v>
      </c>
      <c r="C1289" t="s">
        <v>20</v>
      </c>
      <c r="D1289" t="s">
        <v>22</v>
      </c>
      <c r="E1289">
        <v>27540</v>
      </c>
      <c r="F1289">
        <v>291</v>
      </c>
      <c r="G1289">
        <v>28</v>
      </c>
      <c r="H1289">
        <v>-24</v>
      </c>
      <c r="I1289" t="s">
        <v>20</v>
      </c>
      <c r="J1289">
        <v>0</v>
      </c>
      <c r="K1289">
        <v>0</v>
      </c>
      <c r="L1289">
        <v>0</v>
      </c>
      <c r="M1289">
        <v>0</v>
      </c>
      <c r="N1289">
        <v>0</v>
      </c>
      <c r="O1289">
        <v>0</v>
      </c>
      <c r="P1289">
        <v>0</v>
      </c>
      <c r="Q1289">
        <v>0</v>
      </c>
      <c r="R1289">
        <v>0</v>
      </c>
      <c r="S1289">
        <v>0</v>
      </c>
      <c r="T1289">
        <v>0</v>
      </c>
      <c r="U1289" t="str">
        <f>IF(SeismicData[[#This Row],[class]]=1,"Dangerous","Safe")</f>
        <v>Safe</v>
      </c>
      <c r="V1289" t="str">
        <f>IF(SeismicData[[#This Row],[shift]]="W","Production","Non-Production")</f>
        <v>Production</v>
      </c>
      <c r="W1289" t="str">
        <f>IF(SeismicData[[#This Row],[genergy]]=0,"0","10^"&amp;INT(LOG10(SeismicData[[#This Row],[genergy]])))</f>
        <v>10^4</v>
      </c>
      <c r="X1289" t="str">
        <f>IF(OR(SeismicData[[#This Row],[genergy]]&lt;$AA$6,SeismicData[[#This Row],[genergy]]&gt;$AA$5),"Outlier","Normal")</f>
        <v>Normal</v>
      </c>
    </row>
    <row r="1290" spans="1:24" x14ac:dyDescent="0.15">
      <c r="A1290">
        <v>1289</v>
      </c>
      <c r="B1290" t="s">
        <v>20</v>
      </c>
      <c r="C1290" t="s">
        <v>20</v>
      </c>
      <c r="D1290" t="s">
        <v>22</v>
      </c>
      <c r="E1290">
        <v>21280</v>
      </c>
      <c r="F1290">
        <v>217</v>
      </c>
      <c r="G1290">
        <v>-1</v>
      </c>
      <c r="H1290">
        <v>-43</v>
      </c>
      <c r="I1290" t="s">
        <v>20</v>
      </c>
      <c r="J1290">
        <v>0</v>
      </c>
      <c r="K1290">
        <v>0</v>
      </c>
      <c r="L1290">
        <v>0</v>
      </c>
      <c r="M1290">
        <v>0</v>
      </c>
      <c r="N1290">
        <v>0</v>
      </c>
      <c r="O1290">
        <v>0</v>
      </c>
      <c r="P1290">
        <v>0</v>
      </c>
      <c r="Q1290">
        <v>0</v>
      </c>
      <c r="R1290">
        <v>0</v>
      </c>
      <c r="S1290">
        <v>0</v>
      </c>
      <c r="T1290">
        <v>0</v>
      </c>
      <c r="U1290" t="str">
        <f>IF(SeismicData[[#This Row],[class]]=1,"Dangerous","Safe")</f>
        <v>Safe</v>
      </c>
      <c r="V1290" t="str">
        <f>IF(SeismicData[[#This Row],[shift]]="W","Production","Non-Production")</f>
        <v>Production</v>
      </c>
      <c r="W1290" t="str">
        <f>IF(SeismicData[[#This Row],[genergy]]=0,"0","10^"&amp;INT(LOG10(SeismicData[[#This Row],[genergy]])))</f>
        <v>10^4</v>
      </c>
      <c r="X1290" t="str">
        <f>IF(OR(SeismicData[[#This Row],[genergy]]&lt;$AA$6,SeismicData[[#This Row],[genergy]]&gt;$AA$5),"Outlier","Normal")</f>
        <v>Normal</v>
      </c>
    </row>
    <row r="1291" spans="1:24" x14ac:dyDescent="0.15">
      <c r="A1291">
        <v>1290</v>
      </c>
      <c r="B1291" t="s">
        <v>20</v>
      </c>
      <c r="C1291" t="s">
        <v>20</v>
      </c>
      <c r="D1291" t="s">
        <v>22</v>
      </c>
      <c r="E1291">
        <v>11570</v>
      </c>
      <c r="F1291">
        <v>166</v>
      </c>
      <c r="G1291">
        <v>-46</v>
      </c>
      <c r="H1291">
        <v>-56</v>
      </c>
      <c r="I1291" t="s">
        <v>20</v>
      </c>
      <c r="J1291">
        <v>0</v>
      </c>
      <c r="K1291">
        <v>0</v>
      </c>
      <c r="L1291">
        <v>0</v>
      </c>
      <c r="M1291">
        <v>0</v>
      </c>
      <c r="N1291">
        <v>0</v>
      </c>
      <c r="O1291">
        <v>0</v>
      </c>
      <c r="P1291">
        <v>0</v>
      </c>
      <c r="Q1291">
        <v>0</v>
      </c>
      <c r="R1291">
        <v>0</v>
      </c>
      <c r="S1291">
        <v>0</v>
      </c>
      <c r="T1291">
        <v>0</v>
      </c>
      <c r="U1291" t="str">
        <f>IF(SeismicData[[#This Row],[class]]=1,"Dangerous","Safe")</f>
        <v>Safe</v>
      </c>
      <c r="V1291" t="str">
        <f>IF(SeismicData[[#This Row],[shift]]="W","Production","Non-Production")</f>
        <v>Production</v>
      </c>
      <c r="W1291" t="str">
        <f>IF(SeismicData[[#This Row],[genergy]]=0,"0","10^"&amp;INT(LOG10(SeismicData[[#This Row],[genergy]])))</f>
        <v>10^4</v>
      </c>
      <c r="X1291" t="str">
        <f>IF(OR(SeismicData[[#This Row],[genergy]]&lt;$AA$6,SeismicData[[#This Row],[genergy]]&gt;$AA$5),"Outlier","Normal")</f>
        <v>Normal</v>
      </c>
    </row>
    <row r="1292" spans="1:24" x14ac:dyDescent="0.15">
      <c r="A1292">
        <v>1291</v>
      </c>
      <c r="B1292" t="s">
        <v>20</v>
      </c>
      <c r="C1292" t="s">
        <v>20</v>
      </c>
      <c r="D1292" t="s">
        <v>22</v>
      </c>
      <c r="E1292">
        <v>12350</v>
      </c>
      <c r="F1292">
        <v>296</v>
      </c>
      <c r="G1292">
        <v>101</v>
      </c>
      <c r="H1292">
        <v>21</v>
      </c>
      <c r="I1292" t="s">
        <v>20</v>
      </c>
      <c r="J1292">
        <v>0</v>
      </c>
      <c r="K1292">
        <v>0</v>
      </c>
      <c r="L1292">
        <v>0</v>
      </c>
      <c r="M1292">
        <v>0</v>
      </c>
      <c r="N1292">
        <v>0</v>
      </c>
      <c r="O1292">
        <v>0</v>
      </c>
      <c r="P1292">
        <v>0</v>
      </c>
      <c r="Q1292">
        <v>0</v>
      </c>
      <c r="R1292">
        <v>0</v>
      </c>
      <c r="S1292">
        <v>0</v>
      </c>
      <c r="T1292">
        <v>0</v>
      </c>
      <c r="U1292" t="str">
        <f>IF(SeismicData[[#This Row],[class]]=1,"Dangerous","Safe")</f>
        <v>Safe</v>
      </c>
      <c r="V1292" t="str">
        <f>IF(SeismicData[[#This Row],[shift]]="W","Production","Non-Production")</f>
        <v>Production</v>
      </c>
      <c r="W1292" t="str">
        <f>IF(SeismicData[[#This Row],[genergy]]=0,"0","10^"&amp;INT(LOG10(SeismicData[[#This Row],[genergy]])))</f>
        <v>10^4</v>
      </c>
      <c r="X1292" t="str">
        <f>IF(OR(SeismicData[[#This Row],[genergy]]&lt;$AA$6,SeismicData[[#This Row],[genergy]]&gt;$AA$5),"Outlier","Normal")</f>
        <v>Normal</v>
      </c>
    </row>
    <row r="1293" spans="1:24" x14ac:dyDescent="0.15">
      <c r="A1293">
        <v>1292</v>
      </c>
      <c r="B1293" t="s">
        <v>20</v>
      </c>
      <c r="C1293" t="s">
        <v>20</v>
      </c>
      <c r="D1293" t="s">
        <v>22</v>
      </c>
      <c r="E1293">
        <v>18850</v>
      </c>
      <c r="F1293">
        <v>215</v>
      </c>
      <c r="G1293">
        <v>-13</v>
      </c>
      <c r="H1293">
        <v>-43</v>
      </c>
      <c r="I1293" t="s">
        <v>20</v>
      </c>
      <c r="J1293">
        <v>0</v>
      </c>
      <c r="K1293">
        <v>0</v>
      </c>
      <c r="L1293">
        <v>0</v>
      </c>
      <c r="M1293">
        <v>0</v>
      </c>
      <c r="N1293">
        <v>0</v>
      </c>
      <c r="O1293">
        <v>0</v>
      </c>
      <c r="P1293">
        <v>0</v>
      </c>
      <c r="Q1293">
        <v>0</v>
      </c>
      <c r="R1293">
        <v>0</v>
      </c>
      <c r="S1293">
        <v>0</v>
      </c>
      <c r="T1293">
        <v>0</v>
      </c>
      <c r="U1293" t="str">
        <f>IF(SeismicData[[#This Row],[class]]=1,"Dangerous","Safe")</f>
        <v>Safe</v>
      </c>
      <c r="V1293" t="str">
        <f>IF(SeismicData[[#This Row],[shift]]="W","Production","Non-Production")</f>
        <v>Production</v>
      </c>
      <c r="W1293" t="str">
        <f>IF(SeismicData[[#This Row],[genergy]]=0,"0","10^"&amp;INT(LOG10(SeismicData[[#This Row],[genergy]])))</f>
        <v>10^4</v>
      </c>
      <c r="X1293" t="str">
        <f>IF(OR(SeismicData[[#This Row],[genergy]]&lt;$AA$6,SeismicData[[#This Row],[genergy]]&gt;$AA$5),"Outlier","Normal")</f>
        <v>Normal</v>
      </c>
    </row>
    <row r="1294" spans="1:24" x14ac:dyDescent="0.15">
      <c r="A1294">
        <v>1293</v>
      </c>
      <c r="B1294" t="s">
        <v>20</v>
      </c>
      <c r="C1294" t="s">
        <v>20</v>
      </c>
      <c r="D1294" t="s">
        <v>21</v>
      </c>
      <c r="E1294">
        <v>14000</v>
      </c>
      <c r="F1294">
        <v>160</v>
      </c>
      <c r="G1294">
        <v>81</v>
      </c>
      <c r="H1294">
        <v>-20</v>
      </c>
      <c r="I1294" t="s">
        <v>20</v>
      </c>
      <c r="J1294">
        <v>0</v>
      </c>
      <c r="K1294">
        <v>0</v>
      </c>
      <c r="L1294">
        <v>0</v>
      </c>
      <c r="M1294">
        <v>0</v>
      </c>
      <c r="N1294">
        <v>0</v>
      </c>
      <c r="O1294">
        <v>0</v>
      </c>
      <c r="P1294">
        <v>0</v>
      </c>
      <c r="Q1294">
        <v>0</v>
      </c>
      <c r="R1294">
        <v>0</v>
      </c>
      <c r="S1294">
        <v>0</v>
      </c>
      <c r="T1294">
        <v>0</v>
      </c>
      <c r="U1294" t="str">
        <f>IF(SeismicData[[#This Row],[class]]=1,"Dangerous","Safe")</f>
        <v>Safe</v>
      </c>
      <c r="V1294" t="str">
        <f>IF(SeismicData[[#This Row],[shift]]="W","Production","Non-Production")</f>
        <v>Non-Production</v>
      </c>
      <c r="W1294" t="str">
        <f>IF(SeismicData[[#This Row],[genergy]]=0,"0","10^"&amp;INT(LOG10(SeismicData[[#This Row],[genergy]])))</f>
        <v>10^4</v>
      </c>
      <c r="X1294" t="str">
        <f>IF(OR(SeismicData[[#This Row],[genergy]]&lt;$AA$6,SeismicData[[#This Row],[genergy]]&gt;$AA$5),"Outlier","Normal")</f>
        <v>Normal</v>
      </c>
    </row>
    <row r="1295" spans="1:24" x14ac:dyDescent="0.15">
      <c r="A1295">
        <v>1294</v>
      </c>
      <c r="B1295" t="s">
        <v>20</v>
      </c>
      <c r="C1295" t="s">
        <v>20</v>
      </c>
      <c r="D1295" t="s">
        <v>21</v>
      </c>
      <c r="E1295">
        <v>12470</v>
      </c>
      <c r="F1295">
        <v>124</v>
      </c>
      <c r="G1295">
        <v>61</v>
      </c>
      <c r="H1295">
        <v>-38</v>
      </c>
      <c r="I1295" t="s">
        <v>20</v>
      </c>
      <c r="J1295">
        <v>0</v>
      </c>
      <c r="K1295">
        <v>0</v>
      </c>
      <c r="L1295">
        <v>0</v>
      </c>
      <c r="M1295">
        <v>0</v>
      </c>
      <c r="N1295">
        <v>0</v>
      </c>
      <c r="O1295">
        <v>0</v>
      </c>
      <c r="P1295">
        <v>0</v>
      </c>
      <c r="Q1295">
        <v>0</v>
      </c>
      <c r="R1295">
        <v>0</v>
      </c>
      <c r="S1295">
        <v>0</v>
      </c>
      <c r="T1295">
        <v>0</v>
      </c>
      <c r="U1295" t="str">
        <f>IF(SeismicData[[#This Row],[class]]=1,"Dangerous","Safe")</f>
        <v>Safe</v>
      </c>
      <c r="V1295" t="str">
        <f>IF(SeismicData[[#This Row],[shift]]="W","Production","Non-Production")</f>
        <v>Non-Production</v>
      </c>
      <c r="W1295" t="str">
        <f>IF(SeismicData[[#This Row],[genergy]]=0,"0","10^"&amp;INT(LOG10(SeismicData[[#This Row],[genergy]])))</f>
        <v>10^4</v>
      </c>
      <c r="X1295" t="str">
        <f>IF(OR(SeismicData[[#This Row],[genergy]]&lt;$AA$6,SeismicData[[#This Row],[genergy]]&gt;$AA$5),"Outlier","Normal")</f>
        <v>Normal</v>
      </c>
    </row>
    <row r="1296" spans="1:24" x14ac:dyDescent="0.15">
      <c r="A1296">
        <v>1295</v>
      </c>
      <c r="B1296" t="s">
        <v>20</v>
      </c>
      <c r="C1296" t="s">
        <v>20</v>
      </c>
      <c r="D1296" t="s">
        <v>22</v>
      </c>
      <c r="E1296">
        <v>7100</v>
      </c>
      <c r="F1296">
        <v>227</v>
      </c>
      <c r="G1296">
        <v>-37</v>
      </c>
      <c r="H1296">
        <v>-19</v>
      </c>
      <c r="I1296" t="s">
        <v>20</v>
      </c>
      <c r="J1296">
        <v>0</v>
      </c>
      <c r="K1296">
        <v>0</v>
      </c>
      <c r="L1296">
        <v>0</v>
      </c>
      <c r="M1296">
        <v>0</v>
      </c>
      <c r="N1296">
        <v>0</v>
      </c>
      <c r="O1296">
        <v>0</v>
      </c>
      <c r="P1296">
        <v>0</v>
      </c>
      <c r="Q1296">
        <v>0</v>
      </c>
      <c r="R1296">
        <v>0</v>
      </c>
      <c r="S1296">
        <v>0</v>
      </c>
      <c r="T1296">
        <v>0</v>
      </c>
      <c r="U1296" t="str">
        <f>IF(SeismicData[[#This Row],[class]]=1,"Dangerous","Safe")</f>
        <v>Safe</v>
      </c>
      <c r="V1296" t="str">
        <f>IF(SeismicData[[#This Row],[shift]]="W","Production","Non-Production")</f>
        <v>Production</v>
      </c>
      <c r="W1296" t="str">
        <f>IF(SeismicData[[#This Row],[genergy]]=0,"0","10^"&amp;INT(LOG10(SeismicData[[#This Row],[genergy]])))</f>
        <v>10^3</v>
      </c>
      <c r="X1296" t="str">
        <f>IF(OR(SeismicData[[#This Row],[genergy]]&lt;$AA$6,SeismicData[[#This Row],[genergy]]&gt;$AA$5),"Outlier","Normal")</f>
        <v>Normal</v>
      </c>
    </row>
    <row r="1297" spans="1:24" x14ac:dyDescent="0.15">
      <c r="A1297">
        <v>1296</v>
      </c>
      <c r="B1297" t="s">
        <v>20</v>
      </c>
      <c r="C1297" t="s">
        <v>20</v>
      </c>
      <c r="D1297" t="s">
        <v>22</v>
      </c>
      <c r="E1297">
        <v>6020</v>
      </c>
      <c r="F1297">
        <v>129</v>
      </c>
      <c r="G1297">
        <v>-71</v>
      </c>
      <c r="H1297">
        <v>-64</v>
      </c>
      <c r="I1297" t="s">
        <v>20</v>
      </c>
      <c r="J1297">
        <v>0</v>
      </c>
      <c r="K1297">
        <v>0</v>
      </c>
      <c r="L1297">
        <v>0</v>
      </c>
      <c r="M1297">
        <v>0</v>
      </c>
      <c r="N1297">
        <v>0</v>
      </c>
      <c r="O1297">
        <v>0</v>
      </c>
      <c r="P1297">
        <v>0</v>
      </c>
      <c r="Q1297">
        <v>0</v>
      </c>
      <c r="R1297">
        <v>0</v>
      </c>
      <c r="S1297">
        <v>0</v>
      </c>
      <c r="T1297">
        <v>0</v>
      </c>
      <c r="U1297" t="str">
        <f>IF(SeismicData[[#This Row],[class]]=1,"Dangerous","Safe")</f>
        <v>Safe</v>
      </c>
      <c r="V1297" t="str">
        <f>IF(SeismicData[[#This Row],[shift]]="W","Production","Non-Production")</f>
        <v>Production</v>
      </c>
      <c r="W1297" t="str">
        <f>IF(SeismicData[[#This Row],[genergy]]=0,"0","10^"&amp;INT(LOG10(SeismicData[[#This Row],[genergy]])))</f>
        <v>10^3</v>
      </c>
      <c r="X1297" t="str">
        <f>IF(OR(SeismicData[[#This Row],[genergy]]&lt;$AA$6,SeismicData[[#This Row],[genergy]]&gt;$AA$5),"Outlier","Normal")</f>
        <v>Normal</v>
      </c>
    </row>
    <row r="1298" spans="1:24" x14ac:dyDescent="0.15">
      <c r="A1298">
        <v>1297</v>
      </c>
      <c r="B1298" t="s">
        <v>20</v>
      </c>
      <c r="C1298" t="s">
        <v>20</v>
      </c>
      <c r="D1298" t="s">
        <v>22</v>
      </c>
      <c r="E1298">
        <v>17800</v>
      </c>
      <c r="F1298">
        <v>436</v>
      </c>
      <c r="G1298">
        <v>58</v>
      </c>
      <c r="H1298">
        <v>56</v>
      </c>
      <c r="I1298" t="s">
        <v>20</v>
      </c>
      <c r="J1298">
        <v>0</v>
      </c>
      <c r="K1298">
        <v>0</v>
      </c>
      <c r="L1298">
        <v>0</v>
      </c>
      <c r="M1298">
        <v>0</v>
      </c>
      <c r="N1298">
        <v>0</v>
      </c>
      <c r="O1298">
        <v>0</v>
      </c>
      <c r="P1298">
        <v>0</v>
      </c>
      <c r="Q1298">
        <v>0</v>
      </c>
      <c r="R1298">
        <v>0</v>
      </c>
      <c r="S1298">
        <v>0</v>
      </c>
      <c r="T1298">
        <v>0</v>
      </c>
      <c r="U1298" t="str">
        <f>IF(SeismicData[[#This Row],[class]]=1,"Dangerous","Safe")</f>
        <v>Safe</v>
      </c>
      <c r="V1298" t="str">
        <f>IF(SeismicData[[#This Row],[shift]]="W","Production","Non-Production")</f>
        <v>Production</v>
      </c>
      <c r="W1298" t="str">
        <f>IF(SeismicData[[#This Row],[genergy]]=0,"0","10^"&amp;INT(LOG10(SeismicData[[#This Row],[genergy]])))</f>
        <v>10^4</v>
      </c>
      <c r="X1298" t="str">
        <f>IF(OR(SeismicData[[#This Row],[genergy]]&lt;$AA$6,SeismicData[[#This Row],[genergy]]&gt;$AA$5),"Outlier","Normal")</f>
        <v>Normal</v>
      </c>
    </row>
    <row r="1299" spans="1:24" x14ac:dyDescent="0.15">
      <c r="A1299">
        <v>1298</v>
      </c>
      <c r="B1299" t="s">
        <v>20</v>
      </c>
      <c r="C1299" t="s">
        <v>20</v>
      </c>
      <c r="D1299" t="s">
        <v>22</v>
      </c>
      <c r="E1299">
        <v>20500</v>
      </c>
      <c r="F1299">
        <v>717</v>
      </c>
      <c r="G1299">
        <v>82</v>
      </c>
      <c r="H1299">
        <v>157</v>
      </c>
      <c r="I1299" t="s">
        <v>20</v>
      </c>
      <c r="J1299">
        <v>0</v>
      </c>
      <c r="K1299">
        <v>0</v>
      </c>
      <c r="L1299">
        <v>0</v>
      </c>
      <c r="M1299">
        <v>0</v>
      </c>
      <c r="N1299">
        <v>0</v>
      </c>
      <c r="O1299">
        <v>0</v>
      </c>
      <c r="P1299">
        <v>0</v>
      </c>
      <c r="Q1299">
        <v>0</v>
      </c>
      <c r="R1299">
        <v>0</v>
      </c>
      <c r="S1299">
        <v>0</v>
      </c>
      <c r="T1299">
        <v>0</v>
      </c>
      <c r="U1299" t="str">
        <f>IF(SeismicData[[#This Row],[class]]=1,"Dangerous","Safe")</f>
        <v>Safe</v>
      </c>
      <c r="V1299" t="str">
        <f>IF(SeismicData[[#This Row],[shift]]="W","Production","Non-Production")</f>
        <v>Production</v>
      </c>
      <c r="W1299" t="str">
        <f>IF(SeismicData[[#This Row],[genergy]]=0,"0","10^"&amp;INT(LOG10(SeismicData[[#This Row],[genergy]])))</f>
        <v>10^4</v>
      </c>
      <c r="X1299" t="str">
        <f>IF(OR(SeismicData[[#This Row],[genergy]]&lt;$AA$6,SeismicData[[#This Row],[genergy]]&gt;$AA$5),"Outlier","Normal")</f>
        <v>Normal</v>
      </c>
    </row>
    <row r="1300" spans="1:24" x14ac:dyDescent="0.15">
      <c r="A1300">
        <v>1299</v>
      </c>
      <c r="B1300" t="s">
        <v>20</v>
      </c>
      <c r="C1300" t="s">
        <v>20</v>
      </c>
      <c r="D1300" t="s">
        <v>22</v>
      </c>
      <c r="E1300">
        <v>23210</v>
      </c>
      <c r="F1300">
        <v>264</v>
      </c>
      <c r="G1300">
        <v>12</v>
      </c>
      <c r="H1300">
        <v>-27</v>
      </c>
      <c r="I1300" t="s">
        <v>20</v>
      </c>
      <c r="J1300">
        <v>1</v>
      </c>
      <c r="K1300">
        <v>1</v>
      </c>
      <c r="L1300">
        <v>0</v>
      </c>
      <c r="M1300">
        <v>0</v>
      </c>
      <c r="N1300">
        <v>0</v>
      </c>
      <c r="O1300">
        <v>0</v>
      </c>
      <c r="P1300">
        <v>0</v>
      </c>
      <c r="Q1300">
        <v>0</v>
      </c>
      <c r="R1300">
        <v>900</v>
      </c>
      <c r="S1300">
        <v>900</v>
      </c>
      <c r="T1300">
        <v>0</v>
      </c>
      <c r="U1300" t="str">
        <f>IF(SeismicData[[#This Row],[class]]=1,"Dangerous","Safe")</f>
        <v>Safe</v>
      </c>
      <c r="V1300" t="str">
        <f>IF(SeismicData[[#This Row],[shift]]="W","Production","Non-Production")</f>
        <v>Production</v>
      </c>
      <c r="W1300" t="str">
        <f>IF(SeismicData[[#This Row],[genergy]]=0,"0","10^"&amp;INT(LOG10(SeismicData[[#This Row],[genergy]])))</f>
        <v>10^4</v>
      </c>
      <c r="X1300" t="str">
        <f>IF(OR(SeismicData[[#This Row],[genergy]]&lt;$AA$6,SeismicData[[#This Row],[genergy]]&gt;$AA$5),"Outlier","Normal")</f>
        <v>Normal</v>
      </c>
    </row>
    <row r="1301" spans="1:24" x14ac:dyDescent="0.15">
      <c r="A1301">
        <v>1300</v>
      </c>
      <c r="B1301" t="s">
        <v>20</v>
      </c>
      <c r="C1301" t="s">
        <v>20</v>
      </c>
      <c r="D1301" t="s">
        <v>22</v>
      </c>
      <c r="E1301">
        <v>14070</v>
      </c>
      <c r="F1301">
        <v>504</v>
      </c>
      <c r="G1301">
        <v>25</v>
      </c>
      <c r="H1301">
        <v>81</v>
      </c>
      <c r="I1301" t="s">
        <v>20</v>
      </c>
      <c r="J1301">
        <v>0</v>
      </c>
      <c r="K1301">
        <v>0</v>
      </c>
      <c r="L1301">
        <v>0</v>
      </c>
      <c r="M1301">
        <v>0</v>
      </c>
      <c r="N1301">
        <v>0</v>
      </c>
      <c r="O1301">
        <v>0</v>
      </c>
      <c r="P1301">
        <v>0</v>
      </c>
      <c r="Q1301">
        <v>0</v>
      </c>
      <c r="R1301">
        <v>0</v>
      </c>
      <c r="S1301">
        <v>0</v>
      </c>
      <c r="T1301">
        <v>0</v>
      </c>
      <c r="U1301" t="str">
        <f>IF(SeismicData[[#This Row],[class]]=1,"Dangerous","Safe")</f>
        <v>Safe</v>
      </c>
      <c r="V1301" t="str">
        <f>IF(SeismicData[[#This Row],[shift]]="W","Production","Non-Production")</f>
        <v>Production</v>
      </c>
      <c r="W1301" t="str">
        <f>IF(SeismicData[[#This Row],[genergy]]=0,"0","10^"&amp;INT(LOG10(SeismicData[[#This Row],[genergy]])))</f>
        <v>10^4</v>
      </c>
      <c r="X1301" t="str">
        <f>IF(OR(SeismicData[[#This Row],[genergy]]&lt;$AA$6,SeismicData[[#This Row],[genergy]]&gt;$AA$5),"Outlier","Normal")</f>
        <v>Normal</v>
      </c>
    </row>
    <row r="1302" spans="1:24" x14ac:dyDescent="0.15">
      <c r="A1302">
        <v>1301</v>
      </c>
      <c r="B1302" t="s">
        <v>20</v>
      </c>
      <c r="C1302" t="s">
        <v>20</v>
      </c>
      <c r="D1302" t="s">
        <v>22</v>
      </c>
      <c r="E1302">
        <v>24100</v>
      </c>
      <c r="F1302">
        <v>197</v>
      </c>
      <c r="G1302">
        <v>16</v>
      </c>
      <c r="H1302">
        <v>-45</v>
      </c>
      <c r="I1302" t="s">
        <v>20</v>
      </c>
      <c r="J1302">
        <v>0</v>
      </c>
      <c r="K1302">
        <v>0</v>
      </c>
      <c r="L1302">
        <v>0</v>
      </c>
      <c r="M1302">
        <v>0</v>
      </c>
      <c r="N1302">
        <v>0</v>
      </c>
      <c r="O1302">
        <v>0</v>
      </c>
      <c r="P1302">
        <v>0</v>
      </c>
      <c r="Q1302">
        <v>0</v>
      </c>
      <c r="R1302">
        <v>0</v>
      </c>
      <c r="S1302">
        <v>0</v>
      </c>
      <c r="T1302">
        <v>0</v>
      </c>
      <c r="U1302" t="str">
        <f>IF(SeismicData[[#This Row],[class]]=1,"Dangerous","Safe")</f>
        <v>Safe</v>
      </c>
      <c r="V1302" t="str">
        <f>IF(SeismicData[[#This Row],[shift]]="W","Production","Non-Production")</f>
        <v>Production</v>
      </c>
      <c r="W1302" t="str">
        <f>IF(SeismicData[[#This Row],[genergy]]=0,"0","10^"&amp;INT(LOG10(SeismicData[[#This Row],[genergy]])))</f>
        <v>10^4</v>
      </c>
      <c r="X1302" t="str">
        <f>IF(OR(SeismicData[[#This Row],[genergy]]&lt;$AA$6,SeismicData[[#This Row],[genergy]]&gt;$AA$5),"Outlier","Normal")</f>
        <v>Normal</v>
      </c>
    </row>
    <row r="1303" spans="1:24" x14ac:dyDescent="0.15">
      <c r="A1303">
        <v>1302</v>
      </c>
      <c r="B1303" t="s">
        <v>20</v>
      </c>
      <c r="C1303" t="s">
        <v>20</v>
      </c>
      <c r="D1303" t="s">
        <v>22</v>
      </c>
      <c r="E1303">
        <v>15380</v>
      </c>
      <c r="F1303">
        <v>418</v>
      </c>
      <c r="G1303">
        <v>37</v>
      </c>
      <c r="H1303">
        <v>50</v>
      </c>
      <c r="I1303" t="s">
        <v>20</v>
      </c>
      <c r="J1303">
        <v>0</v>
      </c>
      <c r="K1303">
        <v>0</v>
      </c>
      <c r="L1303">
        <v>0</v>
      </c>
      <c r="M1303">
        <v>0</v>
      </c>
      <c r="N1303">
        <v>0</v>
      </c>
      <c r="O1303">
        <v>0</v>
      </c>
      <c r="P1303">
        <v>0</v>
      </c>
      <c r="Q1303">
        <v>0</v>
      </c>
      <c r="R1303">
        <v>0</v>
      </c>
      <c r="S1303">
        <v>0</v>
      </c>
      <c r="T1303">
        <v>0</v>
      </c>
      <c r="U1303" t="str">
        <f>IF(SeismicData[[#This Row],[class]]=1,"Dangerous","Safe")</f>
        <v>Safe</v>
      </c>
      <c r="V1303" t="str">
        <f>IF(SeismicData[[#This Row],[shift]]="W","Production","Non-Production")</f>
        <v>Production</v>
      </c>
      <c r="W1303" t="str">
        <f>IF(SeismicData[[#This Row],[genergy]]=0,"0","10^"&amp;INT(LOG10(SeismicData[[#This Row],[genergy]])))</f>
        <v>10^4</v>
      </c>
      <c r="X1303" t="str">
        <f>IF(OR(SeismicData[[#This Row],[genergy]]&lt;$AA$6,SeismicData[[#This Row],[genergy]]&gt;$AA$5),"Outlier","Normal")</f>
        <v>Normal</v>
      </c>
    </row>
    <row r="1304" spans="1:24" x14ac:dyDescent="0.15">
      <c r="A1304">
        <v>1303</v>
      </c>
      <c r="B1304" t="s">
        <v>20</v>
      </c>
      <c r="C1304" t="s">
        <v>20</v>
      </c>
      <c r="D1304" t="s">
        <v>22</v>
      </c>
      <c r="E1304">
        <v>33560</v>
      </c>
      <c r="F1304">
        <v>590</v>
      </c>
      <c r="G1304">
        <v>194</v>
      </c>
      <c r="H1304">
        <v>111</v>
      </c>
      <c r="I1304" t="s">
        <v>20</v>
      </c>
      <c r="J1304">
        <v>0</v>
      </c>
      <c r="K1304">
        <v>0</v>
      </c>
      <c r="L1304">
        <v>0</v>
      </c>
      <c r="M1304">
        <v>0</v>
      </c>
      <c r="N1304">
        <v>0</v>
      </c>
      <c r="O1304">
        <v>0</v>
      </c>
      <c r="P1304">
        <v>0</v>
      </c>
      <c r="Q1304">
        <v>0</v>
      </c>
      <c r="R1304">
        <v>0</v>
      </c>
      <c r="S1304">
        <v>0</v>
      </c>
      <c r="T1304">
        <v>0</v>
      </c>
      <c r="U1304" t="str">
        <f>IF(SeismicData[[#This Row],[class]]=1,"Dangerous","Safe")</f>
        <v>Safe</v>
      </c>
      <c r="V1304" t="str">
        <f>IF(SeismicData[[#This Row],[shift]]="W","Production","Non-Production")</f>
        <v>Production</v>
      </c>
      <c r="W1304" t="str">
        <f>IF(SeismicData[[#This Row],[genergy]]=0,"0","10^"&amp;INT(LOG10(SeismicData[[#This Row],[genergy]])))</f>
        <v>10^4</v>
      </c>
      <c r="X1304" t="str">
        <f>IF(OR(SeismicData[[#This Row],[genergy]]&lt;$AA$6,SeismicData[[#This Row],[genergy]]&gt;$AA$5),"Outlier","Normal")</f>
        <v>Normal</v>
      </c>
    </row>
    <row r="1305" spans="1:24" x14ac:dyDescent="0.15">
      <c r="A1305">
        <v>1304</v>
      </c>
      <c r="B1305" t="s">
        <v>20</v>
      </c>
      <c r="C1305" t="s">
        <v>20</v>
      </c>
      <c r="D1305" t="s">
        <v>22</v>
      </c>
      <c r="E1305">
        <v>38560</v>
      </c>
      <c r="F1305">
        <v>741</v>
      </c>
      <c r="G1305">
        <v>237</v>
      </c>
      <c r="H1305">
        <v>166</v>
      </c>
      <c r="I1305" t="s">
        <v>20</v>
      </c>
      <c r="J1305">
        <v>1</v>
      </c>
      <c r="K1305">
        <v>0</v>
      </c>
      <c r="L1305">
        <v>1</v>
      </c>
      <c r="M1305">
        <v>0</v>
      </c>
      <c r="N1305">
        <v>0</v>
      </c>
      <c r="O1305">
        <v>0</v>
      </c>
      <c r="P1305">
        <v>0</v>
      </c>
      <c r="Q1305">
        <v>0</v>
      </c>
      <c r="R1305">
        <v>7000</v>
      </c>
      <c r="S1305">
        <v>7000</v>
      </c>
      <c r="T1305">
        <v>0</v>
      </c>
      <c r="U1305" t="str">
        <f>IF(SeismicData[[#This Row],[class]]=1,"Dangerous","Safe")</f>
        <v>Safe</v>
      </c>
      <c r="V1305" t="str">
        <f>IF(SeismicData[[#This Row],[shift]]="W","Production","Non-Production")</f>
        <v>Production</v>
      </c>
      <c r="W1305" t="str">
        <f>IF(SeismicData[[#This Row],[genergy]]=0,"0","10^"&amp;INT(LOG10(SeismicData[[#This Row],[genergy]])))</f>
        <v>10^4</v>
      </c>
      <c r="X1305" t="str">
        <f>IF(OR(SeismicData[[#This Row],[genergy]]&lt;$AA$6,SeismicData[[#This Row],[genergy]]&gt;$AA$5),"Outlier","Normal")</f>
        <v>Normal</v>
      </c>
    </row>
    <row r="1306" spans="1:24" x14ac:dyDescent="0.15">
      <c r="A1306">
        <v>1305</v>
      </c>
      <c r="B1306" t="s">
        <v>20</v>
      </c>
      <c r="C1306" t="s">
        <v>20</v>
      </c>
      <c r="D1306" t="s">
        <v>22</v>
      </c>
      <c r="E1306">
        <v>11440</v>
      </c>
      <c r="F1306">
        <v>505</v>
      </c>
      <c r="G1306">
        <v>0</v>
      </c>
      <c r="H1306">
        <v>81</v>
      </c>
      <c r="I1306" t="s">
        <v>20</v>
      </c>
      <c r="J1306">
        <v>0</v>
      </c>
      <c r="K1306">
        <v>0</v>
      </c>
      <c r="L1306">
        <v>0</v>
      </c>
      <c r="M1306">
        <v>0</v>
      </c>
      <c r="N1306">
        <v>0</v>
      </c>
      <c r="O1306">
        <v>0</v>
      </c>
      <c r="P1306">
        <v>0</v>
      </c>
      <c r="Q1306">
        <v>0</v>
      </c>
      <c r="R1306">
        <v>0</v>
      </c>
      <c r="S1306">
        <v>0</v>
      </c>
      <c r="T1306">
        <v>0</v>
      </c>
      <c r="U1306" t="str">
        <f>IF(SeismicData[[#This Row],[class]]=1,"Dangerous","Safe")</f>
        <v>Safe</v>
      </c>
      <c r="V1306" t="str">
        <f>IF(SeismicData[[#This Row],[shift]]="W","Production","Non-Production")</f>
        <v>Production</v>
      </c>
      <c r="W1306" t="str">
        <f>IF(SeismicData[[#This Row],[genergy]]=0,"0","10^"&amp;INT(LOG10(SeismicData[[#This Row],[genergy]])))</f>
        <v>10^4</v>
      </c>
      <c r="X1306" t="str">
        <f>IF(OR(SeismicData[[#This Row],[genergy]]&lt;$AA$6,SeismicData[[#This Row],[genergy]]&gt;$AA$5),"Outlier","Normal")</f>
        <v>Normal</v>
      </c>
    </row>
    <row r="1307" spans="1:24" x14ac:dyDescent="0.15">
      <c r="A1307">
        <v>1306</v>
      </c>
      <c r="B1307" t="s">
        <v>20</v>
      </c>
      <c r="C1307" t="s">
        <v>20</v>
      </c>
      <c r="D1307" t="s">
        <v>22</v>
      </c>
      <c r="E1307">
        <v>11720</v>
      </c>
      <c r="F1307">
        <v>178</v>
      </c>
      <c r="G1307">
        <v>-39</v>
      </c>
      <c r="H1307">
        <v>-47</v>
      </c>
      <c r="I1307" t="s">
        <v>20</v>
      </c>
      <c r="J1307">
        <v>1</v>
      </c>
      <c r="K1307">
        <v>1</v>
      </c>
      <c r="L1307">
        <v>0</v>
      </c>
      <c r="M1307">
        <v>0</v>
      </c>
      <c r="N1307">
        <v>0</v>
      </c>
      <c r="O1307">
        <v>0</v>
      </c>
      <c r="P1307">
        <v>0</v>
      </c>
      <c r="Q1307">
        <v>0</v>
      </c>
      <c r="R1307">
        <v>700</v>
      </c>
      <c r="S1307">
        <v>700</v>
      </c>
      <c r="T1307">
        <v>0</v>
      </c>
      <c r="U1307" t="str">
        <f>IF(SeismicData[[#This Row],[class]]=1,"Dangerous","Safe")</f>
        <v>Safe</v>
      </c>
      <c r="V1307" t="str">
        <f>IF(SeismicData[[#This Row],[shift]]="W","Production","Non-Production")</f>
        <v>Production</v>
      </c>
      <c r="W1307" t="str">
        <f>IF(SeismicData[[#This Row],[genergy]]=0,"0","10^"&amp;INT(LOG10(SeismicData[[#This Row],[genergy]])))</f>
        <v>10^4</v>
      </c>
      <c r="X1307" t="str">
        <f>IF(OR(SeismicData[[#This Row],[genergy]]&lt;$AA$6,SeismicData[[#This Row],[genergy]]&gt;$AA$5),"Outlier","Normal")</f>
        <v>Normal</v>
      </c>
    </row>
    <row r="1308" spans="1:24" x14ac:dyDescent="0.15">
      <c r="A1308">
        <v>1307</v>
      </c>
      <c r="B1308" t="s">
        <v>20</v>
      </c>
      <c r="C1308" t="s">
        <v>20</v>
      </c>
      <c r="D1308" t="s">
        <v>22</v>
      </c>
      <c r="E1308">
        <v>12740</v>
      </c>
      <c r="F1308">
        <v>203</v>
      </c>
      <c r="G1308">
        <v>-33</v>
      </c>
      <c r="H1308">
        <v>-39</v>
      </c>
      <c r="I1308" t="s">
        <v>20</v>
      </c>
      <c r="J1308">
        <v>0</v>
      </c>
      <c r="K1308">
        <v>0</v>
      </c>
      <c r="L1308">
        <v>0</v>
      </c>
      <c r="M1308">
        <v>0</v>
      </c>
      <c r="N1308">
        <v>0</v>
      </c>
      <c r="O1308">
        <v>0</v>
      </c>
      <c r="P1308">
        <v>0</v>
      </c>
      <c r="Q1308">
        <v>0</v>
      </c>
      <c r="R1308">
        <v>0</v>
      </c>
      <c r="S1308">
        <v>0</v>
      </c>
      <c r="T1308">
        <v>0</v>
      </c>
      <c r="U1308" t="str">
        <f>IF(SeismicData[[#This Row],[class]]=1,"Dangerous","Safe")</f>
        <v>Safe</v>
      </c>
      <c r="V1308" t="str">
        <f>IF(SeismicData[[#This Row],[shift]]="W","Production","Non-Production")</f>
        <v>Production</v>
      </c>
      <c r="W1308" t="str">
        <f>IF(SeismicData[[#This Row],[genergy]]=0,"0","10^"&amp;INT(LOG10(SeismicData[[#This Row],[genergy]])))</f>
        <v>10^4</v>
      </c>
      <c r="X1308" t="str">
        <f>IF(OR(SeismicData[[#This Row],[genergy]]&lt;$AA$6,SeismicData[[#This Row],[genergy]]&gt;$AA$5),"Outlier","Normal")</f>
        <v>Normal</v>
      </c>
    </row>
    <row r="1309" spans="1:24" x14ac:dyDescent="0.15">
      <c r="A1309">
        <v>1308</v>
      </c>
      <c r="B1309" t="s">
        <v>20</v>
      </c>
      <c r="C1309" t="s">
        <v>20</v>
      </c>
      <c r="D1309" t="s">
        <v>22</v>
      </c>
      <c r="E1309">
        <v>19820</v>
      </c>
      <c r="F1309">
        <v>527</v>
      </c>
      <c r="G1309">
        <v>73</v>
      </c>
      <c r="H1309">
        <v>89</v>
      </c>
      <c r="I1309" t="s">
        <v>20</v>
      </c>
      <c r="J1309">
        <v>0</v>
      </c>
      <c r="K1309">
        <v>0</v>
      </c>
      <c r="L1309">
        <v>0</v>
      </c>
      <c r="M1309">
        <v>0</v>
      </c>
      <c r="N1309">
        <v>0</v>
      </c>
      <c r="O1309">
        <v>0</v>
      </c>
      <c r="P1309">
        <v>0</v>
      </c>
      <c r="Q1309">
        <v>0</v>
      </c>
      <c r="R1309">
        <v>0</v>
      </c>
      <c r="S1309">
        <v>0</v>
      </c>
      <c r="T1309">
        <v>0</v>
      </c>
      <c r="U1309" t="str">
        <f>IF(SeismicData[[#This Row],[class]]=1,"Dangerous","Safe")</f>
        <v>Safe</v>
      </c>
      <c r="V1309" t="str">
        <f>IF(SeismicData[[#This Row],[shift]]="W","Production","Non-Production")</f>
        <v>Production</v>
      </c>
      <c r="W1309" t="str">
        <f>IF(SeismicData[[#This Row],[genergy]]=0,"0","10^"&amp;INT(LOG10(SeismicData[[#This Row],[genergy]])))</f>
        <v>10^4</v>
      </c>
      <c r="X1309" t="str">
        <f>IF(OR(SeismicData[[#This Row],[genergy]]&lt;$AA$6,SeismicData[[#This Row],[genergy]]&gt;$AA$5),"Outlier","Normal")</f>
        <v>Normal</v>
      </c>
    </row>
    <row r="1310" spans="1:24" x14ac:dyDescent="0.15">
      <c r="A1310">
        <v>1309</v>
      </c>
      <c r="B1310" t="s">
        <v>20</v>
      </c>
      <c r="C1310" t="s">
        <v>20</v>
      </c>
      <c r="D1310" t="s">
        <v>22</v>
      </c>
      <c r="E1310">
        <v>12400</v>
      </c>
      <c r="F1310">
        <v>402</v>
      </c>
      <c r="G1310">
        <v>9</v>
      </c>
      <c r="H1310">
        <v>44</v>
      </c>
      <c r="I1310" t="s">
        <v>20</v>
      </c>
      <c r="J1310">
        <v>0</v>
      </c>
      <c r="K1310">
        <v>0</v>
      </c>
      <c r="L1310">
        <v>0</v>
      </c>
      <c r="M1310">
        <v>0</v>
      </c>
      <c r="N1310">
        <v>0</v>
      </c>
      <c r="O1310">
        <v>0</v>
      </c>
      <c r="P1310">
        <v>0</v>
      </c>
      <c r="Q1310">
        <v>0</v>
      </c>
      <c r="R1310">
        <v>0</v>
      </c>
      <c r="S1310">
        <v>0</v>
      </c>
      <c r="T1310">
        <v>0</v>
      </c>
      <c r="U1310" t="str">
        <f>IF(SeismicData[[#This Row],[class]]=1,"Dangerous","Safe")</f>
        <v>Safe</v>
      </c>
      <c r="V1310" t="str">
        <f>IF(SeismicData[[#This Row],[shift]]="W","Production","Non-Production")</f>
        <v>Production</v>
      </c>
      <c r="W1310" t="str">
        <f>IF(SeismicData[[#This Row],[genergy]]=0,"0","10^"&amp;INT(LOG10(SeismicData[[#This Row],[genergy]])))</f>
        <v>10^4</v>
      </c>
      <c r="X1310" t="str">
        <f>IF(OR(SeismicData[[#This Row],[genergy]]&lt;$AA$6,SeismicData[[#This Row],[genergy]]&gt;$AA$5),"Outlier","Normal")</f>
        <v>Normal</v>
      </c>
    </row>
    <row r="1311" spans="1:24" x14ac:dyDescent="0.15">
      <c r="A1311">
        <v>1310</v>
      </c>
      <c r="B1311" t="s">
        <v>20</v>
      </c>
      <c r="C1311" t="s">
        <v>20</v>
      </c>
      <c r="D1311" t="s">
        <v>22</v>
      </c>
      <c r="E1311">
        <v>22900</v>
      </c>
      <c r="F1311">
        <v>332</v>
      </c>
      <c r="G1311">
        <v>20</v>
      </c>
      <c r="H1311">
        <v>-1</v>
      </c>
      <c r="I1311" t="s">
        <v>20</v>
      </c>
      <c r="J1311">
        <v>0</v>
      </c>
      <c r="K1311">
        <v>0</v>
      </c>
      <c r="L1311">
        <v>0</v>
      </c>
      <c r="M1311">
        <v>0</v>
      </c>
      <c r="N1311">
        <v>0</v>
      </c>
      <c r="O1311">
        <v>0</v>
      </c>
      <c r="P1311">
        <v>0</v>
      </c>
      <c r="Q1311">
        <v>0</v>
      </c>
      <c r="R1311">
        <v>0</v>
      </c>
      <c r="S1311">
        <v>0</v>
      </c>
      <c r="T1311">
        <v>0</v>
      </c>
      <c r="U1311" t="str">
        <f>IF(SeismicData[[#This Row],[class]]=1,"Dangerous","Safe")</f>
        <v>Safe</v>
      </c>
      <c r="V1311" t="str">
        <f>IF(SeismicData[[#This Row],[shift]]="W","Production","Non-Production")</f>
        <v>Production</v>
      </c>
      <c r="W1311" t="str">
        <f>IF(SeismicData[[#This Row],[genergy]]=0,"0","10^"&amp;INT(LOG10(SeismicData[[#This Row],[genergy]])))</f>
        <v>10^4</v>
      </c>
      <c r="X1311" t="str">
        <f>IF(OR(SeismicData[[#This Row],[genergy]]&lt;$AA$6,SeismicData[[#This Row],[genergy]]&gt;$AA$5),"Outlier","Normal")</f>
        <v>Normal</v>
      </c>
    </row>
    <row r="1312" spans="1:24" x14ac:dyDescent="0.15">
      <c r="A1312">
        <v>1311</v>
      </c>
      <c r="B1312" t="s">
        <v>20</v>
      </c>
      <c r="C1312" t="s">
        <v>23</v>
      </c>
      <c r="D1312" t="s">
        <v>22</v>
      </c>
      <c r="E1312">
        <v>11320</v>
      </c>
      <c r="F1312">
        <v>472</v>
      </c>
      <c r="G1312">
        <v>-6</v>
      </c>
      <c r="H1312">
        <v>56</v>
      </c>
      <c r="I1312" t="s">
        <v>23</v>
      </c>
      <c r="J1312">
        <v>0</v>
      </c>
      <c r="K1312">
        <v>0</v>
      </c>
      <c r="L1312">
        <v>0</v>
      </c>
      <c r="M1312">
        <v>0</v>
      </c>
      <c r="N1312">
        <v>0</v>
      </c>
      <c r="O1312">
        <v>0</v>
      </c>
      <c r="P1312">
        <v>0</v>
      </c>
      <c r="Q1312">
        <v>0</v>
      </c>
      <c r="R1312">
        <v>0</v>
      </c>
      <c r="S1312">
        <v>0</v>
      </c>
      <c r="T1312">
        <v>0</v>
      </c>
      <c r="U1312" t="str">
        <f>IF(SeismicData[[#This Row],[class]]=1,"Dangerous","Safe")</f>
        <v>Safe</v>
      </c>
      <c r="V1312" t="str">
        <f>IF(SeismicData[[#This Row],[shift]]="W","Production","Non-Production")</f>
        <v>Production</v>
      </c>
      <c r="W1312" t="str">
        <f>IF(SeismicData[[#This Row],[genergy]]=0,"0","10^"&amp;INT(LOG10(SeismicData[[#This Row],[genergy]])))</f>
        <v>10^4</v>
      </c>
      <c r="X1312" t="str">
        <f>IF(OR(SeismicData[[#This Row],[genergy]]&lt;$AA$6,SeismicData[[#This Row],[genergy]]&gt;$AA$5),"Outlier","Normal")</f>
        <v>Normal</v>
      </c>
    </row>
    <row r="1313" spans="1:24" x14ac:dyDescent="0.15">
      <c r="A1313">
        <v>1312</v>
      </c>
      <c r="B1313" t="s">
        <v>20</v>
      </c>
      <c r="C1313" t="s">
        <v>23</v>
      </c>
      <c r="D1313" t="s">
        <v>22</v>
      </c>
      <c r="E1313">
        <v>14770</v>
      </c>
      <c r="F1313">
        <v>241</v>
      </c>
      <c r="G1313">
        <v>-19</v>
      </c>
      <c r="H1313">
        <v>-24</v>
      </c>
      <c r="I1313" t="s">
        <v>20</v>
      </c>
      <c r="J1313">
        <v>0</v>
      </c>
      <c r="K1313">
        <v>0</v>
      </c>
      <c r="L1313">
        <v>0</v>
      </c>
      <c r="M1313">
        <v>0</v>
      </c>
      <c r="N1313">
        <v>0</v>
      </c>
      <c r="O1313">
        <v>0</v>
      </c>
      <c r="P1313">
        <v>0</v>
      </c>
      <c r="Q1313">
        <v>0</v>
      </c>
      <c r="R1313">
        <v>0</v>
      </c>
      <c r="S1313">
        <v>0</v>
      </c>
      <c r="T1313">
        <v>0</v>
      </c>
      <c r="U1313" t="str">
        <f>IF(SeismicData[[#This Row],[class]]=1,"Dangerous","Safe")</f>
        <v>Safe</v>
      </c>
      <c r="V1313" t="str">
        <f>IF(SeismicData[[#This Row],[shift]]="W","Production","Non-Production")</f>
        <v>Production</v>
      </c>
      <c r="W1313" t="str">
        <f>IF(SeismicData[[#This Row],[genergy]]=0,"0","10^"&amp;INT(LOG10(SeismicData[[#This Row],[genergy]])))</f>
        <v>10^4</v>
      </c>
      <c r="X1313" t="str">
        <f>IF(OR(SeismicData[[#This Row],[genergy]]&lt;$AA$6,SeismicData[[#This Row],[genergy]]&gt;$AA$5),"Outlier","Normal")</f>
        <v>Normal</v>
      </c>
    </row>
    <row r="1314" spans="1:24" x14ac:dyDescent="0.15">
      <c r="A1314">
        <v>1313</v>
      </c>
      <c r="B1314" t="s">
        <v>20</v>
      </c>
      <c r="C1314" t="s">
        <v>23</v>
      </c>
      <c r="D1314" t="s">
        <v>22</v>
      </c>
      <c r="E1314">
        <v>18170</v>
      </c>
      <c r="F1314">
        <v>408</v>
      </c>
      <c r="G1314">
        <v>50</v>
      </c>
      <c r="H1314">
        <v>35</v>
      </c>
      <c r="I1314" t="s">
        <v>23</v>
      </c>
      <c r="J1314">
        <v>0</v>
      </c>
      <c r="K1314">
        <v>0</v>
      </c>
      <c r="L1314">
        <v>0</v>
      </c>
      <c r="M1314">
        <v>0</v>
      </c>
      <c r="N1314">
        <v>0</v>
      </c>
      <c r="O1314">
        <v>0</v>
      </c>
      <c r="P1314">
        <v>0</v>
      </c>
      <c r="Q1314">
        <v>0</v>
      </c>
      <c r="R1314">
        <v>0</v>
      </c>
      <c r="S1314">
        <v>0</v>
      </c>
      <c r="T1314">
        <v>0</v>
      </c>
      <c r="U1314" t="str">
        <f>IF(SeismicData[[#This Row],[class]]=1,"Dangerous","Safe")</f>
        <v>Safe</v>
      </c>
      <c r="V1314" t="str">
        <f>IF(SeismicData[[#This Row],[shift]]="W","Production","Non-Production")</f>
        <v>Production</v>
      </c>
      <c r="W1314" t="str">
        <f>IF(SeismicData[[#This Row],[genergy]]=0,"0","10^"&amp;INT(LOG10(SeismicData[[#This Row],[genergy]])))</f>
        <v>10^4</v>
      </c>
      <c r="X1314" t="str">
        <f>IF(OR(SeismicData[[#This Row],[genergy]]&lt;$AA$6,SeismicData[[#This Row],[genergy]]&gt;$AA$5),"Outlier","Normal")</f>
        <v>Normal</v>
      </c>
    </row>
    <row r="1315" spans="1:24" x14ac:dyDescent="0.15">
      <c r="A1315">
        <v>1314</v>
      </c>
      <c r="B1315" t="s">
        <v>20</v>
      </c>
      <c r="C1315" t="s">
        <v>23</v>
      </c>
      <c r="D1315" t="s">
        <v>22</v>
      </c>
      <c r="E1315">
        <v>19300</v>
      </c>
      <c r="F1315">
        <v>509</v>
      </c>
      <c r="G1315">
        <v>60</v>
      </c>
      <c r="H1315">
        <v>69</v>
      </c>
      <c r="I1315" t="s">
        <v>23</v>
      </c>
      <c r="J1315">
        <v>0</v>
      </c>
      <c r="K1315">
        <v>0</v>
      </c>
      <c r="L1315">
        <v>0</v>
      </c>
      <c r="M1315">
        <v>0</v>
      </c>
      <c r="N1315">
        <v>0</v>
      </c>
      <c r="O1315">
        <v>0</v>
      </c>
      <c r="P1315">
        <v>0</v>
      </c>
      <c r="Q1315">
        <v>0</v>
      </c>
      <c r="R1315">
        <v>0</v>
      </c>
      <c r="S1315">
        <v>0</v>
      </c>
      <c r="T1315">
        <v>0</v>
      </c>
      <c r="U1315" t="str">
        <f>IF(SeismicData[[#This Row],[class]]=1,"Dangerous","Safe")</f>
        <v>Safe</v>
      </c>
      <c r="V1315" t="str">
        <f>IF(SeismicData[[#This Row],[shift]]="W","Production","Non-Production")</f>
        <v>Production</v>
      </c>
      <c r="W1315" t="str">
        <f>IF(SeismicData[[#This Row],[genergy]]=0,"0","10^"&amp;INT(LOG10(SeismicData[[#This Row],[genergy]])))</f>
        <v>10^4</v>
      </c>
      <c r="X1315" t="str">
        <f>IF(OR(SeismicData[[#This Row],[genergy]]&lt;$AA$6,SeismicData[[#This Row],[genergy]]&gt;$AA$5),"Outlier","Normal")</f>
        <v>Normal</v>
      </c>
    </row>
    <row r="1316" spans="1:24" x14ac:dyDescent="0.15">
      <c r="A1316">
        <v>1315</v>
      </c>
      <c r="B1316" t="s">
        <v>20</v>
      </c>
      <c r="C1316" t="s">
        <v>23</v>
      </c>
      <c r="D1316" t="s">
        <v>22</v>
      </c>
      <c r="E1316">
        <v>16640</v>
      </c>
      <c r="F1316">
        <v>407</v>
      </c>
      <c r="G1316">
        <v>38</v>
      </c>
      <c r="H1316">
        <v>35</v>
      </c>
      <c r="I1316" t="s">
        <v>23</v>
      </c>
      <c r="J1316">
        <v>0</v>
      </c>
      <c r="K1316">
        <v>0</v>
      </c>
      <c r="L1316">
        <v>0</v>
      </c>
      <c r="M1316">
        <v>0</v>
      </c>
      <c r="N1316">
        <v>0</v>
      </c>
      <c r="O1316">
        <v>0</v>
      </c>
      <c r="P1316">
        <v>0</v>
      </c>
      <c r="Q1316">
        <v>0</v>
      </c>
      <c r="R1316">
        <v>0</v>
      </c>
      <c r="S1316">
        <v>0</v>
      </c>
      <c r="T1316">
        <v>0</v>
      </c>
      <c r="U1316" t="str">
        <f>IF(SeismicData[[#This Row],[class]]=1,"Dangerous","Safe")</f>
        <v>Safe</v>
      </c>
      <c r="V1316" t="str">
        <f>IF(SeismicData[[#This Row],[shift]]="W","Production","Non-Production")</f>
        <v>Production</v>
      </c>
      <c r="W1316" t="str">
        <f>IF(SeismicData[[#This Row],[genergy]]=0,"0","10^"&amp;INT(LOG10(SeismicData[[#This Row],[genergy]])))</f>
        <v>10^4</v>
      </c>
      <c r="X1316" t="str">
        <f>IF(OR(SeismicData[[#This Row],[genergy]]&lt;$AA$6,SeismicData[[#This Row],[genergy]]&gt;$AA$5),"Outlier","Normal")</f>
        <v>Normal</v>
      </c>
    </row>
    <row r="1317" spans="1:24" x14ac:dyDescent="0.15">
      <c r="A1317">
        <v>1316</v>
      </c>
      <c r="B1317" t="s">
        <v>20</v>
      </c>
      <c r="C1317" t="s">
        <v>23</v>
      </c>
      <c r="D1317" t="s">
        <v>22</v>
      </c>
      <c r="E1317">
        <v>12370</v>
      </c>
      <c r="F1317">
        <v>346</v>
      </c>
      <c r="G1317">
        <v>2</v>
      </c>
      <c r="H1317">
        <v>15</v>
      </c>
      <c r="I1317" t="s">
        <v>23</v>
      </c>
      <c r="J1317">
        <v>0</v>
      </c>
      <c r="K1317">
        <v>0</v>
      </c>
      <c r="L1317">
        <v>0</v>
      </c>
      <c r="M1317">
        <v>0</v>
      </c>
      <c r="N1317">
        <v>0</v>
      </c>
      <c r="O1317">
        <v>0</v>
      </c>
      <c r="P1317">
        <v>0</v>
      </c>
      <c r="Q1317">
        <v>0</v>
      </c>
      <c r="R1317">
        <v>0</v>
      </c>
      <c r="S1317">
        <v>0</v>
      </c>
      <c r="T1317">
        <v>0</v>
      </c>
      <c r="U1317" t="str">
        <f>IF(SeismicData[[#This Row],[class]]=1,"Dangerous","Safe")</f>
        <v>Safe</v>
      </c>
      <c r="V1317" t="str">
        <f>IF(SeismicData[[#This Row],[shift]]="W","Production","Non-Production")</f>
        <v>Production</v>
      </c>
      <c r="W1317" t="str">
        <f>IF(SeismicData[[#This Row],[genergy]]=0,"0","10^"&amp;INT(LOG10(SeismicData[[#This Row],[genergy]])))</f>
        <v>10^4</v>
      </c>
      <c r="X1317" t="str">
        <f>IF(OR(SeismicData[[#This Row],[genergy]]&lt;$AA$6,SeismicData[[#This Row],[genergy]]&gt;$AA$5),"Outlier","Normal")</f>
        <v>Normal</v>
      </c>
    </row>
    <row r="1318" spans="1:24" x14ac:dyDescent="0.15">
      <c r="A1318">
        <v>1317</v>
      </c>
      <c r="B1318" t="s">
        <v>20</v>
      </c>
      <c r="C1318" t="s">
        <v>23</v>
      </c>
      <c r="D1318" t="s">
        <v>22</v>
      </c>
      <c r="E1318">
        <v>20720</v>
      </c>
      <c r="F1318">
        <v>284</v>
      </c>
      <c r="G1318">
        <v>13</v>
      </c>
      <c r="H1318">
        <v>-11</v>
      </c>
      <c r="I1318" t="s">
        <v>20</v>
      </c>
      <c r="J1318">
        <v>0</v>
      </c>
      <c r="K1318">
        <v>0</v>
      </c>
      <c r="L1318">
        <v>0</v>
      </c>
      <c r="M1318">
        <v>0</v>
      </c>
      <c r="N1318">
        <v>0</v>
      </c>
      <c r="O1318">
        <v>0</v>
      </c>
      <c r="P1318">
        <v>0</v>
      </c>
      <c r="Q1318">
        <v>0</v>
      </c>
      <c r="R1318">
        <v>0</v>
      </c>
      <c r="S1318">
        <v>0</v>
      </c>
      <c r="T1318">
        <v>0</v>
      </c>
      <c r="U1318" t="str">
        <f>IF(SeismicData[[#This Row],[class]]=1,"Dangerous","Safe")</f>
        <v>Safe</v>
      </c>
      <c r="V1318" t="str">
        <f>IF(SeismicData[[#This Row],[shift]]="W","Production","Non-Production")</f>
        <v>Production</v>
      </c>
      <c r="W1318" t="str">
        <f>IF(SeismicData[[#This Row],[genergy]]=0,"0","10^"&amp;INT(LOG10(SeismicData[[#This Row],[genergy]])))</f>
        <v>10^4</v>
      </c>
      <c r="X1318" t="str">
        <f>IF(OR(SeismicData[[#This Row],[genergy]]&lt;$AA$6,SeismicData[[#This Row],[genergy]]&gt;$AA$5),"Outlier","Normal")</f>
        <v>Normal</v>
      </c>
    </row>
    <row r="1319" spans="1:24" x14ac:dyDescent="0.15">
      <c r="A1319">
        <v>1318</v>
      </c>
      <c r="B1319" t="s">
        <v>20</v>
      </c>
      <c r="C1319" t="s">
        <v>23</v>
      </c>
      <c r="D1319" t="s">
        <v>22</v>
      </c>
      <c r="E1319">
        <v>12430</v>
      </c>
      <c r="F1319">
        <v>187</v>
      </c>
      <c r="G1319">
        <v>-32</v>
      </c>
      <c r="H1319">
        <v>-41</v>
      </c>
      <c r="I1319" t="s">
        <v>20</v>
      </c>
      <c r="J1319">
        <v>0</v>
      </c>
      <c r="K1319">
        <v>0</v>
      </c>
      <c r="L1319">
        <v>0</v>
      </c>
      <c r="M1319">
        <v>0</v>
      </c>
      <c r="N1319">
        <v>0</v>
      </c>
      <c r="O1319">
        <v>0</v>
      </c>
      <c r="P1319">
        <v>0</v>
      </c>
      <c r="Q1319">
        <v>0</v>
      </c>
      <c r="R1319">
        <v>0</v>
      </c>
      <c r="S1319">
        <v>0</v>
      </c>
      <c r="T1319">
        <v>0</v>
      </c>
      <c r="U1319" t="str">
        <f>IF(SeismicData[[#This Row],[class]]=1,"Dangerous","Safe")</f>
        <v>Safe</v>
      </c>
      <c r="V1319" t="str">
        <f>IF(SeismicData[[#This Row],[shift]]="W","Production","Non-Production")</f>
        <v>Production</v>
      </c>
      <c r="W1319" t="str">
        <f>IF(SeismicData[[#This Row],[genergy]]=0,"0","10^"&amp;INT(LOG10(SeismicData[[#This Row],[genergy]])))</f>
        <v>10^4</v>
      </c>
      <c r="X1319" t="str">
        <f>IF(OR(SeismicData[[#This Row],[genergy]]&lt;$AA$6,SeismicData[[#This Row],[genergy]]&gt;$AA$5),"Outlier","Normal")</f>
        <v>Normal</v>
      </c>
    </row>
    <row r="1320" spans="1:24" x14ac:dyDescent="0.15">
      <c r="A1320">
        <v>1319</v>
      </c>
      <c r="B1320" t="s">
        <v>20</v>
      </c>
      <c r="C1320" t="s">
        <v>23</v>
      </c>
      <c r="D1320" t="s">
        <v>22</v>
      </c>
      <c r="E1320">
        <v>6360</v>
      </c>
      <c r="F1320">
        <v>274</v>
      </c>
      <c r="G1320">
        <v>-51</v>
      </c>
      <c r="H1320">
        <v>-16</v>
      </c>
      <c r="I1320" t="s">
        <v>23</v>
      </c>
      <c r="J1320">
        <v>0</v>
      </c>
      <c r="K1320">
        <v>0</v>
      </c>
      <c r="L1320">
        <v>0</v>
      </c>
      <c r="M1320">
        <v>0</v>
      </c>
      <c r="N1320">
        <v>0</v>
      </c>
      <c r="O1320">
        <v>0</v>
      </c>
      <c r="P1320">
        <v>0</v>
      </c>
      <c r="Q1320">
        <v>0</v>
      </c>
      <c r="R1320">
        <v>0</v>
      </c>
      <c r="S1320">
        <v>0</v>
      </c>
      <c r="T1320">
        <v>0</v>
      </c>
      <c r="U1320" t="str">
        <f>IF(SeismicData[[#This Row],[class]]=1,"Dangerous","Safe")</f>
        <v>Safe</v>
      </c>
      <c r="V1320" t="str">
        <f>IF(SeismicData[[#This Row],[shift]]="W","Production","Non-Production")</f>
        <v>Production</v>
      </c>
      <c r="W1320" t="str">
        <f>IF(SeismicData[[#This Row],[genergy]]=0,"0","10^"&amp;INT(LOG10(SeismicData[[#This Row],[genergy]])))</f>
        <v>10^3</v>
      </c>
      <c r="X1320" t="str">
        <f>IF(OR(SeismicData[[#This Row],[genergy]]&lt;$AA$6,SeismicData[[#This Row],[genergy]]&gt;$AA$5),"Outlier","Normal")</f>
        <v>Normal</v>
      </c>
    </row>
    <row r="1321" spans="1:24" x14ac:dyDescent="0.15">
      <c r="A1321">
        <v>1320</v>
      </c>
      <c r="B1321" t="s">
        <v>20</v>
      </c>
      <c r="C1321" t="s">
        <v>23</v>
      </c>
      <c r="D1321" t="s">
        <v>22</v>
      </c>
      <c r="E1321">
        <v>7600</v>
      </c>
      <c r="F1321">
        <v>246</v>
      </c>
      <c r="G1321">
        <v>-42</v>
      </c>
      <c r="H1321">
        <v>-25</v>
      </c>
      <c r="I1321" t="s">
        <v>23</v>
      </c>
      <c r="J1321">
        <v>0</v>
      </c>
      <c r="K1321">
        <v>0</v>
      </c>
      <c r="L1321">
        <v>0</v>
      </c>
      <c r="M1321">
        <v>0</v>
      </c>
      <c r="N1321">
        <v>0</v>
      </c>
      <c r="O1321">
        <v>0</v>
      </c>
      <c r="P1321">
        <v>0</v>
      </c>
      <c r="Q1321">
        <v>0</v>
      </c>
      <c r="R1321">
        <v>0</v>
      </c>
      <c r="S1321">
        <v>0</v>
      </c>
      <c r="T1321">
        <v>0</v>
      </c>
      <c r="U1321" t="str">
        <f>IF(SeismicData[[#This Row],[class]]=1,"Dangerous","Safe")</f>
        <v>Safe</v>
      </c>
      <c r="V1321" t="str">
        <f>IF(SeismicData[[#This Row],[shift]]="W","Production","Non-Production")</f>
        <v>Production</v>
      </c>
      <c r="W1321" t="str">
        <f>IF(SeismicData[[#This Row],[genergy]]=0,"0","10^"&amp;INT(LOG10(SeismicData[[#This Row],[genergy]])))</f>
        <v>10^3</v>
      </c>
      <c r="X1321" t="str">
        <f>IF(OR(SeismicData[[#This Row],[genergy]]&lt;$AA$6,SeismicData[[#This Row],[genergy]]&gt;$AA$5),"Outlier","Normal")</f>
        <v>Normal</v>
      </c>
    </row>
    <row r="1322" spans="1:24" x14ac:dyDescent="0.15">
      <c r="A1322">
        <v>1321</v>
      </c>
      <c r="B1322" t="s">
        <v>20</v>
      </c>
      <c r="C1322" t="s">
        <v>23</v>
      </c>
      <c r="D1322" t="s">
        <v>22</v>
      </c>
      <c r="E1322">
        <v>8690</v>
      </c>
      <c r="F1322">
        <v>251</v>
      </c>
      <c r="G1322">
        <v>-34</v>
      </c>
      <c r="H1322">
        <v>-23</v>
      </c>
      <c r="I1322" t="s">
        <v>23</v>
      </c>
      <c r="J1322">
        <v>0</v>
      </c>
      <c r="K1322">
        <v>0</v>
      </c>
      <c r="L1322">
        <v>0</v>
      </c>
      <c r="M1322">
        <v>0</v>
      </c>
      <c r="N1322">
        <v>0</v>
      </c>
      <c r="O1322">
        <v>0</v>
      </c>
      <c r="P1322">
        <v>0</v>
      </c>
      <c r="Q1322">
        <v>0</v>
      </c>
      <c r="R1322">
        <v>0</v>
      </c>
      <c r="S1322">
        <v>0</v>
      </c>
      <c r="T1322">
        <v>0</v>
      </c>
      <c r="U1322" t="str">
        <f>IF(SeismicData[[#This Row],[class]]=1,"Dangerous","Safe")</f>
        <v>Safe</v>
      </c>
      <c r="V1322" t="str">
        <f>IF(SeismicData[[#This Row],[shift]]="W","Production","Non-Production")</f>
        <v>Production</v>
      </c>
      <c r="W1322" t="str">
        <f>IF(SeismicData[[#This Row],[genergy]]=0,"0","10^"&amp;INT(LOG10(SeismicData[[#This Row],[genergy]])))</f>
        <v>10^3</v>
      </c>
      <c r="X1322" t="str">
        <f>IF(OR(SeismicData[[#This Row],[genergy]]&lt;$AA$6,SeismicData[[#This Row],[genergy]]&gt;$AA$5),"Outlier","Normal")</f>
        <v>Normal</v>
      </c>
    </row>
    <row r="1323" spans="1:24" x14ac:dyDescent="0.15">
      <c r="A1323">
        <v>1322</v>
      </c>
      <c r="B1323" t="s">
        <v>20</v>
      </c>
      <c r="C1323" t="s">
        <v>23</v>
      </c>
      <c r="D1323" t="s">
        <v>22</v>
      </c>
      <c r="E1323">
        <v>10980</v>
      </c>
      <c r="F1323">
        <v>327</v>
      </c>
      <c r="G1323">
        <v>-16</v>
      </c>
      <c r="H1323">
        <v>0</v>
      </c>
      <c r="I1323" t="s">
        <v>23</v>
      </c>
      <c r="J1323">
        <v>0</v>
      </c>
      <c r="K1323">
        <v>0</v>
      </c>
      <c r="L1323">
        <v>0</v>
      </c>
      <c r="M1323">
        <v>0</v>
      </c>
      <c r="N1323">
        <v>0</v>
      </c>
      <c r="O1323">
        <v>0</v>
      </c>
      <c r="P1323">
        <v>0</v>
      </c>
      <c r="Q1323">
        <v>0</v>
      </c>
      <c r="R1323">
        <v>0</v>
      </c>
      <c r="S1323">
        <v>0</v>
      </c>
      <c r="T1323">
        <v>0</v>
      </c>
      <c r="U1323" t="str">
        <f>IF(SeismicData[[#This Row],[class]]=1,"Dangerous","Safe")</f>
        <v>Safe</v>
      </c>
      <c r="V1323" t="str">
        <f>IF(SeismicData[[#This Row],[shift]]="W","Production","Non-Production")</f>
        <v>Production</v>
      </c>
      <c r="W1323" t="str">
        <f>IF(SeismicData[[#This Row],[genergy]]=0,"0","10^"&amp;INT(LOG10(SeismicData[[#This Row],[genergy]])))</f>
        <v>10^4</v>
      </c>
      <c r="X1323" t="str">
        <f>IF(OR(SeismicData[[#This Row],[genergy]]&lt;$AA$6,SeismicData[[#This Row],[genergy]]&gt;$AA$5),"Outlier","Normal")</f>
        <v>Normal</v>
      </c>
    </row>
    <row r="1324" spans="1:24" x14ac:dyDescent="0.15">
      <c r="A1324">
        <v>1323</v>
      </c>
      <c r="B1324" t="s">
        <v>20</v>
      </c>
      <c r="C1324" t="s">
        <v>23</v>
      </c>
      <c r="D1324" t="s">
        <v>22</v>
      </c>
      <c r="E1324">
        <v>16110</v>
      </c>
      <c r="F1324">
        <v>402</v>
      </c>
      <c r="G1324">
        <v>23</v>
      </c>
      <c r="H1324">
        <v>23</v>
      </c>
      <c r="I1324" t="s">
        <v>23</v>
      </c>
      <c r="J1324">
        <v>0</v>
      </c>
      <c r="K1324">
        <v>0</v>
      </c>
      <c r="L1324">
        <v>0</v>
      </c>
      <c r="M1324">
        <v>0</v>
      </c>
      <c r="N1324">
        <v>0</v>
      </c>
      <c r="O1324">
        <v>0</v>
      </c>
      <c r="P1324">
        <v>0</v>
      </c>
      <c r="Q1324">
        <v>0</v>
      </c>
      <c r="R1324">
        <v>0</v>
      </c>
      <c r="S1324">
        <v>0</v>
      </c>
      <c r="T1324">
        <v>0</v>
      </c>
      <c r="U1324" t="str">
        <f>IF(SeismicData[[#This Row],[class]]=1,"Dangerous","Safe")</f>
        <v>Safe</v>
      </c>
      <c r="V1324" t="str">
        <f>IF(SeismicData[[#This Row],[shift]]="W","Production","Non-Production")</f>
        <v>Production</v>
      </c>
      <c r="W1324" t="str">
        <f>IF(SeismicData[[#This Row],[genergy]]=0,"0","10^"&amp;INT(LOG10(SeismicData[[#This Row],[genergy]])))</f>
        <v>10^4</v>
      </c>
      <c r="X1324" t="str">
        <f>IF(OR(SeismicData[[#This Row],[genergy]]&lt;$AA$6,SeismicData[[#This Row],[genergy]]&gt;$AA$5),"Outlier","Normal")</f>
        <v>Normal</v>
      </c>
    </row>
    <row r="1325" spans="1:24" x14ac:dyDescent="0.15">
      <c r="A1325">
        <v>1324</v>
      </c>
      <c r="B1325" t="s">
        <v>20</v>
      </c>
      <c r="C1325" t="s">
        <v>23</v>
      </c>
      <c r="D1325" t="s">
        <v>22</v>
      </c>
      <c r="E1325">
        <v>38880</v>
      </c>
      <c r="F1325">
        <v>689</v>
      </c>
      <c r="G1325">
        <v>197</v>
      </c>
      <c r="H1325">
        <v>110</v>
      </c>
      <c r="I1325" t="s">
        <v>23</v>
      </c>
      <c r="J1325">
        <v>1</v>
      </c>
      <c r="K1325">
        <v>0</v>
      </c>
      <c r="L1325">
        <v>1</v>
      </c>
      <c r="M1325">
        <v>0</v>
      </c>
      <c r="N1325">
        <v>0</v>
      </c>
      <c r="O1325">
        <v>0</v>
      </c>
      <c r="P1325">
        <v>0</v>
      </c>
      <c r="Q1325">
        <v>0</v>
      </c>
      <c r="R1325">
        <v>2000</v>
      </c>
      <c r="S1325">
        <v>2000</v>
      </c>
      <c r="T1325">
        <v>0</v>
      </c>
      <c r="U1325" t="str">
        <f>IF(SeismicData[[#This Row],[class]]=1,"Dangerous","Safe")</f>
        <v>Safe</v>
      </c>
      <c r="V1325" t="str">
        <f>IF(SeismicData[[#This Row],[shift]]="W","Production","Non-Production")</f>
        <v>Production</v>
      </c>
      <c r="W1325" t="str">
        <f>IF(SeismicData[[#This Row],[genergy]]=0,"0","10^"&amp;INT(LOG10(SeismicData[[#This Row],[genergy]])))</f>
        <v>10^4</v>
      </c>
      <c r="X1325" t="str">
        <f>IF(OR(SeismicData[[#This Row],[genergy]]&lt;$AA$6,SeismicData[[#This Row],[genergy]]&gt;$AA$5),"Outlier","Normal")</f>
        <v>Normal</v>
      </c>
    </row>
    <row r="1326" spans="1:24" x14ac:dyDescent="0.15">
      <c r="A1326">
        <v>1325</v>
      </c>
      <c r="B1326" t="s">
        <v>20</v>
      </c>
      <c r="C1326" t="s">
        <v>23</v>
      </c>
      <c r="D1326" t="s">
        <v>22</v>
      </c>
      <c r="E1326">
        <v>36230</v>
      </c>
      <c r="F1326">
        <v>822</v>
      </c>
      <c r="G1326">
        <v>177</v>
      </c>
      <c r="H1326">
        <v>151</v>
      </c>
      <c r="I1326" t="s">
        <v>23</v>
      </c>
      <c r="J1326">
        <v>1</v>
      </c>
      <c r="K1326">
        <v>0</v>
      </c>
      <c r="L1326">
        <v>1</v>
      </c>
      <c r="M1326">
        <v>0</v>
      </c>
      <c r="N1326">
        <v>0</v>
      </c>
      <c r="O1326">
        <v>0</v>
      </c>
      <c r="P1326">
        <v>0</v>
      </c>
      <c r="Q1326">
        <v>0</v>
      </c>
      <c r="R1326">
        <v>8000</v>
      </c>
      <c r="S1326">
        <v>8000</v>
      </c>
      <c r="T1326">
        <v>0</v>
      </c>
      <c r="U1326" t="str">
        <f>IF(SeismicData[[#This Row],[class]]=1,"Dangerous","Safe")</f>
        <v>Safe</v>
      </c>
      <c r="V1326" t="str">
        <f>IF(SeismicData[[#This Row],[shift]]="W","Production","Non-Production")</f>
        <v>Production</v>
      </c>
      <c r="W1326" t="str">
        <f>IF(SeismicData[[#This Row],[genergy]]=0,"0","10^"&amp;INT(LOG10(SeismicData[[#This Row],[genergy]])))</f>
        <v>10^4</v>
      </c>
      <c r="X1326" t="str">
        <f>IF(OR(SeismicData[[#This Row],[genergy]]&lt;$AA$6,SeismicData[[#This Row],[genergy]]&gt;$AA$5),"Outlier","Normal")</f>
        <v>Normal</v>
      </c>
    </row>
    <row r="1327" spans="1:24" x14ac:dyDescent="0.15">
      <c r="A1327">
        <v>1326</v>
      </c>
      <c r="B1327" t="s">
        <v>20</v>
      </c>
      <c r="C1327" t="s">
        <v>23</v>
      </c>
      <c r="D1327" t="s">
        <v>22</v>
      </c>
      <c r="E1327">
        <v>23800</v>
      </c>
      <c r="F1327">
        <v>540</v>
      </c>
      <c r="G1327">
        <v>82</v>
      </c>
      <c r="H1327">
        <v>65</v>
      </c>
      <c r="I1327" t="s">
        <v>23</v>
      </c>
      <c r="J1327">
        <v>0</v>
      </c>
      <c r="K1327">
        <v>0</v>
      </c>
      <c r="L1327">
        <v>0</v>
      </c>
      <c r="M1327">
        <v>0</v>
      </c>
      <c r="N1327">
        <v>0</v>
      </c>
      <c r="O1327">
        <v>0</v>
      </c>
      <c r="P1327">
        <v>0</v>
      </c>
      <c r="Q1327">
        <v>0</v>
      </c>
      <c r="R1327">
        <v>0</v>
      </c>
      <c r="S1327">
        <v>0</v>
      </c>
      <c r="T1327">
        <v>0</v>
      </c>
      <c r="U1327" t="str">
        <f>IF(SeismicData[[#This Row],[class]]=1,"Dangerous","Safe")</f>
        <v>Safe</v>
      </c>
      <c r="V1327" t="str">
        <f>IF(SeismicData[[#This Row],[shift]]="W","Production","Non-Production")</f>
        <v>Production</v>
      </c>
      <c r="W1327" t="str">
        <f>IF(SeismicData[[#This Row],[genergy]]=0,"0","10^"&amp;INT(LOG10(SeismicData[[#This Row],[genergy]])))</f>
        <v>10^4</v>
      </c>
      <c r="X1327" t="str">
        <f>IF(OR(SeismicData[[#This Row],[genergy]]&lt;$AA$6,SeismicData[[#This Row],[genergy]]&gt;$AA$5),"Outlier","Normal")</f>
        <v>Normal</v>
      </c>
    </row>
    <row r="1328" spans="1:24" x14ac:dyDescent="0.15">
      <c r="A1328">
        <v>1327</v>
      </c>
      <c r="B1328" t="s">
        <v>20</v>
      </c>
      <c r="C1328" t="s">
        <v>23</v>
      </c>
      <c r="D1328" t="s">
        <v>22</v>
      </c>
      <c r="E1328">
        <v>17590</v>
      </c>
      <c r="F1328">
        <v>500</v>
      </c>
      <c r="G1328">
        <v>36</v>
      </c>
      <c r="H1328">
        <v>53</v>
      </c>
      <c r="I1328" t="s">
        <v>23</v>
      </c>
      <c r="J1328">
        <v>0</v>
      </c>
      <c r="K1328">
        <v>0</v>
      </c>
      <c r="L1328">
        <v>0</v>
      </c>
      <c r="M1328">
        <v>0</v>
      </c>
      <c r="N1328">
        <v>0</v>
      </c>
      <c r="O1328">
        <v>0</v>
      </c>
      <c r="P1328">
        <v>0</v>
      </c>
      <c r="Q1328">
        <v>0</v>
      </c>
      <c r="R1328">
        <v>0</v>
      </c>
      <c r="S1328">
        <v>0</v>
      </c>
      <c r="T1328">
        <v>0</v>
      </c>
      <c r="U1328" t="str">
        <f>IF(SeismicData[[#This Row],[class]]=1,"Dangerous","Safe")</f>
        <v>Safe</v>
      </c>
      <c r="V1328" t="str">
        <f>IF(SeismicData[[#This Row],[shift]]="W","Production","Non-Production")</f>
        <v>Production</v>
      </c>
      <c r="W1328" t="str">
        <f>IF(SeismicData[[#This Row],[genergy]]=0,"0","10^"&amp;INT(LOG10(SeismicData[[#This Row],[genergy]])))</f>
        <v>10^4</v>
      </c>
      <c r="X1328" t="str">
        <f>IF(OR(SeismicData[[#This Row],[genergy]]&lt;$AA$6,SeismicData[[#This Row],[genergy]]&gt;$AA$5),"Outlier","Normal")</f>
        <v>Normal</v>
      </c>
    </row>
    <row r="1329" spans="1:24" x14ac:dyDescent="0.15">
      <c r="A1329">
        <v>1328</v>
      </c>
      <c r="B1329" t="s">
        <v>20</v>
      </c>
      <c r="C1329" t="s">
        <v>23</v>
      </c>
      <c r="D1329" t="s">
        <v>22</v>
      </c>
      <c r="E1329">
        <v>19810</v>
      </c>
      <c r="F1329">
        <v>209</v>
      </c>
      <c r="G1329">
        <v>21</v>
      </c>
      <c r="H1329">
        <v>-22</v>
      </c>
      <c r="I1329" t="s">
        <v>20</v>
      </c>
      <c r="J1329">
        <v>0</v>
      </c>
      <c r="K1329">
        <v>0</v>
      </c>
      <c r="L1329">
        <v>0</v>
      </c>
      <c r="M1329">
        <v>0</v>
      </c>
      <c r="N1329">
        <v>0</v>
      </c>
      <c r="O1329">
        <v>0</v>
      </c>
      <c r="P1329">
        <v>0</v>
      </c>
      <c r="Q1329">
        <v>0</v>
      </c>
      <c r="R1329">
        <v>0</v>
      </c>
      <c r="S1329">
        <v>0</v>
      </c>
      <c r="T1329">
        <v>0</v>
      </c>
      <c r="U1329" t="str">
        <f>IF(SeismicData[[#This Row],[class]]=1,"Dangerous","Safe")</f>
        <v>Safe</v>
      </c>
      <c r="V1329" t="str">
        <f>IF(SeismicData[[#This Row],[shift]]="W","Production","Non-Production")</f>
        <v>Production</v>
      </c>
      <c r="W1329" t="str">
        <f>IF(SeismicData[[#This Row],[genergy]]=0,"0","10^"&amp;INT(LOG10(SeismicData[[#This Row],[genergy]])))</f>
        <v>10^4</v>
      </c>
      <c r="X1329" t="str">
        <f>IF(OR(SeismicData[[#This Row],[genergy]]&lt;$AA$6,SeismicData[[#This Row],[genergy]]&gt;$AA$5),"Outlier","Normal")</f>
        <v>Normal</v>
      </c>
    </row>
    <row r="1330" spans="1:24" x14ac:dyDescent="0.15">
      <c r="A1330">
        <v>1329</v>
      </c>
      <c r="B1330" t="s">
        <v>20</v>
      </c>
      <c r="C1330" t="s">
        <v>23</v>
      </c>
      <c r="D1330" t="s">
        <v>22</v>
      </c>
      <c r="E1330">
        <v>12800</v>
      </c>
      <c r="F1330">
        <v>213</v>
      </c>
      <c r="G1330">
        <v>-22</v>
      </c>
      <c r="H1330">
        <v>-20</v>
      </c>
      <c r="I1330" t="s">
        <v>20</v>
      </c>
      <c r="J1330">
        <v>0</v>
      </c>
      <c r="K1330">
        <v>0</v>
      </c>
      <c r="L1330">
        <v>0</v>
      </c>
      <c r="M1330">
        <v>0</v>
      </c>
      <c r="N1330">
        <v>0</v>
      </c>
      <c r="O1330">
        <v>0</v>
      </c>
      <c r="P1330">
        <v>0</v>
      </c>
      <c r="Q1330">
        <v>0</v>
      </c>
      <c r="R1330">
        <v>0</v>
      </c>
      <c r="S1330">
        <v>0</v>
      </c>
      <c r="T1330">
        <v>0</v>
      </c>
      <c r="U1330" t="str">
        <f>IF(SeismicData[[#This Row],[class]]=1,"Dangerous","Safe")</f>
        <v>Safe</v>
      </c>
      <c r="V1330" t="str">
        <f>IF(SeismicData[[#This Row],[shift]]="W","Production","Non-Production")</f>
        <v>Production</v>
      </c>
      <c r="W1330" t="str">
        <f>IF(SeismicData[[#This Row],[genergy]]=0,"0","10^"&amp;INT(LOG10(SeismicData[[#This Row],[genergy]])))</f>
        <v>10^4</v>
      </c>
      <c r="X1330" t="str">
        <f>IF(OR(SeismicData[[#This Row],[genergy]]&lt;$AA$6,SeismicData[[#This Row],[genergy]]&gt;$AA$5),"Outlier","Normal")</f>
        <v>Normal</v>
      </c>
    </row>
    <row r="1331" spans="1:24" x14ac:dyDescent="0.15">
      <c r="A1331">
        <v>1330</v>
      </c>
      <c r="B1331" t="s">
        <v>20</v>
      </c>
      <c r="C1331" t="s">
        <v>23</v>
      </c>
      <c r="D1331" t="s">
        <v>22</v>
      </c>
      <c r="E1331">
        <v>26350</v>
      </c>
      <c r="F1331">
        <v>569</v>
      </c>
      <c r="G1331">
        <v>104</v>
      </c>
      <c r="H1331">
        <v>75</v>
      </c>
      <c r="I1331" t="s">
        <v>23</v>
      </c>
      <c r="J1331">
        <v>0</v>
      </c>
      <c r="K1331">
        <v>0</v>
      </c>
      <c r="L1331">
        <v>0</v>
      </c>
      <c r="M1331">
        <v>0</v>
      </c>
      <c r="N1331">
        <v>0</v>
      </c>
      <c r="O1331">
        <v>0</v>
      </c>
      <c r="P1331">
        <v>0</v>
      </c>
      <c r="Q1331">
        <v>0</v>
      </c>
      <c r="R1331">
        <v>0</v>
      </c>
      <c r="S1331">
        <v>0</v>
      </c>
      <c r="T1331">
        <v>0</v>
      </c>
      <c r="U1331" t="str">
        <f>IF(SeismicData[[#This Row],[class]]=1,"Dangerous","Safe")</f>
        <v>Safe</v>
      </c>
      <c r="V1331" t="str">
        <f>IF(SeismicData[[#This Row],[shift]]="W","Production","Non-Production")</f>
        <v>Production</v>
      </c>
      <c r="W1331" t="str">
        <f>IF(SeismicData[[#This Row],[genergy]]=0,"0","10^"&amp;INT(LOG10(SeismicData[[#This Row],[genergy]])))</f>
        <v>10^4</v>
      </c>
      <c r="X1331" t="str">
        <f>IF(OR(SeismicData[[#This Row],[genergy]]&lt;$AA$6,SeismicData[[#This Row],[genergy]]&gt;$AA$5),"Outlier","Normal")</f>
        <v>Normal</v>
      </c>
    </row>
    <row r="1332" spans="1:24" x14ac:dyDescent="0.15">
      <c r="A1332">
        <v>1331</v>
      </c>
      <c r="B1332" t="s">
        <v>20</v>
      </c>
      <c r="C1332" t="s">
        <v>23</v>
      </c>
      <c r="D1332" t="s">
        <v>22</v>
      </c>
      <c r="E1332">
        <v>25850</v>
      </c>
      <c r="F1332">
        <v>595</v>
      </c>
      <c r="G1332">
        <v>100</v>
      </c>
      <c r="H1332">
        <v>83</v>
      </c>
      <c r="I1332" t="s">
        <v>23</v>
      </c>
      <c r="J1332">
        <v>0</v>
      </c>
      <c r="K1332">
        <v>0</v>
      </c>
      <c r="L1332">
        <v>0</v>
      </c>
      <c r="M1332">
        <v>0</v>
      </c>
      <c r="N1332">
        <v>0</v>
      </c>
      <c r="O1332">
        <v>0</v>
      </c>
      <c r="P1332">
        <v>0</v>
      </c>
      <c r="Q1332">
        <v>0</v>
      </c>
      <c r="R1332">
        <v>0</v>
      </c>
      <c r="S1332">
        <v>0</v>
      </c>
      <c r="T1332">
        <v>0</v>
      </c>
      <c r="U1332" t="str">
        <f>IF(SeismicData[[#This Row],[class]]=1,"Dangerous","Safe")</f>
        <v>Safe</v>
      </c>
      <c r="V1332" t="str">
        <f>IF(SeismicData[[#This Row],[shift]]="W","Production","Non-Production")</f>
        <v>Production</v>
      </c>
      <c r="W1332" t="str">
        <f>IF(SeismicData[[#This Row],[genergy]]=0,"0","10^"&amp;INT(LOG10(SeismicData[[#This Row],[genergy]])))</f>
        <v>10^4</v>
      </c>
      <c r="X1332" t="str">
        <f>IF(OR(SeismicData[[#This Row],[genergy]]&lt;$AA$6,SeismicData[[#This Row],[genergy]]&gt;$AA$5),"Outlier","Normal")</f>
        <v>Normal</v>
      </c>
    </row>
    <row r="1333" spans="1:24" x14ac:dyDescent="0.15">
      <c r="A1333">
        <v>1332</v>
      </c>
      <c r="B1333" t="s">
        <v>20</v>
      </c>
      <c r="C1333" t="s">
        <v>23</v>
      </c>
      <c r="D1333" t="s">
        <v>22</v>
      </c>
      <c r="E1333">
        <v>24840</v>
      </c>
      <c r="F1333">
        <v>609</v>
      </c>
      <c r="G1333">
        <v>92</v>
      </c>
      <c r="H1333">
        <v>87</v>
      </c>
      <c r="I1333" t="s">
        <v>23</v>
      </c>
      <c r="J1333">
        <v>0</v>
      </c>
      <c r="K1333">
        <v>0</v>
      </c>
      <c r="L1333">
        <v>0</v>
      </c>
      <c r="M1333">
        <v>0</v>
      </c>
      <c r="N1333">
        <v>0</v>
      </c>
      <c r="O1333">
        <v>0</v>
      </c>
      <c r="P1333">
        <v>0</v>
      </c>
      <c r="Q1333">
        <v>0</v>
      </c>
      <c r="R1333">
        <v>0</v>
      </c>
      <c r="S1333">
        <v>0</v>
      </c>
      <c r="T1333">
        <v>0</v>
      </c>
      <c r="U1333" t="str">
        <f>IF(SeismicData[[#This Row],[class]]=1,"Dangerous","Safe")</f>
        <v>Safe</v>
      </c>
      <c r="V1333" t="str">
        <f>IF(SeismicData[[#This Row],[shift]]="W","Production","Non-Production")</f>
        <v>Production</v>
      </c>
      <c r="W1333" t="str">
        <f>IF(SeismicData[[#This Row],[genergy]]=0,"0","10^"&amp;INT(LOG10(SeismicData[[#This Row],[genergy]])))</f>
        <v>10^4</v>
      </c>
      <c r="X1333" t="str">
        <f>IF(OR(SeismicData[[#This Row],[genergy]]&lt;$AA$6,SeismicData[[#This Row],[genergy]]&gt;$AA$5),"Outlier","Normal")</f>
        <v>Normal</v>
      </c>
    </row>
    <row r="1334" spans="1:24" x14ac:dyDescent="0.15">
      <c r="A1334">
        <v>1333</v>
      </c>
      <c r="B1334" t="s">
        <v>20</v>
      </c>
      <c r="C1334" t="s">
        <v>23</v>
      </c>
      <c r="D1334" t="s">
        <v>22</v>
      </c>
      <c r="E1334">
        <v>19340</v>
      </c>
      <c r="F1334">
        <v>218</v>
      </c>
      <c r="G1334">
        <v>18</v>
      </c>
      <c r="H1334">
        <v>-19</v>
      </c>
      <c r="I1334" t="s">
        <v>20</v>
      </c>
      <c r="J1334">
        <v>1</v>
      </c>
      <c r="K1334">
        <v>0</v>
      </c>
      <c r="L1334">
        <v>1</v>
      </c>
      <c r="M1334">
        <v>0</v>
      </c>
      <c r="N1334">
        <v>0</v>
      </c>
      <c r="O1334">
        <v>0</v>
      </c>
      <c r="P1334">
        <v>0</v>
      </c>
      <c r="Q1334">
        <v>0</v>
      </c>
      <c r="R1334">
        <v>3000</v>
      </c>
      <c r="S1334">
        <v>3000</v>
      </c>
      <c r="T1334">
        <v>0</v>
      </c>
      <c r="U1334" t="str">
        <f>IF(SeismicData[[#This Row],[class]]=1,"Dangerous","Safe")</f>
        <v>Safe</v>
      </c>
      <c r="V1334" t="str">
        <f>IF(SeismicData[[#This Row],[shift]]="W","Production","Non-Production")</f>
        <v>Production</v>
      </c>
      <c r="W1334" t="str">
        <f>IF(SeismicData[[#This Row],[genergy]]=0,"0","10^"&amp;INT(LOG10(SeismicData[[#This Row],[genergy]])))</f>
        <v>10^4</v>
      </c>
      <c r="X1334" t="str">
        <f>IF(OR(SeismicData[[#This Row],[genergy]]&lt;$AA$6,SeismicData[[#This Row],[genergy]]&gt;$AA$5),"Outlier","Normal")</f>
        <v>Normal</v>
      </c>
    </row>
    <row r="1335" spans="1:24" x14ac:dyDescent="0.15">
      <c r="A1335">
        <v>1334</v>
      </c>
      <c r="B1335" t="s">
        <v>20</v>
      </c>
      <c r="C1335" t="s">
        <v>23</v>
      </c>
      <c r="D1335" t="s">
        <v>22</v>
      </c>
      <c r="E1335">
        <v>29060</v>
      </c>
      <c r="F1335">
        <v>660</v>
      </c>
      <c r="G1335">
        <v>125</v>
      </c>
      <c r="H1335">
        <v>103</v>
      </c>
      <c r="I1335" t="s">
        <v>23</v>
      </c>
      <c r="J1335">
        <v>1</v>
      </c>
      <c r="K1335">
        <v>1</v>
      </c>
      <c r="L1335">
        <v>0</v>
      </c>
      <c r="M1335">
        <v>0</v>
      </c>
      <c r="N1335">
        <v>0</v>
      </c>
      <c r="O1335">
        <v>0</v>
      </c>
      <c r="P1335">
        <v>0</v>
      </c>
      <c r="Q1335">
        <v>0</v>
      </c>
      <c r="R1335">
        <v>300</v>
      </c>
      <c r="S1335">
        <v>300</v>
      </c>
      <c r="T1335">
        <v>0</v>
      </c>
      <c r="U1335" t="str">
        <f>IF(SeismicData[[#This Row],[class]]=1,"Dangerous","Safe")</f>
        <v>Safe</v>
      </c>
      <c r="V1335" t="str">
        <f>IF(SeismicData[[#This Row],[shift]]="W","Production","Non-Production")</f>
        <v>Production</v>
      </c>
      <c r="W1335" t="str">
        <f>IF(SeismicData[[#This Row],[genergy]]=0,"0","10^"&amp;INT(LOG10(SeismicData[[#This Row],[genergy]])))</f>
        <v>10^4</v>
      </c>
      <c r="X1335" t="str">
        <f>IF(OR(SeismicData[[#This Row],[genergy]]&lt;$AA$6,SeismicData[[#This Row],[genergy]]&gt;$AA$5),"Outlier","Normal")</f>
        <v>Normal</v>
      </c>
    </row>
    <row r="1336" spans="1:24" x14ac:dyDescent="0.15">
      <c r="A1336">
        <v>1335</v>
      </c>
      <c r="B1336" t="s">
        <v>20</v>
      </c>
      <c r="C1336" t="s">
        <v>23</v>
      </c>
      <c r="D1336" t="s">
        <v>22</v>
      </c>
      <c r="E1336">
        <v>39970</v>
      </c>
      <c r="F1336">
        <v>831</v>
      </c>
      <c r="G1336">
        <v>196</v>
      </c>
      <c r="H1336">
        <v>147</v>
      </c>
      <c r="I1336" t="s">
        <v>23</v>
      </c>
      <c r="J1336">
        <v>0</v>
      </c>
      <c r="K1336">
        <v>0</v>
      </c>
      <c r="L1336">
        <v>0</v>
      </c>
      <c r="M1336">
        <v>0</v>
      </c>
      <c r="N1336">
        <v>0</v>
      </c>
      <c r="O1336">
        <v>0</v>
      </c>
      <c r="P1336">
        <v>0</v>
      </c>
      <c r="Q1336">
        <v>0</v>
      </c>
      <c r="R1336">
        <v>0</v>
      </c>
      <c r="S1336">
        <v>0</v>
      </c>
      <c r="T1336">
        <v>0</v>
      </c>
      <c r="U1336" t="str">
        <f>IF(SeismicData[[#This Row],[class]]=1,"Dangerous","Safe")</f>
        <v>Safe</v>
      </c>
      <c r="V1336" t="str">
        <f>IF(SeismicData[[#This Row],[shift]]="W","Production","Non-Production")</f>
        <v>Production</v>
      </c>
      <c r="W1336" t="str">
        <f>IF(SeismicData[[#This Row],[genergy]]=0,"0","10^"&amp;INT(LOG10(SeismicData[[#This Row],[genergy]])))</f>
        <v>10^4</v>
      </c>
      <c r="X1336" t="str">
        <f>IF(OR(SeismicData[[#This Row],[genergy]]&lt;$AA$6,SeismicData[[#This Row],[genergy]]&gt;$AA$5),"Outlier","Normal")</f>
        <v>Normal</v>
      </c>
    </row>
    <row r="1337" spans="1:24" x14ac:dyDescent="0.15">
      <c r="A1337">
        <v>1336</v>
      </c>
      <c r="B1337" t="s">
        <v>20</v>
      </c>
      <c r="C1337" t="s">
        <v>23</v>
      </c>
      <c r="D1337" t="s">
        <v>22</v>
      </c>
      <c r="E1337">
        <v>28920</v>
      </c>
      <c r="F1337">
        <v>659</v>
      </c>
      <c r="G1337">
        <v>114</v>
      </c>
      <c r="H1337">
        <v>96</v>
      </c>
      <c r="I1337" t="s">
        <v>23</v>
      </c>
      <c r="J1337">
        <v>0</v>
      </c>
      <c r="K1337">
        <v>0</v>
      </c>
      <c r="L1337">
        <v>0</v>
      </c>
      <c r="M1337">
        <v>0</v>
      </c>
      <c r="N1337">
        <v>0</v>
      </c>
      <c r="O1337">
        <v>0</v>
      </c>
      <c r="P1337">
        <v>0</v>
      </c>
      <c r="Q1337">
        <v>0</v>
      </c>
      <c r="R1337">
        <v>0</v>
      </c>
      <c r="S1337">
        <v>0</v>
      </c>
      <c r="T1337">
        <v>0</v>
      </c>
      <c r="U1337" t="str">
        <f>IF(SeismicData[[#This Row],[class]]=1,"Dangerous","Safe")</f>
        <v>Safe</v>
      </c>
      <c r="V1337" t="str">
        <f>IF(SeismicData[[#This Row],[shift]]="W","Production","Non-Production")</f>
        <v>Production</v>
      </c>
      <c r="W1337" t="str">
        <f>IF(SeismicData[[#This Row],[genergy]]=0,"0","10^"&amp;INT(LOG10(SeismicData[[#This Row],[genergy]])))</f>
        <v>10^4</v>
      </c>
      <c r="X1337" t="str">
        <f>IF(OR(SeismicData[[#This Row],[genergy]]&lt;$AA$6,SeismicData[[#This Row],[genergy]]&gt;$AA$5),"Outlier","Normal")</f>
        <v>Normal</v>
      </c>
    </row>
    <row r="1338" spans="1:24" x14ac:dyDescent="0.15">
      <c r="A1338">
        <v>1337</v>
      </c>
      <c r="B1338" t="s">
        <v>20</v>
      </c>
      <c r="C1338" t="s">
        <v>23</v>
      </c>
      <c r="D1338" t="s">
        <v>22</v>
      </c>
      <c r="E1338">
        <v>21860</v>
      </c>
      <c r="F1338">
        <v>283</v>
      </c>
      <c r="G1338">
        <v>39</v>
      </c>
      <c r="H1338">
        <v>14</v>
      </c>
      <c r="I1338" t="s">
        <v>20</v>
      </c>
      <c r="J1338">
        <v>1</v>
      </c>
      <c r="K1338">
        <v>0</v>
      </c>
      <c r="L1338">
        <v>1</v>
      </c>
      <c r="M1338">
        <v>0</v>
      </c>
      <c r="N1338">
        <v>0</v>
      </c>
      <c r="O1338">
        <v>0</v>
      </c>
      <c r="P1338">
        <v>0</v>
      </c>
      <c r="Q1338">
        <v>0</v>
      </c>
      <c r="R1338">
        <v>4000</v>
      </c>
      <c r="S1338">
        <v>4000</v>
      </c>
      <c r="T1338">
        <v>0</v>
      </c>
      <c r="U1338" t="str">
        <f>IF(SeismicData[[#This Row],[class]]=1,"Dangerous","Safe")</f>
        <v>Safe</v>
      </c>
      <c r="V1338" t="str">
        <f>IF(SeismicData[[#This Row],[shift]]="W","Production","Non-Production")</f>
        <v>Production</v>
      </c>
      <c r="W1338" t="str">
        <f>IF(SeismicData[[#This Row],[genergy]]=0,"0","10^"&amp;INT(LOG10(SeismicData[[#This Row],[genergy]])))</f>
        <v>10^4</v>
      </c>
      <c r="X1338" t="str">
        <f>IF(OR(SeismicData[[#This Row],[genergy]]&lt;$AA$6,SeismicData[[#This Row],[genergy]]&gt;$AA$5),"Outlier","Normal")</f>
        <v>Normal</v>
      </c>
    </row>
    <row r="1339" spans="1:24" x14ac:dyDescent="0.15">
      <c r="A1339">
        <v>1338</v>
      </c>
      <c r="B1339" t="s">
        <v>20</v>
      </c>
      <c r="C1339" t="s">
        <v>23</v>
      </c>
      <c r="D1339" t="s">
        <v>22</v>
      </c>
      <c r="E1339">
        <v>15180</v>
      </c>
      <c r="F1339">
        <v>196</v>
      </c>
      <c r="G1339">
        <v>-3</v>
      </c>
      <c r="H1339">
        <v>-21</v>
      </c>
      <c r="I1339" t="s">
        <v>20</v>
      </c>
      <c r="J1339">
        <v>0</v>
      </c>
      <c r="K1339">
        <v>0</v>
      </c>
      <c r="L1339">
        <v>0</v>
      </c>
      <c r="M1339">
        <v>0</v>
      </c>
      <c r="N1339">
        <v>0</v>
      </c>
      <c r="O1339">
        <v>0</v>
      </c>
      <c r="P1339">
        <v>0</v>
      </c>
      <c r="Q1339">
        <v>0</v>
      </c>
      <c r="R1339">
        <v>0</v>
      </c>
      <c r="S1339">
        <v>0</v>
      </c>
      <c r="T1339">
        <v>0</v>
      </c>
      <c r="U1339" t="str">
        <f>IF(SeismicData[[#This Row],[class]]=1,"Dangerous","Safe")</f>
        <v>Safe</v>
      </c>
      <c r="V1339" t="str">
        <f>IF(SeismicData[[#This Row],[shift]]="W","Production","Non-Production")</f>
        <v>Production</v>
      </c>
      <c r="W1339" t="str">
        <f>IF(SeismicData[[#This Row],[genergy]]=0,"0","10^"&amp;INT(LOG10(SeismicData[[#This Row],[genergy]])))</f>
        <v>10^4</v>
      </c>
      <c r="X1339" t="str">
        <f>IF(OR(SeismicData[[#This Row],[genergy]]&lt;$AA$6,SeismicData[[#This Row],[genergy]]&gt;$AA$5),"Outlier","Normal")</f>
        <v>Normal</v>
      </c>
    </row>
    <row r="1340" spans="1:24" x14ac:dyDescent="0.15">
      <c r="A1340">
        <v>1339</v>
      </c>
      <c r="B1340" t="s">
        <v>20</v>
      </c>
      <c r="C1340" t="s">
        <v>23</v>
      </c>
      <c r="D1340" t="s">
        <v>22</v>
      </c>
      <c r="E1340">
        <v>10150</v>
      </c>
      <c r="F1340">
        <v>326</v>
      </c>
      <c r="G1340">
        <v>-25</v>
      </c>
      <c r="H1340">
        <v>-3</v>
      </c>
      <c r="I1340" t="s">
        <v>23</v>
      </c>
      <c r="J1340">
        <v>0</v>
      </c>
      <c r="K1340">
        <v>0</v>
      </c>
      <c r="L1340">
        <v>0</v>
      </c>
      <c r="M1340">
        <v>0</v>
      </c>
      <c r="N1340">
        <v>0</v>
      </c>
      <c r="O1340">
        <v>0</v>
      </c>
      <c r="P1340">
        <v>0</v>
      </c>
      <c r="Q1340">
        <v>0</v>
      </c>
      <c r="R1340">
        <v>0</v>
      </c>
      <c r="S1340">
        <v>0</v>
      </c>
      <c r="T1340">
        <v>0</v>
      </c>
      <c r="U1340" t="str">
        <f>IF(SeismicData[[#This Row],[class]]=1,"Dangerous","Safe")</f>
        <v>Safe</v>
      </c>
      <c r="V1340" t="str">
        <f>IF(SeismicData[[#This Row],[shift]]="W","Production","Non-Production")</f>
        <v>Production</v>
      </c>
      <c r="W1340" t="str">
        <f>IF(SeismicData[[#This Row],[genergy]]=0,"0","10^"&amp;INT(LOG10(SeismicData[[#This Row],[genergy]])))</f>
        <v>10^4</v>
      </c>
      <c r="X1340" t="str">
        <f>IF(OR(SeismicData[[#This Row],[genergy]]&lt;$AA$6,SeismicData[[#This Row],[genergy]]&gt;$AA$5),"Outlier","Normal")</f>
        <v>Normal</v>
      </c>
    </row>
    <row r="1341" spans="1:24" x14ac:dyDescent="0.15">
      <c r="A1341">
        <v>1340</v>
      </c>
      <c r="B1341" t="s">
        <v>20</v>
      </c>
      <c r="C1341" t="s">
        <v>23</v>
      </c>
      <c r="D1341" t="s">
        <v>22</v>
      </c>
      <c r="E1341">
        <v>8260</v>
      </c>
      <c r="F1341">
        <v>343</v>
      </c>
      <c r="G1341">
        <v>-39</v>
      </c>
      <c r="H1341">
        <v>2</v>
      </c>
      <c r="I1341" t="s">
        <v>23</v>
      </c>
      <c r="J1341">
        <v>0</v>
      </c>
      <c r="K1341">
        <v>0</v>
      </c>
      <c r="L1341">
        <v>0</v>
      </c>
      <c r="M1341">
        <v>0</v>
      </c>
      <c r="N1341">
        <v>0</v>
      </c>
      <c r="O1341">
        <v>0</v>
      </c>
      <c r="P1341">
        <v>0</v>
      </c>
      <c r="Q1341">
        <v>0</v>
      </c>
      <c r="R1341">
        <v>0</v>
      </c>
      <c r="S1341">
        <v>0</v>
      </c>
      <c r="T1341">
        <v>0</v>
      </c>
      <c r="U1341" t="str">
        <f>IF(SeismicData[[#This Row],[class]]=1,"Dangerous","Safe")</f>
        <v>Safe</v>
      </c>
      <c r="V1341" t="str">
        <f>IF(SeismicData[[#This Row],[shift]]="W","Production","Non-Production")</f>
        <v>Production</v>
      </c>
      <c r="W1341" t="str">
        <f>IF(SeismicData[[#This Row],[genergy]]=0,"0","10^"&amp;INT(LOG10(SeismicData[[#This Row],[genergy]])))</f>
        <v>10^3</v>
      </c>
      <c r="X1341" t="str">
        <f>IF(OR(SeismicData[[#This Row],[genergy]]&lt;$AA$6,SeismicData[[#This Row],[genergy]]&gt;$AA$5),"Outlier","Normal")</f>
        <v>Normal</v>
      </c>
    </row>
    <row r="1342" spans="1:24" x14ac:dyDescent="0.15">
      <c r="A1342">
        <v>1341</v>
      </c>
      <c r="B1342" t="s">
        <v>20</v>
      </c>
      <c r="C1342" t="s">
        <v>23</v>
      </c>
      <c r="D1342" t="s">
        <v>22</v>
      </c>
      <c r="E1342">
        <v>27670</v>
      </c>
      <c r="F1342">
        <v>305</v>
      </c>
      <c r="G1342">
        <v>283</v>
      </c>
      <c r="H1342">
        <v>53</v>
      </c>
      <c r="I1342" t="s">
        <v>20</v>
      </c>
      <c r="J1342">
        <v>0</v>
      </c>
      <c r="K1342">
        <v>0</v>
      </c>
      <c r="L1342">
        <v>0</v>
      </c>
      <c r="M1342">
        <v>0</v>
      </c>
      <c r="N1342">
        <v>0</v>
      </c>
      <c r="O1342">
        <v>0</v>
      </c>
      <c r="P1342">
        <v>0</v>
      </c>
      <c r="Q1342">
        <v>0</v>
      </c>
      <c r="R1342">
        <v>0</v>
      </c>
      <c r="S1342">
        <v>0</v>
      </c>
      <c r="T1342">
        <v>0</v>
      </c>
      <c r="U1342" t="str">
        <f>IF(SeismicData[[#This Row],[class]]=1,"Dangerous","Safe")</f>
        <v>Safe</v>
      </c>
      <c r="V1342" t="str">
        <f>IF(SeismicData[[#This Row],[shift]]="W","Production","Non-Production")</f>
        <v>Production</v>
      </c>
      <c r="W1342" t="str">
        <f>IF(SeismicData[[#This Row],[genergy]]=0,"0","10^"&amp;INT(LOG10(SeismicData[[#This Row],[genergy]])))</f>
        <v>10^4</v>
      </c>
      <c r="X1342" t="str">
        <f>IF(OR(SeismicData[[#This Row],[genergy]]&lt;$AA$6,SeismicData[[#This Row],[genergy]]&gt;$AA$5),"Outlier","Normal")</f>
        <v>Normal</v>
      </c>
    </row>
    <row r="1343" spans="1:24" x14ac:dyDescent="0.15">
      <c r="A1343">
        <v>1342</v>
      </c>
      <c r="B1343" t="s">
        <v>20</v>
      </c>
      <c r="C1343" t="s">
        <v>23</v>
      </c>
      <c r="D1343" t="s">
        <v>22</v>
      </c>
      <c r="E1343">
        <v>32730</v>
      </c>
      <c r="F1343">
        <v>1209</v>
      </c>
      <c r="G1343">
        <v>353</v>
      </c>
      <c r="H1343">
        <v>506</v>
      </c>
      <c r="I1343" t="s">
        <v>23</v>
      </c>
      <c r="J1343">
        <v>0</v>
      </c>
      <c r="K1343">
        <v>0</v>
      </c>
      <c r="L1343">
        <v>0</v>
      </c>
      <c r="M1343">
        <v>0</v>
      </c>
      <c r="N1343">
        <v>0</v>
      </c>
      <c r="O1343">
        <v>0</v>
      </c>
      <c r="P1343">
        <v>0</v>
      </c>
      <c r="Q1343">
        <v>0</v>
      </c>
      <c r="R1343">
        <v>0</v>
      </c>
      <c r="S1343">
        <v>0</v>
      </c>
      <c r="T1343">
        <v>0</v>
      </c>
      <c r="U1343" t="str">
        <f>IF(SeismicData[[#This Row],[class]]=1,"Dangerous","Safe")</f>
        <v>Safe</v>
      </c>
      <c r="V1343" t="str">
        <f>IF(SeismicData[[#This Row],[shift]]="W","Production","Non-Production")</f>
        <v>Production</v>
      </c>
      <c r="W1343" t="str">
        <f>IF(SeismicData[[#This Row],[genergy]]=0,"0","10^"&amp;INT(LOG10(SeismicData[[#This Row],[genergy]])))</f>
        <v>10^4</v>
      </c>
      <c r="X1343" t="str">
        <f>IF(OR(SeismicData[[#This Row],[genergy]]&lt;$AA$6,SeismicData[[#This Row],[genergy]]&gt;$AA$5),"Outlier","Normal")</f>
        <v>Normal</v>
      </c>
    </row>
    <row r="1344" spans="1:24" x14ac:dyDescent="0.15">
      <c r="A1344">
        <v>1343</v>
      </c>
      <c r="B1344" t="s">
        <v>20</v>
      </c>
      <c r="C1344" t="s">
        <v>23</v>
      </c>
      <c r="D1344" t="s">
        <v>22</v>
      </c>
      <c r="E1344">
        <v>11090</v>
      </c>
      <c r="F1344">
        <v>639</v>
      </c>
      <c r="G1344">
        <v>54</v>
      </c>
      <c r="H1344">
        <v>249</v>
      </c>
      <c r="I1344" t="s">
        <v>20</v>
      </c>
      <c r="J1344">
        <v>0</v>
      </c>
      <c r="K1344">
        <v>0</v>
      </c>
      <c r="L1344">
        <v>0</v>
      </c>
      <c r="M1344">
        <v>0</v>
      </c>
      <c r="N1344">
        <v>0</v>
      </c>
      <c r="O1344">
        <v>0</v>
      </c>
      <c r="P1344">
        <v>0</v>
      </c>
      <c r="Q1344">
        <v>0</v>
      </c>
      <c r="R1344">
        <v>0</v>
      </c>
      <c r="S1344">
        <v>0</v>
      </c>
      <c r="T1344">
        <v>0</v>
      </c>
      <c r="U1344" t="str">
        <f>IF(SeismicData[[#This Row],[class]]=1,"Dangerous","Safe")</f>
        <v>Safe</v>
      </c>
      <c r="V1344" t="str">
        <f>IF(SeismicData[[#This Row],[shift]]="W","Production","Non-Production")</f>
        <v>Production</v>
      </c>
      <c r="W1344" t="str">
        <f>IF(SeismicData[[#This Row],[genergy]]=0,"0","10^"&amp;INT(LOG10(SeismicData[[#This Row],[genergy]])))</f>
        <v>10^4</v>
      </c>
      <c r="X1344" t="str">
        <f>IF(OR(SeismicData[[#This Row],[genergy]]&lt;$AA$6,SeismicData[[#This Row],[genergy]]&gt;$AA$5),"Outlier","Normal")</f>
        <v>Normal</v>
      </c>
    </row>
    <row r="1345" spans="1:24" x14ac:dyDescent="0.15">
      <c r="A1345">
        <v>1344</v>
      </c>
      <c r="B1345" t="s">
        <v>20</v>
      </c>
      <c r="C1345" t="s">
        <v>23</v>
      </c>
      <c r="D1345" t="s">
        <v>22</v>
      </c>
      <c r="E1345">
        <v>15740</v>
      </c>
      <c r="F1345">
        <v>278</v>
      </c>
      <c r="G1345">
        <v>8</v>
      </c>
      <c r="H1345">
        <v>-24</v>
      </c>
      <c r="I1345" t="s">
        <v>23</v>
      </c>
      <c r="J1345">
        <v>1</v>
      </c>
      <c r="K1345">
        <v>0</v>
      </c>
      <c r="L1345">
        <v>1</v>
      </c>
      <c r="M1345">
        <v>0</v>
      </c>
      <c r="N1345">
        <v>0</v>
      </c>
      <c r="O1345">
        <v>0</v>
      </c>
      <c r="P1345">
        <v>0</v>
      </c>
      <c r="Q1345">
        <v>0</v>
      </c>
      <c r="R1345">
        <v>3000</v>
      </c>
      <c r="S1345">
        <v>3000</v>
      </c>
      <c r="T1345">
        <v>0</v>
      </c>
      <c r="U1345" t="str">
        <f>IF(SeismicData[[#This Row],[class]]=1,"Dangerous","Safe")</f>
        <v>Safe</v>
      </c>
      <c r="V1345" t="str">
        <f>IF(SeismicData[[#This Row],[shift]]="W","Production","Non-Production")</f>
        <v>Production</v>
      </c>
      <c r="W1345" t="str">
        <f>IF(SeismicData[[#This Row],[genergy]]=0,"0","10^"&amp;INT(LOG10(SeismicData[[#This Row],[genergy]])))</f>
        <v>10^4</v>
      </c>
      <c r="X1345" t="str">
        <f>IF(OR(SeismicData[[#This Row],[genergy]]&lt;$AA$6,SeismicData[[#This Row],[genergy]]&gt;$AA$5),"Outlier","Normal")</f>
        <v>Normal</v>
      </c>
    </row>
    <row r="1346" spans="1:24" x14ac:dyDescent="0.15">
      <c r="A1346">
        <v>1345</v>
      </c>
      <c r="B1346" t="s">
        <v>20</v>
      </c>
      <c r="C1346" t="s">
        <v>23</v>
      </c>
      <c r="D1346" t="s">
        <v>22</v>
      </c>
      <c r="E1346">
        <v>10730</v>
      </c>
      <c r="F1346">
        <v>233</v>
      </c>
      <c r="G1346">
        <v>-26</v>
      </c>
      <c r="H1346">
        <v>-36</v>
      </c>
      <c r="I1346" t="s">
        <v>23</v>
      </c>
      <c r="J1346">
        <v>0</v>
      </c>
      <c r="K1346">
        <v>0</v>
      </c>
      <c r="L1346">
        <v>0</v>
      </c>
      <c r="M1346">
        <v>0</v>
      </c>
      <c r="N1346">
        <v>0</v>
      </c>
      <c r="O1346">
        <v>0</v>
      </c>
      <c r="P1346">
        <v>0</v>
      </c>
      <c r="Q1346">
        <v>0</v>
      </c>
      <c r="R1346">
        <v>0</v>
      </c>
      <c r="S1346">
        <v>0</v>
      </c>
      <c r="T1346">
        <v>0</v>
      </c>
      <c r="U1346" t="str">
        <f>IF(SeismicData[[#This Row],[class]]=1,"Dangerous","Safe")</f>
        <v>Safe</v>
      </c>
      <c r="V1346" t="str">
        <f>IF(SeismicData[[#This Row],[shift]]="W","Production","Non-Production")</f>
        <v>Production</v>
      </c>
      <c r="W1346" t="str">
        <f>IF(SeismicData[[#This Row],[genergy]]=0,"0","10^"&amp;INT(LOG10(SeismicData[[#This Row],[genergy]])))</f>
        <v>10^4</v>
      </c>
      <c r="X1346" t="str">
        <f>IF(OR(SeismicData[[#This Row],[genergy]]&lt;$AA$6,SeismicData[[#This Row],[genergy]]&gt;$AA$5),"Outlier","Normal")</f>
        <v>Normal</v>
      </c>
    </row>
    <row r="1347" spans="1:24" x14ac:dyDescent="0.15">
      <c r="A1347">
        <v>1346</v>
      </c>
      <c r="B1347" t="s">
        <v>20</v>
      </c>
      <c r="C1347" t="s">
        <v>23</v>
      </c>
      <c r="D1347" t="s">
        <v>22</v>
      </c>
      <c r="E1347">
        <v>26740</v>
      </c>
      <c r="F1347">
        <v>583</v>
      </c>
      <c r="G1347">
        <v>83</v>
      </c>
      <c r="H1347">
        <v>60</v>
      </c>
      <c r="I1347" t="s">
        <v>23</v>
      </c>
      <c r="J1347">
        <v>2</v>
      </c>
      <c r="K1347">
        <v>2</v>
      </c>
      <c r="L1347">
        <v>0</v>
      </c>
      <c r="M1347">
        <v>0</v>
      </c>
      <c r="N1347">
        <v>0</v>
      </c>
      <c r="O1347">
        <v>0</v>
      </c>
      <c r="P1347">
        <v>0</v>
      </c>
      <c r="Q1347">
        <v>0</v>
      </c>
      <c r="R1347">
        <v>1400</v>
      </c>
      <c r="S1347">
        <v>800</v>
      </c>
      <c r="T1347">
        <v>0</v>
      </c>
      <c r="U1347" t="str">
        <f>IF(SeismicData[[#This Row],[class]]=1,"Dangerous","Safe")</f>
        <v>Safe</v>
      </c>
      <c r="V1347" t="str">
        <f>IF(SeismicData[[#This Row],[shift]]="W","Production","Non-Production")</f>
        <v>Production</v>
      </c>
      <c r="W1347" t="str">
        <f>IF(SeismicData[[#This Row],[genergy]]=0,"0","10^"&amp;INT(LOG10(SeismicData[[#This Row],[genergy]])))</f>
        <v>10^4</v>
      </c>
      <c r="X1347" t="str">
        <f>IF(OR(SeismicData[[#This Row],[genergy]]&lt;$AA$6,SeismicData[[#This Row],[genergy]]&gt;$AA$5),"Outlier","Normal")</f>
        <v>Normal</v>
      </c>
    </row>
    <row r="1348" spans="1:24" x14ac:dyDescent="0.15">
      <c r="A1348">
        <v>1347</v>
      </c>
      <c r="B1348" t="s">
        <v>20</v>
      </c>
      <c r="C1348" t="s">
        <v>23</v>
      </c>
      <c r="D1348" t="s">
        <v>22</v>
      </c>
      <c r="E1348">
        <v>26960</v>
      </c>
      <c r="F1348">
        <v>514</v>
      </c>
      <c r="G1348">
        <v>85</v>
      </c>
      <c r="H1348">
        <v>41</v>
      </c>
      <c r="I1348" t="s">
        <v>23</v>
      </c>
      <c r="J1348">
        <v>0</v>
      </c>
      <c r="K1348">
        <v>0</v>
      </c>
      <c r="L1348">
        <v>0</v>
      </c>
      <c r="M1348">
        <v>0</v>
      </c>
      <c r="N1348">
        <v>0</v>
      </c>
      <c r="O1348">
        <v>0</v>
      </c>
      <c r="P1348">
        <v>0</v>
      </c>
      <c r="Q1348">
        <v>0</v>
      </c>
      <c r="R1348">
        <v>0</v>
      </c>
      <c r="S1348">
        <v>0</v>
      </c>
      <c r="T1348">
        <v>0</v>
      </c>
      <c r="U1348" t="str">
        <f>IF(SeismicData[[#This Row],[class]]=1,"Dangerous","Safe")</f>
        <v>Safe</v>
      </c>
      <c r="V1348" t="str">
        <f>IF(SeismicData[[#This Row],[shift]]="W","Production","Non-Production")</f>
        <v>Production</v>
      </c>
      <c r="W1348" t="str">
        <f>IF(SeismicData[[#This Row],[genergy]]=0,"0","10^"&amp;INT(LOG10(SeismicData[[#This Row],[genergy]])))</f>
        <v>10^4</v>
      </c>
      <c r="X1348" t="str">
        <f>IF(OR(SeismicData[[#This Row],[genergy]]&lt;$AA$6,SeismicData[[#This Row],[genergy]]&gt;$AA$5),"Outlier","Normal")</f>
        <v>Normal</v>
      </c>
    </row>
    <row r="1349" spans="1:24" x14ac:dyDescent="0.15">
      <c r="A1349">
        <v>1348</v>
      </c>
      <c r="B1349" t="s">
        <v>20</v>
      </c>
      <c r="C1349" t="s">
        <v>23</v>
      </c>
      <c r="D1349" t="s">
        <v>22</v>
      </c>
      <c r="E1349">
        <v>16540</v>
      </c>
      <c r="F1349">
        <v>213</v>
      </c>
      <c r="G1349">
        <v>2</v>
      </c>
      <c r="H1349">
        <v>-11</v>
      </c>
      <c r="I1349" t="s">
        <v>20</v>
      </c>
      <c r="J1349">
        <v>0</v>
      </c>
      <c r="K1349">
        <v>0</v>
      </c>
      <c r="L1349">
        <v>0</v>
      </c>
      <c r="M1349">
        <v>0</v>
      </c>
      <c r="N1349">
        <v>0</v>
      </c>
      <c r="O1349">
        <v>0</v>
      </c>
      <c r="P1349">
        <v>0</v>
      </c>
      <c r="Q1349">
        <v>0</v>
      </c>
      <c r="R1349">
        <v>0</v>
      </c>
      <c r="S1349">
        <v>0</v>
      </c>
      <c r="T1349">
        <v>0</v>
      </c>
      <c r="U1349" t="str">
        <f>IF(SeismicData[[#This Row],[class]]=1,"Dangerous","Safe")</f>
        <v>Safe</v>
      </c>
      <c r="V1349" t="str">
        <f>IF(SeismicData[[#This Row],[shift]]="W","Production","Non-Production")</f>
        <v>Production</v>
      </c>
      <c r="W1349" t="str">
        <f>IF(SeismicData[[#This Row],[genergy]]=0,"0","10^"&amp;INT(LOG10(SeismicData[[#This Row],[genergy]])))</f>
        <v>10^4</v>
      </c>
      <c r="X1349" t="str">
        <f>IF(OR(SeismicData[[#This Row],[genergy]]&lt;$AA$6,SeismicData[[#This Row],[genergy]]&gt;$AA$5),"Outlier","Normal")</f>
        <v>Normal</v>
      </c>
    </row>
    <row r="1350" spans="1:24" x14ac:dyDescent="0.15">
      <c r="A1350">
        <v>1349</v>
      </c>
      <c r="B1350" t="s">
        <v>20</v>
      </c>
      <c r="C1350" t="s">
        <v>23</v>
      </c>
      <c r="D1350" t="s">
        <v>22</v>
      </c>
      <c r="E1350">
        <v>13550</v>
      </c>
      <c r="F1350">
        <v>358</v>
      </c>
      <c r="G1350">
        <v>-7</v>
      </c>
      <c r="H1350">
        <v>-2</v>
      </c>
      <c r="I1350" t="s">
        <v>23</v>
      </c>
      <c r="J1350">
        <v>0</v>
      </c>
      <c r="K1350">
        <v>0</v>
      </c>
      <c r="L1350">
        <v>0</v>
      </c>
      <c r="M1350">
        <v>0</v>
      </c>
      <c r="N1350">
        <v>0</v>
      </c>
      <c r="O1350">
        <v>0</v>
      </c>
      <c r="P1350">
        <v>0</v>
      </c>
      <c r="Q1350">
        <v>0</v>
      </c>
      <c r="R1350">
        <v>0</v>
      </c>
      <c r="S1350">
        <v>0</v>
      </c>
      <c r="T1350">
        <v>0</v>
      </c>
      <c r="U1350" t="str">
        <f>IF(SeismicData[[#This Row],[class]]=1,"Dangerous","Safe")</f>
        <v>Safe</v>
      </c>
      <c r="V1350" t="str">
        <f>IF(SeismicData[[#This Row],[shift]]="W","Production","Non-Production")</f>
        <v>Production</v>
      </c>
      <c r="W1350" t="str">
        <f>IF(SeismicData[[#This Row],[genergy]]=0,"0","10^"&amp;INT(LOG10(SeismicData[[#This Row],[genergy]])))</f>
        <v>10^4</v>
      </c>
      <c r="X1350" t="str">
        <f>IF(OR(SeismicData[[#This Row],[genergy]]&lt;$AA$6,SeismicData[[#This Row],[genergy]]&gt;$AA$5),"Outlier","Normal")</f>
        <v>Normal</v>
      </c>
    </row>
    <row r="1351" spans="1:24" x14ac:dyDescent="0.15">
      <c r="A1351">
        <v>1350</v>
      </c>
      <c r="B1351" t="s">
        <v>20</v>
      </c>
      <c r="C1351" t="s">
        <v>23</v>
      </c>
      <c r="D1351" t="s">
        <v>22</v>
      </c>
      <c r="E1351">
        <v>23820</v>
      </c>
      <c r="F1351">
        <v>525</v>
      </c>
      <c r="G1351">
        <v>63</v>
      </c>
      <c r="H1351">
        <v>44</v>
      </c>
      <c r="I1351" t="s">
        <v>23</v>
      </c>
      <c r="J1351">
        <v>0</v>
      </c>
      <c r="K1351">
        <v>0</v>
      </c>
      <c r="L1351">
        <v>0</v>
      </c>
      <c r="M1351">
        <v>0</v>
      </c>
      <c r="N1351">
        <v>0</v>
      </c>
      <c r="O1351">
        <v>0</v>
      </c>
      <c r="P1351">
        <v>0</v>
      </c>
      <c r="Q1351">
        <v>0</v>
      </c>
      <c r="R1351">
        <v>0</v>
      </c>
      <c r="S1351">
        <v>0</v>
      </c>
      <c r="T1351">
        <v>0</v>
      </c>
      <c r="U1351" t="str">
        <f>IF(SeismicData[[#This Row],[class]]=1,"Dangerous","Safe")</f>
        <v>Safe</v>
      </c>
      <c r="V1351" t="str">
        <f>IF(SeismicData[[#This Row],[shift]]="W","Production","Non-Production")</f>
        <v>Production</v>
      </c>
      <c r="W1351" t="str">
        <f>IF(SeismicData[[#This Row],[genergy]]=0,"0","10^"&amp;INT(LOG10(SeismicData[[#This Row],[genergy]])))</f>
        <v>10^4</v>
      </c>
      <c r="X1351" t="str">
        <f>IF(OR(SeismicData[[#This Row],[genergy]]&lt;$AA$6,SeismicData[[#This Row],[genergy]]&gt;$AA$5),"Outlier","Normal")</f>
        <v>Normal</v>
      </c>
    </row>
    <row r="1352" spans="1:24" x14ac:dyDescent="0.15">
      <c r="A1352">
        <v>1351</v>
      </c>
      <c r="B1352" t="s">
        <v>20</v>
      </c>
      <c r="C1352" t="s">
        <v>23</v>
      </c>
      <c r="D1352" t="s">
        <v>22</v>
      </c>
      <c r="E1352">
        <v>21000</v>
      </c>
      <c r="F1352">
        <v>483</v>
      </c>
      <c r="G1352">
        <v>40</v>
      </c>
      <c r="H1352">
        <v>28</v>
      </c>
      <c r="I1352" t="s">
        <v>23</v>
      </c>
      <c r="J1352">
        <v>1</v>
      </c>
      <c r="K1352">
        <v>1</v>
      </c>
      <c r="L1352">
        <v>0</v>
      </c>
      <c r="M1352">
        <v>0</v>
      </c>
      <c r="N1352">
        <v>0</v>
      </c>
      <c r="O1352">
        <v>0</v>
      </c>
      <c r="P1352">
        <v>0</v>
      </c>
      <c r="Q1352">
        <v>0</v>
      </c>
      <c r="R1352">
        <v>200</v>
      </c>
      <c r="S1352">
        <v>200</v>
      </c>
      <c r="T1352">
        <v>0</v>
      </c>
      <c r="U1352" t="str">
        <f>IF(SeismicData[[#This Row],[class]]=1,"Dangerous","Safe")</f>
        <v>Safe</v>
      </c>
      <c r="V1352" t="str">
        <f>IF(SeismicData[[#This Row],[shift]]="W","Production","Non-Production")</f>
        <v>Production</v>
      </c>
      <c r="W1352" t="str">
        <f>IF(SeismicData[[#This Row],[genergy]]=0,"0","10^"&amp;INT(LOG10(SeismicData[[#This Row],[genergy]])))</f>
        <v>10^4</v>
      </c>
      <c r="X1352" t="str">
        <f>IF(OR(SeismicData[[#This Row],[genergy]]&lt;$AA$6,SeismicData[[#This Row],[genergy]]&gt;$AA$5),"Outlier","Normal")</f>
        <v>Normal</v>
      </c>
    </row>
    <row r="1353" spans="1:24" x14ac:dyDescent="0.15">
      <c r="A1353">
        <v>1352</v>
      </c>
      <c r="B1353" t="s">
        <v>20</v>
      </c>
      <c r="C1353" t="s">
        <v>23</v>
      </c>
      <c r="D1353" t="s">
        <v>22</v>
      </c>
      <c r="E1353">
        <v>31340</v>
      </c>
      <c r="F1353">
        <v>726</v>
      </c>
      <c r="G1353">
        <v>109</v>
      </c>
      <c r="H1353">
        <v>92</v>
      </c>
      <c r="I1353" t="s">
        <v>23</v>
      </c>
      <c r="J1353">
        <v>2</v>
      </c>
      <c r="K1353">
        <v>1</v>
      </c>
      <c r="L1353">
        <v>1</v>
      </c>
      <c r="M1353">
        <v>0</v>
      </c>
      <c r="N1353">
        <v>0</v>
      </c>
      <c r="O1353">
        <v>0</v>
      </c>
      <c r="P1353">
        <v>0</v>
      </c>
      <c r="Q1353">
        <v>0</v>
      </c>
      <c r="R1353">
        <v>9500</v>
      </c>
      <c r="S1353">
        <v>9000</v>
      </c>
      <c r="T1353">
        <v>0</v>
      </c>
      <c r="U1353" t="str">
        <f>IF(SeismicData[[#This Row],[class]]=1,"Dangerous","Safe")</f>
        <v>Safe</v>
      </c>
      <c r="V1353" t="str">
        <f>IF(SeismicData[[#This Row],[shift]]="W","Production","Non-Production")</f>
        <v>Production</v>
      </c>
      <c r="W1353" t="str">
        <f>IF(SeismicData[[#This Row],[genergy]]=0,"0","10^"&amp;INT(LOG10(SeismicData[[#This Row],[genergy]])))</f>
        <v>10^4</v>
      </c>
      <c r="X1353" t="str">
        <f>IF(OR(SeismicData[[#This Row],[genergy]]&lt;$AA$6,SeismicData[[#This Row],[genergy]]&gt;$AA$5),"Outlier","Normal")</f>
        <v>Normal</v>
      </c>
    </row>
    <row r="1354" spans="1:24" x14ac:dyDescent="0.15">
      <c r="A1354">
        <v>1353</v>
      </c>
      <c r="B1354" t="s">
        <v>20</v>
      </c>
      <c r="C1354" t="s">
        <v>23</v>
      </c>
      <c r="D1354" t="s">
        <v>22</v>
      </c>
      <c r="E1354">
        <v>22830</v>
      </c>
      <c r="F1354">
        <v>608</v>
      </c>
      <c r="G1354">
        <v>53</v>
      </c>
      <c r="H1354">
        <v>61</v>
      </c>
      <c r="I1354" t="s">
        <v>23</v>
      </c>
      <c r="J1354">
        <v>0</v>
      </c>
      <c r="K1354">
        <v>0</v>
      </c>
      <c r="L1354">
        <v>0</v>
      </c>
      <c r="M1354">
        <v>0</v>
      </c>
      <c r="N1354">
        <v>0</v>
      </c>
      <c r="O1354">
        <v>0</v>
      </c>
      <c r="P1354">
        <v>0</v>
      </c>
      <c r="Q1354">
        <v>0</v>
      </c>
      <c r="R1354">
        <v>0</v>
      </c>
      <c r="S1354">
        <v>0</v>
      </c>
      <c r="T1354">
        <v>0</v>
      </c>
      <c r="U1354" t="str">
        <f>IF(SeismicData[[#This Row],[class]]=1,"Dangerous","Safe")</f>
        <v>Safe</v>
      </c>
      <c r="V1354" t="str">
        <f>IF(SeismicData[[#This Row],[shift]]="W","Production","Non-Production")</f>
        <v>Production</v>
      </c>
      <c r="W1354" t="str">
        <f>IF(SeismicData[[#This Row],[genergy]]=0,"0","10^"&amp;INT(LOG10(SeismicData[[#This Row],[genergy]])))</f>
        <v>10^4</v>
      </c>
      <c r="X1354" t="str">
        <f>IF(OR(SeismicData[[#This Row],[genergy]]&lt;$AA$6,SeismicData[[#This Row],[genergy]]&gt;$AA$5),"Outlier","Normal")</f>
        <v>Normal</v>
      </c>
    </row>
    <row r="1355" spans="1:24" x14ac:dyDescent="0.15">
      <c r="A1355">
        <v>1354</v>
      </c>
      <c r="B1355" t="s">
        <v>20</v>
      </c>
      <c r="C1355" t="s">
        <v>23</v>
      </c>
      <c r="D1355" t="s">
        <v>22</v>
      </c>
      <c r="E1355">
        <v>25080</v>
      </c>
      <c r="F1355">
        <v>244</v>
      </c>
      <c r="G1355">
        <v>62</v>
      </c>
      <c r="H1355">
        <v>12</v>
      </c>
      <c r="I1355" t="s">
        <v>20</v>
      </c>
      <c r="J1355">
        <v>2</v>
      </c>
      <c r="K1355">
        <v>1</v>
      </c>
      <c r="L1355">
        <v>1</v>
      </c>
      <c r="M1355">
        <v>0</v>
      </c>
      <c r="N1355">
        <v>0</v>
      </c>
      <c r="O1355">
        <v>0</v>
      </c>
      <c r="P1355">
        <v>0</v>
      </c>
      <c r="Q1355">
        <v>0</v>
      </c>
      <c r="R1355">
        <v>9500</v>
      </c>
      <c r="S1355">
        <v>9000</v>
      </c>
      <c r="T1355">
        <v>0</v>
      </c>
      <c r="U1355" t="str">
        <f>IF(SeismicData[[#This Row],[class]]=1,"Dangerous","Safe")</f>
        <v>Safe</v>
      </c>
      <c r="V1355" t="str">
        <f>IF(SeismicData[[#This Row],[shift]]="W","Production","Non-Production")</f>
        <v>Production</v>
      </c>
      <c r="W1355" t="str">
        <f>IF(SeismicData[[#This Row],[genergy]]=0,"0","10^"&amp;INT(LOG10(SeismicData[[#This Row],[genergy]])))</f>
        <v>10^4</v>
      </c>
      <c r="X1355" t="str">
        <f>IF(OR(SeismicData[[#This Row],[genergy]]&lt;$AA$6,SeismicData[[#This Row],[genergy]]&gt;$AA$5),"Outlier","Normal")</f>
        <v>Normal</v>
      </c>
    </row>
    <row r="1356" spans="1:24" x14ac:dyDescent="0.15">
      <c r="A1356">
        <v>1355</v>
      </c>
      <c r="B1356" t="s">
        <v>20</v>
      </c>
      <c r="C1356" t="s">
        <v>23</v>
      </c>
      <c r="D1356" t="s">
        <v>22</v>
      </c>
      <c r="E1356">
        <v>12980</v>
      </c>
      <c r="F1356">
        <v>436</v>
      </c>
      <c r="G1356">
        <v>-13</v>
      </c>
      <c r="H1356">
        <v>16</v>
      </c>
      <c r="I1356" t="s">
        <v>23</v>
      </c>
      <c r="J1356">
        <v>0</v>
      </c>
      <c r="K1356">
        <v>0</v>
      </c>
      <c r="L1356">
        <v>0</v>
      </c>
      <c r="M1356">
        <v>0</v>
      </c>
      <c r="N1356">
        <v>0</v>
      </c>
      <c r="O1356">
        <v>0</v>
      </c>
      <c r="P1356">
        <v>0</v>
      </c>
      <c r="Q1356">
        <v>0</v>
      </c>
      <c r="R1356">
        <v>0</v>
      </c>
      <c r="S1356">
        <v>0</v>
      </c>
      <c r="T1356">
        <v>0</v>
      </c>
      <c r="U1356" t="str">
        <f>IF(SeismicData[[#This Row],[class]]=1,"Dangerous","Safe")</f>
        <v>Safe</v>
      </c>
      <c r="V1356" t="str">
        <f>IF(SeismicData[[#This Row],[shift]]="W","Production","Non-Production")</f>
        <v>Production</v>
      </c>
      <c r="W1356" t="str">
        <f>IF(SeismicData[[#This Row],[genergy]]=0,"0","10^"&amp;INT(LOG10(SeismicData[[#This Row],[genergy]])))</f>
        <v>10^4</v>
      </c>
      <c r="X1356" t="str">
        <f>IF(OR(SeismicData[[#This Row],[genergy]]&lt;$AA$6,SeismicData[[#This Row],[genergy]]&gt;$AA$5),"Outlier","Normal")</f>
        <v>Normal</v>
      </c>
    </row>
    <row r="1357" spans="1:24" x14ac:dyDescent="0.15">
      <c r="A1357">
        <v>1356</v>
      </c>
      <c r="B1357" t="s">
        <v>20</v>
      </c>
      <c r="C1357" t="s">
        <v>23</v>
      </c>
      <c r="D1357" t="s">
        <v>22</v>
      </c>
      <c r="E1357">
        <v>10270</v>
      </c>
      <c r="F1357">
        <v>306</v>
      </c>
      <c r="G1357">
        <v>-31</v>
      </c>
      <c r="H1357">
        <v>-19</v>
      </c>
      <c r="I1357" t="s">
        <v>23</v>
      </c>
      <c r="J1357">
        <v>0</v>
      </c>
      <c r="K1357">
        <v>0</v>
      </c>
      <c r="L1357">
        <v>0</v>
      </c>
      <c r="M1357">
        <v>0</v>
      </c>
      <c r="N1357">
        <v>0</v>
      </c>
      <c r="O1357">
        <v>0</v>
      </c>
      <c r="P1357">
        <v>0</v>
      </c>
      <c r="Q1357">
        <v>0</v>
      </c>
      <c r="R1357">
        <v>0</v>
      </c>
      <c r="S1357">
        <v>0</v>
      </c>
      <c r="T1357">
        <v>0</v>
      </c>
      <c r="U1357" t="str">
        <f>IF(SeismicData[[#This Row],[class]]=1,"Dangerous","Safe")</f>
        <v>Safe</v>
      </c>
      <c r="V1357" t="str">
        <f>IF(SeismicData[[#This Row],[shift]]="W","Production","Non-Production")</f>
        <v>Production</v>
      </c>
      <c r="W1357" t="str">
        <f>IF(SeismicData[[#This Row],[genergy]]=0,"0","10^"&amp;INT(LOG10(SeismicData[[#This Row],[genergy]])))</f>
        <v>10^4</v>
      </c>
      <c r="X1357" t="str">
        <f>IF(OR(SeismicData[[#This Row],[genergy]]&lt;$AA$6,SeismicData[[#This Row],[genergy]]&gt;$AA$5),"Outlier","Normal")</f>
        <v>Normal</v>
      </c>
    </row>
    <row r="1358" spans="1:24" x14ac:dyDescent="0.15">
      <c r="A1358">
        <v>1357</v>
      </c>
      <c r="B1358" t="s">
        <v>20</v>
      </c>
      <c r="C1358" t="s">
        <v>23</v>
      </c>
      <c r="D1358" t="s">
        <v>22</v>
      </c>
      <c r="E1358">
        <v>20910</v>
      </c>
      <c r="F1358">
        <v>546</v>
      </c>
      <c r="G1358">
        <v>179</v>
      </c>
      <c r="H1358">
        <v>233</v>
      </c>
      <c r="I1358" t="s">
        <v>23</v>
      </c>
      <c r="J1358">
        <v>0</v>
      </c>
      <c r="K1358">
        <v>0</v>
      </c>
      <c r="L1358">
        <v>0</v>
      </c>
      <c r="M1358">
        <v>0</v>
      </c>
      <c r="N1358">
        <v>0</v>
      </c>
      <c r="O1358">
        <v>0</v>
      </c>
      <c r="P1358">
        <v>0</v>
      </c>
      <c r="Q1358">
        <v>0</v>
      </c>
      <c r="R1358">
        <v>0</v>
      </c>
      <c r="S1358">
        <v>0</v>
      </c>
      <c r="T1358">
        <v>0</v>
      </c>
      <c r="U1358" t="str">
        <f>IF(SeismicData[[#This Row],[class]]=1,"Dangerous","Safe")</f>
        <v>Safe</v>
      </c>
      <c r="V1358" t="str">
        <f>IF(SeismicData[[#This Row],[shift]]="W","Production","Non-Production")</f>
        <v>Production</v>
      </c>
      <c r="W1358" t="str">
        <f>IF(SeismicData[[#This Row],[genergy]]=0,"0","10^"&amp;INT(LOG10(SeismicData[[#This Row],[genergy]])))</f>
        <v>10^4</v>
      </c>
      <c r="X1358" t="str">
        <f>IF(OR(SeismicData[[#This Row],[genergy]]&lt;$AA$6,SeismicData[[#This Row],[genergy]]&gt;$AA$5),"Outlier","Normal")</f>
        <v>Normal</v>
      </c>
    </row>
    <row r="1359" spans="1:24" x14ac:dyDescent="0.15">
      <c r="A1359">
        <v>1358</v>
      </c>
      <c r="B1359" t="s">
        <v>20</v>
      </c>
      <c r="C1359" t="s">
        <v>23</v>
      </c>
      <c r="D1359" t="s">
        <v>22</v>
      </c>
      <c r="E1359">
        <v>9410</v>
      </c>
      <c r="F1359">
        <v>383</v>
      </c>
      <c r="G1359">
        <v>-37</v>
      </c>
      <c r="H1359">
        <v>2</v>
      </c>
      <c r="I1359" t="s">
        <v>23</v>
      </c>
      <c r="J1359">
        <v>0</v>
      </c>
      <c r="K1359">
        <v>0</v>
      </c>
      <c r="L1359">
        <v>0</v>
      </c>
      <c r="M1359">
        <v>0</v>
      </c>
      <c r="N1359">
        <v>0</v>
      </c>
      <c r="O1359">
        <v>0</v>
      </c>
      <c r="P1359">
        <v>0</v>
      </c>
      <c r="Q1359">
        <v>0</v>
      </c>
      <c r="R1359">
        <v>0</v>
      </c>
      <c r="S1359">
        <v>0</v>
      </c>
      <c r="T1359">
        <v>0</v>
      </c>
      <c r="U1359" t="str">
        <f>IF(SeismicData[[#This Row],[class]]=1,"Dangerous","Safe")</f>
        <v>Safe</v>
      </c>
      <c r="V1359" t="str">
        <f>IF(SeismicData[[#This Row],[shift]]="W","Production","Non-Production")</f>
        <v>Production</v>
      </c>
      <c r="W1359" t="str">
        <f>IF(SeismicData[[#This Row],[genergy]]=0,"0","10^"&amp;INT(LOG10(SeismicData[[#This Row],[genergy]])))</f>
        <v>10^3</v>
      </c>
      <c r="X1359" t="str">
        <f>IF(OR(SeismicData[[#This Row],[genergy]]&lt;$AA$6,SeismicData[[#This Row],[genergy]]&gt;$AA$5),"Outlier","Normal")</f>
        <v>Normal</v>
      </c>
    </row>
    <row r="1360" spans="1:24" x14ac:dyDescent="0.15">
      <c r="A1360">
        <v>1359</v>
      </c>
      <c r="B1360" t="s">
        <v>20</v>
      </c>
      <c r="C1360" t="s">
        <v>23</v>
      </c>
      <c r="D1360" t="s">
        <v>22</v>
      </c>
      <c r="E1360">
        <v>41740</v>
      </c>
      <c r="F1360">
        <v>966</v>
      </c>
      <c r="G1360">
        <v>164</v>
      </c>
      <c r="H1360">
        <v>143</v>
      </c>
      <c r="I1360" t="s">
        <v>20</v>
      </c>
      <c r="J1360">
        <v>0</v>
      </c>
      <c r="K1360">
        <v>0</v>
      </c>
      <c r="L1360">
        <v>0</v>
      </c>
      <c r="M1360">
        <v>0</v>
      </c>
      <c r="N1360">
        <v>0</v>
      </c>
      <c r="O1360">
        <v>0</v>
      </c>
      <c r="P1360">
        <v>0</v>
      </c>
      <c r="Q1360">
        <v>0</v>
      </c>
      <c r="R1360">
        <v>0</v>
      </c>
      <c r="S1360">
        <v>0</v>
      </c>
      <c r="T1360">
        <v>0</v>
      </c>
      <c r="U1360" t="str">
        <f>IF(SeismicData[[#This Row],[class]]=1,"Dangerous","Safe")</f>
        <v>Safe</v>
      </c>
      <c r="V1360" t="str">
        <f>IF(SeismicData[[#This Row],[shift]]="W","Production","Non-Production")</f>
        <v>Production</v>
      </c>
      <c r="W1360" t="str">
        <f>IF(SeismicData[[#This Row],[genergy]]=0,"0","10^"&amp;INT(LOG10(SeismicData[[#This Row],[genergy]])))</f>
        <v>10^4</v>
      </c>
      <c r="X1360" t="str">
        <f>IF(OR(SeismicData[[#This Row],[genergy]]&lt;$AA$6,SeismicData[[#This Row],[genergy]]&gt;$AA$5),"Outlier","Normal")</f>
        <v>Normal</v>
      </c>
    </row>
    <row r="1361" spans="1:24" x14ac:dyDescent="0.15">
      <c r="A1361">
        <v>1360</v>
      </c>
      <c r="B1361" t="s">
        <v>20</v>
      </c>
      <c r="C1361" t="s">
        <v>23</v>
      </c>
      <c r="D1361" t="s">
        <v>22</v>
      </c>
      <c r="E1361">
        <v>22710</v>
      </c>
      <c r="F1361">
        <v>481</v>
      </c>
      <c r="G1361">
        <v>191</v>
      </c>
      <c r="H1361">
        <v>166</v>
      </c>
      <c r="I1361" t="s">
        <v>20</v>
      </c>
      <c r="J1361">
        <v>0</v>
      </c>
      <c r="K1361">
        <v>0</v>
      </c>
      <c r="L1361">
        <v>0</v>
      </c>
      <c r="M1361">
        <v>0</v>
      </c>
      <c r="N1361">
        <v>0</v>
      </c>
      <c r="O1361">
        <v>0</v>
      </c>
      <c r="P1361">
        <v>0</v>
      </c>
      <c r="Q1361">
        <v>0</v>
      </c>
      <c r="R1361">
        <v>0</v>
      </c>
      <c r="S1361">
        <v>0</v>
      </c>
      <c r="T1361">
        <v>0</v>
      </c>
      <c r="U1361" t="str">
        <f>IF(SeismicData[[#This Row],[class]]=1,"Dangerous","Safe")</f>
        <v>Safe</v>
      </c>
      <c r="V1361" t="str">
        <f>IF(SeismicData[[#This Row],[shift]]="W","Production","Non-Production")</f>
        <v>Production</v>
      </c>
      <c r="W1361" t="str">
        <f>IF(SeismicData[[#This Row],[genergy]]=0,"0","10^"&amp;INT(LOG10(SeismicData[[#This Row],[genergy]])))</f>
        <v>10^4</v>
      </c>
      <c r="X1361" t="str">
        <f>IF(OR(SeismicData[[#This Row],[genergy]]&lt;$AA$6,SeismicData[[#This Row],[genergy]]&gt;$AA$5),"Outlier","Normal")</f>
        <v>Normal</v>
      </c>
    </row>
    <row r="1362" spans="1:24" x14ac:dyDescent="0.15">
      <c r="A1362">
        <v>1361</v>
      </c>
      <c r="B1362" t="s">
        <v>20</v>
      </c>
      <c r="C1362" t="s">
        <v>23</v>
      </c>
      <c r="D1362" t="s">
        <v>22</v>
      </c>
      <c r="E1362">
        <v>15710</v>
      </c>
      <c r="F1362">
        <v>308</v>
      </c>
      <c r="G1362">
        <v>101</v>
      </c>
      <c r="H1362">
        <v>70</v>
      </c>
      <c r="I1362" t="s">
        <v>20</v>
      </c>
      <c r="J1362">
        <v>0</v>
      </c>
      <c r="K1362">
        <v>0</v>
      </c>
      <c r="L1362">
        <v>0</v>
      </c>
      <c r="M1362">
        <v>0</v>
      </c>
      <c r="N1362">
        <v>0</v>
      </c>
      <c r="O1362">
        <v>0</v>
      </c>
      <c r="P1362">
        <v>0</v>
      </c>
      <c r="Q1362">
        <v>0</v>
      </c>
      <c r="R1362">
        <v>0</v>
      </c>
      <c r="S1362">
        <v>0</v>
      </c>
      <c r="T1362">
        <v>0</v>
      </c>
      <c r="U1362" t="str">
        <f>IF(SeismicData[[#This Row],[class]]=1,"Dangerous","Safe")</f>
        <v>Safe</v>
      </c>
      <c r="V1362" t="str">
        <f>IF(SeismicData[[#This Row],[shift]]="W","Production","Non-Production")</f>
        <v>Production</v>
      </c>
      <c r="W1362" t="str">
        <f>IF(SeismicData[[#This Row],[genergy]]=0,"0","10^"&amp;INT(LOG10(SeismicData[[#This Row],[genergy]])))</f>
        <v>10^4</v>
      </c>
      <c r="X1362" t="str">
        <f>IF(OR(SeismicData[[#This Row],[genergy]]&lt;$AA$6,SeismicData[[#This Row],[genergy]]&gt;$AA$5),"Outlier","Normal")</f>
        <v>Normal</v>
      </c>
    </row>
    <row r="1363" spans="1:24" x14ac:dyDescent="0.15">
      <c r="A1363">
        <v>1362</v>
      </c>
      <c r="B1363" t="s">
        <v>20</v>
      </c>
      <c r="C1363" t="s">
        <v>23</v>
      </c>
      <c r="D1363" t="s">
        <v>22</v>
      </c>
      <c r="E1363">
        <v>15030</v>
      </c>
      <c r="F1363">
        <v>484</v>
      </c>
      <c r="G1363">
        <v>-5</v>
      </c>
      <c r="H1363">
        <v>22</v>
      </c>
      <c r="I1363" t="s">
        <v>20</v>
      </c>
      <c r="J1363">
        <v>0</v>
      </c>
      <c r="K1363">
        <v>0</v>
      </c>
      <c r="L1363">
        <v>0</v>
      </c>
      <c r="M1363">
        <v>0</v>
      </c>
      <c r="N1363">
        <v>0</v>
      </c>
      <c r="O1363">
        <v>0</v>
      </c>
      <c r="P1363">
        <v>0</v>
      </c>
      <c r="Q1363">
        <v>0</v>
      </c>
      <c r="R1363">
        <v>0</v>
      </c>
      <c r="S1363">
        <v>0</v>
      </c>
      <c r="T1363">
        <v>0</v>
      </c>
      <c r="U1363" t="str">
        <f>IF(SeismicData[[#This Row],[class]]=1,"Dangerous","Safe")</f>
        <v>Safe</v>
      </c>
      <c r="V1363" t="str">
        <f>IF(SeismicData[[#This Row],[shift]]="W","Production","Non-Production")</f>
        <v>Production</v>
      </c>
      <c r="W1363" t="str">
        <f>IF(SeismicData[[#This Row],[genergy]]=0,"0","10^"&amp;INT(LOG10(SeismicData[[#This Row],[genergy]])))</f>
        <v>10^4</v>
      </c>
      <c r="X1363" t="str">
        <f>IF(OR(SeismicData[[#This Row],[genergy]]&lt;$AA$6,SeismicData[[#This Row],[genergy]]&gt;$AA$5),"Outlier","Normal")</f>
        <v>Normal</v>
      </c>
    </row>
    <row r="1364" spans="1:24" x14ac:dyDescent="0.15">
      <c r="A1364">
        <v>1363</v>
      </c>
      <c r="B1364" t="s">
        <v>20</v>
      </c>
      <c r="C1364" t="s">
        <v>23</v>
      </c>
      <c r="D1364" t="s">
        <v>22</v>
      </c>
      <c r="E1364">
        <v>26860</v>
      </c>
      <c r="F1364">
        <v>458</v>
      </c>
      <c r="G1364">
        <v>244</v>
      </c>
      <c r="H1364">
        <v>153</v>
      </c>
      <c r="I1364" t="s">
        <v>20</v>
      </c>
      <c r="J1364">
        <v>0</v>
      </c>
      <c r="K1364">
        <v>0</v>
      </c>
      <c r="L1364">
        <v>0</v>
      </c>
      <c r="M1364">
        <v>0</v>
      </c>
      <c r="N1364">
        <v>0</v>
      </c>
      <c r="O1364">
        <v>0</v>
      </c>
      <c r="P1364">
        <v>0</v>
      </c>
      <c r="Q1364">
        <v>0</v>
      </c>
      <c r="R1364">
        <v>0</v>
      </c>
      <c r="S1364">
        <v>0</v>
      </c>
      <c r="T1364">
        <v>0</v>
      </c>
      <c r="U1364" t="str">
        <f>IF(SeismicData[[#This Row],[class]]=1,"Dangerous","Safe")</f>
        <v>Safe</v>
      </c>
      <c r="V1364" t="str">
        <f>IF(SeismicData[[#This Row],[shift]]="W","Production","Non-Production")</f>
        <v>Production</v>
      </c>
      <c r="W1364" t="str">
        <f>IF(SeismicData[[#This Row],[genergy]]=0,"0","10^"&amp;INT(LOG10(SeismicData[[#This Row],[genergy]])))</f>
        <v>10^4</v>
      </c>
      <c r="X1364" t="str">
        <f>IF(OR(SeismicData[[#This Row],[genergy]]&lt;$AA$6,SeismicData[[#This Row],[genergy]]&gt;$AA$5),"Outlier","Normal")</f>
        <v>Normal</v>
      </c>
    </row>
    <row r="1365" spans="1:24" x14ac:dyDescent="0.15">
      <c r="A1365">
        <v>1364</v>
      </c>
      <c r="B1365" t="s">
        <v>20</v>
      </c>
      <c r="C1365" t="s">
        <v>23</v>
      </c>
      <c r="D1365" t="s">
        <v>22</v>
      </c>
      <c r="E1365">
        <v>11630</v>
      </c>
      <c r="F1365">
        <v>481</v>
      </c>
      <c r="G1365">
        <v>-27</v>
      </c>
      <c r="H1365">
        <v>21</v>
      </c>
      <c r="I1365" t="s">
        <v>20</v>
      </c>
      <c r="J1365">
        <v>0</v>
      </c>
      <c r="K1365">
        <v>0</v>
      </c>
      <c r="L1365">
        <v>0</v>
      </c>
      <c r="M1365">
        <v>0</v>
      </c>
      <c r="N1365">
        <v>0</v>
      </c>
      <c r="O1365">
        <v>0</v>
      </c>
      <c r="P1365">
        <v>0</v>
      </c>
      <c r="Q1365">
        <v>0</v>
      </c>
      <c r="R1365">
        <v>0</v>
      </c>
      <c r="S1365">
        <v>0</v>
      </c>
      <c r="T1365">
        <v>0</v>
      </c>
      <c r="U1365" t="str">
        <f>IF(SeismicData[[#This Row],[class]]=1,"Dangerous","Safe")</f>
        <v>Safe</v>
      </c>
      <c r="V1365" t="str">
        <f>IF(SeismicData[[#This Row],[shift]]="W","Production","Non-Production")</f>
        <v>Production</v>
      </c>
      <c r="W1365" t="str">
        <f>IF(SeismicData[[#This Row],[genergy]]=0,"0","10^"&amp;INT(LOG10(SeismicData[[#This Row],[genergy]])))</f>
        <v>10^4</v>
      </c>
      <c r="X1365" t="str">
        <f>IF(OR(SeismicData[[#This Row],[genergy]]&lt;$AA$6,SeismicData[[#This Row],[genergy]]&gt;$AA$5),"Outlier","Normal")</f>
        <v>Normal</v>
      </c>
    </row>
    <row r="1366" spans="1:24" x14ac:dyDescent="0.15">
      <c r="A1366">
        <v>1365</v>
      </c>
      <c r="B1366" t="s">
        <v>20</v>
      </c>
      <c r="C1366" t="s">
        <v>23</v>
      </c>
      <c r="D1366" t="s">
        <v>22</v>
      </c>
      <c r="E1366">
        <v>24690</v>
      </c>
      <c r="F1366">
        <v>565</v>
      </c>
      <c r="G1366">
        <v>56</v>
      </c>
      <c r="H1366">
        <v>42</v>
      </c>
      <c r="I1366" t="s">
        <v>20</v>
      </c>
      <c r="J1366">
        <v>0</v>
      </c>
      <c r="K1366">
        <v>0</v>
      </c>
      <c r="L1366">
        <v>0</v>
      </c>
      <c r="M1366">
        <v>0</v>
      </c>
      <c r="N1366">
        <v>0</v>
      </c>
      <c r="O1366">
        <v>0</v>
      </c>
      <c r="P1366">
        <v>0</v>
      </c>
      <c r="Q1366">
        <v>0</v>
      </c>
      <c r="R1366">
        <v>0</v>
      </c>
      <c r="S1366">
        <v>0</v>
      </c>
      <c r="T1366">
        <v>0</v>
      </c>
      <c r="U1366" t="str">
        <f>IF(SeismicData[[#This Row],[class]]=1,"Dangerous","Safe")</f>
        <v>Safe</v>
      </c>
      <c r="V1366" t="str">
        <f>IF(SeismicData[[#This Row],[shift]]="W","Production","Non-Production")</f>
        <v>Production</v>
      </c>
      <c r="W1366" t="str">
        <f>IF(SeismicData[[#This Row],[genergy]]=0,"0","10^"&amp;INT(LOG10(SeismicData[[#This Row],[genergy]])))</f>
        <v>10^4</v>
      </c>
      <c r="X1366" t="str">
        <f>IF(OR(SeismicData[[#This Row],[genergy]]&lt;$AA$6,SeismicData[[#This Row],[genergy]]&gt;$AA$5),"Outlier","Normal")</f>
        <v>Normal</v>
      </c>
    </row>
    <row r="1367" spans="1:24" x14ac:dyDescent="0.15">
      <c r="A1367">
        <v>1366</v>
      </c>
      <c r="B1367" t="s">
        <v>20</v>
      </c>
      <c r="C1367" t="s">
        <v>23</v>
      </c>
      <c r="D1367" t="s">
        <v>22</v>
      </c>
      <c r="E1367">
        <v>14570</v>
      </c>
      <c r="F1367">
        <v>326</v>
      </c>
      <c r="G1367">
        <v>-8</v>
      </c>
      <c r="H1367">
        <v>-18</v>
      </c>
      <c r="I1367" t="s">
        <v>20</v>
      </c>
      <c r="J1367">
        <v>0</v>
      </c>
      <c r="K1367">
        <v>0</v>
      </c>
      <c r="L1367">
        <v>0</v>
      </c>
      <c r="M1367">
        <v>0</v>
      </c>
      <c r="N1367">
        <v>0</v>
      </c>
      <c r="O1367">
        <v>0</v>
      </c>
      <c r="P1367">
        <v>0</v>
      </c>
      <c r="Q1367">
        <v>0</v>
      </c>
      <c r="R1367">
        <v>0</v>
      </c>
      <c r="S1367">
        <v>0</v>
      </c>
      <c r="T1367">
        <v>0</v>
      </c>
      <c r="U1367" t="str">
        <f>IF(SeismicData[[#This Row],[class]]=1,"Dangerous","Safe")</f>
        <v>Safe</v>
      </c>
      <c r="V1367" t="str">
        <f>IF(SeismicData[[#This Row],[shift]]="W","Production","Non-Production")</f>
        <v>Production</v>
      </c>
      <c r="W1367" t="str">
        <f>IF(SeismicData[[#This Row],[genergy]]=0,"0","10^"&amp;INT(LOG10(SeismicData[[#This Row],[genergy]])))</f>
        <v>10^4</v>
      </c>
      <c r="X1367" t="str">
        <f>IF(OR(SeismicData[[#This Row],[genergy]]&lt;$AA$6,SeismicData[[#This Row],[genergy]]&gt;$AA$5),"Outlier","Normal")</f>
        <v>Normal</v>
      </c>
    </row>
    <row r="1368" spans="1:24" x14ac:dyDescent="0.15">
      <c r="A1368">
        <v>1367</v>
      </c>
      <c r="B1368" t="s">
        <v>20</v>
      </c>
      <c r="C1368" t="s">
        <v>23</v>
      </c>
      <c r="D1368" t="s">
        <v>21</v>
      </c>
      <c r="E1368">
        <v>10210</v>
      </c>
      <c r="F1368">
        <v>394</v>
      </c>
      <c r="G1368">
        <v>169</v>
      </c>
      <c r="H1368">
        <v>251</v>
      </c>
      <c r="I1368" t="s">
        <v>20</v>
      </c>
      <c r="J1368">
        <v>0</v>
      </c>
      <c r="K1368">
        <v>0</v>
      </c>
      <c r="L1368">
        <v>0</v>
      </c>
      <c r="M1368">
        <v>0</v>
      </c>
      <c r="N1368">
        <v>0</v>
      </c>
      <c r="O1368">
        <v>0</v>
      </c>
      <c r="P1368">
        <v>0</v>
      </c>
      <c r="Q1368">
        <v>0</v>
      </c>
      <c r="R1368">
        <v>0</v>
      </c>
      <c r="S1368">
        <v>0</v>
      </c>
      <c r="T1368">
        <v>0</v>
      </c>
      <c r="U1368" t="str">
        <f>IF(SeismicData[[#This Row],[class]]=1,"Dangerous","Safe")</f>
        <v>Safe</v>
      </c>
      <c r="V1368" t="str">
        <f>IF(SeismicData[[#This Row],[shift]]="W","Production","Non-Production")</f>
        <v>Non-Production</v>
      </c>
      <c r="W1368" t="str">
        <f>IF(SeismicData[[#This Row],[genergy]]=0,"0","10^"&amp;INT(LOG10(SeismicData[[#This Row],[genergy]])))</f>
        <v>10^4</v>
      </c>
      <c r="X1368" t="str">
        <f>IF(OR(SeismicData[[#This Row],[genergy]]&lt;$AA$6,SeismicData[[#This Row],[genergy]]&gt;$AA$5),"Outlier","Normal")</f>
        <v>Normal</v>
      </c>
    </row>
    <row r="1369" spans="1:24" x14ac:dyDescent="0.15">
      <c r="A1369">
        <v>1368</v>
      </c>
      <c r="B1369" t="s">
        <v>20</v>
      </c>
      <c r="C1369" t="s">
        <v>23</v>
      </c>
      <c r="D1369" t="s">
        <v>21</v>
      </c>
      <c r="E1369">
        <v>8070</v>
      </c>
      <c r="F1369">
        <v>404</v>
      </c>
      <c r="G1369">
        <v>270</v>
      </c>
      <c r="H1369">
        <v>278</v>
      </c>
      <c r="I1369" t="s">
        <v>20</v>
      </c>
      <c r="J1369">
        <v>0</v>
      </c>
      <c r="K1369">
        <v>0</v>
      </c>
      <c r="L1369">
        <v>0</v>
      </c>
      <c r="M1369">
        <v>0</v>
      </c>
      <c r="N1369">
        <v>0</v>
      </c>
      <c r="O1369">
        <v>0</v>
      </c>
      <c r="P1369">
        <v>0</v>
      </c>
      <c r="Q1369">
        <v>0</v>
      </c>
      <c r="R1369">
        <v>0</v>
      </c>
      <c r="S1369">
        <v>0</v>
      </c>
      <c r="T1369">
        <v>0</v>
      </c>
      <c r="U1369" t="str">
        <f>IF(SeismicData[[#This Row],[class]]=1,"Dangerous","Safe")</f>
        <v>Safe</v>
      </c>
      <c r="V1369" t="str">
        <f>IF(SeismicData[[#This Row],[shift]]="W","Production","Non-Production")</f>
        <v>Non-Production</v>
      </c>
      <c r="W1369" t="str">
        <f>IF(SeismicData[[#This Row],[genergy]]=0,"0","10^"&amp;INT(LOG10(SeismicData[[#This Row],[genergy]])))</f>
        <v>10^3</v>
      </c>
      <c r="X1369" t="str">
        <f>IF(OR(SeismicData[[#This Row],[genergy]]&lt;$AA$6,SeismicData[[#This Row],[genergy]]&gt;$AA$5),"Outlier","Normal")</f>
        <v>Normal</v>
      </c>
    </row>
    <row r="1370" spans="1:24" x14ac:dyDescent="0.15">
      <c r="A1370">
        <v>1369</v>
      </c>
      <c r="B1370" t="s">
        <v>20</v>
      </c>
      <c r="C1370" t="s">
        <v>23</v>
      </c>
      <c r="D1370" t="s">
        <v>22</v>
      </c>
      <c r="E1370">
        <v>15930</v>
      </c>
      <c r="F1370">
        <v>171</v>
      </c>
      <c r="G1370">
        <v>-2</v>
      </c>
      <c r="H1370">
        <v>-21</v>
      </c>
      <c r="I1370" t="s">
        <v>20</v>
      </c>
      <c r="J1370">
        <v>0</v>
      </c>
      <c r="K1370">
        <v>0</v>
      </c>
      <c r="L1370">
        <v>0</v>
      </c>
      <c r="M1370">
        <v>0</v>
      </c>
      <c r="N1370">
        <v>0</v>
      </c>
      <c r="O1370">
        <v>0</v>
      </c>
      <c r="P1370">
        <v>0</v>
      </c>
      <c r="Q1370">
        <v>0</v>
      </c>
      <c r="R1370">
        <v>0</v>
      </c>
      <c r="S1370">
        <v>0</v>
      </c>
      <c r="T1370">
        <v>0</v>
      </c>
      <c r="U1370" t="str">
        <f>IF(SeismicData[[#This Row],[class]]=1,"Dangerous","Safe")</f>
        <v>Safe</v>
      </c>
      <c r="V1370" t="str">
        <f>IF(SeismicData[[#This Row],[shift]]="W","Production","Non-Production")</f>
        <v>Production</v>
      </c>
      <c r="W1370" t="str">
        <f>IF(SeismicData[[#This Row],[genergy]]=0,"0","10^"&amp;INT(LOG10(SeismicData[[#This Row],[genergy]])))</f>
        <v>10^4</v>
      </c>
      <c r="X1370" t="str">
        <f>IF(OR(SeismicData[[#This Row],[genergy]]&lt;$AA$6,SeismicData[[#This Row],[genergy]]&gt;$AA$5),"Outlier","Normal")</f>
        <v>Normal</v>
      </c>
    </row>
    <row r="1371" spans="1:24" x14ac:dyDescent="0.15">
      <c r="A1371">
        <v>1370</v>
      </c>
      <c r="B1371" t="s">
        <v>20</v>
      </c>
      <c r="C1371" t="s">
        <v>23</v>
      </c>
      <c r="D1371" t="s">
        <v>22</v>
      </c>
      <c r="E1371">
        <v>33620</v>
      </c>
      <c r="F1371">
        <v>762</v>
      </c>
      <c r="G1371">
        <v>97</v>
      </c>
      <c r="H1371">
        <v>77</v>
      </c>
      <c r="I1371" t="s">
        <v>20</v>
      </c>
      <c r="J1371">
        <v>1</v>
      </c>
      <c r="K1371">
        <v>1</v>
      </c>
      <c r="L1371">
        <v>0</v>
      </c>
      <c r="M1371">
        <v>0</v>
      </c>
      <c r="N1371">
        <v>0</v>
      </c>
      <c r="O1371">
        <v>0</v>
      </c>
      <c r="P1371">
        <v>0</v>
      </c>
      <c r="Q1371">
        <v>0</v>
      </c>
      <c r="R1371">
        <v>700</v>
      </c>
      <c r="S1371">
        <v>700</v>
      </c>
      <c r="T1371">
        <v>0</v>
      </c>
      <c r="U1371" t="str">
        <f>IF(SeismicData[[#This Row],[class]]=1,"Dangerous","Safe")</f>
        <v>Safe</v>
      </c>
      <c r="V1371" t="str">
        <f>IF(SeismicData[[#This Row],[shift]]="W","Production","Non-Production")</f>
        <v>Production</v>
      </c>
      <c r="W1371" t="str">
        <f>IF(SeismicData[[#This Row],[genergy]]=0,"0","10^"&amp;INT(LOG10(SeismicData[[#This Row],[genergy]])))</f>
        <v>10^4</v>
      </c>
      <c r="X1371" t="str">
        <f>IF(OR(SeismicData[[#This Row],[genergy]]&lt;$AA$6,SeismicData[[#This Row],[genergy]]&gt;$AA$5),"Outlier","Normal")</f>
        <v>Normal</v>
      </c>
    </row>
    <row r="1372" spans="1:24" x14ac:dyDescent="0.15">
      <c r="A1372">
        <v>1371</v>
      </c>
      <c r="B1372" t="s">
        <v>20</v>
      </c>
      <c r="C1372" t="s">
        <v>23</v>
      </c>
      <c r="D1372" t="s">
        <v>22</v>
      </c>
      <c r="E1372">
        <v>32960</v>
      </c>
      <c r="F1372">
        <v>982</v>
      </c>
      <c r="G1372">
        <v>93</v>
      </c>
      <c r="H1372">
        <v>128</v>
      </c>
      <c r="I1372" t="s">
        <v>20</v>
      </c>
      <c r="J1372">
        <v>0</v>
      </c>
      <c r="K1372">
        <v>0</v>
      </c>
      <c r="L1372">
        <v>0</v>
      </c>
      <c r="M1372">
        <v>0</v>
      </c>
      <c r="N1372">
        <v>0</v>
      </c>
      <c r="O1372">
        <v>0</v>
      </c>
      <c r="P1372">
        <v>0</v>
      </c>
      <c r="Q1372">
        <v>0</v>
      </c>
      <c r="R1372">
        <v>0</v>
      </c>
      <c r="S1372">
        <v>0</v>
      </c>
      <c r="T1372">
        <v>0</v>
      </c>
      <c r="U1372" t="str">
        <f>IF(SeismicData[[#This Row],[class]]=1,"Dangerous","Safe")</f>
        <v>Safe</v>
      </c>
      <c r="V1372" t="str">
        <f>IF(SeismicData[[#This Row],[shift]]="W","Production","Non-Production")</f>
        <v>Production</v>
      </c>
      <c r="W1372" t="str">
        <f>IF(SeismicData[[#This Row],[genergy]]=0,"0","10^"&amp;INT(LOG10(SeismicData[[#This Row],[genergy]])))</f>
        <v>10^4</v>
      </c>
      <c r="X1372" t="str">
        <f>IF(OR(SeismicData[[#This Row],[genergy]]&lt;$AA$6,SeismicData[[#This Row],[genergy]]&gt;$AA$5),"Outlier","Normal")</f>
        <v>Normal</v>
      </c>
    </row>
    <row r="1373" spans="1:24" x14ac:dyDescent="0.15">
      <c r="A1373">
        <v>1372</v>
      </c>
      <c r="B1373" t="s">
        <v>20</v>
      </c>
      <c r="C1373" t="s">
        <v>23</v>
      </c>
      <c r="D1373" t="s">
        <v>22</v>
      </c>
      <c r="E1373">
        <v>22640</v>
      </c>
      <c r="F1373">
        <v>691</v>
      </c>
      <c r="G1373">
        <v>32</v>
      </c>
      <c r="H1373">
        <v>60</v>
      </c>
      <c r="I1373" t="s">
        <v>20</v>
      </c>
      <c r="J1373">
        <v>2</v>
      </c>
      <c r="K1373">
        <v>2</v>
      </c>
      <c r="L1373">
        <v>0</v>
      </c>
      <c r="M1373">
        <v>0</v>
      </c>
      <c r="N1373">
        <v>0</v>
      </c>
      <c r="O1373">
        <v>0</v>
      </c>
      <c r="P1373">
        <v>0</v>
      </c>
      <c r="Q1373">
        <v>0</v>
      </c>
      <c r="R1373">
        <v>400</v>
      </c>
      <c r="S1373">
        <v>300</v>
      </c>
      <c r="T1373">
        <v>0</v>
      </c>
      <c r="U1373" t="str">
        <f>IF(SeismicData[[#This Row],[class]]=1,"Dangerous","Safe")</f>
        <v>Safe</v>
      </c>
      <c r="V1373" t="str">
        <f>IF(SeismicData[[#This Row],[shift]]="W","Production","Non-Production")</f>
        <v>Production</v>
      </c>
      <c r="W1373" t="str">
        <f>IF(SeismicData[[#This Row],[genergy]]=0,"0","10^"&amp;INT(LOG10(SeismicData[[#This Row],[genergy]])))</f>
        <v>10^4</v>
      </c>
      <c r="X1373" t="str">
        <f>IF(OR(SeismicData[[#This Row],[genergy]]&lt;$AA$6,SeismicData[[#This Row],[genergy]]&gt;$AA$5),"Outlier","Normal")</f>
        <v>Normal</v>
      </c>
    </row>
    <row r="1374" spans="1:24" x14ac:dyDescent="0.15">
      <c r="A1374">
        <v>1373</v>
      </c>
      <c r="B1374" t="s">
        <v>20</v>
      </c>
      <c r="C1374" t="s">
        <v>23</v>
      </c>
      <c r="D1374" t="s">
        <v>22</v>
      </c>
      <c r="E1374">
        <v>31800</v>
      </c>
      <c r="F1374">
        <v>769</v>
      </c>
      <c r="G1374">
        <v>295</v>
      </c>
      <c r="H1374">
        <v>313</v>
      </c>
      <c r="I1374" t="s">
        <v>23</v>
      </c>
      <c r="J1374">
        <v>0</v>
      </c>
      <c r="K1374">
        <v>0</v>
      </c>
      <c r="L1374">
        <v>0</v>
      </c>
      <c r="M1374">
        <v>0</v>
      </c>
      <c r="N1374">
        <v>0</v>
      </c>
      <c r="O1374">
        <v>0</v>
      </c>
      <c r="P1374">
        <v>0</v>
      </c>
      <c r="Q1374">
        <v>0</v>
      </c>
      <c r="R1374">
        <v>0</v>
      </c>
      <c r="S1374">
        <v>0</v>
      </c>
      <c r="T1374">
        <v>1</v>
      </c>
      <c r="U1374" t="str">
        <f>IF(SeismicData[[#This Row],[class]]=1,"Dangerous","Safe")</f>
        <v>Dangerous</v>
      </c>
      <c r="V1374" t="str">
        <f>IF(SeismicData[[#This Row],[shift]]="W","Production","Non-Production")</f>
        <v>Production</v>
      </c>
      <c r="W1374" t="str">
        <f>IF(SeismicData[[#This Row],[genergy]]=0,"0","10^"&amp;INT(LOG10(SeismicData[[#This Row],[genergy]])))</f>
        <v>10^4</v>
      </c>
      <c r="X1374" t="str">
        <f>IF(OR(SeismicData[[#This Row],[genergy]]&lt;$AA$6,SeismicData[[#This Row],[genergy]]&gt;$AA$5),"Outlier","Normal")</f>
        <v>Normal</v>
      </c>
    </row>
    <row r="1375" spans="1:24" x14ac:dyDescent="0.15">
      <c r="A1375">
        <v>1374</v>
      </c>
      <c r="B1375" t="s">
        <v>20</v>
      </c>
      <c r="C1375" t="s">
        <v>23</v>
      </c>
      <c r="D1375" t="s">
        <v>22</v>
      </c>
      <c r="E1375">
        <v>16940</v>
      </c>
      <c r="F1375">
        <v>455</v>
      </c>
      <c r="G1375">
        <v>-1</v>
      </c>
      <c r="H1375">
        <v>6</v>
      </c>
      <c r="I1375" t="s">
        <v>20</v>
      </c>
      <c r="J1375">
        <v>1</v>
      </c>
      <c r="K1375">
        <v>0</v>
      </c>
      <c r="L1375">
        <v>0</v>
      </c>
      <c r="M1375">
        <v>1</v>
      </c>
      <c r="N1375">
        <v>0</v>
      </c>
      <c r="O1375">
        <v>0</v>
      </c>
      <c r="P1375">
        <v>0</v>
      </c>
      <c r="Q1375">
        <v>0</v>
      </c>
      <c r="R1375">
        <v>30000</v>
      </c>
      <c r="S1375">
        <v>30000</v>
      </c>
      <c r="T1375">
        <v>0</v>
      </c>
      <c r="U1375" t="str">
        <f>IF(SeismicData[[#This Row],[class]]=1,"Dangerous","Safe")</f>
        <v>Safe</v>
      </c>
      <c r="V1375" t="str">
        <f>IF(SeismicData[[#This Row],[shift]]="W","Production","Non-Production")</f>
        <v>Production</v>
      </c>
      <c r="W1375" t="str">
        <f>IF(SeismicData[[#This Row],[genergy]]=0,"0","10^"&amp;INT(LOG10(SeismicData[[#This Row],[genergy]])))</f>
        <v>10^4</v>
      </c>
      <c r="X1375" t="str">
        <f>IF(OR(SeismicData[[#This Row],[genergy]]&lt;$AA$6,SeismicData[[#This Row],[genergy]]&gt;$AA$5),"Outlier","Normal")</f>
        <v>Normal</v>
      </c>
    </row>
    <row r="1376" spans="1:24" x14ac:dyDescent="0.15">
      <c r="A1376">
        <v>1375</v>
      </c>
      <c r="B1376" t="s">
        <v>23</v>
      </c>
      <c r="C1376" t="s">
        <v>23</v>
      </c>
      <c r="D1376" t="s">
        <v>22</v>
      </c>
      <c r="E1376">
        <v>13880</v>
      </c>
      <c r="F1376">
        <v>507</v>
      </c>
      <c r="G1376">
        <v>-22</v>
      </c>
      <c r="H1376">
        <v>11</v>
      </c>
      <c r="I1376" t="s">
        <v>20</v>
      </c>
      <c r="J1376">
        <v>0</v>
      </c>
      <c r="K1376">
        <v>0</v>
      </c>
      <c r="L1376">
        <v>0</v>
      </c>
      <c r="M1376">
        <v>0</v>
      </c>
      <c r="N1376">
        <v>0</v>
      </c>
      <c r="O1376">
        <v>0</v>
      </c>
      <c r="P1376">
        <v>0</v>
      </c>
      <c r="Q1376">
        <v>0</v>
      </c>
      <c r="R1376">
        <v>0</v>
      </c>
      <c r="S1376">
        <v>0</v>
      </c>
      <c r="T1376">
        <v>0</v>
      </c>
      <c r="U1376" t="str">
        <f>IF(SeismicData[[#This Row],[class]]=1,"Dangerous","Safe")</f>
        <v>Safe</v>
      </c>
      <c r="V1376" t="str">
        <f>IF(SeismicData[[#This Row],[shift]]="W","Production","Non-Production")</f>
        <v>Production</v>
      </c>
      <c r="W1376" t="str">
        <f>IF(SeismicData[[#This Row],[genergy]]=0,"0","10^"&amp;INT(LOG10(SeismicData[[#This Row],[genergy]])))</f>
        <v>10^4</v>
      </c>
      <c r="X1376" t="str">
        <f>IF(OR(SeismicData[[#This Row],[genergy]]&lt;$AA$6,SeismicData[[#This Row],[genergy]]&gt;$AA$5),"Outlier","Normal")</f>
        <v>Normal</v>
      </c>
    </row>
    <row r="1377" spans="1:24" x14ac:dyDescent="0.15">
      <c r="A1377">
        <v>1376</v>
      </c>
      <c r="B1377" t="s">
        <v>23</v>
      </c>
      <c r="C1377" t="s">
        <v>23</v>
      </c>
      <c r="D1377" t="s">
        <v>22</v>
      </c>
      <c r="E1377">
        <v>18340</v>
      </c>
      <c r="F1377">
        <v>534</v>
      </c>
      <c r="G1377">
        <v>3</v>
      </c>
      <c r="H1377">
        <v>17</v>
      </c>
      <c r="I1377" t="s">
        <v>20</v>
      </c>
      <c r="J1377">
        <v>0</v>
      </c>
      <c r="K1377">
        <v>0</v>
      </c>
      <c r="L1377">
        <v>0</v>
      </c>
      <c r="M1377">
        <v>0</v>
      </c>
      <c r="N1377">
        <v>0</v>
      </c>
      <c r="O1377">
        <v>0</v>
      </c>
      <c r="P1377">
        <v>0</v>
      </c>
      <c r="Q1377">
        <v>0</v>
      </c>
      <c r="R1377">
        <v>0</v>
      </c>
      <c r="S1377">
        <v>0</v>
      </c>
      <c r="T1377">
        <v>0</v>
      </c>
      <c r="U1377" t="str">
        <f>IF(SeismicData[[#This Row],[class]]=1,"Dangerous","Safe")</f>
        <v>Safe</v>
      </c>
      <c r="V1377" t="str">
        <f>IF(SeismicData[[#This Row],[shift]]="W","Production","Non-Production")</f>
        <v>Production</v>
      </c>
      <c r="W1377" t="str">
        <f>IF(SeismicData[[#This Row],[genergy]]=0,"0","10^"&amp;INT(LOG10(SeismicData[[#This Row],[genergy]])))</f>
        <v>10^4</v>
      </c>
      <c r="X1377" t="str">
        <f>IF(OR(SeismicData[[#This Row],[genergy]]&lt;$AA$6,SeismicData[[#This Row],[genergy]]&gt;$AA$5),"Outlier","Normal")</f>
        <v>Normal</v>
      </c>
    </row>
    <row r="1378" spans="1:24" x14ac:dyDescent="0.15">
      <c r="A1378">
        <v>1377</v>
      </c>
      <c r="B1378" t="s">
        <v>23</v>
      </c>
      <c r="C1378" t="s">
        <v>23</v>
      </c>
      <c r="D1378" t="s">
        <v>22</v>
      </c>
      <c r="E1378">
        <v>19420</v>
      </c>
      <c r="F1378">
        <v>591</v>
      </c>
      <c r="G1378">
        <v>9</v>
      </c>
      <c r="H1378">
        <v>29</v>
      </c>
      <c r="I1378" t="s">
        <v>20</v>
      </c>
      <c r="J1378">
        <v>0</v>
      </c>
      <c r="K1378">
        <v>0</v>
      </c>
      <c r="L1378">
        <v>0</v>
      </c>
      <c r="M1378">
        <v>0</v>
      </c>
      <c r="N1378">
        <v>0</v>
      </c>
      <c r="O1378">
        <v>0</v>
      </c>
      <c r="P1378">
        <v>0</v>
      </c>
      <c r="Q1378">
        <v>0</v>
      </c>
      <c r="R1378">
        <v>0</v>
      </c>
      <c r="S1378">
        <v>0</v>
      </c>
      <c r="T1378">
        <v>0</v>
      </c>
      <c r="U1378" t="str">
        <f>IF(SeismicData[[#This Row],[class]]=1,"Dangerous","Safe")</f>
        <v>Safe</v>
      </c>
      <c r="V1378" t="str">
        <f>IF(SeismicData[[#This Row],[shift]]="W","Production","Non-Production")</f>
        <v>Production</v>
      </c>
      <c r="W1378" t="str">
        <f>IF(SeismicData[[#This Row],[genergy]]=0,"0","10^"&amp;INT(LOG10(SeismicData[[#This Row],[genergy]])))</f>
        <v>10^4</v>
      </c>
      <c r="X1378" t="str">
        <f>IF(OR(SeismicData[[#This Row],[genergy]]&lt;$AA$6,SeismicData[[#This Row],[genergy]]&gt;$AA$5),"Outlier","Normal")</f>
        <v>Normal</v>
      </c>
    </row>
    <row r="1379" spans="1:24" x14ac:dyDescent="0.15">
      <c r="A1379">
        <v>1378</v>
      </c>
      <c r="B1379" t="s">
        <v>23</v>
      </c>
      <c r="C1379" t="s">
        <v>23</v>
      </c>
      <c r="D1379" t="s">
        <v>22</v>
      </c>
      <c r="E1379">
        <v>21300</v>
      </c>
      <c r="F1379">
        <v>710</v>
      </c>
      <c r="G1379">
        <v>19</v>
      </c>
      <c r="H1379">
        <v>55</v>
      </c>
      <c r="I1379" t="s">
        <v>20</v>
      </c>
      <c r="J1379">
        <v>1</v>
      </c>
      <c r="K1379">
        <v>0</v>
      </c>
      <c r="L1379">
        <v>1</v>
      </c>
      <c r="M1379">
        <v>0</v>
      </c>
      <c r="N1379">
        <v>0</v>
      </c>
      <c r="O1379">
        <v>0</v>
      </c>
      <c r="P1379">
        <v>0</v>
      </c>
      <c r="Q1379">
        <v>0</v>
      </c>
      <c r="R1379">
        <v>2000</v>
      </c>
      <c r="S1379">
        <v>2000</v>
      </c>
      <c r="T1379">
        <v>0</v>
      </c>
      <c r="U1379" t="str">
        <f>IF(SeismicData[[#This Row],[class]]=1,"Dangerous","Safe")</f>
        <v>Safe</v>
      </c>
      <c r="V1379" t="str">
        <f>IF(SeismicData[[#This Row],[shift]]="W","Production","Non-Production")</f>
        <v>Production</v>
      </c>
      <c r="W1379" t="str">
        <f>IF(SeismicData[[#This Row],[genergy]]=0,"0","10^"&amp;INT(LOG10(SeismicData[[#This Row],[genergy]])))</f>
        <v>10^4</v>
      </c>
      <c r="X1379" t="str">
        <f>IF(OR(SeismicData[[#This Row],[genergy]]&lt;$AA$6,SeismicData[[#This Row],[genergy]]&gt;$AA$5),"Outlier","Normal")</f>
        <v>Normal</v>
      </c>
    </row>
    <row r="1380" spans="1:24" x14ac:dyDescent="0.15">
      <c r="A1380">
        <v>1379</v>
      </c>
      <c r="B1380" t="s">
        <v>23</v>
      </c>
      <c r="C1380" t="s">
        <v>23</v>
      </c>
      <c r="D1380" t="s">
        <v>22</v>
      </c>
      <c r="E1380">
        <v>23490</v>
      </c>
      <c r="F1380">
        <v>748</v>
      </c>
      <c r="G1380">
        <v>32</v>
      </c>
      <c r="H1380">
        <v>63</v>
      </c>
      <c r="I1380" t="s">
        <v>20</v>
      </c>
      <c r="J1380">
        <v>0</v>
      </c>
      <c r="K1380">
        <v>0</v>
      </c>
      <c r="L1380">
        <v>0</v>
      </c>
      <c r="M1380">
        <v>0</v>
      </c>
      <c r="N1380">
        <v>0</v>
      </c>
      <c r="O1380">
        <v>0</v>
      </c>
      <c r="P1380">
        <v>0</v>
      </c>
      <c r="Q1380">
        <v>0</v>
      </c>
      <c r="R1380">
        <v>0</v>
      </c>
      <c r="S1380">
        <v>0</v>
      </c>
      <c r="T1380">
        <v>0</v>
      </c>
      <c r="U1380" t="str">
        <f>IF(SeismicData[[#This Row],[class]]=1,"Dangerous","Safe")</f>
        <v>Safe</v>
      </c>
      <c r="V1380" t="str">
        <f>IF(SeismicData[[#This Row],[shift]]="W","Production","Non-Production")</f>
        <v>Production</v>
      </c>
      <c r="W1380" t="str">
        <f>IF(SeismicData[[#This Row],[genergy]]=0,"0","10^"&amp;INT(LOG10(SeismicData[[#This Row],[genergy]])))</f>
        <v>10^4</v>
      </c>
      <c r="X1380" t="str">
        <f>IF(OR(SeismicData[[#This Row],[genergy]]&lt;$AA$6,SeismicData[[#This Row],[genergy]]&gt;$AA$5),"Outlier","Normal")</f>
        <v>Normal</v>
      </c>
    </row>
    <row r="1381" spans="1:24" x14ac:dyDescent="0.15">
      <c r="A1381">
        <v>1380</v>
      </c>
      <c r="B1381" t="s">
        <v>23</v>
      </c>
      <c r="C1381" t="s">
        <v>23</v>
      </c>
      <c r="D1381" t="s">
        <v>22</v>
      </c>
      <c r="E1381">
        <v>17970</v>
      </c>
      <c r="F1381">
        <v>518</v>
      </c>
      <c r="G1381">
        <v>1</v>
      </c>
      <c r="H1381">
        <v>13</v>
      </c>
      <c r="I1381" t="s">
        <v>20</v>
      </c>
      <c r="J1381">
        <v>0</v>
      </c>
      <c r="K1381">
        <v>0</v>
      </c>
      <c r="L1381">
        <v>0</v>
      </c>
      <c r="M1381">
        <v>0</v>
      </c>
      <c r="N1381">
        <v>0</v>
      </c>
      <c r="O1381">
        <v>0</v>
      </c>
      <c r="P1381">
        <v>0</v>
      </c>
      <c r="Q1381">
        <v>0</v>
      </c>
      <c r="R1381">
        <v>0</v>
      </c>
      <c r="S1381">
        <v>0</v>
      </c>
      <c r="T1381">
        <v>0</v>
      </c>
      <c r="U1381" t="str">
        <f>IF(SeismicData[[#This Row],[class]]=1,"Dangerous","Safe")</f>
        <v>Safe</v>
      </c>
      <c r="V1381" t="str">
        <f>IF(SeismicData[[#This Row],[shift]]="W","Production","Non-Production")</f>
        <v>Production</v>
      </c>
      <c r="W1381" t="str">
        <f>IF(SeismicData[[#This Row],[genergy]]=0,"0","10^"&amp;INT(LOG10(SeismicData[[#This Row],[genergy]])))</f>
        <v>10^4</v>
      </c>
      <c r="X1381" t="str">
        <f>IF(OR(SeismicData[[#This Row],[genergy]]&lt;$AA$6,SeismicData[[#This Row],[genergy]]&gt;$AA$5),"Outlier","Normal")</f>
        <v>Normal</v>
      </c>
    </row>
    <row r="1382" spans="1:24" x14ac:dyDescent="0.15">
      <c r="A1382">
        <v>1381</v>
      </c>
      <c r="B1382" t="s">
        <v>23</v>
      </c>
      <c r="C1382" t="s">
        <v>23</v>
      </c>
      <c r="D1382" t="s">
        <v>22</v>
      </c>
      <c r="E1382">
        <v>17310</v>
      </c>
      <c r="F1382">
        <v>485</v>
      </c>
      <c r="G1382">
        <v>-3</v>
      </c>
      <c r="H1382">
        <v>6</v>
      </c>
      <c r="I1382" t="s">
        <v>20</v>
      </c>
      <c r="J1382">
        <v>0</v>
      </c>
      <c r="K1382">
        <v>0</v>
      </c>
      <c r="L1382">
        <v>0</v>
      </c>
      <c r="M1382">
        <v>0</v>
      </c>
      <c r="N1382">
        <v>0</v>
      </c>
      <c r="O1382">
        <v>0</v>
      </c>
      <c r="P1382">
        <v>0</v>
      </c>
      <c r="Q1382">
        <v>0</v>
      </c>
      <c r="R1382">
        <v>0</v>
      </c>
      <c r="S1382">
        <v>0</v>
      </c>
      <c r="T1382">
        <v>0</v>
      </c>
      <c r="U1382" t="str">
        <f>IF(SeismicData[[#This Row],[class]]=1,"Dangerous","Safe")</f>
        <v>Safe</v>
      </c>
      <c r="V1382" t="str">
        <f>IF(SeismicData[[#This Row],[shift]]="W","Production","Non-Production")</f>
        <v>Production</v>
      </c>
      <c r="W1382" t="str">
        <f>IF(SeismicData[[#This Row],[genergy]]=0,"0","10^"&amp;INT(LOG10(SeismicData[[#This Row],[genergy]])))</f>
        <v>10^4</v>
      </c>
      <c r="X1382" t="str">
        <f>IF(OR(SeismicData[[#This Row],[genergy]]&lt;$AA$6,SeismicData[[#This Row],[genergy]]&gt;$AA$5),"Outlier","Normal")</f>
        <v>Normal</v>
      </c>
    </row>
    <row r="1383" spans="1:24" x14ac:dyDescent="0.15">
      <c r="A1383">
        <v>1382</v>
      </c>
      <c r="B1383" t="s">
        <v>23</v>
      </c>
      <c r="C1383" t="s">
        <v>23</v>
      </c>
      <c r="D1383" t="s">
        <v>22</v>
      </c>
      <c r="E1383">
        <v>17730</v>
      </c>
      <c r="F1383">
        <v>568</v>
      </c>
      <c r="G1383">
        <v>-1</v>
      </c>
      <c r="H1383">
        <v>24</v>
      </c>
      <c r="I1383" t="s">
        <v>20</v>
      </c>
      <c r="J1383">
        <v>0</v>
      </c>
      <c r="K1383">
        <v>0</v>
      </c>
      <c r="L1383">
        <v>0</v>
      </c>
      <c r="M1383">
        <v>0</v>
      </c>
      <c r="N1383">
        <v>0</v>
      </c>
      <c r="O1383">
        <v>0</v>
      </c>
      <c r="P1383">
        <v>0</v>
      </c>
      <c r="Q1383">
        <v>0</v>
      </c>
      <c r="R1383">
        <v>0</v>
      </c>
      <c r="S1383">
        <v>0</v>
      </c>
      <c r="T1383">
        <v>0</v>
      </c>
      <c r="U1383" t="str">
        <f>IF(SeismicData[[#This Row],[class]]=1,"Dangerous","Safe")</f>
        <v>Safe</v>
      </c>
      <c r="V1383" t="str">
        <f>IF(SeismicData[[#This Row],[shift]]="W","Production","Non-Production")</f>
        <v>Production</v>
      </c>
      <c r="W1383" t="str">
        <f>IF(SeismicData[[#This Row],[genergy]]=0,"0","10^"&amp;INT(LOG10(SeismicData[[#This Row],[genergy]])))</f>
        <v>10^4</v>
      </c>
      <c r="X1383" t="str">
        <f>IF(OR(SeismicData[[#This Row],[genergy]]&lt;$AA$6,SeismicData[[#This Row],[genergy]]&gt;$AA$5),"Outlier","Normal")</f>
        <v>Normal</v>
      </c>
    </row>
    <row r="1384" spans="1:24" x14ac:dyDescent="0.15">
      <c r="A1384">
        <v>1383</v>
      </c>
      <c r="B1384" t="s">
        <v>23</v>
      </c>
      <c r="C1384" t="s">
        <v>23</v>
      </c>
      <c r="D1384" t="s">
        <v>22</v>
      </c>
      <c r="E1384">
        <v>25180</v>
      </c>
      <c r="F1384">
        <v>592</v>
      </c>
      <c r="G1384">
        <v>39</v>
      </c>
      <c r="H1384">
        <v>24</v>
      </c>
      <c r="I1384" t="s">
        <v>20</v>
      </c>
      <c r="J1384">
        <v>0</v>
      </c>
      <c r="K1384">
        <v>0</v>
      </c>
      <c r="L1384">
        <v>0</v>
      </c>
      <c r="M1384">
        <v>0</v>
      </c>
      <c r="N1384">
        <v>0</v>
      </c>
      <c r="O1384">
        <v>0</v>
      </c>
      <c r="P1384">
        <v>0</v>
      </c>
      <c r="Q1384">
        <v>0</v>
      </c>
      <c r="R1384">
        <v>0</v>
      </c>
      <c r="S1384">
        <v>0</v>
      </c>
      <c r="T1384">
        <v>0</v>
      </c>
      <c r="U1384" t="str">
        <f>IF(SeismicData[[#This Row],[class]]=1,"Dangerous","Safe")</f>
        <v>Safe</v>
      </c>
      <c r="V1384" t="str">
        <f>IF(SeismicData[[#This Row],[shift]]="W","Production","Non-Production")</f>
        <v>Production</v>
      </c>
      <c r="W1384" t="str">
        <f>IF(SeismicData[[#This Row],[genergy]]=0,"0","10^"&amp;INT(LOG10(SeismicData[[#This Row],[genergy]])))</f>
        <v>10^4</v>
      </c>
      <c r="X1384" t="str">
        <f>IF(OR(SeismicData[[#This Row],[genergy]]&lt;$AA$6,SeismicData[[#This Row],[genergy]]&gt;$AA$5),"Outlier","Normal")</f>
        <v>Normal</v>
      </c>
    </row>
    <row r="1385" spans="1:24" x14ac:dyDescent="0.15">
      <c r="A1385">
        <v>1384</v>
      </c>
      <c r="B1385" t="s">
        <v>23</v>
      </c>
      <c r="C1385" t="s">
        <v>23</v>
      </c>
      <c r="D1385" t="s">
        <v>22</v>
      </c>
      <c r="E1385">
        <v>32240</v>
      </c>
      <c r="F1385">
        <v>702</v>
      </c>
      <c r="G1385">
        <v>77</v>
      </c>
      <c r="H1385">
        <v>47</v>
      </c>
      <c r="I1385" t="s">
        <v>20</v>
      </c>
      <c r="J1385">
        <v>0</v>
      </c>
      <c r="K1385">
        <v>0</v>
      </c>
      <c r="L1385">
        <v>0</v>
      </c>
      <c r="M1385">
        <v>0</v>
      </c>
      <c r="N1385">
        <v>0</v>
      </c>
      <c r="O1385">
        <v>0</v>
      </c>
      <c r="P1385">
        <v>0</v>
      </c>
      <c r="Q1385">
        <v>0</v>
      </c>
      <c r="R1385">
        <v>0</v>
      </c>
      <c r="S1385">
        <v>0</v>
      </c>
      <c r="T1385">
        <v>0</v>
      </c>
      <c r="U1385" t="str">
        <f>IF(SeismicData[[#This Row],[class]]=1,"Dangerous","Safe")</f>
        <v>Safe</v>
      </c>
      <c r="V1385" t="str">
        <f>IF(SeismicData[[#This Row],[shift]]="W","Production","Non-Production")</f>
        <v>Production</v>
      </c>
      <c r="W1385" t="str">
        <f>IF(SeismicData[[#This Row],[genergy]]=0,"0","10^"&amp;INT(LOG10(SeismicData[[#This Row],[genergy]])))</f>
        <v>10^4</v>
      </c>
      <c r="X1385" t="str">
        <f>IF(OR(SeismicData[[#This Row],[genergy]]&lt;$AA$6,SeismicData[[#This Row],[genergy]]&gt;$AA$5),"Outlier","Normal")</f>
        <v>Normal</v>
      </c>
    </row>
    <row r="1386" spans="1:24" x14ac:dyDescent="0.15">
      <c r="A1386">
        <v>1385</v>
      </c>
      <c r="B1386" t="s">
        <v>23</v>
      </c>
      <c r="C1386" t="s">
        <v>23</v>
      </c>
      <c r="D1386" t="s">
        <v>22</v>
      </c>
      <c r="E1386">
        <v>21770</v>
      </c>
      <c r="F1386">
        <v>292</v>
      </c>
      <c r="G1386">
        <v>35</v>
      </c>
      <c r="H1386">
        <v>28</v>
      </c>
      <c r="I1386" t="s">
        <v>20</v>
      </c>
      <c r="J1386">
        <v>0</v>
      </c>
      <c r="K1386">
        <v>0</v>
      </c>
      <c r="L1386">
        <v>0</v>
      </c>
      <c r="M1386">
        <v>0</v>
      </c>
      <c r="N1386">
        <v>0</v>
      </c>
      <c r="O1386">
        <v>0</v>
      </c>
      <c r="P1386">
        <v>0</v>
      </c>
      <c r="Q1386">
        <v>0</v>
      </c>
      <c r="R1386">
        <v>0</v>
      </c>
      <c r="S1386">
        <v>0</v>
      </c>
      <c r="T1386">
        <v>0</v>
      </c>
      <c r="U1386" t="str">
        <f>IF(SeismicData[[#This Row],[class]]=1,"Dangerous","Safe")</f>
        <v>Safe</v>
      </c>
      <c r="V1386" t="str">
        <f>IF(SeismicData[[#This Row],[shift]]="W","Production","Non-Production")</f>
        <v>Production</v>
      </c>
      <c r="W1386" t="str">
        <f>IF(SeismicData[[#This Row],[genergy]]=0,"0","10^"&amp;INT(LOG10(SeismicData[[#This Row],[genergy]])))</f>
        <v>10^4</v>
      </c>
      <c r="X1386" t="str">
        <f>IF(OR(SeismicData[[#This Row],[genergy]]&lt;$AA$6,SeismicData[[#This Row],[genergy]]&gt;$AA$5),"Outlier","Normal")</f>
        <v>Normal</v>
      </c>
    </row>
    <row r="1387" spans="1:24" x14ac:dyDescent="0.15">
      <c r="A1387">
        <v>1386</v>
      </c>
      <c r="B1387" t="s">
        <v>23</v>
      </c>
      <c r="C1387" t="s">
        <v>23</v>
      </c>
      <c r="D1387" t="s">
        <v>22</v>
      </c>
      <c r="E1387">
        <v>19680</v>
      </c>
      <c r="F1387">
        <v>288</v>
      </c>
      <c r="G1387">
        <v>121</v>
      </c>
      <c r="H1387">
        <v>37</v>
      </c>
      <c r="I1387" t="s">
        <v>23</v>
      </c>
      <c r="J1387">
        <v>0</v>
      </c>
      <c r="K1387">
        <v>0</v>
      </c>
      <c r="L1387">
        <v>0</v>
      </c>
      <c r="M1387">
        <v>0</v>
      </c>
      <c r="N1387">
        <v>0</v>
      </c>
      <c r="O1387">
        <v>0</v>
      </c>
      <c r="P1387">
        <v>0</v>
      </c>
      <c r="Q1387">
        <v>0</v>
      </c>
      <c r="R1387">
        <v>0</v>
      </c>
      <c r="S1387">
        <v>0</v>
      </c>
      <c r="T1387">
        <v>1</v>
      </c>
      <c r="U1387" t="str">
        <f>IF(SeismicData[[#This Row],[class]]=1,"Dangerous","Safe")</f>
        <v>Dangerous</v>
      </c>
      <c r="V1387" t="str">
        <f>IF(SeismicData[[#This Row],[shift]]="W","Production","Non-Production")</f>
        <v>Production</v>
      </c>
      <c r="W1387" t="str">
        <f>IF(SeismicData[[#This Row],[genergy]]=0,"0","10^"&amp;INT(LOG10(SeismicData[[#This Row],[genergy]])))</f>
        <v>10^4</v>
      </c>
      <c r="X1387" t="str">
        <f>IF(OR(SeismicData[[#This Row],[genergy]]&lt;$AA$6,SeismicData[[#This Row],[genergy]]&gt;$AA$5),"Outlier","Normal")</f>
        <v>Normal</v>
      </c>
    </row>
    <row r="1388" spans="1:24" x14ac:dyDescent="0.15">
      <c r="A1388">
        <v>1387</v>
      </c>
      <c r="B1388" t="s">
        <v>23</v>
      </c>
      <c r="C1388" t="s">
        <v>23</v>
      </c>
      <c r="D1388" t="s">
        <v>22</v>
      </c>
      <c r="E1388">
        <v>22320</v>
      </c>
      <c r="F1388">
        <v>337</v>
      </c>
      <c r="G1388">
        <v>39</v>
      </c>
      <c r="H1388">
        <v>48</v>
      </c>
      <c r="I1388" t="s">
        <v>20</v>
      </c>
      <c r="J1388">
        <v>1</v>
      </c>
      <c r="K1388">
        <v>0</v>
      </c>
      <c r="L1388">
        <v>0</v>
      </c>
      <c r="M1388">
        <v>1</v>
      </c>
      <c r="N1388">
        <v>0</v>
      </c>
      <c r="O1388">
        <v>0</v>
      </c>
      <c r="P1388">
        <v>0</v>
      </c>
      <c r="Q1388">
        <v>0</v>
      </c>
      <c r="R1388">
        <v>10000</v>
      </c>
      <c r="S1388">
        <v>10000</v>
      </c>
      <c r="T1388">
        <v>0</v>
      </c>
      <c r="U1388" t="str">
        <f>IF(SeismicData[[#This Row],[class]]=1,"Dangerous","Safe")</f>
        <v>Safe</v>
      </c>
      <c r="V1388" t="str">
        <f>IF(SeismicData[[#This Row],[shift]]="W","Production","Non-Production")</f>
        <v>Production</v>
      </c>
      <c r="W1388" t="str">
        <f>IF(SeismicData[[#This Row],[genergy]]=0,"0","10^"&amp;INT(LOG10(SeismicData[[#This Row],[genergy]])))</f>
        <v>10^4</v>
      </c>
      <c r="X1388" t="str">
        <f>IF(OR(SeismicData[[#This Row],[genergy]]&lt;$AA$6,SeismicData[[#This Row],[genergy]]&gt;$AA$5),"Outlier","Normal")</f>
        <v>Normal</v>
      </c>
    </row>
    <row r="1389" spans="1:24" x14ac:dyDescent="0.15">
      <c r="A1389">
        <v>1388</v>
      </c>
      <c r="B1389" t="s">
        <v>23</v>
      </c>
      <c r="C1389" t="s">
        <v>23</v>
      </c>
      <c r="D1389" t="s">
        <v>22</v>
      </c>
      <c r="E1389">
        <v>15060</v>
      </c>
      <c r="F1389">
        <v>618</v>
      </c>
      <c r="G1389">
        <v>-17</v>
      </c>
      <c r="H1389">
        <v>29</v>
      </c>
      <c r="I1389" t="s">
        <v>20</v>
      </c>
      <c r="J1389">
        <v>0</v>
      </c>
      <c r="K1389">
        <v>0</v>
      </c>
      <c r="L1389">
        <v>0</v>
      </c>
      <c r="M1389">
        <v>0</v>
      </c>
      <c r="N1389">
        <v>0</v>
      </c>
      <c r="O1389">
        <v>0</v>
      </c>
      <c r="P1389">
        <v>0</v>
      </c>
      <c r="Q1389">
        <v>0</v>
      </c>
      <c r="R1389">
        <v>0</v>
      </c>
      <c r="S1389">
        <v>0</v>
      </c>
      <c r="T1389">
        <v>0</v>
      </c>
      <c r="U1389" t="str">
        <f>IF(SeismicData[[#This Row],[class]]=1,"Dangerous","Safe")</f>
        <v>Safe</v>
      </c>
      <c r="V1389" t="str">
        <f>IF(SeismicData[[#This Row],[shift]]="W","Production","Non-Production")</f>
        <v>Production</v>
      </c>
      <c r="W1389" t="str">
        <f>IF(SeismicData[[#This Row],[genergy]]=0,"0","10^"&amp;INT(LOG10(SeismicData[[#This Row],[genergy]])))</f>
        <v>10^4</v>
      </c>
      <c r="X1389" t="str">
        <f>IF(OR(SeismicData[[#This Row],[genergy]]&lt;$AA$6,SeismicData[[#This Row],[genergy]]&gt;$AA$5),"Outlier","Normal")</f>
        <v>Normal</v>
      </c>
    </row>
    <row r="1390" spans="1:24" x14ac:dyDescent="0.15">
      <c r="A1390">
        <v>1389</v>
      </c>
      <c r="B1390" t="s">
        <v>23</v>
      </c>
      <c r="C1390" t="s">
        <v>23</v>
      </c>
      <c r="D1390" t="s">
        <v>22</v>
      </c>
      <c r="E1390">
        <v>23020</v>
      </c>
      <c r="F1390">
        <v>669</v>
      </c>
      <c r="G1390">
        <v>27</v>
      </c>
      <c r="H1390">
        <v>40</v>
      </c>
      <c r="I1390" t="s">
        <v>20</v>
      </c>
      <c r="J1390">
        <v>0</v>
      </c>
      <c r="K1390">
        <v>0</v>
      </c>
      <c r="L1390">
        <v>0</v>
      </c>
      <c r="M1390">
        <v>0</v>
      </c>
      <c r="N1390">
        <v>0</v>
      </c>
      <c r="O1390">
        <v>0</v>
      </c>
      <c r="P1390">
        <v>0</v>
      </c>
      <c r="Q1390">
        <v>0</v>
      </c>
      <c r="R1390">
        <v>0</v>
      </c>
      <c r="S1390">
        <v>0</v>
      </c>
      <c r="T1390">
        <v>0</v>
      </c>
      <c r="U1390" t="str">
        <f>IF(SeismicData[[#This Row],[class]]=1,"Dangerous","Safe")</f>
        <v>Safe</v>
      </c>
      <c r="V1390" t="str">
        <f>IF(SeismicData[[#This Row],[shift]]="W","Production","Non-Production")</f>
        <v>Production</v>
      </c>
      <c r="W1390" t="str">
        <f>IF(SeismicData[[#This Row],[genergy]]=0,"0","10^"&amp;INT(LOG10(SeismicData[[#This Row],[genergy]])))</f>
        <v>10^4</v>
      </c>
      <c r="X1390" t="str">
        <f>IF(OR(SeismicData[[#This Row],[genergy]]&lt;$AA$6,SeismicData[[#This Row],[genergy]]&gt;$AA$5),"Outlier","Normal")</f>
        <v>Normal</v>
      </c>
    </row>
    <row r="1391" spans="1:24" x14ac:dyDescent="0.15">
      <c r="A1391">
        <v>1390</v>
      </c>
      <c r="B1391" t="s">
        <v>23</v>
      </c>
      <c r="C1391" t="s">
        <v>23</v>
      </c>
      <c r="D1391" t="s">
        <v>22</v>
      </c>
      <c r="E1391">
        <v>18850</v>
      </c>
      <c r="F1391">
        <v>587</v>
      </c>
      <c r="G1391">
        <v>4</v>
      </c>
      <c r="H1391">
        <v>23</v>
      </c>
      <c r="I1391" t="s">
        <v>20</v>
      </c>
      <c r="J1391">
        <v>0</v>
      </c>
      <c r="K1391">
        <v>0</v>
      </c>
      <c r="L1391">
        <v>0</v>
      </c>
      <c r="M1391">
        <v>0</v>
      </c>
      <c r="N1391">
        <v>0</v>
      </c>
      <c r="O1391">
        <v>0</v>
      </c>
      <c r="P1391">
        <v>0</v>
      </c>
      <c r="Q1391">
        <v>0</v>
      </c>
      <c r="R1391">
        <v>0</v>
      </c>
      <c r="S1391">
        <v>0</v>
      </c>
      <c r="T1391">
        <v>0</v>
      </c>
      <c r="U1391" t="str">
        <f>IF(SeismicData[[#This Row],[class]]=1,"Dangerous","Safe")</f>
        <v>Safe</v>
      </c>
      <c r="V1391" t="str">
        <f>IF(SeismicData[[#This Row],[shift]]="W","Production","Non-Production")</f>
        <v>Production</v>
      </c>
      <c r="W1391" t="str">
        <f>IF(SeismicData[[#This Row],[genergy]]=0,"0","10^"&amp;INT(LOG10(SeismicData[[#This Row],[genergy]])))</f>
        <v>10^4</v>
      </c>
      <c r="X1391" t="str">
        <f>IF(OR(SeismicData[[#This Row],[genergy]]&lt;$AA$6,SeismicData[[#This Row],[genergy]]&gt;$AA$5),"Outlier","Normal")</f>
        <v>Normal</v>
      </c>
    </row>
    <row r="1392" spans="1:24" x14ac:dyDescent="0.15">
      <c r="A1392">
        <v>1391</v>
      </c>
      <c r="B1392" t="s">
        <v>23</v>
      </c>
      <c r="C1392" t="s">
        <v>23</v>
      </c>
      <c r="D1392" t="s">
        <v>22</v>
      </c>
      <c r="E1392">
        <v>9090</v>
      </c>
      <c r="F1392">
        <v>511</v>
      </c>
      <c r="G1392">
        <v>-51</v>
      </c>
      <c r="H1392">
        <v>4</v>
      </c>
      <c r="I1392" t="s">
        <v>20</v>
      </c>
      <c r="J1392">
        <v>0</v>
      </c>
      <c r="K1392">
        <v>0</v>
      </c>
      <c r="L1392">
        <v>0</v>
      </c>
      <c r="M1392">
        <v>0</v>
      </c>
      <c r="N1392">
        <v>0</v>
      </c>
      <c r="O1392">
        <v>0</v>
      </c>
      <c r="P1392">
        <v>0</v>
      </c>
      <c r="Q1392">
        <v>0</v>
      </c>
      <c r="R1392">
        <v>0</v>
      </c>
      <c r="S1392">
        <v>0</v>
      </c>
      <c r="T1392">
        <v>0</v>
      </c>
      <c r="U1392" t="str">
        <f>IF(SeismicData[[#This Row],[class]]=1,"Dangerous","Safe")</f>
        <v>Safe</v>
      </c>
      <c r="V1392" t="str">
        <f>IF(SeismicData[[#This Row],[shift]]="W","Production","Non-Production")</f>
        <v>Production</v>
      </c>
      <c r="W1392" t="str">
        <f>IF(SeismicData[[#This Row],[genergy]]=0,"0","10^"&amp;INT(LOG10(SeismicData[[#This Row],[genergy]])))</f>
        <v>10^3</v>
      </c>
      <c r="X1392" t="str">
        <f>IF(OR(SeismicData[[#This Row],[genergy]]&lt;$AA$6,SeismicData[[#This Row],[genergy]]&gt;$AA$5),"Outlier","Normal")</f>
        <v>Normal</v>
      </c>
    </row>
    <row r="1393" spans="1:24" x14ac:dyDescent="0.15">
      <c r="A1393">
        <v>1392</v>
      </c>
      <c r="B1393" t="s">
        <v>23</v>
      </c>
      <c r="C1393" t="s">
        <v>23</v>
      </c>
      <c r="D1393" t="s">
        <v>21</v>
      </c>
      <c r="E1393">
        <v>10690</v>
      </c>
      <c r="F1393">
        <v>367</v>
      </c>
      <c r="G1393">
        <v>182</v>
      </c>
      <c r="H1393">
        <v>227</v>
      </c>
      <c r="I1393" t="s">
        <v>20</v>
      </c>
      <c r="J1393">
        <v>0</v>
      </c>
      <c r="K1393">
        <v>0</v>
      </c>
      <c r="L1393">
        <v>0</v>
      </c>
      <c r="M1393">
        <v>0</v>
      </c>
      <c r="N1393">
        <v>0</v>
      </c>
      <c r="O1393">
        <v>0</v>
      </c>
      <c r="P1393">
        <v>0</v>
      </c>
      <c r="Q1393">
        <v>0</v>
      </c>
      <c r="R1393">
        <v>0</v>
      </c>
      <c r="S1393">
        <v>0</v>
      </c>
      <c r="T1393">
        <v>0</v>
      </c>
      <c r="U1393" t="str">
        <f>IF(SeismicData[[#This Row],[class]]=1,"Dangerous","Safe")</f>
        <v>Safe</v>
      </c>
      <c r="V1393" t="str">
        <f>IF(SeismicData[[#This Row],[shift]]="W","Production","Non-Production")</f>
        <v>Non-Production</v>
      </c>
      <c r="W1393" t="str">
        <f>IF(SeismicData[[#This Row],[genergy]]=0,"0","10^"&amp;INT(LOG10(SeismicData[[#This Row],[genergy]])))</f>
        <v>10^4</v>
      </c>
      <c r="X1393" t="str">
        <f>IF(OR(SeismicData[[#This Row],[genergy]]&lt;$AA$6,SeismicData[[#This Row],[genergy]]&gt;$AA$5),"Outlier","Normal")</f>
        <v>Normal</v>
      </c>
    </row>
    <row r="1394" spans="1:24" x14ac:dyDescent="0.15">
      <c r="A1394">
        <v>1393</v>
      </c>
      <c r="B1394" t="s">
        <v>23</v>
      </c>
      <c r="C1394" t="s">
        <v>23</v>
      </c>
      <c r="D1394" t="s">
        <v>21</v>
      </c>
      <c r="E1394">
        <v>11040</v>
      </c>
      <c r="F1394">
        <v>316</v>
      </c>
      <c r="G1394">
        <v>191</v>
      </c>
      <c r="H1394">
        <v>181</v>
      </c>
      <c r="I1394" t="s">
        <v>20</v>
      </c>
      <c r="J1394">
        <v>0</v>
      </c>
      <c r="K1394">
        <v>0</v>
      </c>
      <c r="L1394">
        <v>0</v>
      </c>
      <c r="M1394">
        <v>0</v>
      </c>
      <c r="N1394">
        <v>0</v>
      </c>
      <c r="O1394">
        <v>0</v>
      </c>
      <c r="P1394">
        <v>0</v>
      </c>
      <c r="Q1394">
        <v>0</v>
      </c>
      <c r="R1394">
        <v>0</v>
      </c>
      <c r="S1394">
        <v>0</v>
      </c>
      <c r="T1394">
        <v>0</v>
      </c>
      <c r="U1394" t="str">
        <f>IF(SeismicData[[#This Row],[class]]=1,"Dangerous","Safe")</f>
        <v>Safe</v>
      </c>
      <c r="V1394" t="str">
        <f>IF(SeismicData[[#This Row],[shift]]="W","Production","Non-Production")</f>
        <v>Non-Production</v>
      </c>
      <c r="W1394" t="str">
        <f>IF(SeismicData[[#This Row],[genergy]]=0,"0","10^"&amp;INT(LOG10(SeismicData[[#This Row],[genergy]])))</f>
        <v>10^4</v>
      </c>
      <c r="X1394" t="str">
        <f>IF(OR(SeismicData[[#This Row],[genergy]]&lt;$AA$6,SeismicData[[#This Row],[genergy]]&gt;$AA$5),"Outlier","Normal")</f>
        <v>Normal</v>
      </c>
    </row>
    <row r="1395" spans="1:24" x14ac:dyDescent="0.15">
      <c r="A1395">
        <v>1394</v>
      </c>
      <c r="B1395" t="s">
        <v>23</v>
      </c>
      <c r="C1395" t="s">
        <v>23</v>
      </c>
      <c r="D1395" t="s">
        <v>22</v>
      </c>
      <c r="E1395">
        <v>19430</v>
      </c>
      <c r="F1395">
        <v>453</v>
      </c>
      <c r="G1395">
        <v>5</v>
      </c>
      <c r="H1395">
        <v>-8</v>
      </c>
      <c r="I1395" t="s">
        <v>20</v>
      </c>
      <c r="J1395">
        <v>1</v>
      </c>
      <c r="K1395">
        <v>1</v>
      </c>
      <c r="L1395">
        <v>0</v>
      </c>
      <c r="M1395">
        <v>0</v>
      </c>
      <c r="N1395">
        <v>0</v>
      </c>
      <c r="O1395">
        <v>0</v>
      </c>
      <c r="P1395">
        <v>0</v>
      </c>
      <c r="Q1395">
        <v>0</v>
      </c>
      <c r="R1395">
        <v>600</v>
      </c>
      <c r="S1395">
        <v>600</v>
      </c>
      <c r="T1395">
        <v>0</v>
      </c>
      <c r="U1395" t="str">
        <f>IF(SeismicData[[#This Row],[class]]=1,"Dangerous","Safe")</f>
        <v>Safe</v>
      </c>
      <c r="V1395" t="str">
        <f>IF(SeismicData[[#This Row],[shift]]="W","Production","Non-Production")</f>
        <v>Production</v>
      </c>
      <c r="W1395" t="str">
        <f>IF(SeismicData[[#This Row],[genergy]]=0,"0","10^"&amp;INT(LOG10(SeismicData[[#This Row],[genergy]])))</f>
        <v>10^4</v>
      </c>
      <c r="X1395" t="str">
        <f>IF(OR(SeismicData[[#This Row],[genergy]]&lt;$AA$6,SeismicData[[#This Row],[genergy]]&gt;$AA$5),"Outlier","Normal")</f>
        <v>Normal</v>
      </c>
    </row>
    <row r="1396" spans="1:24" x14ac:dyDescent="0.15">
      <c r="A1396">
        <v>1395</v>
      </c>
      <c r="B1396" t="s">
        <v>23</v>
      </c>
      <c r="C1396" t="s">
        <v>23</v>
      </c>
      <c r="D1396" t="s">
        <v>22</v>
      </c>
      <c r="E1396">
        <v>21300</v>
      </c>
      <c r="F1396">
        <v>257</v>
      </c>
      <c r="G1396">
        <v>33</v>
      </c>
      <c r="H1396">
        <v>10</v>
      </c>
      <c r="I1396" t="s">
        <v>20</v>
      </c>
      <c r="J1396">
        <v>0</v>
      </c>
      <c r="K1396">
        <v>0</v>
      </c>
      <c r="L1396">
        <v>0</v>
      </c>
      <c r="M1396">
        <v>0</v>
      </c>
      <c r="N1396">
        <v>0</v>
      </c>
      <c r="O1396">
        <v>0</v>
      </c>
      <c r="P1396">
        <v>0</v>
      </c>
      <c r="Q1396">
        <v>0</v>
      </c>
      <c r="R1396">
        <v>0</v>
      </c>
      <c r="S1396">
        <v>0</v>
      </c>
      <c r="T1396">
        <v>0</v>
      </c>
      <c r="U1396" t="str">
        <f>IF(SeismicData[[#This Row],[class]]=1,"Dangerous","Safe")</f>
        <v>Safe</v>
      </c>
      <c r="V1396" t="str">
        <f>IF(SeismicData[[#This Row],[shift]]="W","Production","Non-Production")</f>
        <v>Production</v>
      </c>
      <c r="W1396" t="str">
        <f>IF(SeismicData[[#This Row],[genergy]]=0,"0","10^"&amp;INT(LOG10(SeismicData[[#This Row],[genergy]])))</f>
        <v>10^4</v>
      </c>
      <c r="X1396" t="str">
        <f>IF(OR(SeismicData[[#This Row],[genergy]]&lt;$AA$6,SeismicData[[#This Row],[genergy]]&gt;$AA$5),"Outlier","Normal")</f>
        <v>Normal</v>
      </c>
    </row>
    <row r="1397" spans="1:24" x14ac:dyDescent="0.15">
      <c r="A1397">
        <v>1396</v>
      </c>
      <c r="B1397" t="s">
        <v>23</v>
      </c>
      <c r="C1397" t="s">
        <v>23</v>
      </c>
      <c r="D1397" t="s">
        <v>22</v>
      </c>
      <c r="E1397">
        <v>13200</v>
      </c>
      <c r="F1397">
        <v>199</v>
      </c>
      <c r="G1397">
        <v>-18</v>
      </c>
      <c r="H1397">
        <v>-15</v>
      </c>
      <c r="I1397" t="s">
        <v>20</v>
      </c>
      <c r="J1397">
        <v>0</v>
      </c>
      <c r="K1397">
        <v>0</v>
      </c>
      <c r="L1397">
        <v>0</v>
      </c>
      <c r="M1397">
        <v>0</v>
      </c>
      <c r="N1397">
        <v>0</v>
      </c>
      <c r="O1397">
        <v>0</v>
      </c>
      <c r="P1397">
        <v>0</v>
      </c>
      <c r="Q1397">
        <v>0</v>
      </c>
      <c r="R1397">
        <v>0</v>
      </c>
      <c r="S1397">
        <v>0</v>
      </c>
      <c r="T1397">
        <v>0</v>
      </c>
      <c r="U1397" t="str">
        <f>IF(SeismicData[[#This Row],[class]]=1,"Dangerous","Safe")</f>
        <v>Safe</v>
      </c>
      <c r="V1397" t="str">
        <f>IF(SeismicData[[#This Row],[shift]]="W","Production","Non-Production")</f>
        <v>Production</v>
      </c>
      <c r="W1397" t="str">
        <f>IF(SeismicData[[#This Row],[genergy]]=0,"0","10^"&amp;INT(LOG10(SeismicData[[#This Row],[genergy]])))</f>
        <v>10^4</v>
      </c>
      <c r="X1397" t="str">
        <f>IF(OR(SeismicData[[#This Row],[genergy]]&lt;$AA$6,SeismicData[[#This Row],[genergy]]&gt;$AA$5),"Outlier","Normal")</f>
        <v>Normal</v>
      </c>
    </row>
    <row r="1398" spans="1:24" x14ac:dyDescent="0.15">
      <c r="A1398">
        <v>1397</v>
      </c>
      <c r="B1398" t="s">
        <v>23</v>
      </c>
      <c r="C1398" t="s">
        <v>23</v>
      </c>
      <c r="D1398" t="s">
        <v>22</v>
      </c>
      <c r="E1398">
        <v>13770</v>
      </c>
      <c r="F1398">
        <v>254</v>
      </c>
      <c r="G1398">
        <v>-14</v>
      </c>
      <c r="H1398">
        <v>9</v>
      </c>
      <c r="I1398" t="s">
        <v>20</v>
      </c>
      <c r="J1398">
        <v>0</v>
      </c>
      <c r="K1398">
        <v>0</v>
      </c>
      <c r="L1398">
        <v>0</v>
      </c>
      <c r="M1398">
        <v>0</v>
      </c>
      <c r="N1398">
        <v>0</v>
      </c>
      <c r="O1398">
        <v>0</v>
      </c>
      <c r="P1398">
        <v>0</v>
      </c>
      <c r="Q1398">
        <v>0</v>
      </c>
      <c r="R1398">
        <v>0</v>
      </c>
      <c r="S1398">
        <v>0</v>
      </c>
      <c r="T1398">
        <v>0</v>
      </c>
      <c r="U1398" t="str">
        <f>IF(SeismicData[[#This Row],[class]]=1,"Dangerous","Safe")</f>
        <v>Safe</v>
      </c>
      <c r="V1398" t="str">
        <f>IF(SeismicData[[#This Row],[shift]]="W","Production","Non-Production")</f>
        <v>Production</v>
      </c>
      <c r="W1398" t="str">
        <f>IF(SeismicData[[#This Row],[genergy]]=0,"0","10^"&amp;INT(LOG10(SeismicData[[#This Row],[genergy]])))</f>
        <v>10^4</v>
      </c>
      <c r="X1398" t="str">
        <f>IF(OR(SeismicData[[#This Row],[genergy]]&lt;$AA$6,SeismicData[[#This Row],[genergy]]&gt;$AA$5),"Outlier","Normal")</f>
        <v>Normal</v>
      </c>
    </row>
    <row r="1399" spans="1:24" x14ac:dyDescent="0.15">
      <c r="A1399">
        <v>1398</v>
      </c>
      <c r="B1399" t="s">
        <v>23</v>
      </c>
      <c r="C1399" t="s">
        <v>23</v>
      </c>
      <c r="D1399" t="s">
        <v>22</v>
      </c>
      <c r="E1399">
        <v>33400</v>
      </c>
      <c r="F1399">
        <v>749</v>
      </c>
      <c r="G1399">
        <v>81</v>
      </c>
      <c r="H1399">
        <v>52</v>
      </c>
      <c r="I1399" t="s">
        <v>20</v>
      </c>
      <c r="J1399">
        <v>0</v>
      </c>
      <c r="K1399">
        <v>0</v>
      </c>
      <c r="L1399">
        <v>0</v>
      </c>
      <c r="M1399">
        <v>0</v>
      </c>
      <c r="N1399">
        <v>0</v>
      </c>
      <c r="O1399">
        <v>0</v>
      </c>
      <c r="P1399">
        <v>0</v>
      </c>
      <c r="Q1399">
        <v>0</v>
      </c>
      <c r="R1399">
        <v>0</v>
      </c>
      <c r="S1399">
        <v>0</v>
      </c>
      <c r="T1399">
        <v>0</v>
      </c>
      <c r="U1399" t="str">
        <f>IF(SeismicData[[#This Row],[class]]=1,"Dangerous","Safe")</f>
        <v>Safe</v>
      </c>
      <c r="V1399" t="str">
        <f>IF(SeismicData[[#This Row],[shift]]="W","Production","Non-Production")</f>
        <v>Production</v>
      </c>
      <c r="W1399" t="str">
        <f>IF(SeismicData[[#This Row],[genergy]]=0,"0","10^"&amp;INT(LOG10(SeismicData[[#This Row],[genergy]])))</f>
        <v>10^4</v>
      </c>
      <c r="X1399" t="str">
        <f>IF(OR(SeismicData[[#This Row],[genergy]]&lt;$AA$6,SeismicData[[#This Row],[genergy]]&gt;$AA$5),"Outlier","Normal")</f>
        <v>Normal</v>
      </c>
    </row>
    <row r="1400" spans="1:24" x14ac:dyDescent="0.15">
      <c r="A1400">
        <v>1399</v>
      </c>
      <c r="B1400" t="s">
        <v>20</v>
      </c>
      <c r="C1400" t="s">
        <v>23</v>
      </c>
      <c r="D1400" t="s">
        <v>22</v>
      </c>
      <c r="E1400">
        <v>46080</v>
      </c>
      <c r="F1400">
        <v>942</v>
      </c>
      <c r="G1400">
        <v>146</v>
      </c>
      <c r="H1400">
        <v>87</v>
      </c>
      <c r="I1400" t="s">
        <v>20</v>
      </c>
      <c r="J1400">
        <v>0</v>
      </c>
      <c r="K1400">
        <v>0</v>
      </c>
      <c r="L1400">
        <v>0</v>
      </c>
      <c r="M1400">
        <v>0</v>
      </c>
      <c r="N1400">
        <v>0</v>
      </c>
      <c r="O1400">
        <v>0</v>
      </c>
      <c r="P1400">
        <v>0</v>
      </c>
      <c r="Q1400">
        <v>0</v>
      </c>
      <c r="R1400">
        <v>0</v>
      </c>
      <c r="S1400">
        <v>0</v>
      </c>
      <c r="T1400">
        <v>0</v>
      </c>
      <c r="U1400" t="str">
        <f>IF(SeismicData[[#This Row],[class]]=1,"Dangerous","Safe")</f>
        <v>Safe</v>
      </c>
      <c r="V1400" t="str">
        <f>IF(SeismicData[[#This Row],[shift]]="W","Production","Non-Production")</f>
        <v>Production</v>
      </c>
      <c r="W1400" t="str">
        <f>IF(SeismicData[[#This Row],[genergy]]=0,"0","10^"&amp;INT(LOG10(SeismicData[[#This Row],[genergy]])))</f>
        <v>10^4</v>
      </c>
      <c r="X1400" t="str">
        <f>IF(OR(SeismicData[[#This Row],[genergy]]&lt;$AA$6,SeismicData[[#This Row],[genergy]]&gt;$AA$5),"Outlier","Normal")</f>
        <v>Normal</v>
      </c>
    </row>
    <row r="1401" spans="1:24" x14ac:dyDescent="0.15">
      <c r="A1401">
        <v>1400</v>
      </c>
      <c r="B1401" t="s">
        <v>20</v>
      </c>
      <c r="C1401" t="s">
        <v>23</v>
      </c>
      <c r="D1401" t="s">
        <v>22</v>
      </c>
      <c r="E1401">
        <v>27940</v>
      </c>
      <c r="F1401">
        <v>334</v>
      </c>
      <c r="G1401">
        <v>74</v>
      </c>
      <c r="H1401">
        <v>39</v>
      </c>
      <c r="I1401" t="s">
        <v>20</v>
      </c>
      <c r="J1401">
        <v>0</v>
      </c>
      <c r="K1401">
        <v>0</v>
      </c>
      <c r="L1401">
        <v>0</v>
      </c>
      <c r="M1401">
        <v>0</v>
      </c>
      <c r="N1401">
        <v>0</v>
      </c>
      <c r="O1401">
        <v>0</v>
      </c>
      <c r="P1401">
        <v>0</v>
      </c>
      <c r="Q1401">
        <v>0</v>
      </c>
      <c r="R1401">
        <v>0</v>
      </c>
      <c r="S1401">
        <v>0</v>
      </c>
      <c r="T1401">
        <v>0</v>
      </c>
      <c r="U1401" t="str">
        <f>IF(SeismicData[[#This Row],[class]]=1,"Dangerous","Safe")</f>
        <v>Safe</v>
      </c>
      <c r="V1401" t="str">
        <f>IF(SeismicData[[#This Row],[shift]]="W","Production","Non-Production")</f>
        <v>Production</v>
      </c>
      <c r="W1401" t="str">
        <f>IF(SeismicData[[#This Row],[genergy]]=0,"0","10^"&amp;INT(LOG10(SeismicData[[#This Row],[genergy]])))</f>
        <v>10^4</v>
      </c>
      <c r="X1401" t="str">
        <f>IF(OR(SeismicData[[#This Row],[genergy]]&lt;$AA$6,SeismicData[[#This Row],[genergy]]&gt;$AA$5),"Outlier","Normal")</f>
        <v>Normal</v>
      </c>
    </row>
    <row r="1402" spans="1:24" x14ac:dyDescent="0.15">
      <c r="A1402">
        <v>1401</v>
      </c>
      <c r="B1402" t="s">
        <v>20</v>
      </c>
      <c r="C1402" t="s">
        <v>23</v>
      </c>
      <c r="D1402" t="s">
        <v>22</v>
      </c>
      <c r="E1402">
        <v>17600</v>
      </c>
      <c r="F1402">
        <v>543</v>
      </c>
      <c r="G1402">
        <v>-6</v>
      </c>
      <c r="H1402">
        <v>8</v>
      </c>
      <c r="I1402" t="s">
        <v>20</v>
      </c>
      <c r="J1402">
        <v>0</v>
      </c>
      <c r="K1402">
        <v>0</v>
      </c>
      <c r="L1402">
        <v>0</v>
      </c>
      <c r="M1402">
        <v>0</v>
      </c>
      <c r="N1402">
        <v>0</v>
      </c>
      <c r="O1402">
        <v>0</v>
      </c>
      <c r="P1402">
        <v>0</v>
      </c>
      <c r="Q1402">
        <v>0</v>
      </c>
      <c r="R1402">
        <v>0</v>
      </c>
      <c r="S1402">
        <v>0</v>
      </c>
      <c r="T1402">
        <v>0</v>
      </c>
      <c r="U1402" t="str">
        <f>IF(SeismicData[[#This Row],[class]]=1,"Dangerous","Safe")</f>
        <v>Safe</v>
      </c>
      <c r="V1402" t="str">
        <f>IF(SeismicData[[#This Row],[shift]]="W","Production","Non-Production")</f>
        <v>Production</v>
      </c>
      <c r="W1402" t="str">
        <f>IF(SeismicData[[#This Row],[genergy]]=0,"0","10^"&amp;INT(LOG10(SeismicData[[#This Row],[genergy]])))</f>
        <v>10^4</v>
      </c>
      <c r="X1402" t="str">
        <f>IF(OR(SeismicData[[#This Row],[genergy]]&lt;$AA$6,SeismicData[[#This Row],[genergy]]&gt;$AA$5),"Outlier","Normal")</f>
        <v>Normal</v>
      </c>
    </row>
    <row r="1403" spans="1:24" x14ac:dyDescent="0.15">
      <c r="A1403">
        <v>1402</v>
      </c>
      <c r="B1403" t="s">
        <v>20</v>
      </c>
      <c r="C1403" t="s">
        <v>23</v>
      </c>
      <c r="D1403" t="s">
        <v>22</v>
      </c>
      <c r="E1403">
        <v>17050</v>
      </c>
      <c r="F1403">
        <v>476</v>
      </c>
      <c r="G1403">
        <v>-9</v>
      </c>
      <c r="H1403">
        <v>-5</v>
      </c>
      <c r="I1403" t="s">
        <v>20</v>
      </c>
      <c r="J1403">
        <v>0</v>
      </c>
      <c r="K1403">
        <v>0</v>
      </c>
      <c r="L1403">
        <v>0</v>
      </c>
      <c r="M1403">
        <v>0</v>
      </c>
      <c r="N1403">
        <v>0</v>
      </c>
      <c r="O1403">
        <v>0</v>
      </c>
      <c r="P1403">
        <v>0</v>
      </c>
      <c r="Q1403">
        <v>0</v>
      </c>
      <c r="R1403">
        <v>0</v>
      </c>
      <c r="S1403">
        <v>0</v>
      </c>
      <c r="T1403">
        <v>0</v>
      </c>
      <c r="U1403" t="str">
        <f>IF(SeismicData[[#This Row],[class]]=1,"Dangerous","Safe")</f>
        <v>Safe</v>
      </c>
      <c r="V1403" t="str">
        <f>IF(SeismicData[[#This Row],[shift]]="W","Production","Non-Production")</f>
        <v>Production</v>
      </c>
      <c r="W1403" t="str">
        <f>IF(SeismicData[[#This Row],[genergy]]=0,"0","10^"&amp;INT(LOG10(SeismicData[[#This Row],[genergy]])))</f>
        <v>10^4</v>
      </c>
      <c r="X1403" t="str">
        <f>IF(OR(SeismicData[[#This Row],[genergy]]&lt;$AA$6,SeismicData[[#This Row],[genergy]]&gt;$AA$5),"Outlier","Normal")</f>
        <v>Normal</v>
      </c>
    </row>
    <row r="1404" spans="1:24" x14ac:dyDescent="0.15">
      <c r="A1404">
        <v>1403</v>
      </c>
      <c r="B1404" t="s">
        <v>20</v>
      </c>
      <c r="C1404" t="s">
        <v>23</v>
      </c>
      <c r="D1404" t="s">
        <v>22</v>
      </c>
      <c r="E1404">
        <v>10220</v>
      </c>
      <c r="F1404">
        <v>434</v>
      </c>
      <c r="G1404">
        <v>-45</v>
      </c>
      <c r="H1404">
        <v>-14</v>
      </c>
      <c r="I1404" t="s">
        <v>20</v>
      </c>
      <c r="J1404">
        <v>0</v>
      </c>
      <c r="K1404">
        <v>0</v>
      </c>
      <c r="L1404">
        <v>0</v>
      </c>
      <c r="M1404">
        <v>0</v>
      </c>
      <c r="N1404">
        <v>0</v>
      </c>
      <c r="O1404">
        <v>0</v>
      </c>
      <c r="P1404">
        <v>0</v>
      </c>
      <c r="Q1404">
        <v>0</v>
      </c>
      <c r="R1404">
        <v>0</v>
      </c>
      <c r="S1404">
        <v>0</v>
      </c>
      <c r="T1404">
        <v>0</v>
      </c>
      <c r="U1404" t="str">
        <f>IF(SeismicData[[#This Row],[class]]=1,"Dangerous","Safe")</f>
        <v>Safe</v>
      </c>
      <c r="V1404" t="str">
        <f>IF(SeismicData[[#This Row],[shift]]="W","Production","Non-Production")</f>
        <v>Production</v>
      </c>
      <c r="W1404" t="str">
        <f>IF(SeismicData[[#This Row],[genergy]]=0,"0","10^"&amp;INT(LOG10(SeismicData[[#This Row],[genergy]])))</f>
        <v>10^4</v>
      </c>
      <c r="X1404" t="str">
        <f>IF(OR(SeismicData[[#This Row],[genergy]]&lt;$AA$6,SeismicData[[#This Row],[genergy]]&gt;$AA$5),"Outlier","Normal")</f>
        <v>Normal</v>
      </c>
    </row>
    <row r="1405" spans="1:24" x14ac:dyDescent="0.15">
      <c r="A1405">
        <v>1404</v>
      </c>
      <c r="B1405" t="s">
        <v>20</v>
      </c>
      <c r="C1405" t="s">
        <v>23</v>
      </c>
      <c r="D1405" t="s">
        <v>22</v>
      </c>
      <c r="E1405">
        <v>14830</v>
      </c>
      <c r="F1405">
        <v>492</v>
      </c>
      <c r="G1405">
        <v>-21</v>
      </c>
      <c r="H1405">
        <v>-2</v>
      </c>
      <c r="I1405" t="s">
        <v>20</v>
      </c>
      <c r="J1405">
        <v>0</v>
      </c>
      <c r="K1405">
        <v>0</v>
      </c>
      <c r="L1405">
        <v>0</v>
      </c>
      <c r="M1405">
        <v>0</v>
      </c>
      <c r="N1405">
        <v>0</v>
      </c>
      <c r="O1405">
        <v>0</v>
      </c>
      <c r="P1405">
        <v>0</v>
      </c>
      <c r="Q1405">
        <v>0</v>
      </c>
      <c r="R1405">
        <v>0</v>
      </c>
      <c r="S1405">
        <v>0</v>
      </c>
      <c r="T1405">
        <v>0</v>
      </c>
      <c r="U1405" t="str">
        <f>IF(SeismicData[[#This Row],[class]]=1,"Dangerous","Safe")</f>
        <v>Safe</v>
      </c>
      <c r="V1405" t="str">
        <f>IF(SeismicData[[#This Row],[shift]]="W","Production","Non-Production")</f>
        <v>Production</v>
      </c>
      <c r="W1405" t="str">
        <f>IF(SeismicData[[#This Row],[genergy]]=0,"0","10^"&amp;INT(LOG10(SeismicData[[#This Row],[genergy]])))</f>
        <v>10^4</v>
      </c>
      <c r="X1405" t="str">
        <f>IF(OR(SeismicData[[#This Row],[genergy]]&lt;$AA$6,SeismicData[[#This Row],[genergy]]&gt;$AA$5),"Outlier","Normal")</f>
        <v>Normal</v>
      </c>
    </row>
    <row r="1406" spans="1:24" x14ac:dyDescent="0.15">
      <c r="A1406">
        <v>1405</v>
      </c>
      <c r="B1406" t="s">
        <v>20</v>
      </c>
      <c r="C1406" t="s">
        <v>23</v>
      </c>
      <c r="D1406" t="s">
        <v>22</v>
      </c>
      <c r="E1406">
        <v>23560</v>
      </c>
      <c r="F1406">
        <v>546</v>
      </c>
      <c r="G1406">
        <v>26</v>
      </c>
      <c r="H1406">
        <v>9</v>
      </c>
      <c r="I1406" t="s">
        <v>20</v>
      </c>
      <c r="J1406">
        <v>0</v>
      </c>
      <c r="K1406">
        <v>0</v>
      </c>
      <c r="L1406">
        <v>0</v>
      </c>
      <c r="M1406">
        <v>0</v>
      </c>
      <c r="N1406">
        <v>0</v>
      </c>
      <c r="O1406">
        <v>0</v>
      </c>
      <c r="P1406">
        <v>0</v>
      </c>
      <c r="Q1406">
        <v>0</v>
      </c>
      <c r="R1406">
        <v>0</v>
      </c>
      <c r="S1406">
        <v>0</v>
      </c>
      <c r="T1406">
        <v>0</v>
      </c>
      <c r="U1406" t="str">
        <f>IF(SeismicData[[#This Row],[class]]=1,"Dangerous","Safe")</f>
        <v>Safe</v>
      </c>
      <c r="V1406" t="str">
        <f>IF(SeismicData[[#This Row],[shift]]="W","Production","Non-Production")</f>
        <v>Production</v>
      </c>
      <c r="W1406" t="str">
        <f>IF(SeismicData[[#This Row],[genergy]]=0,"0","10^"&amp;INT(LOG10(SeismicData[[#This Row],[genergy]])))</f>
        <v>10^4</v>
      </c>
      <c r="X1406" t="str">
        <f>IF(OR(SeismicData[[#This Row],[genergy]]&lt;$AA$6,SeismicData[[#This Row],[genergy]]&gt;$AA$5),"Outlier","Normal")</f>
        <v>Normal</v>
      </c>
    </row>
    <row r="1407" spans="1:24" x14ac:dyDescent="0.15">
      <c r="A1407">
        <v>1406</v>
      </c>
      <c r="B1407" t="s">
        <v>20</v>
      </c>
      <c r="C1407" t="s">
        <v>23</v>
      </c>
      <c r="D1407" t="s">
        <v>22</v>
      </c>
      <c r="E1407">
        <v>34110</v>
      </c>
      <c r="F1407">
        <v>408</v>
      </c>
      <c r="G1407">
        <v>112</v>
      </c>
      <c r="H1407">
        <v>70</v>
      </c>
      <c r="I1407" t="s">
        <v>20</v>
      </c>
      <c r="J1407">
        <v>3</v>
      </c>
      <c r="K1407">
        <v>2</v>
      </c>
      <c r="L1407">
        <v>1</v>
      </c>
      <c r="M1407">
        <v>0</v>
      </c>
      <c r="N1407">
        <v>0</v>
      </c>
      <c r="O1407">
        <v>0</v>
      </c>
      <c r="P1407">
        <v>0</v>
      </c>
      <c r="Q1407">
        <v>0</v>
      </c>
      <c r="R1407">
        <v>5300</v>
      </c>
      <c r="S1407">
        <v>4000</v>
      </c>
      <c r="T1407">
        <v>0</v>
      </c>
      <c r="U1407" t="str">
        <f>IF(SeismicData[[#This Row],[class]]=1,"Dangerous","Safe")</f>
        <v>Safe</v>
      </c>
      <c r="V1407" t="str">
        <f>IF(SeismicData[[#This Row],[shift]]="W","Production","Non-Production")</f>
        <v>Production</v>
      </c>
      <c r="W1407" t="str">
        <f>IF(SeismicData[[#This Row],[genergy]]=0,"0","10^"&amp;INT(LOG10(SeismicData[[#This Row],[genergy]])))</f>
        <v>10^4</v>
      </c>
      <c r="X1407" t="str">
        <f>IF(OR(SeismicData[[#This Row],[genergy]]&lt;$AA$6,SeismicData[[#This Row],[genergy]]&gt;$AA$5),"Outlier","Normal")</f>
        <v>Normal</v>
      </c>
    </row>
    <row r="1408" spans="1:24" x14ac:dyDescent="0.15">
      <c r="A1408">
        <v>1407</v>
      </c>
      <c r="B1408" t="s">
        <v>20</v>
      </c>
      <c r="C1408" t="s">
        <v>23</v>
      </c>
      <c r="D1408" t="s">
        <v>22</v>
      </c>
      <c r="E1408">
        <v>26120</v>
      </c>
      <c r="F1408">
        <v>341</v>
      </c>
      <c r="G1408">
        <v>62</v>
      </c>
      <c r="H1408">
        <v>39</v>
      </c>
      <c r="I1408" t="s">
        <v>20</v>
      </c>
      <c r="J1408">
        <v>1</v>
      </c>
      <c r="K1408">
        <v>1</v>
      </c>
      <c r="L1408">
        <v>0</v>
      </c>
      <c r="M1408">
        <v>0</v>
      </c>
      <c r="N1408">
        <v>0</v>
      </c>
      <c r="O1408">
        <v>0</v>
      </c>
      <c r="P1408">
        <v>0</v>
      </c>
      <c r="Q1408">
        <v>0</v>
      </c>
      <c r="R1408">
        <v>400</v>
      </c>
      <c r="S1408">
        <v>400</v>
      </c>
      <c r="T1408">
        <v>0</v>
      </c>
      <c r="U1408" t="str">
        <f>IF(SeismicData[[#This Row],[class]]=1,"Dangerous","Safe")</f>
        <v>Safe</v>
      </c>
      <c r="V1408" t="str">
        <f>IF(SeismicData[[#This Row],[shift]]="W","Production","Non-Production")</f>
        <v>Production</v>
      </c>
      <c r="W1408" t="str">
        <f>IF(SeismicData[[#This Row],[genergy]]=0,"0","10^"&amp;INT(LOG10(SeismicData[[#This Row],[genergy]])))</f>
        <v>10^4</v>
      </c>
      <c r="X1408" t="str">
        <f>IF(OR(SeismicData[[#This Row],[genergy]]&lt;$AA$6,SeismicData[[#This Row],[genergy]]&gt;$AA$5),"Outlier","Normal")</f>
        <v>Normal</v>
      </c>
    </row>
    <row r="1409" spans="1:24" x14ac:dyDescent="0.15">
      <c r="A1409">
        <v>1408</v>
      </c>
      <c r="B1409" t="s">
        <v>20</v>
      </c>
      <c r="C1409" t="s">
        <v>23</v>
      </c>
      <c r="D1409" t="s">
        <v>22</v>
      </c>
      <c r="E1409">
        <v>11160</v>
      </c>
      <c r="F1409">
        <v>543</v>
      </c>
      <c r="G1409">
        <v>-41</v>
      </c>
      <c r="H1409">
        <v>7</v>
      </c>
      <c r="I1409" t="s">
        <v>20</v>
      </c>
      <c r="J1409">
        <v>0</v>
      </c>
      <c r="K1409">
        <v>0</v>
      </c>
      <c r="L1409">
        <v>0</v>
      </c>
      <c r="M1409">
        <v>0</v>
      </c>
      <c r="N1409">
        <v>0</v>
      </c>
      <c r="O1409">
        <v>0</v>
      </c>
      <c r="P1409">
        <v>0</v>
      </c>
      <c r="Q1409">
        <v>0</v>
      </c>
      <c r="R1409">
        <v>0</v>
      </c>
      <c r="S1409">
        <v>0</v>
      </c>
      <c r="T1409">
        <v>0</v>
      </c>
      <c r="U1409" t="str">
        <f>IF(SeismicData[[#This Row],[class]]=1,"Dangerous","Safe")</f>
        <v>Safe</v>
      </c>
      <c r="V1409" t="str">
        <f>IF(SeismicData[[#This Row],[shift]]="W","Production","Non-Production")</f>
        <v>Production</v>
      </c>
      <c r="W1409" t="str">
        <f>IF(SeismicData[[#This Row],[genergy]]=0,"0","10^"&amp;INT(LOG10(SeismicData[[#This Row],[genergy]])))</f>
        <v>10^4</v>
      </c>
      <c r="X1409" t="str">
        <f>IF(OR(SeismicData[[#This Row],[genergy]]&lt;$AA$6,SeismicData[[#This Row],[genergy]]&gt;$AA$5),"Outlier","Normal")</f>
        <v>Normal</v>
      </c>
    </row>
    <row r="1410" spans="1:24" x14ac:dyDescent="0.15">
      <c r="A1410">
        <v>1409</v>
      </c>
      <c r="B1410" t="s">
        <v>20</v>
      </c>
      <c r="C1410" t="s">
        <v>23</v>
      </c>
      <c r="D1410" t="s">
        <v>22</v>
      </c>
      <c r="E1410">
        <v>11830</v>
      </c>
      <c r="F1410">
        <v>201</v>
      </c>
      <c r="G1410">
        <v>-27</v>
      </c>
      <c r="H1410">
        <v>-18</v>
      </c>
      <c r="I1410" t="s">
        <v>20</v>
      </c>
      <c r="J1410">
        <v>0</v>
      </c>
      <c r="K1410">
        <v>0</v>
      </c>
      <c r="L1410">
        <v>0</v>
      </c>
      <c r="M1410">
        <v>0</v>
      </c>
      <c r="N1410">
        <v>0</v>
      </c>
      <c r="O1410">
        <v>0</v>
      </c>
      <c r="P1410">
        <v>0</v>
      </c>
      <c r="Q1410">
        <v>0</v>
      </c>
      <c r="R1410">
        <v>0</v>
      </c>
      <c r="S1410">
        <v>0</v>
      </c>
      <c r="T1410">
        <v>0</v>
      </c>
      <c r="U1410" t="str">
        <f>IF(SeismicData[[#This Row],[class]]=1,"Dangerous","Safe")</f>
        <v>Safe</v>
      </c>
      <c r="V1410" t="str">
        <f>IF(SeismicData[[#This Row],[shift]]="W","Production","Non-Production")</f>
        <v>Production</v>
      </c>
      <c r="W1410" t="str">
        <f>IF(SeismicData[[#This Row],[genergy]]=0,"0","10^"&amp;INT(LOG10(SeismicData[[#This Row],[genergy]])))</f>
        <v>10^4</v>
      </c>
      <c r="X1410" t="str">
        <f>IF(OR(SeismicData[[#This Row],[genergy]]&lt;$AA$6,SeismicData[[#This Row],[genergy]]&gt;$AA$5),"Outlier","Normal")</f>
        <v>Normal</v>
      </c>
    </row>
    <row r="1411" spans="1:24" x14ac:dyDescent="0.15">
      <c r="A1411">
        <v>1410</v>
      </c>
      <c r="B1411" t="s">
        <v>20</v>
      </c>
      <c r="C1411" t="s">
        <v>23</v>
      </c>
      <c r="D1411" t="s">
        <v>22</v>
      </c>
      <c r="E1411">
        <v>12150</v>
      </c>
      <c r="F1411">
        <v>361</v>
      </c>
      <c r="G1411">
        <v>-36</v>
      </c>
      <c r="H1411">
        <v>-29</v>
      </c>
      <c r="I1411" t="s">
        <v>20</v>
      </c>
      <c r="J1411">
        <v>0</v>
      </c>
      <c r="K1411">
        <v>0</v>
      </c>
      <c r="L1411">
        <v>0</v>
      </c>
      <c r="M1411">
        <v>0</v>
      </c>
      <c r="N1411">
        <v>0</v>
      </c>
      <c r="O1411">
        <v>0</v>
      </c>
      <c r="P1411">
        <v>0</v>
      </c>
      <c r="Q1411">
        <v>0</v>
      </c>
      <c r="R1411">
        <v>0</v>
      </c>
      <c r="S1411">
        <v>0</v>
      </c>
      <c r="T1411">
        <v>0</v>
      </c>
      <c r="U1411" t="str">
        <f>IF(SeismicData[[#This Row],[class]]=1,"Dangerous","Safe")</f>
        <v>Safe</v>
      </c>
      <c r="V1411" t="str">
        <f>IF(SeismicData[[#This Row],[shift]]="W","Production","Non-Production")</f>
        <v>Production</v>
      </c>
      <c r="W1411" t="str">
        <f>IF(SeismicData[[#This Row],[genergy]]=0,"0","10^"&amp;INT(LOG10(SeismicData[[#This Row],[genergy]])))</f>
        <v>10^4</v>
      </c>
      <c r="X1411" t="str">
        <f>IF(OR(SeismicData[[#This Row],[genergy]]&lt;$AA$6,SeismicData[[#This Row],[genergy]]&gt;$AA$5),"Outlier","Normal")</f>
        <v>Normal</v>
      </c>
    </row>
    <row r="1412" spans="1:24" x14ac:dyDescent="0.15">
      <c r="A1412">
        <v>1411</v>
      </c>
      <c r="B1412" t="s">
        <v>20</v>
      </c>
      <c r="C1412" t="s">
        <v>23</v>
      </c>
      <c r="D1412" t="s">
        <v>22</v>
      </c>
      <c r="E1412">
        <v>12180</v>
      </c>
      <c r="F1412">
        <v>351</v>
      </c>
      <c r="G1412">
        <v>-24</v>
      </c>
      <c r="H1412">
        <v>44</v>
      </c>
      <c r="I1412" t="s">
        <v>20</v>
      </c>
      <c r="J1412">
        <v>0</v>
      </c>
      <c r="K1412">
        <v>0</v>
      </c>
      <c r="L1412">
        <v>0</v>
      </c>
      <c r="M1412">
        <v>0</v>
      </c>
      <c r="N1412">
        <v>0</v>
      </c>
      <c r="O1412">
        <v>0</v>
      </c>
      <c r="P1412">
        <v>0</v>
      </c>
      <c r="Q1412">
        <v>0</v>
      </c>
      <c r="R1412">
        <v>0</v>
      </c>
      <c r="S1412">
        <v>0</v>
      </c>
      <c r="T1412">
        <v>0</v>
      </c>
      <c r="U1412" t="str">
        <f>IF(SeismicData[[#This Row],[class]]=1,"Dangerous","Safe")</f>
        <v>Safe</v>
      </c>
      <c r="V1412" t="str">
        <f>IF(SeismicData[[#This Row],[shift]]="W","Production","Non-Production")</f>
        <v>Production</v>
      </c>
      <c r="W1412" t="str">
        <f>IF(SeismicData[[#This Row],[genergy]]=0,"0","10^"&amp;INT(LOG10(SeismicData[[#This Row],[genergy]])))</f>
        <v>10^4</v>
      </c>
      <c r="X1412" t="str">
        <f>IF(OR(SeismicData[[#This Row],[genergy]]&lt;$AA$6,SeismicData[[#This Row],[genergy]]&gt;$AA$5),"Outlier","Normal")</f>
        <v>Normal</v>
      </c>
    </row>
    <row r="1413" spans="1:24" x14ac:dyDescent="0.15">
      <c r="A1413">
        <v>1412</v>
      </c>
      <c r="B1413" t="s">
        <v>20</v>
      </c>
      <c r="C1413" t="s">
        <v>23</v>
      </c>
      <c r="D1413" t="s">
        <v>22</v>
      </c>
      <c r="E1413">
        <v>14980</v>
      </c>
      <c r="F1413">
        <v>267</v>
      </c>
      <c r="G1413">
        <v>-7</v>
      </c>
      <c r="H1413">
        <v>9</v>
      </c>
      <c r="I1413" t="s">
        <v>20</v>
      </c>
      <c r="J1413">
        <v>0</v>
      </c>
      <c r="K1413">
        <v>0</v>
      </c>
      <c r="L1413">
        <v>0</v>
      </c>
      <c r="M1413">
        <v>0</v>
      </c>
      <c r="N1413">
        <v>0</v>
      </c>
      <c r="O1413">
        <v>0</v>
      </c>
      <c r="P1413">
        <v>0</v>
      </c>
      <c r="Q1413">
        <v>0</v>
      </c>
      <c r="R1413">
        <v>0</v>
      </c>
      <c r="S1413">
        <v>0</v>
      </c>
      <c r="T1413">
        <v>0</v>
      </c>
      <c r="U1413" t="str">
        <f>IF(SeismicData[[#This Row],[class]]=1,"Dangerous","Safe")</f>
        <v>Safe</v>
      </c>
      <c r="V1413" t="str">
        <f>IF(SeismicData[[#This Row],[shift]]="W","Production","Non-Production")</f>
        <v>Production</v>
      </c>
      <c r="W1413" t="str">
        <f>IF(SeismicData[[#This Row],[genergy]]=0,"0","10^"&amp;INT(LOG10(SeismicData[[#This Row],[genergy]])))</f>
        <v>10^4</v>
      </c>
      <c r="X1413" t="str">
        <f>IF(OR(SeismicData[[#This Row],[genergy]]&lt;$AA$6,SeismicData[[#This Row],[genergy]]&gt;$AA$5),"Outlier","Normal")</f>
        <v>Normal</v>
      </c>
    </row>
    <row r="1414" spans="1:24" x14ac:dyDescent="0.15">
      <c r="A1414">
        <v>1413</v>
      </c>
      <c r="B1414" t="s">
        <v>20</v>
      </c>
      <c r="C1414" t="s">
        <v>23</v>
      </c>
      <c r="D1414" t="s">
        <v>22</v>
      </c>
      <c r="E1414">
        <v>44150</v>
      </c>
      <c r="F1414">
        <v>951</v>
      </c>
      <c r="G1414">
        <v>134</v>
      </c>
      <c r="H1414">
        <v>88</v>
      </c>
      <c r="I1414" t="s">
        <v>20</v>
      </c>
      <c r="J1414">
        <v>0</v>
      </c>
      <c r="K1414">
        <v>0</v>
      </c>
      <c r="L1414">
        <v>0</v>
      </c>
      <c r="M1414">
        <v>0</v>
      </c>
      <c r="N1414">
        <v>0</v>
      </c>
      <c r="O1414">
        <v>0</v>
      </c>
      <c r="P1414">
        <v>0</v>
      </c>
      <c r="Q1414">
        <v>0</v>
      </c>
      <c r="R1414">
        <v>0</v>
      </c>
      <c r="S1414">
        <v>0</v>
      </c>
      <c r="T1414">
        <v>0</v>
      </c>
      <c r="U1414" t="str">
        <f>IF(SeismicData[[#This Row],[class]]=1,"Dangerous","Safe")</f>
        <v>Safe</v>
      </c>
      <c r="V1414" t="str">
        <f>IF(SeismicData[[#This Row],[shift]]="W","Production","Non-Production")</f>
        <v>Production</v>
      </c>
      <c r="W1414" t="str">
        <f>IF(SeismicData[[#This Row],[genergy]]=0,"0","10^"&amp;INT(LOG10(SeismicData[[#This Row],[genergy]])))</f>
        <v>10^4</v>
      </c>
      <c r="X1414" t="str">
        <f>IF(OR(SeismicData[[#This Row],[genergy]]&lt;$AA$6,SeismicData[[#This Row],[genergy]]&gt;$AA$5),"Outlier","Normal")</f>
        <v>Normal</v>
      </c>
    </row>
    <row r="1415" spans="1:24" x14ac:dyDescent="0.15">
      <c r="A1415">
        <v>1414</v>
      </c>
      <c r="B1415" t="s">
        <v>20</v>
      </c>
      <c r="C1415" t="s">
        <v>23</v>
      </c>
      <c r="D1415" t="s">
        <v>22</v>
      </c>
      <c r="E1415">
        <v>32670</v>
      </c>
      <c r="F1415">
        <v>476</v>
      </c>
      <c r="G1415">
        <v>103</v>
      </c>
      <c r="H1415">
        <v>95</v>
      </c>
      <c r="I1415" t="s">
        <v>20</v>
      </c>
      <c r="J1415">
        <v>1</v>
      </c>
      <c r="K1415">
        <v>1</v>
      </c>
      <c r="L1415">
        <v>0</v>
      </c>
      <c r="M1415">
        <v>0</v>
      </c>
      <c r="N1415">
        <v>0</v>
      </c>
      <c r="O1415">
        <v>0</v>
      </c>
      <c r="P1415">
        <v>0</v>
      </c>
      <c r="Q1415">
        <v>0</v>
      </c>
      <c r="R1415">
        <v>800</v>
      </c>
      <c r="S1415">
        <v>800</v>
      </c>
      <c r="T1415">
        <v>0</v>
      </c>
      <c r="U1415" t="str">
        <f>IF(SeismicData[[#This Row],[class]]=1,"Dangerous","Safe")</f>
        <v>Safe</v>
      </c>
      <c r="V1415" t="str">
        <f>IF(SeismicData[[#This Row],[shift]]="W","Production","Non-Production")</f>
        <v>Production</v>
      </c>
      <c r="W1415" t="str">
        <f>IF(SeismicData[[#This Row],[genergy]]=0,"0","10^"&amp;INT(LOG10(SeismicData[[#This Row],[genergy]])))</f>
        <v>10^4</v>
      </c>
      <c r="X1415" t="str">
        <f>IF(OR(SeismicData[[#This Row],[genergy]]&lt;$AA$6,SeismicData[[#This Row],[genergy]]&gt;$AA$5),"Outlier","Normal")</f>
        <v>Normal</v>
      </c>
    </row>
    <row r="1416" spans="1:24" x14ac:dyDescent="0.15">
      <c r="A1416">
        <v>1415</v>
      </c>
      <c r="B1416" t="s">
        <v>20</v>
      </c>
      <c r="C1416" t="s">
        <v>23</v>
      </c>
      <c r="D1416" t="s">
        <v>22</v>
      </c>
      <c r="E1416">
        <v>17470</v>
      </c>
      <c r="F1416">
        <v>643</v>
      </c>
      <c r="G1416">
        <v>-9</v>
      </c>
      <c r="H1416">
        <v>23</v>
      </c>
      <c r="I1416" t="s">
        <v>20</v>
      </c>
      <c r="J1416">
        <v>1</v>
      </c>
      <c r="K1416">
        <v>1</v>
      </c>
      <c r="L1416">
        <v>0</v>
      </c>
      <c r="M1416">
        <v>0</v>
      </c>
      <c r="N1416">
        <v>0</v>
      </c>
      <c r="O1416">
        <v>0</v>
      </c>
      <c r="P1416">
        <v>0</v>
      </c>
      <c r="Q1416">
        <v>0</v>
      </c>
      <c r="R1416">
        <v>300</v>
      </c>
      <c r="S1416">
        <v>300</v>
      </c>
      <c r="T1416">
        <v>0</v>
      </c>
      <c r="U1416" t="str">
        <f>IF(SeismicData[[#This Row],[class]]=1,"Dangerous","Safe")</f>
        <v>Safe</v>
      </c>
      <c r="V1416" t="str">
        <f>IF(SeismicData[[#This Row],[shift]]="W","Production","Non-Production")</f>
        <v>Production</v>
      </c>
      <c r="W1416" t="str">
        <f>IF(SeismicData[[#This Row],[genergy]]=0,"0","10^"&amp;INT(LOG10(SeismicData[[#This Row],[genergy]])))</f>
        <v>10^4</v>
      </c>
      <c r="X1416" t="str">
        <f>IF(OR(SeismicData[[#This Row],[genergy]]&lt;$AA$6,SeismicData[[#This Row],[genergy]]&gt;$AA$5),"Outlier","Normal")</f>
        <v>Normal</v>
      </c>
    </row>
    <row r="1417" spans="1:24" x14ac:dyDescent="0.15">
      <c r="A1417">
        <v>1416</v>
      </c>
      <c r="B1417" t="s">
        <v>20</v>
      </c>
      <c r="C1417" t="s">
        <v>23</v>
      </c>
      <c r="D1417" t="s">
        <v>21</v>
      </c>
      <c r="E1417">
        <v>12840</v>
      </c>
      <c r="F1417">
        <v>471</v>
      </c>
      <c r="G1417">
        <v>37</v>
      </c>
      <c r="H1417">
        <v>51</v>
      </c>
      <c r="I1417" t="s">
        <v>20</v>
      </c>
      <c r="J1417">
        <v>1</v>
      </c>
      <c r="K1417">
        <v>1</v>
      </c>
      <c r="L1417">
        <v>0</v>
      </c>
      <c r="M1417">
        <v>0</v>
      </c>
      <c r="N1417">
        <v>0</v>
      </c>
      <c r="O1417">
        <v>0</v>
      </c>
      <c r="P1417">
        <v>0</v>
      </c>
      <c r="Q1417">
        <v>0</v>
      </c>
      <c r="R1417">
        <v>200</v>
      </c>
      <c r="S1417">
        <v>200</v>
      </c>
      <c r="T1417">
        <v>0</v>
      </c>
      <c r="U1417" t="str">
        <f>IF(SeismicData[[#This Row],[class]]=1,"Dangerous","Safe")</f>
        <v>Safe</v>
      </c>
      <c r="V1417" t="str">
        <f>IF(SeismicData[[#This Row],[shift]]="W","Production","Non-Production")</f>
        <v>Non-Production</v>
      </c>
      <c r="W1417" t="str">
        <f>IF(SeismicData[[#This Row],[genergy]]=0,"0","10^"&amp;INT(LOG10(SeismicData[[#This Row],[genergy]])))</f>
        <v>10^4</v>
      </c>
      <c r="X1417" t="str">
        <f>IF(OR(SeismicData[[#This Row],[genergy]]&lt;$AA$6,SeismicData[[#This Row],[genergy]]&gt;$AA$5),"Outlier","Normal")</f>
        <v>Normal</v>
      </c>
    </row>
    <row r="1418" spans="1:24" x14ac:dyDescent="0.15">
      <c r="A1418">
        <v>1417</v>
      </c>
      <c r="B1418" t="s">
        <v>20</v>
      </c>
      <c r="C1418" t="s">
        <v>23</v>
      </c>
      <c r="D1418" t="s">
        <v>21</v>
      </c>
      <c r="E1418">
        <v>12260</v>
      </c>
      <c r="F1418">
        <v>413</v>
      </c>
      <c r="G1418">
        <v>31</v>
      </c>
      <c r="H1418">
        <v>32</v>
      </c>
      <c r="I1418" t="s">
        <v>20</v>
      </c>
      <c r="J1418">
        <v>1</v>
      </c>
      <c r="K1418">
        <v>1</v>
      </c>
      <c r="L1418">
        <v>0</v>
      </c>
      <c r="M1418">
        <v>0</v>
      </c>
      <c r="N1418">
        <v>0</v>
      </c>
      <c r="O1418">
        <v>0</v>
      </c>
      <c r="P1418">
        <v>0</v>
      </c>
      <c r="Q1418">
        <v>0</v>
      </c>
      <c r="R1418">
        <v>200</v>
      </c>
      <c r="S1418">
        <v>200</v>
      </c>
      <c r="T1418">
        <v>0</v>
      </c>
      <c r="U1418" t="str">
        <f>IF(SeismicData[[#This Row],[class]]=1,"Dangerous","Safe")</f>
        <v>Safe</v>
      </c>
      <c r="V1418" t="str">
        <f>IF(SeismicData[[#This Row],[shift]]="W","Production","Non-Production")</f>
        <v>Non-Production</v>
      </c>
      <c r="W1418" t="str">
        <f>IF(SeismicData[[#This Row],[genergy]]=0,"0","10^"&amp;INT(LOG10(SeismicData[[#This Row],[genergy]])))</f>
        <v>10^4</v>
      </c>
      <c r="X1418" t="str">
        <f>IF(OR(SeismicData[[#This Row],[genergy]]&lt;$AA$6,SeismicData[[#This Row],[genergy]]&gt;$AA$5),"Outlier","Normal")</f>
        <v>Normal</v>
      </c>
    </row>
    <row r="1419" spans="1:24" x14ac:dyDescent="0.15">
      <c r="A1419">
        <v>1418</v>
      </c>
      <c r="B1419" t="s">
        <v>20</v>
      </c>
      <c r="C1419" t="s">
        <v>23</v>
      </c>
      <c r="D1419" t="s">
        <v>21</v>
      </c>
      <c r="E1419">
        <v>6010</v>
      </c>
      <c r="F1419">
        <v>329</v>
      </c>
      <c r="G1419">
        <v>-36</v>
      </c>
      <c r="H1419">
        <v>5</v>
      </c>
      <c r="I1419" t="s">
        <v>20</v>
      </c>
      <c r="J1419">
        <v>0</v>
      </c>
      <c r="K1419">
        <v>0</v>
      </c>
      <c r="L1419">
        <v>0</v>
      </c>
      <c r="M1419">
        <v>0</v>
      </c>
      <c r="N1419">
        <v>0</v>
      </c>
      <c r="O1419">
        <v>0</v>
      </c>
      <c r="P1419">
        <v>0</v>
      </c>
      <c r="Q1419">
        <v>0</v>
      </c>
      <c r="R1419">
        <v>0</v>
      </c>
      <c r="S1419">
        <v>0</v>
      </c>
      <c r="T1419">
        <v>0</v>
      </c>
      <c r="U1419" t="str">
        <f>IF(SeismicData[[#This Row],[class]]=1,"Dangerous","Safe")</f>
        <v>Safe</v>
      </c>
      <c r="V1419" t="str">
        <f>IF(SeismicData[[#This Row],[shift]]="W","Production","Non-Production")</f>
        <v>Non-Production</v>
      </c>
      <c r="W1419" t="str">
        <f>IF(SeismicData[[#This Row],[genergy]]=0,"0","10^"&amp;INT(LOG10(SeismicData[[#This Row],[genergy]])))</f>
        <v>10^3</v>
      </c>
      <c r="X1419" t="str">
        <f>IF(OR(SeismicData[[#This Row],[genergy]]&lt;$AA$6,SeismicData[[#This Row],[genergy]]&gt;$AA$5),"Outlier","Normal")</f>
        <v>Normal</v>
      </c>
    </row>
    <row r="1420" spans="1:24" x14ac:dyDescent="0.15">
      <c r="A1420">
        <v>1419</v>
      </c>
      <c r="B1420" t="s">
        <v>20</v>
      </c>
      <c r="C1420" t="s">
        <v>23</v>
      </c>
      <c r="D1420" t="s">
        <v>21</v>
      </c>
      <c r="E1420">
        <v>9450</v>
      </c>
      <c r="F1420">
        <v>349</v>
      </c>
      <c r="G1420">
        <v>1</v>
      </c>
      <c r="H1420">
        <v>12</v>
      </c>
      <c r="I1420" t="s">
        <v>20</v>
      </c>
      <c r="J1420">
        <v>0</v>
      </c>
      <c r="K1420">
        <v>0</v>
      </c>
      <c r="L1420">
        <v>0</v>
      </c>
      <c r="M1420">
        <v>0</v>
      </c>
      <c r="N1420">
        <v>0</v>
      </c>
      <c r="O1420">
        <v>0</v>
      </c>
      <c r="P1420">
        <v>0</v>
      </c>
      <c r="Q1420">
        <v>0</v>
      </c>
      <c r="R1420">
        <v>0</v>
      </c>
      <c r="S1420">
        <v>0</v>
      </c>
      <c r="T1420">
        <v>0</v>
      </c>
      <c r="U1420" t="str">
        <f>IF(SeismicData[[#This Row],[class]]=1,"Dangerous","Safe")</f>
        <v>Safe</v>
      </c>
      <c r="V1420" t="str">
        <f>IF(SeismicData[[#This Row],[shift]]="W","Production","Non-Production")</f>
        <v>Non-Production</v>
      </c>
      <c r="W1420" t="str">
        <f>IF(SeismicData[[#This Row],[genergy]]=0,"0","10^"&amp;INT(LOG10(SeismicData[[#This Row],[genergy]])))</f>
        <v>10^3</v>
      </c>
      <c r="X1420" t="str">
        <f>IF(OR(SeismicData[[#This Row],[genergy]]&lt;$AA$6,SeismicData[[#This Row],[genergy]]&gt;$AA$5),"Outlier","Normal")</f>
        <v>Normal</v>
      </c>
    </row>
    <row r="1421" spans="1:24" x14ac:dyDescent="0.15">
      <c r="A1421">
        <v>1420</v>
      </c>
      <c r="B1421" t="s">
        <v>20</v>
      </c>
      <c r="C1421" t="s">
        <v>23</v>
      </c>
      <c r="D1421" t="s">
        <v>21</v>
      </c>
      <c r="E1421">
        <v>10890</v>
      </c>
      <c r="F1421">
        <v>283</v>
      </c>
      <c r="G1421">
        <v>16</v>
      </c>
      <c r="H1421">
        <v>-9</v>
      </c>
      <c r="I1421" t="s">
        <v>20</v>
      </c>
      <c r="J1421">
        <v>0</v>
      </c>
      <c r="K1421">
        <v>0</v>
      </c>
      <c r="L1421">
        <v>0</v>
      </c>
      <c r="M1421">
        <v>0</v>
      </c>
      <c r="N1421">
        <v>0</v>
      </c>
      <c r="O1421">
        <v>0</v>
      </c>
      <c r="P1421">
        <v>0</v>
      </c>
      <c r="Q1421">
        <v>0</v>
      </c>
      <c r="R1421">
        <v>0</v>
      </c>
      <c r="S1421">
        <v>0</v>
      </c>
      <c r="T1421">
        <v>0</v>
      </c>
      <c r="U1421" t="str">
        <f>IF(SeismicData[[#This Row],[class]]=1,"Dangerous","Safe")</f>
        <v>Safe</v>
      </c>
      <c r="V1421" t="str">
        <f>IF(SeismicData[[#This Row],[shift]]="W","Production","Non-Production")</f>
        <v>Non-Production</v>
      </c>
      <c r="W1421" t="str">
        <f>IF(SeismicData[[#This Row],[genergy]]=0,"0","10^"&amp;INT(LOG10(SeismicData[[#This Row],[genergy]])))</f>
        <v>10^4</v>
      </c>
      <c r="X1421" t="str">
        <f>IF(OR(SeismicData[[#This Row],[genergy]]&lt;$AA$6,SeismicData[[#This Row],[genergy]]&gt;$AA$5),"Outlier","Normal")</f>
        <v>Normal</v>
      </c>
    </row>
    <row r="1422" spans="1:24" x14ac:dyDescent="0.15">
      <c r="A1422">
        <v>1421</v>
      </c>
      <c r="B1422" t="s">
        <v>20</v>
      </c>
      <c r="C1422" t="s">
        <v>23</v>
      </c>
      <c r="D1422" t="s">
        <v>21</v>
      </c>
      <c r="E1422">
        <v>7780</v>
      </c>
      <c r="F1422">
        <v>291</v>
      </c>
      <c r="G1422">
        <v>-17</v>
      </c>
      <c r="H1422">
        <v>-7</v>
      </c>
      <c r="I1422" t="s">
        <v>20</v>
      </c>
      <c r="J1422">
        <v>0</v>
      </c>
      <c r="K1422">
        <v>0</v>
      </c>
      <c r="L1422">
        <v>0</v>
      </c>
      <c r="M1422">
        <v>0</v>
      </c>
      <c r="N1422">
        <v>0</v>
      </c>
      <c r="O1422">
        <v>0</v>
      </c>
      <c r="P1422">
        <v>0</v>
      </c>
      <c r="Q1422">
        <v>0</v>
      </c>
      <c r="R1422">
        <v>0</v>
      </c>
      <c r="S1422">
        <v>0</v>
      </c>
      <c r="T1422">
        <v>0</v>
      </c>
      <c r="U1422" t="str">
        <f>IF(SeismicData[[#This Row],[class]]=1,"Dangerous","Safe")</f>
        <v>Safe</v>
      </c>
      <c r="V1422" t="str">
        <f>IF(SeismicData[[#This Row],[shift]]="W","Production","Non-Production")</f>
        <v>Non-Production</v>
      </c>
      <c r="W1422" t="str">
        <f>IF(SeismicData[[#This Row],[genergy]]=0,"0","10^"&amp;INT(LOG10(SeismicData[[#This Row],[genergy]])))</f>
        <v>10^3</v>
      </c>
      <c r="X1422" t="str">
        <f>IF(OR(SeismicData[[#This Row],[genergy]]&lt;$AA$6,SeismicData[[#This Row],[genergy]]&gt;$AA$5),"Outlier","Normal")</f>
        <v>Normal</v>
      </c>
    </row>
    <row r="1423" spans="1:24" x14ac:dyDescent="0.15">
      <c r="A1423">
        <v>1422</v>
      </c>
      <c r="B1423" t="s">
        <v>20</v>
      </c>
      <c r="C1423" t="s">
        <v>23</v>
      </c>
      <c r="D1423" t="s">
        <v>21</v>
      </c>
      <c r="E1423">
        <v>9430</v>
      </c>
      <c r="F1423">
        <v>123</v>
      </c>
      <c r="G1423">
        <v>22</v>
      </c>
      <c r="H1423">
        <v>-38</v>
      </c>
      <c r="I1423" t="s">
        <v>20</v>
      </c>
      <c r="J1423">
        <v>1</v>
      </c>
      <c r="K1423">
        <v>1</v>
      </c>
      <c r="L1423">
        <v>0</v>
      </c>
      <c r="M1423">
        <v>0</v>
      </c>
      <c r="N1423">
        <v>0</v>
      </c>
      <c r="O1423">
        <v>0</v>
      </c>
      <c r="P1423">
        <v>0</v>
      </c>
      <c r="Q1423">
        <v>0</v>
      </c>
      <c r="R1423">
        <v>400</v>
      </c>
      <c r="S1423">
        <v>400</v>
      </c>
      <c r="T1423">
        <v>0</v>
      </c>
      <c r="U1423" t="str">
        <f>IF(SeismicData[[#This Row],[class]]=1,"Dangerous","Safe")</f>
        <v>Safe</v>
      </c>
      <c r="V1423" t="str">
        <f>IF(SeismicData[[#This Row],[shift]]="W","Production","Non-Production")</f>
        <v>Non-Production</v>
      </c>
      <c r="W1423" t="str">
        <f>IF(SeismicData[[#This Row],[genergy]]=0,"0","10^"&amp;INT(LOG10(SeismicData[[#This Row],[genergy]])))</f>
        <v>10^3</v>
      </c>
      <c r="X1423" t="str">
        <f>IF(OR(SeismicData[[#This Row],[genergy]]&lt;$AA$6,SeismicData[[#This Row],[genergy]]&gt;$AA$5),"Outlier","Normal")</f>
        <v>Normal</v>
      </c>
    </row>
    <row r="1424" spans="1:24" x14ac:dyDescent="0.15">
      <c r="A1424">
        <v>1423</v>
      </c>
      <c r="B1424" t="s">
        <v>20</v>
      </c>
      <c r="C1424" t="s">
        <v>20</v>
      </c>
      <c r="D1424" t="s">
        <v>21</v>
      </c>
      <c r="E1424">
        <v>9220</v>
      </c>
      <c r="F1424">
        <v>277</v>
      </c>
      <c r="G1424">
        <v>-2</v>
      </c>
      <c r="H1424">
        <v>-11</v>
      </c>
      <c r="I1424" t="s">
        <v>20</v>
      </c>
      <c r="J1424">
        <v>0</v>
      </c>
      <c r="K1424">
        <v>0</v>
      </c>
      <c r="L1424">
        <v>0</v>
      </c>
      <c r="M1424">
        <v>0</v>
      </c>
      <c r="N1424">
        <v>0</v>
      </c>
      <c r="O1424">
        <v>0</v>
      </c>
      <c r="P1424">
        <v>0</v>
      </c>
      <c r="Q1424">
        <v>0</v>
      </c>
      <c r="R1424">
        <v>0</v>
      </c>
      <c r="S1424">
        <v>0</v>
      </c>
      <c r="T1424">
        <v>0</v>
      </c>
      <c r="U1424" t="str">
        <f>IF(SeismicData[[#This Row],[class]]=1,"Dangerous","Safe")</f>
        <v>Safe</v>
      </c>
      <c r="V1424" t="str">
        <f>IF(SeismicData[[#This Row],[shift]]="W","Production","Non-Production")</f>
        <v>Non-Production</v>
      </c>
      <c r="W1424" t="str">
        <f>IF(SeismicData[[#This Row],[genergy]]=0,"0","10^"&amp;INT(LOG10(SeismicData[[#This Row],[genergy]])))</f>
        <v>10^3</v>
      </c>
      <c r="X1424" t="str">
        <f>IF(OR(SeismicData[[#This Row],[genergy]]&lt;$AA$6,SeismicData[[#This Row],[genergy]]&gt;$AA$5),"Outlier","Normal")</f>
        <v>Normal</v>
      </c>
    </row>
    <row r="1425" spans="1:24" x14ac:dyDescent="0.15">
      <c r="A1425">
        <v>1424</v>
      </c>
      <c r="B1425" t="s">
        <v>20</v>
      </c>
      <c r="C1425" t="s">
        <v>20</v>
      </c>
      <c r="D1425" t="s">
        <v>21</v>
      </c>
      <c r="E1425">
        <v>5590</v>
      </c>
      <c r="F1425">
        <v>261</v>
      </c>
      <c r="G1425">
        <v>-40</v>
      </c>
      <c r="H1425">
        <v>-16</v>
      </c>
      <c r="I1425" t="s">
        <v>20</v>
      </c>
      <c r="J1425">
        <v>1</v>
      </c>
      <c r="K1425">
        <v>1</v>
      </c>
      <c r="L1425">
        <v>0</v>
      </c>
      <c r="M1425">
        <v>0</v>
      </c>
      <c r="N1425">
        <v>0</v>
      </c>
      <c r="O1425">
        <v>0</v>
      </c>
      <c r="P1425">
        <v>0</v>
      </c>
      <c r="Q1425">
        <v>0</v>
      </c>
      <c r="R1425">
        <v>300</v>
      </c>
      <c r="S1425">
        <v>300</v>
      </c>
      <c r="T1425">
        <v>0</v>
      </c>
      <c r="U1425" t="str">
        <f>IF(SeismicData[[#This Row],[class]]=1,"Dangerous","Safe")</f>
        <v>Safe</v>
      </c>
      <c r="V1425" t="str">
        <f>IF(SeismicData[[#This Row],[shift]]="W","Production","Non-Production")</f>
        <v>Non-Production</v>
      </c>
      <c r="W1425" t="str">
        <f>IF(SeismicData[[#This Row],[genergy]]=0,"0","10^"&amp;INT(LOG10(SeismicData[[#This Row],[genergy]])))</f>
        <v>10^3</v>
      </c>
      <c r="X1425" t="str">
        <f>IF(OR(SeismicData[[#This Row],[genergy]]&lt;$AA$6,SeismicData[[#This Row],[genergy]]&gt;$AA$5),"Outlier","Normal")</f>
        <v>Normal</v>
      </c>
    </row>
    <row r="1426" spans="1:24" x14ac:dyDescent="0.15">
      <c r="A1426">
        <v>1425</v>
      </c>
      <c r="B1426" t="s">
        <v>20</v>
      </c>
      <c r="C1426" t="s">
        <v>20</v>
      </c>
      <c r="D1426" t="s">
        <v>21</v>
      </c>
      <c r="E1426">
        <v>5030</v>
      </c>
      <c r="F1426">
        <v>125</v>
      </c>
      <c r="G1426">
        <v>-28</v>
      </c>
      <c r="H1426">
        <v>-29</v>
      </c>
      <c r="I1426" t="s">
        <v>20</v>
      </c>
      <c r="J1426">
        <v>0</v>
      </c>
      <c r="K1426">
        <v>0</v>
      </c>
      <c r="L1426">
        <v>0</v>
      </c>
      <c r="M1426">
        <v>0</v>
      </c>
      <c r="N1426">
        <v>0</v>
      </c>
      <c r="O1426">
        <v>0</v>
      </c>
      <c r="P1426">
        <v>0</v>
      </c>
      <c r="Q1426">
        <v>0</v>
      </c>
      <c r="R1426">
        <v>0</v>
      </c>
      <c r="S1426">
        <v>0</v>
      </c>
      <c r="T1426">
        <v>0</v>
      </c>
      <c r="U1426" t="str">
        <f>IF(SeismicData[[#This Row],[class]]=1,"Dangerous","Safe")</f>
        <v>Safe</v>
      </c>
      <c r="V1426" t="str">
        <f>IF(SeismicData[[#This Row],[shift]]="W","Production","Non-Production")</f>
        <v>Non-Production</v>
      </c>
      <c r="W1426" t="str">
        <f>IF(SeismicData[[#This Row],[genergy]]=0,"0","10^"&amp;INT(LOG10(SeismicData[[#This Row],[genergy]])))</f>
        <v>10^3</v>
      </c>
      <c r="X1426" t="str">
        <f>IF(OR(SeismicData[[#This Row],[genergy]]&lt;$AA$6,SeismicData[[#This Row],[genergy]]&gt;$AA$5),"Outlier","Normal")</f>
        <v>Normal</v>
      </c>
    </row>
    <row r="1427" spans="1:24" x14ac:dyDescent="0.15">
      <c r="A1427">
        <v>1426</v>
      </c>
      <c r="B1427" t="s">
        <v>20</v>
      </c>
      <c r="C1427" t="s">
        <v>20</v>
      </c>
      <c r="D1427" t="s">
        <v>21</v>
      </c>
      <c r="E1427">
        <v>7330</v>
      </c>
      <c r="F1427">
        <v>102</v>
      </c>
      <c r="G1427">
        <v>5</v>
      </c>
      <c r="H1427">
        <v>-42</v>
      </c>
      <c r="I1427" t="s">
        <v>20</v>
      </c>
      <c r="J1427">
        <v>0</v>
      </c>
      <c r="K1427">
        <v>0</v>
      </c>
      <c r="L1427">
        <v>0</v>
      </c>
      <c r="M1427">
        <v>0</v>
      </c>
      <c r="N1427">
        <v>0</v>
      </c>
      <c r="O1427">
        <v>0</v>
      </c>
      <c r="P1427">
        <v>0</v>
      </c>
      <c r="Q1427">
        <v>0</v>
      </c>
      <c r="R1427">
        <v>0</v>
      </c>
      <c r="S1427">
        <v>0</v>
      </c>
      <c r="T1427">
        <v>0</v>
      </c>
      <c r="U1427" t="str">
        <f>IF(SeismicData[[#This Row],[class]]=1,"Dangerous","Safe")</f>
        <v>Safe</v>
      </c>
      <c r="V1427" t="str">
        <f>IF(SeismicData[[#This Row],[shift]]="W","Production","Non-Production")</f>
        <v>Non-Production</v>
      </c>
      <c r="W1427" t="str">
        <f>IF(SeismicData[[#This Row],[genergy]]=0,"0","10^"&amp;INT(LOG10(SeismicData[[#This Row],[genergy]])))</f>
        <v>10^3</v>
      </c>
      <c r="X1427" t="str">
        <f>IF(OR(SeismicData[[#This Row],[genergy]]&lt;$AA$6,SeismicData[[#This Row],[genergy]]&gt;$AA$5),"Outlier","Normal")</f>
        <v>Normal</v>
      </c>
    </row>
    <row r="1428" spans="1:24" x14ac:dyDescent="0.15">
      <c r="A1428">
        <v>1427</v>
      </c>
      <c r="B1428" t="s">
        <v>20</v>
      </c>
      <c r="C1428" t="s">
        <v>20</v>
      </c>
      <c r="D1428" t="s">
        <v>21</v>
      </c>
      <c r="E1428">
        <v>5480</v>
      </c>
      <c r="F1428">
        <v>223</v>
      </c>
      <c r="G1428">
        <v>-21</v>
      </c>
      <c r="H1428">
        <v>27</v>
      </c>
      <c r="I1428" t="s">
        <v>20</v>
      </c>
      <c r="J1428">
        <v>0</v>
      </c>
      <c r="K1428">
        <v>0</v>
      </c>
      <c r="L1428">
        <v>0</v>
      </c>
      <c r="M1428">
        <v>0</v>
      </c>
      <c r="N1428">
        <v>0</v>
      </c>
      <c r="O1428">
        <v>0</v>
      </c>
      <c r="P1428">
        <v>0</v>
      </c>
      <c r="Q1428">
        <v>0</v>
      </c>
      <c r="R1428">
        <v>0</v>
      </c>
      <c r="S1428">
        <v>0</v>
      </c>
      <c r="T1428">
        <v>0</v>
      </c>
      <c r="U1428" t="str">
        <f>IF(SeismicData[[#This Row],[class]]=1,"Dangerous","Safe")</f>
        <v>Safe</v>
      </c>
      <c r="V1428" t="str">
        <f>IF(SeismicData[[#This Row],[shift]]="W","Production","Non-Production")</f>
        <v>Non-Production</v>
      </c>
      <c r="W1428" t="str">
        <f>IF(SeismicData[[#This Row],[genergy]]=0,"0","10^"&amp;INT(LOG10(SeismicData[[#This Row],[genergy]])))</f>
        <v>10^3</v>
      </c>
      <c r="X1428" t="str">
        <f>IF(OR(SeismicData[[#This Row],[genergy]]&lt;$AA$6,SeismicData[[#This Row],[genergy]]&gt;$AA$5),"Outlier","Normal")</f>
        <v>Normal</v>
      </c>
    </row>
    <row r="1429" spans="1:24" x14ac:dyDescent="0.15">
      <c r="A1429">
        <v>1428</v>
      </c>
      <c r="B1429" t="s">
        <v>20</v>
      </c>
      <c r="C1429" t="s">
        <v>20</v>
      </c>
      <c r="D1429" t="s">
        <v>21</v>
      </c>
      <c r="E1429">
        <v>10970</v>
      </c>
      <c r="F1429">
        <v>342</v>
      </c>
      <c r="G1429">
        <v>17</v>
      </c>
      <c r="H1429">
        <v>9</v>
      </c>
      <c r="I1429" t="s">
        <v>20</v>
      </c>
      <c r="J1429">
        <v>1</v>
      </c>
      <c r="K1429">
        <v>1</v>
      </c>
      <c r="L1429">
        <v>0</v>
      </c>
      <c r="M1429">
        <v>0</v>
      </c>
      <c r="N1429">
        <v>0</v>
      </c>
      <c r="O1429">
        <v>0</v>
      </c>
      <c r="P1429">
        <v>0</v>
      </c>
      <c r="Q1429">
        <v>0</v>
      </c>
      <c r="R1429">
        <v>500</v>
      </c>
      <c r="S1429">
        <v>500</v>
      </c>
      <c r="T1429">
        <v>0</v>
      </c>
      <c r="U1429" t="str">
        <f>IF(SeismicData[[#This Row],[class]]=1,"Dangerous","Safe")</f>
        <v>Safe</v>
      </c>
      <c r="V1429" t="str">
        <f>IF(SeismicData[[#This Row],[shift]]="W","Production","Non-Production")</f>
        <v>Non-Production</v>
      </c>
      <c r="W1429" t="str">
        <f>IF(SeismicData[[#This Row],[genergy]]=0,"0","10^"&amp;INT(LOG10(SeismicData[[#This Row],[genergy]])))</f>
        <v>10^4</v>
      </c>
      <c r="X1429" t="str">
        <f>IF(OR(SeismicData[[#This Row],[genergy]]&lt;$AA$6,SeismicData[[#This Row],[genergy]]&gt;$AA$5),"Outlier","Normal")</f>
        <v>Normal</v>
      </c>
    </row>
    <row r="1430" spans="1:24" x14ac:dyDescent="0.15">
      <c r="A1430">
        <v>1429</v>
      </c>
      <c r="B1430" t="s">
        <v>20</v>
      </c>
      <c r="C1430" t="s">
        <v>20</v>
      </c>
      <c r="D1430" t="s">
        <v>21</v>
      </c>
      <c r="E1430">
        <v>3320</v>
      </c>
      <c r="F1430">
        <v>98</v>
      </c>
      <c r="G1430">
        <v>-52</v>
      </c>
      <c r="H1430">
        <v>-44</v>
      </c>
      <c r="I1430" t="s">
        <v>20</v>
      </c>
      <c r="J1430">
        <v>0</v>
      </c>
      <c r="K1430">
        <v>0</v>
      </c>
      <c r="L1430">
        <v>0</v>
      </c>
      <c r="M1430">
        <v>0</v>
      </c>
      <c r="N1430">
        <v>0</v>
      </c>
      <c r="O1430">
        <v>0</v>
      </c>
      <c r="P1430">
        <v>0</v>
      </c>
      <c r="Q1430">
        <v>0</v>
      </c>
      <c r="R1430">
        <v>0</v>
      </c>
      <c r="S1430">
        <v>0</v>
      </c>
      <c r="T1430">
        <v>0</v>
      </c>
      <c r="U1430" t="str">
        <f>IF(SeismicData[[#This Row],[class]]=1,"Dangerous","Safe")</f>
        <v>Safe</v>
      </c>
      <c r="V1430" t="str">
        <f>IF(SeismicData[[#This Row],[shift]]="W","Production","Non-Production")</f>
        <v>Non-Production</v>
      </c>
      <c r="W1430" t="str">
        <f>IF(SeismicData[[#This Row],[genergy]]=0,"0","10^"&amp;INT(LOG10(SeismicData[[#This Row],[genergy]])))</f>
        <v>10^3</v>
      </c>
      <c r="X1430" t="str">
        <f>IF(OR(SeismicData[[#This Row],[genergy]]&lt;$AA$6,SeismicData[[#This Row],[genergy]]&gt;$AA$5),"Outlier","Normal")</f>
        <v>Normal</v>
      </c>
    </row>
    <row r="1431" spans="1:24" x14ac:dyDescent="0.15">
      <c r="A1431">
        <v>1430</v>
      </c>
      <c r="B1431" t="s">
        <v>20</v>
      </c>
      <c r="C1431" t="s">
        <v>20</v>
      </c>
      <c r="D1431" t="s">
        <v>21</v>
      </c>
      <c r="E1431">
        <v>2910</v>
      </c>
      <c r="F1431">
        <v>80</v>
      </c>
      <c r="G1431">
        <v>-58</v>
      </c>
      <c r="H1431">
        <v>-54</v>
      </c>
      <c r="I1431" t="s">
        <v>20</v>
      </c>
      <c r="J1431">
        <v>0</v>
      </c>
      <c r="K1431">
        <v>0</v>
      </c>
      <c r="L1431">
        <v>0</v>
      </c>
      <c r="M1431">
        <v>0</v>
      </c>
      <c r="N1431">
        <v>0</v>
      </c>
      <c r="O1431">
        <v>0</v>
      </c>
      <c r="P1431">
        <v>0</v>
      </c>
      <c r="Q1431">
        <v>0</v>
      </c>
      <c r="R1431">
        <v>0</v>
      </c>
      <c r="S1431">
        <v>0</v>
      </c>
      <c r="T1431">
        <v>0</v>
      </c>
      <c r="U1431" t="str">
        <f>IF(SeismicData[[#This Row],[class]]=1,"Dangerous","Safe")</f>
        <v>Safe</v>
      </c>
      <c r="V1431" t="str">
        <f>IF(SeismicData[[#This Row],[shift]]="W","Production","Non-Production")</f>
        <v>Non-Production</v>
      </c>
      <c r="W1431" t="str">
        <f>IF(SeismicData[[#This Row],[genergy]]=0,"0","10^"&amp;INT(LOG10(SeismicData[[#This Row],[genergy]])))</f>
        <v>10^3</v>
      </c>
      <c r="X1431" t="str">
        <f>IF(OR(SeismicData[[#This Row],[genergy]]&lt;$AA$6,SeismicData[[#This Row],[genergy]]&gt;$AA$5),"Outlier","Normal")</f>
        <v>Normal</v>
      </c>
    </row>
    <row r="1432" spans="1:24" x14ac:dyDescent="0.15">
      <c r="A1432">
        <v>1431</v>
      </c>
      <c r="B1432" t="s">
        <v>20</v>
      </c>
      <c r="C1432" t="s">
        <v>20</v>
      </c>
      <c r="D1432" t="s">
        <v>21</v>
      </c>
      <c r="E1432">
        <v>8510</v>
      </c>
      <c r="F1432">
        <v>104</v>
      </c>
      <c r="G1432">
        <v>22</v>
      </c>
      <c r="H1432">
        <v>-38</v>
      </c>
      <c r="I1432" t="s">
        <v>20</v>
      </c>
      <c r="J1432">
        <v>0</v>
      </c>
      <c r="K1432">
        <v>0</v>
      </c>
      <c r="L1432">
        <v>0</v>
      </c>
      <c r="M1432">
        <v>0</v>
      </c>
      <c r="N1432">
        <v>0</v>
      </c>
      <c r="O1432">
        <v>0</v>
      </c>
      <c r="P1432">
        <v>0</v>
      </c>
      <c r="Q1432">
        <v>0</v>
      </c>
      <c r="R1432">
        <v>0</v>
      </c>
      <c r="S1432">
        <v>0</v>
      </c>
      <c r="T1432">
        <v>0</v>
      </c>
      <c r="U1432" t="str">
        <f>IF(SeismicData[[#This Row],[class]]=1,"Dangerous","Safe")</f>
        <v>Safe</v>
      </c>
      <c r="V1432" t="str">
        <f>IF(SeismicData[[#This Row],[shift]]="W","Production","Non-Production")</f>
        <v>Non-Production</v>
      </c>
      <c r="W1432" t="str">
        <f>IF(SeismicData[[#This Row],[genergy]]=0,"0","10^"&amp;INT(LOG10(SeismicData[[#This Row],[genergy]])))</f>
        <v>10^3</v>
      </c>
      <c r="X1432" t="str">
        <f>IF(OR(SeismicData[[#This Row],[genergy]]&lt;$AA$6,SeismicData[[#This Row],[genergy]]&gt;$AA$5),"Outlier","Normal")</f>
        <v>Normal</v>
      </c>
    </row>
    <row r="1433" spans="1:24" x14ac:dyDescent="0.15">
      <c r="A1433">
        <v>1432</v>
      </c>
      <c r="B1433" t="s">
        <v>20</v>
      </c>
      <c r="C1433" t="s">
        <v>20</v>
      </c>
      <c r="D1433" t="s">
        <v>21</v>
      </c>
      <c r="E1433">
        <v>7410</v>
      </c>
      <c r="F1433">
        <v>133</v>
      </c>
      <c r="G1433">
        <v>6</v>
      </c>
      <c r="H1433">
        <v>-20</v>
      </c>
      <c r="I1433" t="s">
        <v>20</v>
      </c>
      <c r="J1433">
        <v>0</v>
      </c>
      <c r="K1433">
        <v>0</v>
      </c>
      <c r="L1433">
        <v>0</v>
      </c>
      <c r="M1433">
        <v>0</v>
      </c>
      <c r="N1433">
        <v>0</v>
      </c>
      <c r="O1433">
        <v>0</v>
      </c>
      <c r="P1433">
        <v>0</v>
      </c>
      <c r="Q1433">
        <v>0</v>
      </c>
      <c r="R1433">
        <v>0</v>
      </c>
      <c r="S1433">
        <v>0</v>
      </c>
      <c r="T1433">
        <v>0</v>
      </c>
      <c r="U1433" t="str">
        <f>IF(SeismicData[[#This Row],[class]]=1,"Dangerous","Safe")</f>
        <v>Safe</v>
      </c>
      <c r="V1433" t="str">
        <f>IF(SeismicData[[#This Row],[shift]]="W","Production","Non-Production")</f>
        <v>Non-Production</v>
      </c>
      <c r="W1433" t="str">
        <f>IF(SeismicData[[#This Row],[genergy]]=0,"0","10^"&amp;INT(LOG10(SeismicData[[#This Row],[genergy]])))</f>
        <v>10^3</v>
      </c>
      <c r="X1433" t="str">
        <f>IF(OR(SeismicData[[#This Row],[genergy]]&lt;$AA$6,SeismicData[[#This Row],[genergy]]&gt;$AA$5),"Outlier","Normal")</f>
        <v>Normal</v>
      </c>
    </row>
    <row r="1434" spans="1:24" x14ac:dyDescent="0.15">
      <c r="A1434">
        <v>1433</v>
      </c>
      <c r="B1434" t="s">
        <v>20</v>
      </c>
      <c r="C1434" t="s">
        <v>20</v>
      </c>
      <c r="D1434" t="s">
        <v>21</v>
      </c>
      <c r="E1434">
        <v>6470</v>
      </c>
      <c r="F1434">
        <v>98</v>
      </c>
      <c r="G1434">
        <v>-7</v>
      </c>
      <c r="H1434">
        <v>-41</v>
      </c>
      <c r="I1434" t="s">
        <v>20</v>
      </c>
      <c r="J1434">
        <v>0</v>
      </c>
      <c r="K1434">
        <v>0</v>
      </c>
      <c r="L1434">
        <v>0</v>
      </c>
      <c r="M1434">
        <v>0</v>
      </c>
      <c r="N1434">
        <v>0</v>
      </c>
      <c r="O1434">
        <v>0</v>
      </c>
      <c r="P1434">
        <v>0</v>
      </c>
      <c r="Q1434">
        <v>0</v>
      </c>
      <c r="R1434">
        <v>0</v>
      </c>
      <c r="S1434">
        <v>0</v>
      </c>
      <c r="T1434">
        <v>0</v>
      </c>
      <c r="U1434" t="str">
        <f>IF(SeismicData[[#This Row],[class]]=1,"Dangerous","Safe")</f>
        <v>Safe</v>
      </c>
      <c r="V1434" t="str">
        <f>IF(SeismicData[[#This Row],[shift]]="W","Production","Non-Production")</f>
        <v>Non-Production</v>
      </c>
      <c r="W1434" t="str">
        <f>IF(SeismicData[[#This Row],[genergy]]=0,"0","10^"&amp;INT(LOG10(SeismicData[[#This Row],[genergy]])))</f>
        <v>10^3</v>
      </c>
      <c r="X1434" t="str">
        <f>IF(OR(SeismicData[[#This Row],[genergy]]&lt;$AA$6,SeismicData[[#This Row],[genergy]]&gt;$AA$5),"Outlier","Normal")</f>
        <v>Normal</v>
      </c>
    </row>
    <row r="1435" spans="1:24" x14ac:dyDescent="0.15">
      <c r="A1435">
        <v>1434</v>
      </c>
      <c r="B1435" t="s">
        <v>20</v>
      </c>
      <c r="C1435" t="s">
        <v>20</v>
      </c>
      <c r="D1435" t="s">
        <v>21</v>
      </c>
      <c r="E1435">
        <v>5840</v>
      </c>
      <c r="F1435">
        <v>102</v>
      </c>
      <c r="G1435">
        <v>-17</v>
      </c>
      <c r="H1435">
        <v>-39</v>
      </c>
      <c r="I1435" t="s">
        <v>20</v>
      </c>
      <c r="J1435">
        <v>0</v>
      </c>
      <c r="K1435">
        <v>0</v>
      </c>
      <c r="L1435">
        <v>0</v>
      </c>
      <c r="M1435">
        <v>0</v>
      </c>
      <c r="N1435">
        <v>0</v>
      </c>
      <c r="O1435">
        <v>0</v>
      </c>
      <c r="P1435">
        <v>0</v>
      </c>
      <c r="Q1435">
        <v>0</v>
      </c>
      <c r="R1435">
        <v>0</v>
      </c>
      <c r="S1435">
        <v>0</v>
      </c>
      <c r="T1435">
        <v>0</v>
      </c>
      <c r="U1435" t="str">
        <f>IF(SeismicData[[#This Row],[class]]=1,"Dangerous","Safe")</f>
        <v>Safe</v>
      </c>
      <c r="V1435" t="str">
        <f>IF(SeismicData[[#This Row],[shift]]="W","Production","Non-Production")</f>
        <v>Non-Production</v>
      </c>
      <c r="W1435" t="str">
        <f>IF(SeismicData[[#This Row],[genergy]]=0,"0","10^"&amp;INT(LOG10(SeismicData[[#This Row],[genergy]])))</f>
        <v>10^3</v>
      </c>
      <c r="X1435" t="str">
        <f>IF(OR(SeismicData[[#This Row],[genergy]]&lt;$AA$6,SeismicData[[#This Row],[genergy]]&gt;$AA$5),"Outlier","Normal")</f>
        <v>Normal</v>
      </c>
    </row>
    <row r="1436" spans="1:24" x14ac:dyDescent="0.15">
      <c r="A1436">
        <v>1435</v>
      </c>
      <c r="B1436" t="s">
        <v>20</v>
      </c>
      <c r="C1436" t="s">
        <v>20</v>
      </c>
      <c r="D1436" t="s">
        <v>21</v>
      </c>
      <c r="E1436">
        <v>6980</v>
      </c>
      <c r="F1436">
        <v>85</v>
      </c>
      <c r="G1436">
        <v>0</v>
      </c>
      <c r="H1436">
        <v>-49</v>
      </c>
      <c r="I1436" t="s">
        <v>20</v>
      </c>
      <c r="J1436">
        <v>0</v>
      </c>
      <c r="K1436">
        <v>0</v>
      </c>
      <c r="L1436">
        <v>0</v>
      </c>
      <c r="M1436">
        <v>0</v>
      </c>
      <c r="N1436">
        <v>0</v>
      </c>
      <c r="O1436">
        <v>0</v>
      </c>
      <c r="P1436">
        <v>0</v>
      </c>
      <c r="Q1436">
        <v>0</v>
      </c>
      <c r="R1436">
        <v>0</v>
      </c>
      <c r="S1436">
        <v>0</v>
      </c>
      <c r="T1436">
        <v>0</v>
      </c>
      <c r="U1436" t="str">
        <f>IF(SeismicData[[#This Row],[class]]=1,"Dangerous","Safe")</f>
        <v>Safe</v>
      </c>
      <c r="V1436" t="str">
        <f>IF(SeismicData[[#This Row],[shift]]="W","Production","Non-Production")</f>
        <v>Non-Production</v>
      </c>
      <c r="W1436" t="str">
        <f>IF(SeismicData[[#This Row],[genergy]]=0,"0","10^"&amp;INT(LOG10(SeismicData[[#This Row],[genergy]])))</f>
        <v>10^3</v>
      </c>
      <c r="X1436" t="str">
        <f>IF(OR(SeismicData[[#This Row],[genergy]]&lt;$AA$6,SeismicData[[#This Row],[genergy]]&gt;$AA$5),"Outlier","Normal")</f>
        <v>Normal</v>
      </c>
    </row>
    <row r="1437" spans="1:24" x14ac:dyDescent="0.15">
      <c r="A1437">
        <v>1436</v>
      </c>
      <c r="B1437" t="s">
        <v>20</v>
      </c>
      <c r="C1437" t="s">
        <v>20</v>
      </c>
      <c r="D1437" t="s">
        <v>21</v>
      </c>
      <c r="E1437">
        <v>4810</v>
      </c>
      <c r="F1437">
        <v>142</v>
      </c>
      <c r="G1437">
        <v>-49</v>
      </c>
      <c r="H1437">
        <v>-56</v>
      </c>
      <c r="I1437" t="s">
        <v>20</v>
      </c>
      <c r="J1437">
        <v>0</v>
      </c>
      <c r="K1437">
        <v>0</v>
      </c>
      <c r="L1437">
        <v>0</v>
      </c>
      <c r="M1437">
        <v>0</v>
      </c>
      <c r="N1437">
        <v>0</v>
      </c>
      <c r="O1437">
        <v>0</v>
      </c>
      <c r="P1437">
        <v>0</v>
      </c>
      <c r="Q1437">
        <v>0</v>
      </c>
      <c r="R1437">
        <v>0</v>
      </c>
      <c r="S1437">
        <v>0</v>
      </c>
      <c r="T1437">
        <v>0</v>
      </c>
      <c r="U1437" t="str">
        <f>IF(SeismicData[[#This Row],[class]]=1,"Dangerous","Safe")</f>
        <v>Safe</v>
      </c>
      <c r="V1437" t="str">
        <f>IF(SeismicData[[#This Row],[shift]]="W","Production","Non-Production")</f>
        <v>Non-Production</v>
      </c>
      <c r="W1437" t="str">
        <f>IF(SeismicData[[#This Row],[genergy]]=0,"0","10^"&amp;INT(LOG10(SeismicData[[#This Row],[genergy]])))</f>
        <v>10^3</v>
      </c>
      <c r="X1437" t="str">
        <f>IF(OR(SeismicData[[#This Row],[genergy]]&lt;$AA$6,SeismicData[[#This Row],[genergy]]&gt;$AA$5),"Outlier","Normal")</f>
        <v>Normal</v>
      </c>
    </row>
    <row r="1438" spans="1:24" x14ac:dyDescent="0.15">
      <c r="A1438">
        <v>1437</v>
      </c>
      <c r="B1438" t="s">
        <v>20</v>
      </c>
      <c r="C1438" t="s">
        <v>20</v>
      </c>
      <c r="D1438" t="s">
        <v>21</v>
      </c>
      <c r="E1438">
        <v>8540</v>
      </c>
      <c r="F1438">
        <v>82</v>
      </c>
      <c r="G1438">
        <v>22</v>
      </c>
      <c r="H1438">
        <v>-51</v>
      </c>
      <c r="I1438" t="s">
        <v>20</v>
      </c>
      <c r="J1438">
        <v>2</v>
      </c>
      <c r="K1438">
        <v>1</v>
      </c>
      <c r="L1438">
        <v>1</v>
      </c>
      <c r="M1438">
        <v>0</v>
      </c>
      <c r="N1438">
        <v>0</v>
      </c>
      <c r="O1438">
        <v>0</v>
      </c>
      <c r="P1438">
        <v>0</v>
      </c>
      <c r="Q1438">
        <v>0</v>
      </c>
      <c r="R1438">
        <v>2600</v>
      </c>
      <c r="S1438">
        <v>2000</v>
      </c>
      <c r="T1438">
        <v>0</v>
      </c>
      <c r="U1438" t="str">
        <f>IF(SeismicData[[#This Row],[class]]=1,"Dangerous","Safe")</f>
        <v>Safe</v>
      </c>
      <c r="V1438" t="str">
        <f>IF(SeismicData[[#This Row],[shift]]="W","Production","Non-Production")</f>
        <v>Non-Production</v>
      </c>
      <c r="W1438" t="str">
        <f>IF(SeismicData[[#This Row],[genergy]]=0,"0","10^"&amp;INT(LOG10(SeismicData[[#This Row],[genergy]])))</f>
        <v>10^3</v>
      </c>
      <c r="X1438" t="str">
        <f>IF(OR(SeismicData[[#This Row],[genergy]]&lt;$AA$6,SeismicData[[#This Row],[genergy]]&gt;$AA$5),"Outlier","Normal")</f>
        <v>Normal</v>
      </c>
    </row>
    <row r="1439" spans="1:24" x14ac:dyDescent="0.15">
      <c r="A1439">
        <v>1438</v>
      </c>
      <c r="B1439" t="s">
        <v>20</v>
      </c>
      <c r="C1439" t="s">
        <v>20</v>
      </c>
      <c r="D1439" t="s">
        <v>21</v>
      </c>
      <c r="E1439">
        <v>3580</v>
      </c>
      <c r="F1439">
        <v>84</v>
      </c>
      <c r="G1439">
        <v>-49</v>
      </c>
      <c r="H1439">
        <v>-50</v>
      </c>
      <c r="I1439" t="s">
        <v>20</v>
      </c>
      <c r="J1439">
        <v>0</v>
      </c>
      <c r="K1439">
        <v>0</v>
      </c>
      <c r="L1439">
        <v>0</v>
      </c>
      <c r="M1439">
        <v>0</v>
      </c>
      <c r="N1439">
        <v>0</v>
      </c>
      <c r="O1439">
        <v>0</v>
      </c>
      <c r="P1439">
        <v>0</v>
      </c>
      <c r="Q1439">
        <v>0</v>
      </c>
      <c r="R1439">
        <v>0</v>
      </c>
      <c r="S1439">
        <v>0</v>
      </c>
      <c r="T1439">
        <v>0</v>
      </c>
      <c r="U1439" t="str">
        <f>IF(SeismicData[[#This Row],[class]]=1,"Dangerous","Safe")</f>
        <v>Safe</v>
      </c>
      <c r="V1439" t="str">
        <f>IF(SeismicData[[#This Row],[shift]]="W","Production","Non-Production")</f>
        <v>Non-Production</v>
      </c>
      <c r="W1439" t="str">
        <f>IF(SeismicData[[#This Row],[genergy]]=0,"0","10^"&amp;INT(LOG10(SeismicData[[#This Row],[genergy]])))</f>
        <v>10^3</v>
      </c>
      <c r="X1439" t="str">
        <f>IF(OR(SeismicData[[#This Row],[genergy]]&lt;$AA$6,SeismicData[[#This Row],[genergy]]&gt;$AA$5),"Outlier","Normal")</f>
        <v>Normal</v>
      </c>
    </row>
    <row r="1440" spans="1:24" x14ac:dyDescent="0.15">
      <c r="A1440">
        <v>1439</v>
      </c>
      <c r="B1440" t="s">
        <v>20</v>
      </c>
      <c r="C1440" t="s">
        <v>23</v>
      </c>
      <c r="D1440" t="s">
        <v>21</v>
      </c>
      <c r="E1440">
        <v>6450</v>
      </c>
      <c r="F1440">
        <v>163</v>
      </c>
      <c r="G1440">
        <v>-30</v>
      </c>
      <c r="H1440">
        <v>-48</v>
      </c>
      <c r="I1440" t="s">
        <v>20</v>
      </c>
      <c r="J1440">
        <v>0</v>
      </c>
      <c r="K1440">
        <v>0</v>
      </c>
      <c r="L1440">
        <v>0</v>
      </c>
      <c r="M1440">
        <v>0</v>
      </c>
      <c r="N1440">
        <v>0</v>
      </c>
      <c r="O1440">
        <v>0</v>
      </c>
      <c r="P1440">
        <v>0</v>
      </c>
      <c r="Q1440">
        <v>0</v>
      </c>
      <c r="R1440">
        <v>0</v>
      </c>
      <c r="S1440">
        <v>0</v>
      </c>
      <c r="T1440">
        <v>0</v>
      </c>
      <c r="U1440" t="str">
        <f>IF(SeismicData[[#This Row],[class]]=1,"Dangerous","Safe")</f>
        <v>Safe</v>
      </c>
      <c r="V1440" t="str">
        <f>IF(SeismicData[[#This Row],[shift]]="W","Production","Non-Production")</f>
        <v>Non-Production</v>
      </c>
      <c r="W1440" t="str">
        <f>IF(SeismicData[[#This Row],[genergy]]=0,"0","10^"&amp;INT(LOG10(SeismicData[[#This Row],[genergy]])))</f>
        <v>10^3</v>
      </c>
      <c r="X1440" t="str">
        <f>IF(OR(SeismicData[[#This Row],[genergy]]&lt;$AA$6,SeismicData[[#This Row],[genergy]]&gt;$AA$5),"Outlier","Normal")</f>
        <v>Normal</v>
      </c>
    </row>
    <row r="1441" spans="1:24" x14ac:dyDescent="0.15">
      <c r="A1441">
        <v>1440</v>
      </c>
      <c r="B1441" t="s">
        <v>20</v>
      </c>
      <c r="C1441" t="s">
        <v>23</v>
      </c>
      <c r="D1441" t="s">
        <v>21</v>
      </c>
      <c r="E1441">
        <v>2000</v>
      </c>
      <c r="F1441">
        <v>130</v>
      </c>
      <c r="G1441">
        <v>-78</v>
      </c>
      <c r="H1441">
        <v>-58</v>
      </c>
      <c r="I1441" t="s">
        <v>20</v>
      </c>
      <c r="J1441">
        <v>0</v>
      </c>
      <c r="K1441">
        <v>0</v>
      </c>
      <c r="L1441">
        <v>0</v>
      </c>
      <c r="M1441">
        <v>0</v>
      </c>
      <c r="N1441">
        <v>0</v>
      </c>
      <c r="O1441">
        <v>0</v>
      </c>
      <c r="P1441">
        <v>0</v>
      </c>
      <c r="Q1441">
        <v>0</v>
      </c>
      <c r="R1441">
        <v>0</v>
      </c>
      <c r="S1441">
        <v>0</v>
      </c>
      <c r="T1441">
        <v>0</v>
      </c>
      <c r="U1441" t="str">
        <f>IF(SeismicData[[#This Row],[class]]=1,"Dangerous","Safe")</f>
        <v>Safe</v>
      </c>
      <c r="V1441" t="str">
        <f>IF(SeismicData[[#This Row],[shift]]="W","Production","Non-Production")</f>
        <v>Non-Production</v>
      </c>
      <c r="W1441" t="str">
        <f>IF(SeismicData[[#This Row],[genergy]]=0,"0","10^"&amp;INT(LOG10(SeismicData[[#This Row],[genergy]])))</f>
        <v>10^3</v>
      </c>
      <c r="X1441" t="str">
        <f>IF(OR(SeismicData[[#This Row],[genergy]]&lt;$AA$6,SeismicData[[#This Row],[genergy]]&gt;$AA$5),"Outlier","Normal")</f>
        <v>Normal</v>
      </c>
    </row>
    <row r="1442" spans="1:24" x14ac:dyDescent="0.15">
      <c r="A1442">
        <v>1441</v>
      </c>
      <c r="B1442" t="s">
        <v>20</v>
      </c>
      <c r="C1442" t="s">
        <v>23</v>
      </c>
      <c r="D1442" t="s">
        <v>21</v>
      </c>
      <c r="E1442">
        <v>4120</v>
      </c>
      <c r="F1442">
        <v>67</v>
      </c>
      <c r="G1442">
        <v>-40</v>
      </c>
      <c r="H1442">
        <v>-59</v>
      </c>
      <c r="I1442" t="s">
        <v>20</v>
      </c>
      <c r="J1442">
        <v>0</v>
      </c>
      <c r="K1442">
        <v>0</v>
      </c>
      <c r="L1442">
        <v>0</v>
      </c>
      <c r="M1442">
        <v>0</v>
      </c>
      <c r="N1442">
        <v>0</v>
      </c>
      <c r="O1442">
        <v>0</v>
      </c>
      <c r="P1442">
        <v>0</v>
      </c>
      <c r="Q1442">
        <v>0</v>
      </c>
      <c r="R1442">
        <v>0</v>
      </c>
      <c r="S1442">
        <v>0</v>
      </c>
      <c r="T1442">
        <v>0</v>
      </c>
      <c r="U1442" t="str">
        <f>IF(SeismicData[[#This Row],[class]]=1,"Dangerous","Safe")</f>
        <v>Safe</v>
      </c>
      <c r="V1442" t="str">
        <f>IF(SeismicData[[#This Row],[shift]]="W","Production","Non-Production")</f>
        <v>Non-Production</v>
      </c>
      <c r="W1442" t="str">
        <f>IF(SeismicData[[#This Row],[genergy]]=0,"0","10^"&amp;INT(LOG10(SeismicData[[#This Row],[genergy]])))</f>
        <v>10^3</v>
      </c>
      <c r="X1442" t="str">
        <f>IF(OR(SeismicData[[#This Row],[genergy]]&lt;$AA$6,SeismicData[[#This Row],[genergy]]&gt;$AA$5),"Outlier","Normal")</f>
        <v>Normal</v>
      </c>
    </row>
    <row r="1443" spans="1:24" x14ac:dyDescent="0.15">
      <c r="A1443">
        <v>1442</v>
      </c>
      <c r="B1443" t="s">
        <v>20</v>
      </c>
      <c r="C1443" t="s">
        <v>23</v>
      </c>
      <c r="D1443" t="s">
        <v>22</v>
      </c>
      <c r="E1443">
        <v>3560</v>
      </c>
      <c r="F1443">
        <v>83</v>
      </c>
      <c r="G1443">
        <v>-79</v>
      </c>
      <c r="H1443">
        <v>-67</v>
      </c>
      <c r="I1443" t="s">
        <v>20</v>
      </c>
      <c r="J1443">
        <v>0</v>
      </c>
      <c r="K1443">
        <v>0</v>
      </c>
      <c r="L1443">
        <v>0</v>
      </c>
      <c r="M1443">
        <v>0</v>
      </c>
      <c r="N1443">
        <v>0</v>
      </c>
      <c r="O1443">
        <v>0</v>
      </c>
      <c r="P1443">
        <v>0</v>
      </c>
      <c r="Q1443">
        <v>0</v>
      </c>
      <c r="R1443">
        <v>0</v>
      </c>
      <c r="S1443">
        <v>0</v>
      </c>
      <c r="T1443">
        <v>0</v>
      </c>
      <c r="U1443" t="str">
        <f>IF(SeismicData[[#This Row],[class]]=1,"Dangerous","Safe")</f>
        <v>Safe</v>
      </c>
      <c r="V1443" t="str">
        <f>IF(SeismicData[[#This Row],[shift]]="W","Production","Non-Production")</f>
        <v>Production</v>
      </c>
      <c r="W1443" t="str">
        <f>IF(SeismicData[[#This Row],[genergy]]=0,"0","10^"&amp;INT(LOG10(SeismicData[[#This Row],[genergy]])))</f>
        <v>10^3</v>
      </c>
      <c r="X1443" t="str">
        <f>IF(OR(SeismicData[[#This Row],[genergy]]&lt;$AA$6,SeismicData[[#This Row],[genergy]]&gt;$AA$5),"Outlier","Normal")</f>
        <v>Normal</v>
      </c>
    </row>
    <row r="1444" spans="1:24" x14ac:dyDescent="0.15">
      <c r="A1444">
        <v>1443</v>
      </c>
      <c r="B1444" t="s">
        <v>20</v>
      </c>
      <c r="C1444" t="s">
        <v>23</v>
      </c>
      <c r="D1444" t="s">
        <v>22</v>
      </c>
      <c r="E1444">
        <v>6340</v>
      </c>
      <c r="F1444">
        <v>102</v>
      </c>
      <c r="G1444">
        <v>-62</v>
      </c>
      <c r="H1444">
        <v>-60</v>
      </c>
      <c r="I1444" t="s">
        <v>20</v>
      </c>
      <c r="J1444">
        <v>0</v>
      </c>
      <c r="K1444">
        <v>0</v>
      </c>
      <c r="L1444">
        <v>0</v>
      </c>
      <c r="M1444">
        <v>0</v>
      </c>
      <c r="N1444">
        <v>0</v>
      </c>
      <c r="O1444">
        <v>0</v>
      </c>
      <c r="P1444">
        <v>0</v>
      </c>
      <c r="Q1444">
        <v>0</v>
      </c>
      <c r="R1444">
        <v>0</v>
      </c>
      <c r="S1444">
        <v>0</v>
      </c>
      <c r="T1444">
        <v>0</v>
      </c>
      <c r="U1444" t="str">
        <f>IF(SeismicData[[#This Row],[class]]=1,"Dangerous","Safe")</f>
        <v>Safe</v>
      </c>
      <c r="V1444" t="str">
        <f>IF(SeismicData[[#This Row],[shift]]="W","Production","Non-Production")</f>
        <v>Production</v>
      </c>
      <c r="W1444" t="str">
        <f>IF(SeismicData[[#This Row],[genergy]]=0,"0","10^"&amp;INT(LOG10(SeismicData[[#This Row],[genergy]])))</f>
        <v>10^3</v>
      </c>
      <c r="X1444" t="str">
        <f>IF(OR(SeismicData[[#This Row],[genergy]]&lt;$AA$6,SeismicData[[#This Row],[genergy]]&gt;$AA$5),"Outlier","Normal")</f>
        <v>Normal</v>
      </c>
    </row>
    <row r="1445" spans="1:24" x14ac:dyDescent="0.15">
      <c r="A1445">
        <v>1444</v>
      </c>
      <c r="B1445" t="s">
        <v>20</v>
      </c>
      <c r="C1445" t="s">
        <v>23</v>
      </c>
      <c r="D1445" t="s">
        <v>22</v>
      </c>
      <c r="E1445">
        <v>7680</v>
      </c>
      <c r="F1445">
        <v>253</v>
      </c>
      <c r="G1445">
        <v>-59</v>
      </c>
      <c r="H1445">
        <v>-60</v>
      </c>
      <c r="I1445" t="s">
        <v>20</v>
      </c>
      <c r="J1445">
        <v>0</v>
      </c>
      <c r="K1445">
        <v>0</v>
      </c>
      <c r="L1445">
        <v>0</v>
      </c>
      <c r="M1445">
        <v>0</v>
      </c>
      <c r="N1445">
        <v>0</v>
      </c>
      <c r="O1445">
        <v>0</v>
      </c>
      <c r="P1445">
        <v>0</v>
      </c>
      <c r="Q1445">
        <v>0</v>
      </c>
      <c r="R1445">
        <v>0</v>
      </c>
      <c r="S1445">
        <v>0</v>
      </c>
      <c r="T1445">
        <v>0</v>
      </c>
      <c r="U1445" t="str">
        <f>IF(SeismicData[[#This Row],[class]]=1,"Dangerous","Safe")</f>
        <v>Safe</v>
      </c>
      <c r="V1445" t="str">
        <f>IF(SeismicData[[#This Row],[shift]]="W","Production","Non-Production")</f>
        <v>Production</v>
      </c>
      <c r="W1445" t="str">
        <f>IF(SeismicData[[#This Row],[genergy]]=0,"0","10^"&amp;INT(LOG10(SeismicData[[#This Row],[genergy]])))</f>
        <v>10^3</v>
      </c>
      <c r="X1445" t="str">
        <f>IF(OR(SeismicData[[#This Row],[genergy]]&lt;$AA$6,SeismicData[[#This Row],[genergy]]&gt;$AA$5),"Outlier","Normal")</f>
        <v>Normal</v>
      </c>
    </row>
    <row r="1446" spans="1:24" x14ac:dyDescent="0.15">
      <c r="A1446">
        <v>1445</v>
      </c>
      <c r="B1446" t="s">
        <v>20</v>
      </c>
      <c r="C1446" t="s">
        <v>23</v>
      </c>
      <c r="D1446" t="s">
        <v>22</v>
      </c>
      <c r="E1446">
        <v>7920</v>
      </c>
      <c r="F1446">
        <v>178</v>
      </c>
      <c r="G1446">
        <v>-53</v>
      </c>
      <c r="H1446">
        <v>-30</v>
      </c>
      <c r="I1446" t="s">
        <v>20</v>
      </c>
      <c r="J1446">
        <v>0</v>
      </c>
      <c r="K1446">
        <v>0</v>
      </c>
      <c r="L1446">
        <v>0</v>
      </c>
      <c r="M1446">
        <v>0</v>
      </c>
      <c r="N1446">
        <v>0</v>
      </c>
      <c r="O1446">
        <v>0</v>
      </c>
      <c r="P1446">
        <v>0</v>
      </c>
      <c r="Q1446">
        <v>0</v>
      </c>
      <c r="R1446">
        <v>0</v>
      </c>
      <c r="S1446">
        <v>0</v>
      </c>
      <c r="T1446">
        <v>0</v>
      </c>
      <c r="U1446" t="str">
        <f>IF(SeismicData[[#This Row],[class]]=1,"Dangerous","Safe")</f>
        <v>Safe</v>
      </c>
      <c r="V1446" t="str">
        <f>IF(SeismicData[[#This Row],[shift]]="W","Production","Non-Production")</f>
        <v>Production</v>
      </c>
      <c r="W1446" t="str">
        <f>IF(SeismicData[[#This Row],[genergy]]=0,"0","10^"&amp;INT(LOG10(SeismicData[[#This Row],[genergy]])))</f>
        <v>10^3</v>
      </c>
      <c r="X1446" t="str">
        <f>IF(OR(SeismicData[[#This Row],[genergy]]&lt;$AA$6,SeismicData[[#This Row],[genergy]]&gt;$AA$5),"Outlier","Normal")</f>
        <v>Normal</v>
      </c>
    </row>
    <row r="1447" spans="1:24" x14ac:dyDescent="0.15">
      <c r="A1447">
        <v>1446</v>
      </c>
      <c r="B1447" t="s">
        <v>20</v>
      </c>
      <c r="C1447" t="s">
        <v>23</v>
      </c>
      <c r="D1447" t="s">
        <v>22</v>
      </c>
      <c r="E1447">
        <v>8720</v>
      </c>
      <c r="F1447">
        <v>175</v>
      </c>
      <c r="G1447">
        <v>-48</v>
      </c>
      <c r="H1447">
        <v>-31</v>
      </c>
      <c r="I1447" t="s">
        <v>20</v>
      </c>
      <c r="J1447">
        <v>0</v>
      </c>
      <c r="K1447">
        <v>0</v>
      </c>
      <c r="L1447">
        <v>0</v>
      </c>
      <c r="M1447">
        <v>0</v>
      </c>
      <c r="N1447">
        <v>0</v>
      </c>
      <c r="O1447">
        <v>0</v>
      </c>
      <c r="P1447">
        <v>0</v>
      </c>
      <c r="Q1447">
        <v>0</v>
      </c>
      <c r="R1447">
        <v>0</v>
      </c>
      <c r="S1447">
        <v>0</v>
      </c>
      <c r="T1447">
        <v>0</v>
      </c>
      <c r="U1447" t="str">
        <f>IF(SeismicData[[#This Row],[class]]=1,"Dangerous","Safe")</f>
        <v>Safe</v>
      </c>
      <c r="V1447" t="str">
        <f>IF(SeismicData[[#This Row],[shift]]="W","Production","Non-Production")</f>
        <v>Production</v>
      </c>
      <c r="W1447" t="str">
        <f>IF(SeismicData[[#This Row],[genergy]]=0,"0","10^"&amp;INT(LOG10(SeismicData[[#This Row],[genergy]])))</f>
        <v>10^3</v>
      </c>
      <c r="X1447" t="str">
        <f>IF(OR(SeismicData[[#This Row],[genergy]]&lt;$AA$6,SeismicData[[#This Row],[genergy]]&gt;$AA$5),"Outlier","Normal")</f>
        <v>Normal</v>
      </c>
    </row>
    <row r="1448" spans="1:24" x14ac:dyDescent="0.15">
      <c r="A1448">
        <v>1447</v>
      </c>
      <c r="B1448" t="s">
        <v>20</v>
      </c>
      <c r="C1448" t="s">
        <v>23</v>
      </c>
      <c r="D1448" t="s">
        <v>21</v>
      </c>
      <c r="E1448">
        <v>10920</v>
      </c>
      <c r="F1448">
        <v>136</v>
      </c>
      <c r="G1448">
        <v>58</v>
      </c>
      <c r="H1448">
        <v>-16</v>
      </c>
      <c r="I1448" t="s">
        <v>20</v>
      </c>
      <c r="J1448">
        <v>1</v>
      </c>
      <c r="K1448">
        <v>1</v>
      </c>
      <c r="L1448">
        <v>0</v>
      </c>
      <c r="M1448">
        <v>0</v>
      </c>
      <c r="N1448">
        <v>0</v>
      </c>
      <c r="O1448">
        <v>0</v>
      </c>
      <c r="P1448">
        <v>0</v>
      </c>
      <c r="Q1448">
        <v>0</v>
      </c>
      <c r="R1448">
        <v>200</v>
      </c>
      <c r="S1448">
        <v>200</v>
      </c>
      <c r="T1448">
        <v>0</v>
      </c>
      <c r="U1448" t="str">
        <f>IF(SeismicData[[#This Row],[class]]=1,"Dangerous","Safe")</f>
        <v>Safe</v>
      </c>
      <c r="V1448" t="str">
        <f>IF(SeismicData[[#This Row],[shift]]="W","Production","Non-Production")</f>
        <v>Non-Production</v>
      </c>
      <c r="W1448" t="str">
        <f>IF(SeismicData[[#This Row],[genergy]]=0,"0","10^"&amp;INT(LOG10(SeismicData[[#This Row],[genergy]])))</f>
        <v>10^4</v>
      </c>
      <c r="X1448" t="str">
        <f>IF(OR(SeismicData[[#This Row],[genergy]]&lt;$AA$6,SeismicData[[#This Row],[genergy]]&gt;$AA$5),"Outlier","Normal")</f>
        <v>Normal</v>
      </c>
    </row>
    <row r="1449" spans="1:24" x14ac:dyDescent="0.15">
      <c r="A1449">
        <v>1448</v>
      </c>
      <c r="B1449" t="s">
        <v>20</v>
      </c>
      <c r="C1449" t="s">
        <v>23</v>
      </c>
      <c r="D1449" t="s">
        <v>21</v>
      </c>
      <c r="E1449">
        <v>9870</v>
      </c>
      <c r="F1449">
        <v>363</v>
      </c>
      <c r="G1449">
        <v>8</v>
      </c>
      <c r="H1449">
        <v>16</v>
      </c>
      <c r="I1449" t="s">
        <v>20</v>
      </c>
      <c r="J1449">
        <v>1</v>
      </c>
      <c r="K1449">
        <v>0</v>
      </c>
      <c r="L1449">
        <v>1</v>
      </c>
      <c r="M1449">
        <v>0</v>
      </c>
      <c r="N1449">
        <v>0</v>
      </c>
      <c r="O1449">
        <v>0</v>
      </c>
      <c r="P1449">
        <v>0</v>
      </c>
      <c r="Q1449">
        <v>0</v>
      </c>
      <c r="R1449">
        <v>8000</v>
      </c>
      <c r="S1449">
        <v>8000</v>
      </c>
      <c r="T1449">
        <v>0</v>
      </c>
      <c r="U1449" t="str">
        <f>IF(SeismicData[[#This Row],[class]]=1,"Dangerous","Safe")</f>
        <v>Safe</v>
      </c>
      <c r="V1449" t="str">
        <f>IF(SeismicData[[#This Row],[shift]]="W","Production","Non-Production")</f>
        <v>Non-Production</v>
      </c>
      <c r="W1449" t="str">
        <f>IF(SeismicData[[#This Row],[genergy]]=0,"0","10^"&amp;INT(LOG10(SeismicData[[#This Row],[genergy]])))</f>
        <v>10^3</v>
      </c>
      <c r="X1449" t="str">
        <f>IF(OR(SeismicData[[#This Row],[genergy]]&lt;$AA$6,SeismicData[[#This Row],[genergy]]&gt;$AA$5),"Outlier","Normal")</f>
        <v>Normal</v>
      </c>
    </row>
    <row r="1450" spans="1:24" x14ac:dyDescent="0.15">
      <c r="A1450">
        <v>1449</v>
      </c>
      <c r="B1450" t="s">
        <v>20</v>
      </c>
      <c r="C1450" t="s">
        <v>23</v>
      </c>
      <c r="D1450" t="s">
        <v>21</v>
      </c>
      <c r="E1450">
        <v>6690</v>
      </c>
      <c r="F1450">
        <v>163</v>
      </c>
      <c r="G1450">
        <v>-3</v>
      </c>
      <c r="H1450">
        <v>0</v>
      </c>
      <c r="I1450" t="s">
        <v>20</v>
      </c>
      <c r="J1450">
        <v>0</v>
      </c>
      <c r="K1450">
        <v>0</v>
      </c>
      <c r="L1450">
        <v>0</v>
      </c>
      <c r="M1450">
        <v>0</v>
      </c>
      <c r="N1450">
        <v>0</v>
      </c>
      <c r="O1450">
        <v>0</v>
      </c>
      <c r="P1450">
        <v>0</v>
      </c>
      <c r="Q1450">
        <v>0</v>
      </c>
      <c r="R1450">
        <v>0</v>
      </c>
      <c r="S1450">
        <v>0</v>
      </c>
      <c r="T1450">
        <v>0</v>
      </c>
      <c r="U1450" t="str">
        <f>IF(SeismicData[[#This Row],[class]]=1,"Dangerous","Safe")</f>
        <v>Safe</v>
      </c>
      <c r="V1450" t="str">
        <f>IF(SeismicData[[#This Row],[shift]]="W","Production","Non-Production")</f>
        <v>Non-Production</v>
      </c>
      <c r="W1450" t="str">
        <f>IF(SeismicData[[#This Row],[genergy]]=0,"0","10^"&amp;INT(LOG10(SeismicData[[#This Row],[genergy]])))</f>
        <v>10^3</v>
      </c>
      <c r="X1450" t="str">
        <f>IF(OR(SeismicData[[#This Row],[genergy]]&lt;$AA$6,SeismicData[[#This Row],[genergy]]&gt;$AA$5),"Outlier","Normal")</f>
        <v>Normal</v>
      </c>
    </row>
    <row r="1451" spans="1:24" x14ac:dyDescent="0.15">
      <c r="A1451">
        <v>1450</v>
      </c>
      <c r="B1451" t="s">
        <v>20</v>
      </c>
      <c r="C1451" t="s">
        <v>23</v>
      </c>
      <c r="D1451" t="s">
        <v>21</v>
      </c>
      <c r="E1451">
        <v>5820</v>
      </c>
      <c r="F1451">
        <v>308</v>
      </c>
      <c r="G1451">
        <v>-37</v>
      </c>
      <c r="H1451">
        <v>-1</v>
      </c>
      <c r="I1451" t="s">
        <v>20</v>
      </c>
      <c r="J1451">
        <v>0</v>
      </c>
      <c r="K1451">
        <v>0</v>
      </c>
      <c r="L1451">
        <v>0</v>
      </c>
      <c r="M1451">
        <v>0</v>
      </c>
      <c r="N1451">
        <v>0</v>
      </c>
      <c r="O1451">
        <v>0</v>
      </c>
      <c r="P1451">
        <v>0</v>
      </c>
      <c r="Q1451">
        <v>0</v>
      </c>
      <c r="R1451">
        <v>0</v>
      </c>
      <c r="S1451">
        <v>0</v>
      </c>
      <c r="T1451">
        <v>0</v>
      </c>
      <c r="U1451" t="str">
        <f>IF(SeismicData[[#This Row],[class]]=1,"Dangerous","Safe")</f>
        <v>Safe</v>
      </c>
      <c r="V1451" t="str">
        <f>IF(SeismicData[[#This Row],[shift]]="W","Production","Non-Production")</f>
        <v>Non-Production</v>
      </c>
      <c r="W1451" t="str">
        <f>IF(SeismicData[[#This Row],[genergy]]=0,"0","10^"&amp;INT(LOG10(SeismicData[[#This Row],[genergy]])))</f>
        <v>10^3</v>
      </c>
      <c r="X1451" t="str">
        <f>IF(OR(SeismicData[[#This Row],[genergy]]&lt;$AA$6,SeismicData[[#This Row],[genergy]]&gt;$AA$5),"Outlier","Normal")</f>
        <v>Normal</v>
      </c>
    </row>
    <row r="1452" spans="1:24" x14ac:dyDescent="0.15">
      <c r="A1452">
        <v>1451</v>
      </c>
      <c r="B1452" t="s">
        <v>20</v>
      </c>
      <c r="C1452" t="s">
        <v>23</v>
      </c>
      <c r="D1452" t="s">
        <v>21</v>
      </c>
      <c r="E1452">
        <v>12520</v>
      </c>
      <c r="F1452">
        <v>321</v>
      </c>
      <c r="G1452">
        <v>37</v>
      </c>
      <c r="H1452">
        <v>3</v>
      </c>
      <c r="I1452" t="s">
        <v>20</v>
      </c>
      <c r="J1452">
        <v>0</v>
      </c>
      <c r="K1452">
        <v>0</v>
      </c>
      <c r="L1452">
        <v>0</v>
      </c>
      <c r="M1452">
        <v>0</v>
      </c>
      <c r="N1452">
        <v>0</v>
      </c>
      <c r="O1452">
        <v>0</v>
      </c>
      <c r="P1452">
        <v>0</v>
      </c>
      <c r="Q1452">
        <v>0</v>
      </c>
      <c r="R1452">
        <v>0</v>
      </c>
      <c r="S1452">
        <v>0</v>
      </c>
      <c r="T1452">
        <v>0</v>
      </c>
      <c r="U1452" t="str">
        <f>IF(SeismicData[[#This Row],[class]]=1,"Dangerous","Safe")</f>
        <v>Safe</v>
      </c>
      <c r="V1452" t="str">
        <f>IF(SeismicData[[#This Row],[shift]]="W","Production","Non-Production")</f>
        <v>Non-Production</v>
      </c>
      <c r="W1452" t="str">
        <f>IF(SeismicData[[#This Row],[genergy]]=0,"0","10^"&amp;INT(LOG10(SeismicData[[#This Row],[genergy]])))</f>
        <v>10^4</v>
      </c>
      <c r="X1452" t="str">
        <f>IF(OR(SeismicData[[#This Row],[genergy]]&lt;$AA$6,SeismicData[[#This Row],[genergy]]&gt;$AA$5),"Outlier","Normal")</f>
        <v>Normal</v>
      </c>
    </row>
    <row r="1453" spans="1:24" x14ac:dyDescent="0.15">
      <c r="A1453">
        <v>1452</v>
      </c>
      <c r="B1453" t="s">
        <v>20</v>
      </c>
      <c r="C1453" t="s">
        <v>23</v>
      </c>
      <c r="D1453" t="s">
        <v>21</v>
      </c>
      <c r="E1453">
        <v>8820</v>
      </c>
      <c r="F1453">
        <v>280</v>
      </c>
      <c r="G1453">
        <v>-4</v>
      </c>
      <c r="H1453">
        <v>-10</v>
      </c>
      <c r="I1453" t="s">
        <v>20</v>
      </c>
      <c r="J1453">
        <v>0</v>
      </c>
      <c r="K1453">
        <v>0</v>
      </c>
      <c r="L1453">
        <v>0</v>
      </c>
      <c r="M1453">
        <v>0</v>
      </c>
      <c r="N1453">
        <v>0</v>
      </c>
      <c r="O1453">
        <v>0</v>
      </c>
      <c r="P1453">
        <v>0</v>
      </c>
      <c r="Q1453">
        <v>0</v>
      </c>
      <c r="R1453">
        <v>0</v>
      </c>
      <c r="S1453">
        <v>0</v>
      </c>
      <c r="T1453">
        <v>0</v>
      </c>
      <c r="U1453" t="str">
        <f>IF(SeismicData[[#This Row],[class]]=1,"Dangerous","Safe")</f>
        <v>Safe</v>
      </c>
      <c r="V1453" t="str">
        <f>IF(SeismicData[[#This Row],[shift]]="W","Production","Non-Production")</f>
        <v>Non-Production</v>
      </c>
      <c r="W1453" t="str">
        <f>IF(SeismicData[[#This Row],[genergy]]=0,"0","10^"&amp;INT(LOG10(SeismicData[[#This Row],[genergy]])))</f>
        <v>10^3</v>
      </c>
      <c r="X1453" t="str">
        <f>IF(OR(SeismicData[[#This Row],[genergy]]&lt;$AA$6,SeismicData[[#This Row],[genergy]]&gt;$AA$5),"Outlier","Normal")</f>
        <v>Normal</v>
      </c>
    </row>
    <row r="1454" spans="1:24" x14ac:dyDescent="0.15">
      <c r="A1454">
        <v>1453</v>
      </c>
      <c r="B1454" t="s">
        <v>20</v>
      </c>
      <c r="C1454" t="s">
        <v>23</v>
      </c>
      <c r="D1454" t="s">
        <v>21</v>
      </c>
      <c r="E1454">
        <v>10540</v>
      </c>
      <c r="F1454">
        <v>321</v>
      </c>
      <c r="G1454">
        <v>15</v>
      </c>
      <c r="H1454">
        <v>3</v>
      </c>
      <c r="I1454" t="s">
        <v>20</v>
      </c>
      <c r="J1454">
        <v>0</v>
      </c>
      <c r="K1454">
        <v>0</v>
      </c>
      <c r="L1454">
        <v>0</v>
      </c>
      <c r="M1454">
        <v>0</v>
      </c>
      <c r="N1454">
        <v>0</v>
      </c>
      <c r="O1454">
        <v>0</v>
      </c>
      <c r="P1454">
        <v>0</v>
      </c>
      <c r="Q1454">
        <v>0</v>
      </c>
      <c r="R1454">
        <v>0</v>
      </c>
      <c r="S1454">
        <v>0</v>
      </c>
      <c r="T1454">
        <v>0</v>
      </c>
      <c r="U1454" t="str">
        <f>IF(SeismicData[[#This Row],[class]]=1,"Dangerous","Safe")</f>
        <v>Safe</v>
      </c>
      <c r="V1454" t="str">
        <f>IF(SeismicData[[#This Row],[shift]]="W","Production","Non-Production")</f>
        <v>Non-Production</v>
      </c>
      <c r="W1454" t="str">
        <f>IF(SeismicData[[#This Row],[genergy]]=0,"0","10^"&amp;INT(LOG10(SeismicData[[#This Row],[genergy]])))</f>
        <v>10^4</v>
      </c>
      <c r="X1454" t="str">
        <f>IF(OR(SeismicData[[#This Row],[genergy]]&lt;$AA$6,SeismicData[[#This Row],[genergy]]&gt;$AA$5),"Outlier","Normal")</f>
        <v>Normal</v>
      </c>
    </row>
    <row r="1455" spans="1:24" x14ac:dyDescent="0.15">
      <c r="A1455">
        <v>1454</v>
      </c>
      <c r="B1455" t="s">
        <v>20</v>
      </c>
      <c r="C1455" t="s">
        <v>23</v>
      </c>
      <c r="D1455" t="s">
        <v>21</v>
      </c>
      <c r="E1455">
        <v>16010</v>
      </c>
      <c r="F1455">
        <v>446</v>
      </c>
      <c r="G1455">
        <v>75</v>
      </c>
      <c r="H1455">
        <v>43</v>
      </c>
      <c r="I1455" t="s">
        <v>20</v>
      </c>
      <c r="J1455">
        <v>0</v>
      </c>
      <c r="K1455">
        <v>0</v>
      </c>
      <c r="L1455">
        <v>0</v>
      </c>
      <c r="M1455">
        <v>0</v>
      </c>
      <c r="N1455">
        <v>0</v>
      </c>
      <c r="O1455">
        <v>0</v>
      </c>
      <c r="P1455">
        <v>0</v>
      </c>
      <c r="Q1455">
        <v>0</v>
      </c>
      <c r="R1455">
        <v>0</v>
      </c>
      <c r="S1455">
        <v>0</v>
      </c>
      <c r="T1455">
        <v>0</v>
      </c>
      <c r="U1455" t="str">
        <f>IF(SeismicData[[#This Row],[class]]=1,"Dangerous","Safe")</f>
        <v>Safe</v>
      </c>
      <c r="V1455" t="str">
        <f>IF(SeismicData[[#This Row],[shift]]="W","Production","Non-Production")</f>
        <v>Non-Production</v>
      </c>
      <c r="W1455" t="str">
        <f>IF(SeismicData[[#This Row],[genergy]]=0,"0","10^"&amp;INT(LOG10(SeismicData[[#This Row],[genergy]])))</f>
        <v>10^4</v>
      </c>
      <c r="X1455" t="str">
        <f>IF(OR(SeismicData[[#This Row],[genergy]]&lt;$AA$6,SeismicData[[#This Row],[genergy]]&gt;$AA$5),"Outlier","Normal")</f>
        <v>Normal</v>
      </c>
    </row>
    <row r="1456" spans="1:24" x14ac:dyDescent="0.15">
      <c r="A1456">
        <v>1455</v>
      </c>
      <c r="B1456" t="s">
        <v>20</v>
      </c>
      <c r="C1456" t="s">
        <v>23</v>
      </c>
      <c r="D1456" t="s">
        <v>22</v>
      </c>
      <c r="E1456">
        <v>17610</v>
      </c>
      <c r="F1456">
        <v>228</v>
      </c>
      <c r="G1456">
        <v>5</v>
      </c>
      <c r="H1456">
        <v>-13</v>
      </c>
      <c r="I1456" t="s">
        <v>20</v>
      </c>
      <c r="J1456">
        <v>0</v>
      </c>
      <c r="K1456">
        <v>0</v>
      </c>
      <c r="L1456">
        <v>0</v>
      </c>
      <c r="M1456">
        <v>0</v>
      </c>
      <c r="N1456">
        <v>0</v>
      </c>
      <c r="O1456">
        <v>0</v>
      </c>
      <c r="P1456">
        <v>0</v>
      </c>
      <c r="Q1456">
        <v>0</v>
      </c>
      <c r="R1456">
        <v>0</v>
      </c>
      <c r="S1456">
        <v>0</v>
      </c>
      <c r="T1456">
        <v>0</v>
      </c>
      <c r="U1456" t="str">
        <f>IF(SeismicData[[#This Row],[class]]=1,"Dangerous","Safe")</f>
        <v>Safe</v>
      </c>
      <c r="V1456" t="str">
        <f>IF(SeismicData[[#This Row],[shift]]="W","Production","Non-Production")</f>
        <v>Production</v>
      </c>
      <c r="W1456" t="str">
        <f>IF(SeismicData[[#This Row],[genergy]]=0,"0","10^"&amp;INT(LOG10(SeismicData[[#This Row],[genergy]])))</f>
        <v>10^4</v>
      </c>
      <c r="X1456" t="str">
        <f>IF(OR(SeismicData[[#This Row],[genergy]]&lt;$AA$6,SeismicData[[#This Row],[genergy]]&gt;$AA$5),"Outlier","Normal")</f>
        <v>Normal</v>
      </c>
    </row>
    <row r="1457" spans="1:24" x14ac:dyDescent="0.15">
      <c r="A1457">
        <v>1456</v>
      </c>
      <c r="B1457" t="s">
        <v>20</v>
      </c>
      <c r="C1457" t="s">
        <v>23</v>
      </c>
      <c r="D1457" t="s">
        <v>22</v>
      </c>
      <c r="E1457">
        <v>13930</v>
      </c>
      <c r="F1457">
        <v>423</v>
      </c>
      <c r="G1457">
        <v>-26</v>
      </c>
      <c r="H1457">
        <v>-32</v>
      </c>
      <c r="I1457" t="s">
        <v>20</v>
      </c>
      <c r="J1457">
        <v>0</v>
      </c>
      <c r="K1457">
        <v>0</v>
      </c>
      <c r="L1457">
        <v>0</v>
      </c>
      <c r="M1457">
        <v>0</v>
      </c>
      <c r="N1457">
        <v>0</v>
      </c>
      <c r="O1457">
        <v>0</v>
      </c>
      <c r="P1457">
        <v>0</v>
      </c>
      <c r="Q1457">
        <v>0</v>
      </c>
      <c r="R1457">
        <v>0</v>
      </c>
      <c r="S1457">
        <v>0</v>
      </c>
      <c r="T1457">
        <v>0</v>
      </c>
      <c r="U1457" t="str">
        <f>IF(SeismicData[[#This Row],[class]]=1,"Dangerous","Safe")</f>
        <v>Safe</v>
      </c>
      <c r="V1457" t="str">
        <f>IF(SeismicData[[#This Row],[shift]]="W","Production","Non-Production")</f>
        <v>Production</v>
      </c>
      <c r="W1457" t="str">
        <f>IF(SeismicData[[#This Row],[genergy]]=0,"0","10^"&amp;INT(LOG10(SeismicData[[#This Row],[genergy]])))</f>
        <v>10^4</v>
      </c>
      <c r="X1457" t="str">
        <f>IF(OR(SeismicData[[#This Row],[genergy]]&lt;$AA$6,SeismicData[[#This Row],[genergy]]&gt;$AA$5),"Outlier","Normal")</f>
        <v>Normal</v>
      </c>
    </row>
    <row r="1458" spans="1:24" x14ac:dyDescent="0.15">
      <c r="A1458">
        <v>1457</v>
      </c>
      <c r="B1458" t="s">
        <v>20</v>
      </c>
      <c r="C1458" t="s">
        <v>23</v>
      </c>
      <c r="D1458" t="s">
        <v>21</v>
      </c>
      <c r="E1458">
        <v>15290</v>
      </c>
      <c r="F1458">
        <v>436</v>
      </c>
      <c r="G1458">
        <v>75</v>
      </c>
      <c r="H1458">
        <v>47</v>
      </c>
      <c r="I1458" t="s">
        <v>20</v>
      </c>
      <c r="J1458">
        <v>0</v>
      </c>
      <c r="K1458">
        <v>0</v>
      </c>
      <c r="L1458">
        <v>0</v>
      </c>
      <c r="M1458">
        <v>0</v>
      </c>
      <c r="N1458">
        <v>0</v>
      </c>
      <c r="O1458">
        <v>0</v>
      </c>
      <c r="P1458">
        <v>0</v>
      </c>
      <c r="Q1458">
        <v>0</v>
      </c>
      <c r="R1458">
        <v>0</v>
      </c>
      <c r="S1458">
        <v>0</v>
      </c>
      <c r="T1458">
        <v>0</v>
      </c>
      <c r="U1458" t="str">
        <f>IF(SeismicData[[#This Row],[class]]=1,"Dangerous","Safe")</f>
        <v>Safe</v>
      </c>
      <c r="V1458" t="str">
        <f>IF(SeismicData[[#This Row],[shift]]="W","Production","Non-Production")</f>
        <v>Non-Production</v>
      </c>
      <c r="W1458" t="str">
        <f>IF(SeismicData[[#This Row],[genergy]]=0,"0","10^"&amp;INT(LOG10(SeismicData[[#This Row],[genergy]])))</f>
        <v>10^4</v>
      </c>
      <c r="X1458" t="str">
        <f>IF(OR(SeismicData[[#This Row],[genergy]]&lt;$AA$6,SeismicData[[#This Row],[genergy]]&gt;$AA$5),"Outlier","Normal")</f>
        <v>Normal</v>
      </c>
    </row>
    <row r="1459" spans="1:24" x14ac:dyDescent="0.15">
      <c r="A1459">
        <v>1458</v>
      </c>
      <c r="B1459" t="s">
        <v>20</v>
      </c>
      <c r="C1459" t="s">
        <v>23</v>
      </c>
      <c r="D1459" t="s">
        <v>21</v>
      </c>
      <c r="E1459">
        <v>14190</v>
      </c>
      <c r="F1459">
        <v>384</v>
      </c>
      <c r="G1459">
        <v>62</v>
      </c>
      <c r="H1459">
        <v>30</v>
      </c>
      <c r="I1459" t="s">
        <v>20</v>
      </c>
      <c r="J1459">
        <v>0</v>
      </c>
      <c r="K1459">
        <v>0</v>
      </c>
      <c r="L1459">
        <v>0</v>
      </c>
      <c r="M1459">
        <v>0</v>
      </c>
      <c r="N1459">
        <v>0</v>
      </c>
      <c r="O1459">
        <v>0</v>
      </c>
      <c r="P1459">
        <v>0</v>
      </c>
      <c r="Q1459">
        <v>0</v>
      </c>
      <c r="R1459">
        <v>0</v>
      </c>
      <c r="S1459">
        <v>0</v>
      </c>
      <c r="T1459">
        <v>0</v>
      </c>
      <c r="U1459" t="str">
        <f>IF(SeismicData[[#This Row],[class]]=1,"Dangerous","Safe")</f>
        <v>Safe</v>
      </c>
      <c r="V1459" t="str">
        <f>IF(SeismicData[[#This Row],[shift]]="W","Production","Non-Production")</f>
        <v>Non-Production</v>
      </c>
      <c r="W1459" t="str">
        <f>IF(SeismicData[[#This Row],[genergy]]=0,"0","10^"&amp;INT(LOG10(SeismicData[[#This Row],[genergy]])))</f>
        <v>10^4</v>
      </c>
      <c r="X1459" t="str">
        <f>IF(OR(SeismicData[[#This Row],[genergy]]&lt;$AA$6,SeismicData[[#This Row],[genergy]]&gt;$AA$5),"Outlier","Normal")</f>
        <v>Normal</v>
      </c>
    </row>
    <row r="1460" spans="1:24" x14ac:dyDescent="0.15">
      <c r="A1460">
        <v>1459</v>
      </c>
      <c r="B1460" t="s">
        <v>20</v>
      </c>
      <c r="C1460" t="s">
        <v>23</v>
      </c>
      <c r="D1460" t="s">
        <v>21</v>
      </c>
      <c r="E1460">
        <v>11730</v>
      </c>
      <c r="F1460">
        <v>336</v>
      </c>
      <c r="G1460">
        <v>34</v>
      </c>
      <c r="H1460">
        <v>13</v>
      </c>
      <c r="I1460" t="s">
        <v>20</v>
      </c>
      <c r="J1460">
        <v>0</v>
      </c>
      <c r="K1460">
        <v>0</v>
      </c>
      <c r="L1460">
        <v>0</v>
      </c>
      <c r="M1460">
        <v>0</v>
      </c>
      <c r="N1460">
        <v>0</v>
      </c>
      <c r="O1460">
        <v>0</v>
      </c>
      <c r="P1460">
        <v>0</v>
      </c>
      <c r="Q1460">
        <v>0</v>
      </c>
      <c r="R1460">
        <v>0</v>
      </c>
      <c r="S1460">
        <v>0</v>
      </c>
      <c r="T1460">
        <v>0</v>
      </c>
      <c r="U1460" t="str">
        <f>IF(SeismicData[[#This Row],[class]]=1,"Dangerous","Safe")</f>
        <v>Safe</v>
      </c>
      <c r="V1460" t="str">
        <f>IF(SeismicData[[#This Row],[shift]]="W","Production","Non-Production")</f>
        <v>Non-Production</v>
      </c>
      <c r="W1460" t="str">
        <f>IF(SeismicData[[#This Row],[genergy]]=0,"0","10^"&amp;INT(LOG10(SeismicData[[#This Row],[genergy]])))</f>
        <v>10^4</v>
      </c>
      <c r="X1460" t="str">
        <f>IF(OR(SeismicData[[#This Row],[genergy]]&lt;$AA$6,SeismicData[[#This Row],[genergy]]&gt;$AA$5),"Outlier","Normal")</f>
        <v>Normal</v>
      </c>
    </row>
    <row r="1461" spans="1:24" x14ac:dyDescent="0.15">
      <c r="A1461">
        <v>1460</v>
      </c>
      <c r="B1461" t="s">
        <v>20</v>
      </c>
      <c r="C1461" t="s">
        <v>23</v>
      </c>
      <c r="D1461" t="s">
        <v>22</v>
      </c>
      <c r="E1461">
        <v>9670</v>
      </c>
      <c r="F1461">
        <v>277</v>
      </c>
      <c r="G1461">
        <v>-48</v>
      </c>
      <c r="H1461">
        <v>-56</v>
      </c>
      <c r="I1461" t="s">
        <v>20</v>
      </c>
      <c r="J1461">
        <v>0</v>
      </c>
      <c r="K1461">
        <v>0</v>
      </c>
      <c r="L1461">
        <v>0</v>
      </c>
      <c r="M1461">
        <v>0</v>
      </c>
      <c r="N1461">
        <v>0</v>
      </c>
      <c r="O1461">
        <v>0</v>
      </c>
      <c r="P1461">
        <v>0</v>
      </c>
      <c r="Q1461">
        <v>0</v>
      </c>
      <c r="R1461">
        <v>0</v>
      </c>
      <c r="S1461">
        <v>0</v>
      </c>
      <c r="T1461">
        <v>0</v>
      </c>
      <c r="U1461" t="str">
        <f>IF(SeismicData[[#This Row],[class]]=1,"Dangerous","Safe")</f>
        <v>Safe</v>
      </c>
      <c r="V1461" t="str">
        <f>IF(SeismicData[[#This Row],[shift]]="W","Production","Non-Production")</f>
        <v>Production</v>
      </c>
      <c r="W1461" t="str">
        <f>IF(SeismicData[[#This Row],[genergy]]=0,"0","10^"&amp;INT(LOG10(SeismicData[[#This Row],[genergy]])))</f>
        <v>10^3</v>
      </c>
      <c r="X1461" t="str">
        <f>IF(OR(SeismicData[[#This Row],[genergy]]&lt;$AA$6,SeismicData[[#This Row],[genergy]]&gt;$AA$5),"Outlier","Normal")</f>
        <v>Normal</v>
      </c>
    </row>
    <row r="1462" spans="1:24" x14ac:dyDescent="0.15">
      <c r="A1462">
        <v>1461</v>
      </c>
      <c r="B1462" t="s">
        <v>20</v>
      </c>
      <c r="C1462" t="s">
        <v>23</v>
      </c>
      <c r="D1462" t="s">
        <v>22</v>
      </c>
      <c r="E1462">
        <v>14180</v>
      </c>
      <c r="F1462">
        <v>348</v>
      </c>
      <c r="G1462">
        <v>-24</v>
      </c>
      <c r="H1462">
        <v>-44</v>
      </c>
      <c r="I1462" t="s">
        <v>20</v>
      </c>
      <c r="J1462">
        <v>0</v>
      </c>
      <c r="K1462">
        <v>0</v>
      </c>
      <c r="L1462">
        <v>0</v>
      </c>
      <c r="M1462">
        <v>0</v>
      </c>
      <c r="N1462">
        <v>0</v>
      </c>
      <c r="O1462">
        <v>0</v>
      </c>
      <c r="P1462">
        <v>0</v>
      </c>
      <c r="Q1462">
        <v>0</v>
      </c>
      <c r="R1462">
        <v>0</v>
      </c>
      <c r="S1462">
        <v>0</v>
      </c>
      <c r="T1462">
        <v>0</v>
      </c>
      <c r="U1462" t="str">
        <f>IF(SeismicData[[#This Row],[class]]=1,"Dangerous","Safe")</f>
        <v>Safe</v>
      </c>
      <c r="V1462" t="str">
        <f>IF(SeismicData[[#This Row],[shift]]="W","Production","Non-Production")</f>
        <v>Production</v>
      </c>
      <c r="W1462" t="str">
        <f>IF(SeismicData[[#This Row],[genergy]]=0,"0","10^"&amp;INT(LOG10(SeismicData[[#This Row],[genergy]])))</f>
        <v>10^4</v>
      </c>
      <c r="X1462" t="str">
        <f>IF(OR(SeismicData[[#This Row],[genergy]]&lt;$AA$6,SeismicData[[#This Row],[genergy]]&gt;$AA$5),"Outlier","Normal")</f>
        <v>Normal</v>
      </c>
    </row>
    <row r="1463" spans="1:24" x14ac:dyDescent="0.15">
      <c r="A1463">
        <v>1462</v>
      </c>
      <c r="B1463" t="s">
        <v>20</v>
      </c>
      <c r="C1463" t="s">
        <v>23</v>
      </c>
      <c r="D1463" t="s">
        <v>22</v>
      </c>
      <c r="E1463">
        <v>48240</v>
      </c>
      <c r="F1463">
        <v>565</v>
      </c>
      <c r="G1463">
        <v>187</v>
      </c>
      <c r="H1463">
        <v>116</v>
      </c>
      <c r="I1463" t="s">
        <v>20</v>
      </c>
      <c r="J1463">
        <v>0</v>
      </c>
      <c r="K1463">
        <v>0</v>
      </c>
      <c r="L1463">
        <v>0</v>
      </c>
      <c r="M1463">
        <v>0</v>
      </c>
      <c r="N1463">
        <v>0</v>
      </c>
      <c r="O1463">
        <v>0</v>
      </c>
      <c r="P1463">
        <v>0</v>
      </c>
      <c r="Q1463">
        <v>0</v>
      </c>
      <c r="R1463">
        <v>0</v>
      </c>
      <c r="S1463">
        <v>0</v>
      </c>
      <c r="T1463">
        <v>0</v>
      </c>
      <c r="U1463" t="str">
        <f>IF(SeismicData[[#This Row],[class]]=1,"Dangerous","Safe")</f>
        <v>Safe</v>
      </c>
      <c r="V1463" t="str">
        <f>IF(SeismicData[[#This Row],[shift]]="W","Production","Non-Production")</f>
        <v>Production</v>
      </c>
      <c r="W1463" t="str">
        <f>IF(SeismicData[[#This Row],[genergy]]=0,"0","10^"&amp;INT(LOG10(SeismicData[[#This Row],[genergy]])))</f>
        <v>10^4</v>
      </c>
      <c r="X1463" t="str">
        <f>IF(OR(SeismicData[[#This Row],[genergy]]&lt;$AA$6,SeismicData[[#This Row],[genergy]]&gt;$AA$5),"Outlier","Normal")</f>
        <v>Normal</v>
      </c>
    </row>
    <row r="1464" spans="1:24" x14ac:dyDescent="0.15">
      <c r="A1464">
        <v>1463</v>
      </c>
      <c r="B1464" t="s">
        <v>20</v>
      </c>
      <c r="C1464" t="s">
        <v>23</v>
      </c>
      <c r="D1464" t="s">
        <v>22</v>
      </c>
      <c r="E1464">
        <v>5680</v>
      </c>
      <c r="F1464">
        <v>210</v>
      </c>
      <c r="G1464">
        <v>-66</v>
      </c>
      <c r="H1464">
        <v>-20</v>
      </c>
      <c r="I1464" t="s">
        <v>20</v>
      </c>
      <c r="J1464">
        <v>0</v>
      </c>
      <c r="K1464">
        <v>0</v>
      </c>
      <c r="L1464">
        <v>0</v>
      </c>
      <c r="M1464">
        <v>0</v>
      </c>
      <c r="N1464">
        <v>0</v>
      </c>
      <c r="O1464">
        <v>0</v>
      </c>
      <c r="P1464">
        <v>0</v>
      </c>
      <c r="Q1464">
        <v>0</v>
      </c>
      <c r="R1464">
        <v>0</v>
      </c>
      <c r="S1464">
        <v>0</v>
      </c>
      <c r="T1464">
        <v>0</v>
      </c>
      <c r="U1464" t="str">
        <f>IF(SeismicData[[#This Row],[class]]=1,"Dangerous","Safe")</f>
        <v>Safe</v>
      </c>
      <c r="V1464" t="str">
        <f>IF(SeismicData[[#This Row],[shift]]="W","Production","Non-Production")</f>
        <v>Production</v>
      </c>
      <c r="W1464" t="str">
        <f>IF(SeismicData[[#This Row],[genergy]]=0,"0","10^"&amp;INT(LOG10(SeismicData[[#This Row],[genergy]])))</f>
        <v>10^3</v>
      </c>
      <c r="X1464" t="str">
        <f>IF(OR(SeismicData[[#This Row],[genergy]]&lt;$AA$6,SeismicData[[#This Row],[genergy]]&gt;$AA$5),"Outlier","Normal")</f>
        <v>Normal</v>
      </c>
    </row>
    <row r="1465" spans="1:24" x14ac:dyDescent="0.15">
      <c r="A1465">
        <v>1464</v>
      </c>
      <c r="B1465" t="s">
        <v>20</v>
      </c>
      <c r="C1465" t="s">
        <v>23</v>
      </c>
      <c r="D1465" t="s">
        <v>22</v>
      </c>
      <c r="E1465">
        <v>9590</v>
      </c>
      <c r="F1465">
        <v>222</v>
      </c>
      <c r="G1465">
        <v>-49</v>
      </c>
      <c r="H1465">
        <v>-64</v>
      </c>
      <c r="I1465" t="s">
        <v>20</v>
      </c>
      <c r="J1465">
        <v>1</v>
      </c>
      <c r="K1465">
        <v>1</v>
      </c>
      <c r="L1465">
        <v>0</v>
      </c>
      <c r="M1465">
        <v>0</v>
      </c>
      <c r="N1465">
        <v>0</v>
      </c>
      <c r="O1465">
        <v>0</v>
      </c>
      <c r="P1465">
        <v>0</v>
      </c>
      <c r="Q1465">
        <v>0</v>
      </c>
      <c r="R1465">
        <v>300</v>
      </c>
      <c r="S1465">
        <v>300</v>
      </c>
      <c r="T1465">
        <v>0</v>
      </c>
      <c r="U1465" t="str">
        <f>IF(SeismicData[[#This Row],[class]]=1,"Dangerous","Safe")</f>
        <v>Safe</v>
      </c>
      <c r="V1465" t="str">
        <f>IF(SeismicData[[#This Row],[shift]]="W","Production","Non-Production")</f>
        <v>Production</v>
      </c>
      <c r="W1465" t="str">
        <f>IF(SeismicData[[#This Row],[genergy]]=0,"0","10^"&amp;INT(LOG10(SeismicData[[#This Row],[genergy]])))</f>
        <v>10^3</v>
      </c>
      <c r="X1465" t="str">
        <f>IF(OR(SeismicData[[#This Row],[genergy]]&lt;$AA$6,SeismicData[[#This Row],[genergy]]&gt;$AA$5),"Outlier","Normal")</f>
        <v>Normal</v>
      </c>
    </row>
    <row r="1466" spans="1:24" x14ac:dyDescent="0.15">
      <c r="A1466">
        <v>1465</v>
      </c>
      <c r="B1466" t="s">
        <v>20</v>
      </c>
      <c r="C1466" t="s">
        <v>23</v>
      </c>
      <c r="D1466" t="s">
        <v>22</v>
      </c>
      <c r="E1466">
        <v>5930</v>
      </c>
      <c r="F1466">
        <v>120</v>
      </c>
      <c r="G1466">
        <v>-65</v>
      </c>
      <c r="H1466">
        <v>-54</v>
      </c>
      <c r="I1466" t="s">
        <v>20</v>
      </c>
      <c r="J1466">
        <v>0</v>
      </c>
      <c r="K1466">
        <v>0</v>
      </c>
      <c r="L1466">
        <v>0</v>
      </c>
      <c r="M1466">
        <v>0</v>
      </c>
      <c r="N1466">
        <v>0</v>
      </c>
      <c r="O1466">
        <v>0</v>
      </c>
      <c r="P1466">
        <v>0</v>
      </c>
      <c r="Q1466">
        <v>0</v>
      </c>
      <c r="R1466">
        <v>0</v>
      </c>
      <c r="S1466">
        <v>0</v>
      </c>
      <c r="T1466">
        <v>0</v>
      </c>
      <c r="U1466" t="str">
        <f>IF(SeismicData[[#This Row],[class]]=1,"Dangerous","Safe")</f>
        <v>Safe</v>
      </c>
      <c r="V1466" t="str">
        <f>IF(SeismicData[[#This Row],[shift]]="W","Production","Non-Production")</f>
        <v>Production</v>
      </c>
      <c r="W1466" t="str">
        <f>IF(SeismicData[[#This Row],[genergy]]=0,"0","10^"&amp;INT(LOG10(SeismicData[[#This Row],[genergy]])))</f>
        <v>10^3</v>
      </c>
      <c r="X1466" t="str">
        <f>IF(OR(SeismicData[[#This Row],[genergy]]&lt;$AA$6,SeismicData[[#This Row],[genergy]]&gt;$AA$5),"Outlier","Normal")</f>
        <v>Normal</v>
      </c>
    </row>
    <row r="1467" spans="1:24" x14ac:dyDescent="0.15">
      <c r="A1467">
        <v>1466</v>
      </c>
      <c r="B1467" t="s">
        <v>20</v>
      </c>
      <c r="C1467" t="s">
        <v>23</v>
      </c>
      <c r="D1467" t="s">
        <v>22</v>
      </c>
      <c r="E1467">
        <v>4170</v>
      </c>
      <c r="F1467">
        <v>224</v>
      </c>
      <c r="G1467">
        <v>-78</v>
      </c>
      <c r="H1467">
        <v>-64</v>
      </c>
      <c r="I1467" t="s">
        <v>20</v>
      </c>
      <c r="J1467">
        <v>0</v>
      </c>
      <c r="K1467">
        <v>0</v>
      </c>
      <c r="L1467">
        <v>0</v>
      </c>
      <c r="M1467">
        <v>0</v>
      </c>
      <c r="N1467">
        <v>0</v>
      </c>
      <c r="O1467">
        <v>0</v>
      </c>
      <c r="P1467">
        <v>0</v>
      </c>
      <c r="Q1467">
        <v>0</v>
      </c>
      <c r="R1467">
        <v>0</v>
      </c>
      <c r="S1467">
        <v>0</v>
      </c>
      <c r="T1467">
        <v>0</v>
      </c>
      <c r="U1467" t="str">
        <f>IF(SeismicData[[#This Row],[class]]=1,"Dangerous","Safe")</f>
        <v>Safe</v>
      </c>
      <c r="V1467" t="str">
        <f>IF(SeismicData[[#This Row],[shift]]="W","Production","Non-Production")</f>
        <v>Production</v>
      </c>
      <c r="W1467" t="str">
        <f>IF(SeismicData[[#This Row],[genergy]]=0,"0","10^"&amp;INT(LOG10(SeismicData[[#This Row],[genergy]])))</f>
        <v>10^3</v>
      </c>
      <c r="X1467" t="str">
        <f>IF(OR(SeismicData[[#This Row],[genergy]]&lt;$AA$6,SeismicData[[#This Row],[genergy]]&gt;$AA$5),"Outlier","Normal")</f>
        <v>Normal</v>
      </c>
    </row>
    <row r="1468" spans="1:24" x14ac:dyDescent="0.15">
      <c r="A1468">
        <v>1467</v>
      </c>
      <c r="B1468" t="s">
        <v>20</v>
      </c>
      <c r="C1468" t="s">
        <v>23</v>
      </c>
      <c r="D1468" t="s">
        <v>22</v>
      </c>
      <c r="E1468">
        <v>30740</v>
      </c>
      <c r="F1468">
        <v>318</v>
      </c>
      <c r="G1468">
        <v>83</v>
      </c>
      <c r="H1468">
        <v>22</v>
      </c>
      <c r="I1468" t="s">
        <v>20</v>
      </c>
      <c r="J1468">
        <v>1</v>
      </c>
      <c r="K1468">
        <v>1</v>
      </c>
      <c r="L1468">
        <v>0</v>
      </c>
      <c r="M1468">
        <v>0</v>
      </c>
      <c r="N1468">
        <v>0</v>
      </c>
      <c r="O1468">
        <v>0</v>
      </c>
      <c r="P1468">
        <v>0</v>
      </c>
      <c r="Q1468">
        <v>0</v>
      </c>
      <c r="R1468">
        <v>900</v>
      </c>
      <c r="S1468">
        <v>900</v>
      </c>
      <c r="T1468">
        <v>0</v>
      </c>
      <c r="U1468" t="str">
        <f>IF(SeismicData[[#This Row],[class]]=1,"Dangerous","Safe")</f>
        <v>Safe</v>
      </c>
      <c r="V1468" t="str">
        <f>IF(SeismicData[[#This Row],[shift]]="W","Production","Non-Production")</f>
        <v>Production</v>
      </c>
      <c r="W1468" t="str">
        <f>IF(SeismicData[[#This Row],[genergy]]=0,"0","10^"&amp;INT(LOG10(SeismicData[[#This Row],[genergy]])))</f>
        <v>10^4</v>
      </c>
      <c r="X1468" t="str">
        <f>IF(OR(SeismicData[[#This Row],[genergy]]&lt;$AA$6,SeismicData[[#This Row],[genergy]]&gt;$AA$5),"Outlier","Normal")</f>
        <v>Normal</v>
      </c>
    </row>
    <row r="1469" spans="1:24" x14ac:dyDescent="0.15">
      <c r="A1469">
        <v>1468</v>
      </c>
      <c r="B1469" t="s">
        <v>20</v>
      </c>
      <c r="C1469" t="s">
        <v>23</v>
      </c>
      <c r="D1469" t="s">
        <v>22</v>
      </c>
      <c r="E1469">
        <v>29990</v>
      </c>
      <c r="F1469">
        <v>354</v>
      </c>
      <c r="G1469">
        <v>79</v>
      </c>
      <c r="H1469">
        <v>35</v>
      </c>
      <c r="I1469" t="s">
        <v>20</v>
      </c>
      <c r="J1469">
        <v>1</v>
      </c>
      <c r="K1469">
        <v>1</v>
      </c>
      <c r="L1469">
        <v>0</v>
      </c>
      <c r="M1469">
        <v>0</v>
      </c>
      <c r="N1469">
        <v>0</v>
      </c>
      <c r="O1469">
        <v>0</v>
      </c>
      <c r="P1469">
        <v>0</v>
      </c>
      <c r="Q1469">
        <v>0</v>
      </c>
      <c r="R1469">
        <v>400</v>
      </c>
      <c r="S1469">
        <v>400</v>
      </c>
      <c r="T1469">
        <v>0</v>
      </c>
      <c r="U1469" t="str">
        <f>IF(SeismicData[[#This Row],[class]]=1,"Dangerous","Safe")</f>
        <v>Safe</v>
      </c>
      <c r="V1469" t="str">
        <f>IF(SeismicData[[#This Row],[shift]]="W","Production","Non-Production")</f>
        <v>Production</v>
      </c>
      <c r="W1469" t="str">
        <f>IF(SeismicData[[#This Row],[genergy]]=0,"0","10^"&amp;INT(LOG10(SeismicData[[#This Row],[genergy]])))</f>
        <v>10^4</v>
      </c>
      <c r="X1469" t="str">
        <f>IF(OR(SeismicData[[#This Row],[genergy]]&lt;$AA$6,SeismicData[[#This Row],[genergy]]&gt;$AA$5),"Outlier","Normal")</f>
        <v>Normal</v>
      </c>
    </row>
    <row r="1470" spans="1:24" x14ac:dyDescent="0.15">
      <c r="A1470">
        <v>1469</v>
      </c>
      <c r="B1470" t="s">
        <v>20</v>
      </c>
      <c r="C1470" t="s">
        <v>23</v>
      </c>
      <c r="D1470" t="s">
        <v>22</v>
      </c>
      <c r="E1470">
        <v>16330</v>
      </c>
      <c r="F1470">
        <v>449</v>
      </c>
      <c r="G1470">
        <v>-13</v>
      </c>
      <c r="H1470">
        <v>-28</v>
      </c>
      <c r="I1470" t="s">
        <v>20</v>
      </c>
      <c r="J1470">
        <v>0</v>
      </c>
      <c r="K1470">
        <v>0</v>
      </c>
      <c r="L1470">
        <v>0</v>
      </c>
      <c r="M1470">
        <v>0</v>
      </c>
      <c r="N1470">
        <v>0</v>
      </c>
      <c r="O1470">
        <v>0</v>
      </c>
      <c r="P1470">
        <v>0</v>
      </c>
      <c r="Q1470">
        <v>0</v>
      </c>
      <c r="R1470">
        <v>0</v>
      </c>
      <c r="S1470">
        <v>0</v>
      </c>
      <c r="T1470">
        <v>0</v>
      </c>
      <c r="U1470" t="str">
        <f>IF(SeismicData[[#This Row],[class]]=1,"Dangerous","Safe")</f>
        <v>Safe</v>
      </c>
      <c r="V1470" t="str">
        <f>IF(SeismicData[[#This Row],[shift]]="W","Production","Non-Production")</f>
        <v>Production</v>
      </c>
      <c r="W1470" t="str">
        <f>IF(SeismicData[[#This Row],[genergy]]=0,"0","10^"&amp;INT(LOG10(SeismicData[[#This Row],[genergy]])))</f>
        <v>10^4</v>
      </c>
      <c r="X1470" t="str">
        <f>IF(OR(SeismicData[[#This Row],[genergy]]&lt;$AA$6,SeismicData[[#This Row],[genergy]]&gt;$AA$5),"Outlier","Normal")</f>
        <v>Normal</v>
      </c>
    </row>
    <row r="1471" spans="1:24" x14ac:dyDescent="0.15">
      <c r="A1471">
        <v>1470</v>
      </c>
      <c r="B1471" t="s">
        <v>20</v>
      </c>
      <c r="C1471" t="s">
        <v>23</v>
      </c>
      <c r="D1471" t="s">
        <v>22</v>
      </c>
      <c r="E1471">
        <v>17000</v>
      </c>
      <c r="F1471">
        <v>336</v>
      </c>
      <c r="G1471">
        <v>1</v>
      </c>
      <c r="H1471">
        <v>28</v>
      </c>
      <c r="I1471" t="s">
        <v>20</v>
      </c>
      <c r="J1471">
        <v>0</v>
      </c>
      <c r="K1471">
        <v>0</v>
      </c>
      <c r="L1471">
        <v>0</v>
      </c>
      <c r="M1471">
        <v>0</v>
      </c>
      <c r="N1471">
        <v>0</v>
      </c>
      <c r="O1471">
        <v>0</v>
      </c>
      <c r="P1471">
        <v>0</v>
      </c>
      <c r="Q1471">
        <v>0</v>
      </c>
      <c r="R1471">
        <v>0</v>
      </c>
      <c r="S1471">
        <v>0</v>
      </c>
      <c r="T1471">
        <v>0</v>
      </c>
      <c r="U1471" t="str">
        <f>IF(SeismicData[[#This Row],[class]]=1,"Dangerous","Safe")</f>
        <v>Safe</v>
      </c>
      <c r="V1471" t="str">
        <f>IF(SeismicData[[#This Row],[shift]]="W","Production","Non-Production")</f>
        <v>Production</v>
      </c>
      <c r="W1471" t="str">
        <f>IF(SeismicData[[#This Row],[genergy]]=0,"0","10^"&amp;INT(LOG10(SeismicData[[#This Row],[genergy]])))</f>
        <v>10^4</v>
      </c>
      <c r="X1471" t="str">
        <f>IF(OR(SeismicData[[#This Row],[genergy]]&lt;$AA$6,SeismicData[[#This Row],[genergy]]&gt;$AA$5),"Outlier","Normal")</f>
        <v>Normal</v>
      </c>
    </row>
    <row r="1472" spans="1:24" x14ac:dyDescent="0.15">
      <c r="A1472">
        <v>1471</v>
      </c>
      <c r="B1472" t="s">
        <v>20</v>
      </c>
      <c r="C1472" t="s">
        <v>20</v>
      </c>
      <c r="D1472" t="s">
        <v>22</v>
      </c>
      <c r="E1472">
        <v>9840</v>
      </c>
      <c r="F1472">
        <v>421</v>
      </c>
      <c r="G1472">
        <v>-43</v>
      </c>
      <c r="H1472">
        <v>-28</v>
      </c>
      <c r="I1472" t="s">
        <v>20</v>
      </c>
      <c r="J1472">
        <v>0</v>
      </c>
      <c r="K1472">
        <v>0</v>
      </c>
      <c r="L1472">
        <v>0</v>
      </c>
      <c r="M1472">
        <v>0</v>
      </c>
      <c r="N1472">
        <v>0</v>
      </c>
      <c r="O1472">
        <v>0</v>
      </c>
      <c r="P1472">
        <v>0</v>
      </c>
      <c r="Q1472">
        <v>0</v>
      </c>
      <c r="R1472">
        <v>0</v>
      </c>
      <c r="S1472">
        <v>0</v>
      </c>
      <c r="T1472">
        <v>0</v>
      </c>
      <c r="U1472" t="str">
        <f>IF(SeismicData[[#This Row],[class]]=1,"Dangerous","Safe")</f>
        <v>Safe</v>
      </c>
      <c r="V1472" t="str">
        <f>IF(SeismicData[[#This Row],[shift]]="W","Production","Non-Production")</f>
        <v>Production</v>
      </c>
      <c r="W1472" t="str">
        <f>IF(SeismicData[[#This Row],[genergy]]=0,"0","10^"&amp;INT(LOG10(SeismicData[[#This Row],[genergy]])))</f>
        <v>10^3</v>
      </c>
      <c r="X1472" t="str">
        <f>IF(OR(SeismicData[[#This Row],[genergy]]&lt;$AA$6,SeismicData[[#This Row],[genergy]]&gt;$AA$5),"Outlier","Normal")</f>
        <v>Normal</v>
      </c>
    </row>
    <row r="1473" spans="1:24" x14ac:dyDescent="0.15">
      <c r="A1473">
        <v>1472</v>
      </c>
      <c r="B1473" t="s">
        <v>20</v>
      </c>
      <c r="C1473" t="s">
        <v>20</v>
      </c>
      <c r="D1473" t="s">
        <v>22</v>
      </c>
      <c r="E1473">
        <v>17050</v>
      </c>
      <c r="F1473">
        <v>404</v>
      </c>
      <c r="G1473">
        <v>-2</v>
      </c>
      <c r="H1473">
        <v>-30</v>
      </c>
      <c r="I1473" t="s">
        <v>20</v>
      </c>
      <c r="J1473">
        <v>1</v>
      </c>
      <c r="K1473">
        <v>1</v>
      </c>
      <c r="L1473">
        <v>0</v>
      </c>
      <c r="M1473">
        <v>0</v>
      </c>
      <c r="N1473">
        <v>0</v>
      </c>
      <c r="O1473">
        <v>0</v>
      </c>
      <c r="P1473">
        <v>0</v>
      </c>
      <c r="Q1473">
        <v>0</v>
      </c>
      <c r="R1473">
        <v>700</v>
      </c>
      <c r="S1473">
        <v>700</v>
      </c>
      <c r="T1473">
        <v>0</v>
      </c>
      <c r="U1473" t="str">
        <f>IF(SeismicData[[#This Row],[class]]=1,"Dangerous","Safe")</f>
        <v>Safe</v>
      </c>
      <c r="V1473" t="str">
        <f>IF(SeismicData[[#This Row],[shift]]="W","Production","Non-Production")</f>
        <v>Production</v>
      </c>
      <c r="W1473" t="str">
        <f>IF(SeismicData[[#This Row],[genergy]]=0,"0","10^"&amp;INT(LOG10(SeismicData[[#This Row],[genergy]])))</f>
        <v>10^4</v>
      </c>
      <c r="X1473" t="str">
        <f>IF(OR(SeismicData[[#This Row],[genergy]]&lt;$AA$6,SeismicData[[#This Row],[genergy]]&gt;$AA$5),"Outlier","Normal")</f>
        <v>Normal</v>
      </c>
    </row>
    <row r="1474" spans="1:24" x14ac:dyDescent="0.15">
      <c r="A1474">
        <v>1473</v>
      </c>
      <c r="B1474" t="s">
        <v>20</v>
      </c>
      <c r="C1474" t="s">
        <v>20</v>
      </c>
      <c r="D1474" t="s">
        <v>22</v>
      </c>
      <c r="E1474">
        <v>26220</v>
      </c>
      <c r="F1474">
        <v>707</v>
      </c>
      <c r="G1474">
        <v>51</v>
      </c>
      <c r="H1474">
        <v>22</v>
      </c>
      <c r="I1474" t="s">
        <v>20</v>
      </c>
      <c r="J1474">
        <v>0</v>
      </c>
      <c r="K1474">
        <v>0</v>
      </c>
      <c r="L1474">
        <v>0</v>
      </c>
      <c r="M1474">
        <v>0</v>
      </c>
      <c r="N1474">
        <v>0</v>
      </c>
      <c r="O1474">
        <v>0</v>
      </c>
      <c r="P1474">
        <v>0</v>
      </c>
      <c r="Q1474">
        <v>0</v>
      </c>
      <c r="R1474">
        <v>0</v>
      </c>
      <c r="S1474">
        <v>0</v>
      </c>
      <c r="T1474">
        <v>0</v>
      </c>
      <c r="U1474" t="str">
        <f>IF(SeismicData[[#This Row],[class]]=1,"Dangerous","Safe")</f>
        <v>Safe</v>
      </c>
      <c r="V1474" t="str">
        <f>IF(SeismicData[[#This Row],[shift]]="W","Production","Non-Production")</f>
        <v>Production</v>
      </c>
      <c r="W1474" t="str">
        <f>IF(SeismicData[[#This Row],[genergy]]=0,"0","10^"&amp;INT(LOG10(SeismicData[[#This Row],[genergy]])))</f>
        <v>10^4</v>
      </c>
      <c r="X1474" t="str">
        <f>IF(OR(SeismicData[[#This Row],[genergy]]&lt;$AA$6,SeismicData[[#This Row],[genergy]]&gt;$AA$5),"Outlier","Normal")</f>
        <v>Normal</v>
      </c>
    </row>
    <row r="1475" spans="1:24" x14ac:dyDescent="0.15">
      <c r="A1475">
        <v>1474</v>
      </c>
      <c r="B1475" t="s">
        <v>20</v>
      </c>
      <c r="C1475" t="s">
        <v>20</v>
      </c>
      <c r="D1475" t="s">
        <v>22</v>
      </c>
      <c r="E1475">
        <v>26800</v>
      </c>
      <c r="F1475">
        <v>657</v>
      </c>
      <c r="G1475">
        <v>54</v>
      </c>
      <c r="H1475">
        <v>13</v>
      </c>
      <c r="I1475" t="s">
        <v>20</v>
      </c>
      <c r="J1475">
        <v>0</v>
      </c>
      <c r="K1475">
        <v>0</v>
      </c>
      <c r="L1475">
        <v>0</v>
      </c>
      <c r="M1475">
        <v>0</v>
      </c>
      <c r="N1475">
        <v>0</v>
      </c>
      <c r="O1475">
        <v>0</v>
      </c>
      <c r="P1475">
        <v>0</v>
      </c>
      <c r="Q1475">
        <v>0</v>
      </c>
      <c r="R1475">
        <v>0</v>
      </c>
      <c r="S1475">
        <v>0</v>
      </c>
      <c r="T1475">
        <v>0</v>
      </c>
      <c r="U1475" t="str">
        <f>IF(SeismicData[[#This Row],[class]]=1,"Dangerous","Safe")</f>
        <v>Safe</v>
      </c>
      <c r="V1475" t="str">
        <f>IF(SeismicData[[#This Row],[shift]]="W","Production","Non-Production")</f>
        <v>Production</v>
      </c>
      <c r="W1475" t="str">
        <f>IF(SeismicData[[#This Row],[genergy]]=0,"0","10^"&amp;INT(LOG10(SeismicData[[#This Row],[genergy]])))</f>
        <v>10^4</v>
      </c>
      <c r="X1475" t="str">
        <f>IF(OR(SeismicData[[#This Row],[genergy]]&lt;$AA$6,SeismicData[[#This Row],[genergy]]&gt;$AA$5),"Outlier","Normal")</f>
        <v>Normal</v>
      </c>
    </row>
    <row r="1476" spans="1:24" x14ac:dyDescent="0.15">
      <c r="A1476">
        <v>1475</v>
      </c>
      <c r="B1476" t="s">
        <v>20</v>
      </c>
      <c r="C1476" t="s">
        <v>20</v>
      </c>
      <c r="D1476" t="s">
        <v>22</v>
      </c>
      <c r="E1476">
        <v>31690</v>
      </c>
      <c r="F1476">
        <v>656</v>
      </c>
      <c r="G1476">
        <v>82</v>
      </c>
      <c r="H1476">
        <v>13</v>
      </c>
      <c r="I1476" t="s">
        <v>20</v>
      </c>
      <c r="J1476">
        <v>0</v>
      </c>
      <c r="K1476">
        <v>0</v>
      </c>
      <c r="L1476">
        <v>0</v>
      </c>
      <c r="M1476">
        <v>0</v>
      </c>
      <c r="N1476">
        <v>0</v>
      </c>
      <c r="O1476">
        <v>0</v>
      </c>
      <c r="P1476">
        <v>0</v>
      </c>
      <c r="Q1476">
        <v>0</v>
      </c>
      <c r="R1476">
        <v>0</v>
      </c>
      <c r="S1476">
        <v>0</v>
      </c>
      <c r="T1476">
        <v>0</v>
      </c>
      <c r="U1476" t="str">
        <f>IF(SeismicData[[#This Row],[class]]=1,"Dangerous","Safe")</f>
        <v>Safe</v>
      </c>
      <c r="V1476" t="str">
        <f>IF(SeismicData[[#This Row],[shift]]="W","Production","Non-Production")</f>
        <v>Production</v>
      </c>
      <c r="W1476" t="str">
        <f>IF(SeismicData[[#This Row],[genergy]]=0,"0","10^"&amp;INT(LOG10(SeismicData[[#This Row],[genergy]])))</f>
        <v>10^4</v>
      </c>
      <c r="X1476" t="str">
        <f>IF(OR(SeismicData[[#This Row],[genergy]]&lt;$AA$6,SeismicData[[#This Row],[genergy]]&gt;$AA$5),"Outlier","Normal")</f>
        <v>Normal</v>
      </c>
    </row>
    <row r="1477" spans="1:24" x14ac:dyDescent="0.15">
      <c r="A1477">
        <v>1476</v>
      </c>
      <c r="B1477" t="s">
        <v>20</v>
      </c>
      <c r="C1477" t="s">
        <v>20</v>
      </c>
      <c r="D1477" t="s">
        <v>22</v>
      </c>
      <c r="E1477">
        <v>30110</v>
      </c>
      <c r="F1477">
        <v>868</v>
      </c>
      <c r="G1477">
        <v>73</v>
      </c>
      <c r="H1477">
        <v>49</v>
      </c>
      <c r="I1477" t="s">
        <v>20</v>
      </c>
      <c r="J1477">
        <v>1</v>
      </c>
      <c r="K1477">
        <v>0</v>
      </c>
      <c r="L1477">
        <v>1</v>
      </c>
      <c r="M1477">
        <v>0</v>
      </c>
      <c r="N1477">
        <v>0</v>
      </c>
      <c r="O1477">
        <v>0</v>
      </c>
      <c r="P1477">
        <v>0</v>
      </c>
      <c r="Q1477">
        <v>0</v>
      </c>
      <c r="R1477">
        <v>4000</v>
      </c>
      <c r="S1477">
        <v>4000</v>
      </c>
      <c r="T1477">
        <v>0</v>
      </c>
      <c r="U1477" t="str">
        <f>IF(SeismicData[[#This Row],[class]]=1,"Dangerous","Safe")</f>
        <v>Safe</v>
      </c>
      <c r="V1477" t="str">
        <f>IF(SeismicData[[#This Row],[shift]]="W","Production","Non-Production")</f>
        <v>Production</v>
      </c>
      <c r="W1477" t="str">
        <f>IF(SeismicData[[#This Row],[genergy]]=0,"0","10^"&amp;INT(LOG10(SeismicData[[#This Row],[genergy]])))</f>
        <v>10^4</v>
      </c>
      <c r="X1477" t="str">
        <f>IF(OR(SeismicData[[#This Row],[genergy]]&lt;$AA$6,SeismicData[[#This Row],[genergy]]&gt;$AA$5),"Outlier","Normal")</f>
        <v>Normal</v>
      </c>
    </row>
    <row r="1478" spans="1:24" x14ac:dyDescent="0.15">
      <c r="A1478">
        <v>1477</v>
      </c>
      <c r="B1478" t="s">
        <v>20</v>
      </c>
      <c r="C1478" t="s">
        <v>20</v>
      </c>
      <c r="D1478" t="s">
        <v>22</v>
      </c>
      <c r="E1478">
        <v>13710</v>
      </c>
      <c r="F1478">
        <v>613</v>
      </c>
      <c r="G1478">
        <v>-21</v>
      </c>
      <c r="H1478">
        <v>6</v>
      </c>
      <c r="I1478" t="s">
        <v>20</v>
      </c>
      <c r="J1478">
        <v>0</v>
      </c>
      <c r="K1478">
        <v>0</v>
      </c>
      <c r="L1478">
        <v>0</v>
      </c>
      <c r="M1478">
        <v>0</v>
      </c>
      <c r="N1478">
        <v>0</v>
      </c>
      <c r="O1478">
        <v>0</v>
      </c>
      <c r="P1478">
        <v>0</v>
      </c>
      <c r="Q1478">
        <v>0</v>
      </c>
      <c r="R1478">
        <v>0</v>
      </c>
      <c r="S1478">
        <v>0</v>
      </c>
      <c r="T1478">
        <v>0</v>
      </c>
      <c r="U1478" t="str">
        <f>IF(SeismicData[[#This Row],[class]]=1,"Dangerous","Safe")</f>
        <v>Safe</v>
      </c>
      <c r="V1478" t="str">
        <f>IF(SeismicData[[#This Row],[shift]]="W","Production","Non-Production")</f>
        <v>Production</v>
      </c>
      <c r="W1478" t="str">
        <f>IF(SeismicData[[#This Row],[genergy]]=0,"0","10^"&amp;INT(LOG10(SeismicData[[#This Row],[genergy]])))</f>
        <v>10^4</v>
      </c>
      <c r="X1478" t="str">
        <f>IF(OR(SeismicData[[#This Row],[genergy]]&lt;$AA$6,SeismicData[[#This Row],[genergy]]&gt;$AA$5),"Outlier","Normal")</f>
        <v>Normal</v>
      </c>
    </row>
    <row r="1479" spans="1:24" x14ac:dyDescent="0.15">
      <c r="A1479">
        <v>1478</v>
      </c>
      <c r="B1479" t="s">
        <v>20</v>
      </c>
      <c r="C1479" t="s">
        <v>20</v>
      </c>
      <c r="D1479" t="s">
        <v>22</v>
      </c>
      <c r="E1479">
        <v>15300</v>
      </c>
      <c r="F1479">
        <v>242</v>
      </c>
      <c r="G1479">
        <v>-2</v>
      </c>
      <c r="H1479">
        <v>-4</v>
      </c>
      <c r="I1479" t="s">
        <v>20</v>
      </c>
      <c r="J1479">
        <v>1</v>
      </c>
      <c r="K1479">
        <v>1</v>
      </c>
      <c r="L1479">
        <v>0</v>
      </c>
      <c r="M1479">
        <v>0</v>
      </c>
      <c r="N1479">
        <v>0</v>
      </c>
      <c r="O1479">
        <v>0</v>
      </c>
      <c r="P1479">
        <v>0</v>
      </c>
      <c r="Q1479">
        <v>0</v>
      </c>
      <c r="R1479">
        <v>400</v>
      </c>
      <c r="S1479">
        <v>400</v>
      </c>
      <c r="T1479">
        <v>0</v>
      </c>
      <c r="U1479" t="str">
        <f>IF(SeismicData[[#This Row],[class]]=1,"Dangerous","Safe")</f>
        <v>Safe</v>
      </c>
      <c r="V1479" t="str">
        <f>IF(SeismicData[[#This Row],[shift]]="W","Production","Non-Production")</f>
        <v>Production</v>
      </c>
      <c r="W1479" t="str">
        <f>IF(SeismicData[[#This Row],[genergy]]=0,"0","10^"&amp;INT(LOG10(SeismicData[[#This Row],[genergy]])))</f>
        <v>10^4</v>
      </c>
      <c r="X1479" t="str">
        <f>IF(OR(SeismicData[[#This Row],[genergy]]&lt;$AA$6,SeismicData[[#This Row],[genergy]]&gt;$AA$5),"Outlier","Normal")</f>
        <v>Normal</v>
      </c>
    </row>
    <row r="1480" spans="1:24" x14ac:dyDescent="0.15">
      <c r="A1480">
        <v>1479</v>
      </c>
      <c r="B1480" t="s">
        <v>20</v>
      </c>
      <c r="C1480" t="s">
        <v>20</v>
      </c>
      <c r="D1480" t="s">
        <v>22</v>
      </c>
      <c r="E1480">
        <v>15300</v>
      </c>
      <c r="F1480">
        <v>293</v>
      </c>
      <c r="G1480">
        <v>-2</v>
      </c>
      <c r="H1480">
        <v>15</v>
      </c>
      <c r="I1480" t="s">
        <v>20</v>
      </c>
      <c r="J1480">
        <v>0</v>
      </c>
      <c r="K1480">
        <v>0</v>
      </c>
      <c r="L1480">
        <v>0</v>
      </c>
      <c r="M1480">
        <v>0</v>
      </c>
      <c r="N1480">
        <v>0</v>
      </c>
      <c r="O1480">
        <v>0</v>
      </c>
      <c r="P1480">
        <v>0</v>
      </c>
      <c r="Q1480">
        <v>0</v>
      </c>
      <c r="R1480">
        <v>0</v>
      </c>
      <c r="S1480">
        <v>0</v>
      </c>
      <c r="T1480">
        <v>0</v>
      </c>
      <c r="U1480" t="str">
        <f>IF(SeismicData[[#This Row],[class]]=1,"Dangerous","Safe")</f>
        <v>Safe</v>
      </c>
      <c r="V1480" t="str">
        <f>IF(SeismicData[[#This Row],[shift]]="W","Production","Non-Production")</f>
        <v>Production</v>
      </c>
      <c r="W1480" t="str">
        <f>IF(SeismicData[[#This Row],[genergy]]=0,"0","10^"&amp;INT(LOG10(SeismicData[[#This Row],[genergy]])))</f>
        <v>10^4</v>
      </c>
      <c r="X1480" t="str">
        <f>IF(OR(SeismicData[[#This Row],[genergy]]&lt;$AA$6,SeismicData[[#This Row],[genergy]]&gt;$AA$5),"Outlier","Normal")</f>
        <v>Normal</v>
      </c>
    </row>
    <row r="1481" spans="1:24" x14ac:dyDescent="0.15">
      <c r="A1481">
        <v>1480</v>
      </c>
      <c r="B1481" t="s">
        <v>20</v>
      </c>
      <c r="C1481" t="s">
        <v>20</v>
      </c>
      <c r="D1481" t="s">
        <v>22</v>
      </c>
      <c r="E1481">
        <v>10100</v>
      </c>
      <c r="F1481">
        <v>295</v>
      </c>
      <c r="G1481">
        <v>-35</v>
      </c>
      <c r="H1481">
        <v>16</v>
      </c>
      <c r="I1481" t="s">
        <v>20</v>
      </c>
      <c r="J1481">
        <v>0</v>
      </c>
      <c r="K1481">
        <v>0</v>
      </c>
      <c r="L1481">
        <v>0</v>
      </c>
      <c r="M1481">
        <v>0</v>
      </c>
      <c r="N1481">
        <v>0</v>
      </c>
      <c r="O1481">
        <v>0</v>
      </c>
      <c r="P1481">
        <v>0</v>
      </c>
      <c r="Q1481">
        <v>0</v>
      </c>
      <c r="R1481">
        <v>0</v>
      </c>
      <c r="S1481">
        <v>0</v>
      </c>
      <c r="T1481">
        <v>0</v>
      </c>
      <c r="U1481" t="str">
        <f>IF(SeismicData[[#This Row],[class]]=1,"Dangerous","Safe")</f>
        <v>Safe</v>
      </c>
      <c r="V1481" t="str">
        <f>IF(SeismicData[[#This Row],[shift]]="W","Production","Non-Production")</f>
        <v>Production</v>
      </c>
      <c r="W1481" t="str">
        <f>IF(SeismicData[[#This Row],[genergy]]=0,"0","10^"&amp;INT(LOG10(SeismicData[[#This Row],[genergy]])))</f>
        <v>10^4</v>
      </c>
      <c r="X1481" t="str">
        <f>IF(OR(SeismicData[[#This Row],[genergy]]&lt;$AA$6,SeismicData[[#This Row],[genergy]]&gt;$AA$5),"Outlier","Normal")</f>
        <v>Normal</v>
      </c>
    </row>
    <row r="1482" spans="1:24" x14ac:dyDescent="0.15">
      <c r="A1482">
        <v>1481</v>
      </c>
      <c r="B1482" t="s">
        <v>20</v>
      </c>
      <c r="C1482" t="s">
        <v>20</v>
      </c>
      <c r="D1482" t="s">
        <v>21</v>
      </c>
      <c r="E1482">
        <v>10670</v>
      </c>
      <c r="F1482">
        <v>223</v>
      </c>
      <c r="G1482">
        <v>47</v>
      </c>
      <c r="H1482">
        <v>38</v>
      </c>
      <c r="I1482" t="s">
        <v>20</v>
      </c>
      <c r="J1482">
        <v>0</v>
      </c>
      <c r="K1482">
        <v>0</v>
      </c>
      <c r="L1482">
        <v>0</v>
      </c>
      <c r="M1482">
        <v>0</v>
      </c>
      <c r="N1482">
        <v>0</v>
      </c>
      <c r="O1482">
        <v>0</v>
      </c>
      <c r="P1482">
        <v>0</v>
      </c>
      <c r="Q1482">
        <v>0</v>
      </c>
      <c r="R1482">
        <v>0</v>
      </c>
      <c r="S1482">
        <v>0</v>
      </c>
      <c r="T1482">
        <v>0</v>
      </c>
      <c r="U1482" t="str">
        <f>IF(SeismicData[[#This Row],[class]]=1,"Dangerous","Safe")</f>
        <v>Safe</v>
      </c>
      <c r="V1482" t="str">
        <f>IF(SeismicData[[#This Row],[shift]]="W","Production","Non-Production")</f>
        <v>Non-Production</v>
      </c>
      <c r="W1482" t="str">
        <f>IF(SeismicData[[#This Row],[genergy]]=0,"0","10^"&amp;INT(LOG10(SeismicData[[#This Row],[genergy]])))</f>
        <v>10^4</v>
      </c>
      <c r="X1482" t="str">
        <f>IF(OR(SeismicData[[#This Row],[genergy]]&lt;$AA$6,SeismicData[[#This Row],[genergy]]&gt;$AA$5),"Outlier","Normal")</f>
        <v>Normal</v>
      </c>
    </row>
    <row r="1483" spans="1:24" x14ac:dyDescent="0.15">
      <c r="A1483">
        <v>1482</v>
      </c>
      <c r="B1483" t="s">
        <v>20</v>
      </c>
      <c r="C1483" t="s">
        <v>20</v>
      </c>
      <c r="D1483" t="s">
        <v>21</v>
      </c>
      <c r="E1483">
        <v>9920</v>
      </c>
      <c r="F1483">
        <v>221</v>
      </c>
      <c r="G1483">
        <v>37</v>
      </c>
      <c r="H1483">
        <v>36</v>
      </c>
      <c r="I1483" t="s">
        <v>20</v>
      </c>
      <c r="J1483">
        <v>0</v>
      </c>
      <c r="K1483">
        <v>0</v>
      </c>
      <c r="L1483">
        <v>0</v>
      </c>
      <c r="M1483">
        <v>0</v>
      </c>
      <c r="N1483">
        <v>0</v>
      </c>
      <c r="O1483">
        <v>0</v>
      </c>
      <c r="P1483">
        <v>0</v>
      </c>
      <c r="Q1483">
        <v>0</v>
      </c>
      <c r="R1483">
        <v>0</v>
      </c>
      <c r="S1483">
        <v>0</v>
      </c>
      <c r="T1483">
        <v>0</v>
      </c>
      <c r="U1483" t="str">
        <f>IF(SeismicData[[#This Row],[class]]=1,"Dangerous","Safe")</f>
        <v>Safe</v>
      </c>
      <c r="V1483" t="str">
        <f>IF(SeismicData[[#This Row],[shift]]="W","Production","Non-Production")</f>
        <v>Non-Production</v>
      </c>
      <c r="W1483" t="str">
        <f>IF(SeismicData[[#This Row],[genergy]]=0,"0","10^"&amp;INT(LOG10(SeismicData[[#This Row],[genergy]])))</f>
        <v>10^3</v>
      </c>
      <c r="X1483" t="str">
        <f>IF(OR(SeismicData[[#This Row],[genergy]]&lt;$AA$6,SeismicData[[#This Row],[genergy]]&gt;$AA$5),"Outlier","Normal")</f>
        <v>Normal</v>
      </c>
    </row>
    <row r="1484" spans="1:24" x14ac:dyDescent="0.15">
      <c r="A1484">
        <v>1483</v>
      </c>
      <c r="B1484" t="s">
        <v>20</v>
      </c>
      <c r="C1484" t="s">
        <v>20</v>
      </c>
      <c r="D1484" t="s">
        <v>21</v>
      </c>
      <c r="E1484">
        <v>5280</v>
      </c>
      <c r="F1484">
        <v>294</v>
      </c>
      <c r="G1484">
        <v>-40</v>
      </c>
      <c r="H1484">
        <v>-1</v>
      </c>
      <c r="I1484" t="s">
        <v>20</v>
      </c>
      <c r="J1484">
        <v>0</v>
      </c>
      <c r="K1484">
        <v>0</v>
      </c>
      <c r="L1484">
        <v>0</v>
      </c>
      <c r="M1484">
        <v>0</v>
      </c>
      <c r="N1484">
        <v>0</v>
      </c>
      <c r="O1484">
        <v>0</v>
      </c>
      <c r="P1484">
        <v>0</v>
      </c>
      <c r="Q1484">
        <v>0</v>
      </c>
      <c r="R1484">
        <v>0</v>
      </c>
      <c r="S1484">
        <v>0</v>
      </c>
      <c r="T1484">
        <v>0</v>
      </c>
      <c r="U1484" t="str">
        <f>IF(SeismicData[[#This Row],[class]]=1,"Dangerous","Safe")</f>
        <v>Safe</v>
      </c>
      <c r="V1484" t="str">
        <f>IF(SeismicData[[#This Row],[shift]]="W","Production","Non-Production")</f>
        <v>Non-Production</v>
      </c>
      <c r="W1484" t="str">
        <f>IF(SeismicData[[#This Row],[genergy]]=0,"0","10^"&amp;INT(LOG10(SeismicData[[#This Row],[genergy]])))</f>
        <v>10^3</v>
      </c>
      <c r="X1484" t="str">
        <f>IF(OR(SeismicData[[#This Row],[genergy]]&lt;$AA$6,SeismicData[[#This Row],[genergy]]&gt;$AA$5),"Outlier","Normal")</f>
        <v>Normal</v>
      </c>
    </row>
    <row r="1485" spans="1:24" x14ac:dyDescent="0.15">
      <c r="A1485">
        <v>1484</v>
      </c>
      <c r="B1485" t="s">
        <v>20</v>
      </c>
      <c r="C1485" t="s">
        <v>20</v>
      </c>
      <c r="D1485" t="s">
        <v>21</v>
      </c>
      <c r="E1485">
        <v>11800</v>
      </c>
      <c r="F1485">
        <v>185</v>
      </c>
      <c r="G1485">
        <v>63</v>
      </c>
      <c r="H1485">
        <v>14</v>
      </c>
      <c r="I1485" t="s">
        <v>20</v>
      </c>
      <c r="J1485">
        <v>0</v>
      </c>
      <c r="K1485">
        <v>0</v>
      </c>
      <c r="L1485">
        <v>0</v>
      </c>
      <c r="M1485">
        <v>0</v>
      </c>
      <c r="N1485">
        <v>0</v>
      </c>
      <c r="O1485">
        <v>0</v>
      </c>
      <c r="P1485">
        <v>0</v>
      </c>
      <c r="Q1485">
        <v>0</v>
      </c>
      <c r="R1485">
        <v>0</v>
      </c>
      <c r="S1485">
        <v>0</v>
      </c>
      <c r="T1485">
        <v>0</v>
      </c>
      <c r="U1485" t="str">
        <f>IF(SeismicData[[#This Row],[class]]=1,"Dangerous","Safe")</f>
        <v>Safe</v>
      </c>
      <c r="V1485" t="str">
        <f>IF(SeismicData[[#This Row],[shift]]="W","Production","Non-Production")</f>
        <v>Non-Production</v>
      </c>
      <c r="W1485" t="str">
        <f>IF(SeismicData[[#This Row],[genergy]]=0,"0","10^"&amp;INT(LOG10(SeismicData[[#This Row],[genergy]])))</f>
        <v>10^4</v>
      </c>
      <c r="X1485" t="str">
        <f>IF(OR(SeismicData[[#This Row],[genergy]]&lt;$AA$6,SeismicData[[#This Row],[genergy]]&gt;$AA$5),"Outlier","Normal")</f>
        <v>Normal</v>
      </c>
    </row>
    <row r="1486" spans="1:24" x14ac:dyDescent="0.15">
      <c r="A1486">
        <v>1485</v>
      </c>
      <c r="B1486" t="s">
        <v>20</v>
      </c>
      <c r="C1486" t="s">
        <v>20</v>
      </c>
      <c r="D1486" t="s">
        <v>21</v>
      </c>
      <c r="E1486">
        <v>22200</v>
      </c>
      <c r="F1486">
        <v>685</v>
      </c>
      <c r="G1486">
        <v>153</v>
      </c>
      <c r="H1486">
        <v>130</v>
      </c>
      <c r="I1486" t="s">
        <v>20</v>
      </c>
      <c r="J1486">
        <v>1</v>
      </c>
      <c r="K1486">
        <v>0</v>
      </c>
      <c r="L1486">
        <v>1</v>
      </c>
      <c r="M1486">
        <v>0</v>
      </c>
      <c r="N1486">
        <v>0</v>
      </c>
      <c r="O1486">
        <v>0</v>
      </c>
      <c r="P1486">
        <v>0</v>
      </c>
      <c r="Q1486">
        <v>0</v>
      </c>
      <c r="R1486">
        <v>3000</v>
      </c>
      <c r="S1486">
        <v>3000</v>
      </c>
      <c r="T1486">
        <v>0</v>
      </c>
      <c r="U1486" t="str">
        <f>IF(SeismicData[[#This Row],[class]]=1,"Dangerous","Safe")</f>
        <v>Safe</v>
      </c>
      <c r="V1486" t="str">
        <f>IF(SeismicData[[#This Row],[shift]]="W","Production","Non-Production")</f>
        <v>Non-Production</v>
      </c>
      <c r="W1486" t="str">
        <f>IF(SeismicData[[#This Row],[genergy]]=0,"0","10^"&amp;INT(LOG10(SeismicData[[#This Row],[genergy]])))</f>
        <v>10^4</v>
      </c>
      <c r="X1486" t="str">
        <f>IF(OR(SeismicData[[#This Row],[genergy]]&lt;$AA$6,SeismicData[[#This Row],[genergy]]&gt;$AA$5),"Outlier","Normal")</f>
        <v>Normal</v>
      </c>
    </row>
    <row r="1487" spans="1:24" x14ac:dyDescent="0.15">
      <c r="A1487">
        <v>1486</v>
      </c>
      <c r="B1487" t="s">
        <v>20</v>
      </c>
      <c r="C1487" t="s">
        <v>20</v>
      </c>
      <c r="D1487" t="s">
        <v>21</v>
      </c>
      <c r="E1487">
        <v>19560</v>
      </c>
      <c r="F1487">
        <v>659</v>
      </c>
      <c r="G1487">
        <v>123</v>
      </c>
      <c r="H1487">
        <v>121</v>
      </c>
      <c r="I1487" t="s">
        <v>20</v>
      </c>
      <c r="J1487">
        <v>1</v>
      </c>
      <c r="K1487">
        <v>1</v>
      </c>
      <c r="L1487">
        <v>0</v>
      </c>
      <c r="M1487">
        <v>0</v>
      </c>
      <c r="N1487">
        <v>0</v>
      </c>
      <c r="O1487">
        <v>0</v>
      </c>
      <c r="P1487">
        <v>0</v>
      </c>
      <c r="Q1487">
        <v>0</v>
      </c>
      <c r="R1487">
        <v>700</v>
      </c>
      <c r="S1487">
        <v>700</v>
      </c>
      <c r="T1487">
        <v>0</v>
      </c>
      <c r="U1487" t="str">
        <f>IF(SeismicData[[#This Row],[class]]=1,"Dangerous","Safe")</f>
        <v>Safe</v>
      </c>
      <c r="V1487" t="str">
        <f>IF(SeismicData[[#This Row],[shift]]="W","Production","Non-Production")</f>
        <v>Non-Production</v>
      </c>
      <c r="W1487" t="str">
        <f>IF(SeismicData[[#This Row],[genergy]]=0,"0","10^"&amp;INT(LOG10(SeismicData[[#This Row],[genergy]])))</f>
        <v>10^4</v>
      </c>
      <c r="X1487" t="str">
        <f>IF(OR(SeismicData[[#This Row],[genergy]]&lt;$AA$6,SeismicData[[#This Row],[genergy]]&gt;$AA$5),"Outlier","Normal")</f>
        <v>Normal</v>
      </c>
    </row>
    <row r="1488" spans="1:24" x14ac:dyDescent="0.15">
      <c r="A1488">
        <v>1487</v>
      </c>
      <c r="B1488" t="s">
        <v>20</v>
      </c>
      <c r="C1488" t="s">
        <v>20</v>
      </c>
      <c r="D1488" t="s">
        <v>22</v>
      </c>
      <c r="E1488">
        <v>17670</v>
      </c>
      <c r="F1488">
        <v>538</v>
      </c>
      <c r="G1488">
        <v>4</v>
      </c>
      <c r="H1488">
        <v>-3</v>
      </c>
      <c r="I1488" t="s">
        <v>20</v>
      </c>
      <c r="J1488">
        <v>0</v>
      </c>
      <c r="K1488">
        <v>0</v>
      </c>
      <c r="L1488">
        <v>0</v>
      </c>
      <c r="M1488">
        <v>0</v>
      </c>
      <c r="N1488">
        <v>0</v>
      </c>
      <c r="O1488">
        <v>0</v>
      </c>
      <c r="P1488">
        <v>0</v>
      </c>
      <c r="Q1488">
        <v>0</v>
      </c>
      <c r="R1488">
        <v>0</v>
      </c>
      <c r="S1488">
        <v>0</v>
      </c>
      <c r="T1488">
        <v>1</v>
      </c>
      <c r="U1488" t="str">
        <f>IF(SeismicData[[#This Row],[class]]=1,"Dangerous","Safe")</f>
        <v>Dangerous</v>
      </c>
      <c r="V1488" t="str">
        <f>IF(SeismicData[[#This Row],[shift]]="W","Production","Non-Production")</f>
        <v>Production</v>
      </c>
      <c r="W1488" t="str">
        <f>IF(SeismicData[[#This Row],[genergy]]=0,"0","10^"&amp;INT(LOG10(SeismicData[[#This Row],[genergy]])))</f>
        <v>10^4</v>
      </c>
      <c r="X1488" t="str">
        <f>IF(OR(SeismicData[[#This Row],[genergy]]&lt;$AA$6,SeismicData[[#This Row],[genergy]]&gt;$AA$5),"Outlier","Normal")</f>
        <v>Normal</v>
      </c>
    </row>
    <row r="1489" spans="1:24" x14ac:dyDescent="0.15">
      <c r="A1489">
        <v>1488</v>
      </c>
      <c r="B1489" t="s">
        <v>20</v>
      </c>
      <c r="C1489" t="s">
        <v>20</v>
      </c>
      <c r="D1489" t="s">
        <v>22</v>
      </c>
      <c r="E1489">
        <v>16290</v>
      </c>
      <c r="F1489">
        <v>463</v>
      </c>
      <c r="G1489">
        <v>-4</v>
      </c>
      <c r="H1489">
        <v>-17</v>
      </c>
      <c r="I1489" t="s">
        <v>20</v>
      </c>
      <c r="J1489">
        <v>1</v>
      </c>
      <c r="K1489">
        <v>0</v>
      </c>
      <c r="L1489">
        <v>0</v>
      </c>
      <c r="M1489">
        <v>1</v>
      </c>
      <c r="N1489">
        <v>0</v>
      </c>
      <c r="O1489">
        <v>0</v>
      </c>
      <c r="P1489">
        <v>0</v>
      </c>
      <c r="Q1489">
        <v>0</v>
      </c>
      <c r="R1489">
        <v>20000</v>
      </c>
      <c r="S1489">
        <v>20000</v>
      </c>
      <c r="T1489">
        <v>0</v>
      </c>
      <c r="U1489" t="str">
        <f>IF(SeismicData[[#This Row],[class]]=1,"Dangerous","Safe")</f>
        <v>Safe</v>
      </c>
      <c r="V1489" t="str">
        <f>IF(SeismicData[[#This Row],[shift]]="W","Production","Non-Production")</f>
        <v>Production</v>
      </c>
      <c r="W1489" t="str">
        <f>IF(SeismicData[[#This Row],[genergy]]=0,"0","10^"&amp;INT(LOG10(SeismicData[[#This Row],[genergy]])))</f>
        <v>10^4</v>
      </c>
      <c r="X1489" t="str">
        <f>IF(OR(SeismicData[[#This Row],[genergy]]&lt;$AA$6,SeismicData[[#This Row],[genergy]]&gt;$AA$5),"Outlier","Normal")</f>
        <v>Normal</v>
      </c>
    </row>
    <row r="1490" spans="1:24" x14ac:dyDescent="0.15">
      <c r="A1490">
        <v>1489</v>
      </c>
      <c r="B1490" t="s">
        <v>20</v>
      </c>
      <c r="C1490" t="s">
        <v>20</v>
      </c>
      <c r="D1490" t="s">
        <v>22</v>
      </c>
      <c r="E1490">
        <v>10160</v>
      </c>
      <c r="F1490">
        <v>437</v>
      </c>
      <c r="G1490">
        <v>-40</v>
      </c>
      <c r="H1490">
        <v>-21</v>
      </c>
      <c r="I1490" t="s">
        <v>20</v>
      </c>
      <c r="J1490">
        <v>0</v>
      </c>
      <c r="K1490">
        <v>0</v>
      </c>
      <c r="L1490">
        <v>0</v>
      </c>
      <c r="M1490">
        <v>0</v>
      </c>
      <c r="N1490">
        <v>0</v>
      </c>
      <c r="O1490">
        <v>0</v>
      </c>
      <c r="P1490">
        <v>0</v>
      </c>
      <c r="Q1490">
        <v>0</v>
      </c>
      <c r="R1490">
        <v>0</v>
      </c>
      <c r="S1490">
        <v>0</v>
      </c>
      <c r="T1490">
        <v>0</v>
      </c>
      <c r="U1490" t="str">
        <f>IF(SeismicData[[#This Row],[class]]=1,"Dangerous","Safe")</f>
        <v>Safe</v>
      </c>
      <c r="V1490" t="str">
        <f>IF(SeismicData[[#This Row],[shift]]="W","Production","Non-Production")</f>
        <v>Production</v>
      </c>
      <c r="W1490" t="str">
        <f>IF(SeismicData[[#This Row],[genergy]]=0,"0","10^"&amp;INT(LOG10(SeismicData[[#This Row],[genergy]])))</f>
        <v>10^4</v>
      </c>
      <c r="X1490" t="str">
        <f>IF(OR(SeismicData[[#This Row],[genergy]]&lt;$AA$6,SeismicData[[#This Row],[genergy]]&gt;$AA$5),"Outlier","Normal")</f>
        <v>Normal</v>
      </c>
    </row>
    <row r="1491" spans="1:24" x14ac:dyDescent="0.15">
      <c r="A1491">
        <v>1490</v>
      </c>
      <c r="B1491" t="s">
        <v>20</v>
      </c>
      <c r="C1491" t="s">
        <v>20</v>
      </c>
      <c r="D1491" t="s">
        <v>22</v>
      </c>
      <c r="E1491">
        <v>10050</v>
      </c>
      <c r="F1491">
        <v>342</v>
      </c>
      <c r="G1491">
        <v>-41</v>
      </c>
      <c r="H1491">
        <v>-39</v>
      </c>
      <c r="I1491" t="s">
        <v>20</v>
      </c>
      <c r="J1491">
        <v>0</v>
      </c>
      <c r="K1491">
        <v>0</v>
      </c>
      <c r="L1491">
        <v>0</v>
      </c>
      <c r="M1491">
        <v>0</v>
      </c>
      <c r="N1491">
        <v>0</v>
      </c>
      <c r="O1491">
        <v>0</v>
      </c>
      <c r="P1491">
        <v>0</v>
      </c>
      <c r="Q1491">
        <v>0</v>
      </c>
      <c r="R1491">
        <v>0</v>
      </c>
      <c r="S1491">
        <v>0</v>
      </c>
      <c r="T1491">
        <v>0</v>
      </c>
      <c r="U1491" t="str">
        <f>IF(SeismicData[[#This Row],[class]]=1,"Dangerous","Safe")</f>
        <v>Safe</v>
      </c>
      <c r="V1491" t="str">
        <f>IF(SeismicData[[#This Row],[shift]]="W","Production","Non-Production")</f>
        <v>Production</v>
      </c>
      <c r="W1491" t="str">
        <f>IF(SeismicData[[#This Row],[genergy]]=0,"0","10^"&amp;INT(LOG10(SeismicData[[#This Row],[genergy]])))</f>
        <v>10^4</v>
      </c>
      <c r="X1491" t="str">
        <f>IF(OR(SeismicData[[#This Row],[genergy]]&lt;$AA$6,SeismicData[[#This Row],[genergy]]&gt;$AA$5),"Outlier","Normal")</f>
        <v>Normal</v>
      </c>
    </row>
    <row r="1492" spans="1:24" x14ac:dyDescent="0.15">
      <c r="A1492">
        <v>1491</v>
      </c>
      <c r="B1492" t="s">
        <v>20</v>
      </c>
      <c r="C1492" t="s">
        <v>20</v>
      </c>
      <c r="D1492" t="s">
        <v>22</v>
      </c>
      <c r="E1492">
        <v>8210</v>
      </c>
      <c r="F1492">
        <v>351</v>
      </c>
      <c r="G1492">
        <v>-52</v>
      </c>
      <c r="H1492">
        <v>-37</v>
      </c>
      <c r="I1492" t="s">
        <v>20</v>
      </c>
      <c r="J1492">
        <v>0</v>
      </c>
      <c r="K1492">
        <v>0</v>
      </c>
      <c r="L1492">
        <v>0</v>
      </c>
      <c r="M1492">
        <v>0</v>
      </c>
      <c r="N1492">
        <v>0</v>
      </c>
      <c r="O1492">
        <v>0</v>
      </c>
      <c r="P1492">
        <v>0</v>
      </c>
      <c r="Q1492">
        <v>0</v>
      </c>
      <c r="R1492">
        <v>0</v>
      </c>
      <c r="S1492">
        <v>0</v>
      </c>
      <c r="T1492">
        <v>0</v>
      </c>
      <c r="U1492" t="str">
        <f>IF(SeismicData[[#This Row],[class]]=1,"Dangerous","Safe")</f>
        <v>Safe</v>
      </c>
      <c r="V1492" t="str">
        <f>IF(SeismicData[[#This Row],[shift]]="W","Production","Non-Production")</f>
        <v>Production</v>
      </c>
      <c r="W1492" t="str">
        <f>IF(SeismicData[[#This Row],[genergy]]=0,"0","10^"&amp;INT(LOG10(SeismicData[[#This Row],[genergy]])))</f>
        <v>10^3</v>
      </c>
      <c r="X1492" t="str">
        <f>IF(OR(SeismicData[[#This Row],[genergy]]&lt;$AA$6,SeismicData[[#This Row],[genergy]]&gt;$AA$5),"Outlier","Normal")</f>
        <v>Normal</v>
      </c>
    </row>
    <row r="1493" spans="1:24" x14ac:dyDescent="0.15">
      <c r="A1493">
        <v>1492</v>
      </c>
      <c r="B1493" t="s">
        <v>20</v>
      </c>
      <c r="C1493" t="s">
        <v>20</v>
      </c>
      <c r="D1493" t="s">
        <v>22</v>
      </c>
      <c r="E1493">
        <v>8880</v>
      </c>
      <c r="F1493">
        <v>309</v>
      </c>
      <c r="G1493">
        <v>-48</v>
      </c>
      <c r="H1493">
        <v>-44</v>
      </c>
      <c r="I1493" t="s">
        <v>20</v>
      </c>
      <c r="J1493">
        <v>0</v>
      </c>
      <c r="K1493">
        <v>0</v>
      </c>
      <c r="L1493">
        <v>0</v>
      </c>
      <c r="M1493">
        <v>0</v>
      </c>
      <c r="N1493">
        <v>0</v>
      </c>
      <c r="O1493">
        <v>0</v>
      </c>
      <c r="P1493">
        <v>0</v>
      </c>
      <c r="Q1493">
        <v>0</v>
      </c>
      <c r="R1493">
        <v>0</v>
      </c>
      <c r="S1493">
        <v>0</v>
      </c>
      <c r="T1493">
        <v>0</v>
      </c>
      <c r="U1493" t="str">
        <f>IF(SeismicData[[#This Row],[class]]=1,"Dangerous","Safe")</f>
        <v>Safe</v>
      </c>
      <c r="V1493" t="str">
        <f>IF(SeismicData[[#This Row],[shift]]="W","Production","Non-Production")</f>
        <v>Production</v>
      </c>
      <c r="W1493" t="str">
        <f>IF(SeismicData[[#This Row],[genergy]]=0,"0","10^"&amp;INT(LOG10(SeismicData[[#This Row],[genergy]])))</f>
        <v>10^3</v>
      </c>
      <c r="X1493" t="str">
        <f>IF(OR(SeismicData[[#This Row],[genergy]]&lt;$AA$6,SeismicData[[#This Row],[genergy]]&gt;$AA$5),"Outlier","Normal")</f>
        <v>Normal</v>
      </c>
    </row>
    <row r="1494" spans="1:24" x14ac:dyDescent="0.15">
      <c r="A1494">
        <v>1493</v>
      </c>
      <c r="B1494" t="s">
        <v>20</v>
      </c>
      <c r="C1494" t="s">
        <v>20</v>
      </c>
      <c r="D1494" t="s">
        <v>22</v>
      </c>
      <c r="E1494">
        <v>29730</v>
      </c>
      <c r="F1494">
        <v>472</v>
      </c>
      <c r="G1494">
        <v>283</v>
      </c>
      <c r="H1494">
        <v>120</v>
      </c>
      <c r="I1494" t="s">
        <v>20</v>
      </c>
      <c r="J1494">
        <v>0</v>
      </c>
      <c r="K1494">
        <v>0</v>
      </c>
      <c r="L1494">
        <v>0</v>
      </c>
      <c r="M1494">
        <v>0</v>
      </c>
      <c r="N1494">
        <v>0</v>
      </c>
      <c r="O1494">
        <v>0</v>
      </c>
      <c r="P1494">
        <v>0</v>
      </c>
      <c r="Q1494">
        <v>0</v>
      </c>
      <c r="R1494">
        <v>0</v>
      </c>
      <c r="S1494">
        <v>0</v>
      </c>
      <c r="T1494">
        <v>0</v>
      </c>
      <c r="U1494" t="str">
        <f>IF(SeismicData[[#This Row],[class]]=1,"Dangerous","Safe")</f>
        <v>Safe</v>
      </c>
      <c r="V1494" t="str">
        <f>IF(SeismicData[[#This Row],[shift]]="W","Production","Non-Production")</f>
        <v>Production</v>
      </c>
      <c r="W1494" t="str">
        <f>IF(SeismicData[[#This Row],[genergy]]=0,"0","10^"&amp;INT(LOG10(SeismicData[[#This Row],[genergy]])))</f>
        <v>10^4</v>
      </c>
      <c r="X1494" t="str">
        <f>IF(OR(SeismicData[[#This Row],[genergy]]&lt;$AA$6,SeismicData[[#This Row],[genergy]]&gt;$AA$5),"Outlier","Normal")</f>
        <v>Normal</v>
      </c>
    </row>
    <row r="1495" spans="1:24" x14ac:dyDescent="0.15">
      <c r="A1495">
        <v>1494</v>
      </c>
      <c r="B1495" t="s">
        <v>20</v>
      </c>
      <c r="C1495" t="s">
        <v>20</v>
      </c>
      <c r="D1495" t="s">
        <v>22</v>
      </c>
      <c r="E1495">
        <v>13540</v>
      </c>
      <c r="F1495">
        <v>437</v>
      </c>
      <c r="G1495">
        <v>-20</v>
      </c>
      <c r="H1495">
        <v>-21</v>
      </c>
      <c r="I1495" t="s">
        <v>20</v>
      </c>
      <c r="J1495">
        <v>0</v>
      </c>
      <c r="K1495">
        <v>0</v>
      </c>
      <c r="L1495">
        <v>0</v>
      </c>
      <c r="M1495">
        <v>0</v>
      </c>
      <c r="N1495">
        <v>0</v>
      </c>
      <c r="O1495">
        <v>0</v>
      </c>
      <c r="P1495">
        <v>0</v>
      </c>
      <c r="Q1495">
        <v>0</v>
      </c>
      <c r="R1495">
        <v>0</v>
      </c>
      <c r="S1495">
        <v>0</v>
      </c>
      <c r="T1495">
        <v>0</v>
      </c>
      <c r="U1495" t="str">
        <f>IF(SeismicData[[#This Row],[class]]=1,"Dangerous","Safe")</f>
        <v>Safe</v>
      </c>
      <c r="V1495" t="str">
        <f>IF(SeismicData[[#This Row],[shift]]="W","Production","Non-Production")</f>
        <v>Production</v>
      </c>
      <c r="W1495" t="str">
        <f>IF(SeismicData[[#This Row],[genergy]]=0,"0","10^"&amp;INT(LOG10(SeismicData[[#This Row],[genergy]])))</f>
        <v>10^4</v>
      </c>
      <c r="X1495" t="str">
        <f>IF(OR(SeismicData[[#This Row],[genergy]]&lt;$AA$6,SeismicData[[#This Row],[genergy]]&gt;$AA$5),"Outlier","Normal")</f>
        <v>Normal</v>
      </c>
    </row>
    <row r="1496" spans="1:24" x14ac:dyDescent="0.15">
      <c r="A1496">
        <v>1495</v>
      </c>
      <c r="B1496" t="s">
        <v>23</v>
      </c>
      <c r="C1496" t="s">
        <v>20</v>
      </c>
      <c r="D1496" t="s">
        <v>22</v>
      </c>
      <c r="E1496">
        <v>20860</v>
      </c>
      <c r="F1496">
        <v>470</v>
      </c>
      <c r="G1496">
        <v>180</v>
      </c>
      <c r="H1496">
        <v>131</v>
      </c>
      <c r="I1496" t="s">
        <v>20</v>
      </c>
      <c r="J1496">
        <v>0</v>
      </c>
      <c r="K1496">
        <v>0</v>
      </c>
      <c r="L1496">
        <v>0</v>
      </c>
      <c r="M1496">
        <v>0</v>
      </c>
      <c r="N1496">
        <v>0</v>
      </c>
      <c r="O1496">
        <v>0</v>
      </c>
      <c r="P1496">
        <v>0</v>
      </c>
      <c r="Q1496">
        <v>0</v>
      </c>
      <c r="R1496">
        <v>0</v>
      </c>
      <c r="S1496">
        <v>0</v>
      </c>
      <c r="T1496">
        <v>1</v>
      </c>
      <c r="U1496" t="str">
        <f>IF(SeismicData[[#This Row],[class]]=1,"Dangerous","Safe")</f>
        <v>Dangerous</v>
      </c>
      <c r="V1496" t="str">
        <f>IF(SeismicData[[#This Row],[shift]]="W","Production","Non-Production")</f>
        <v>Production</v>
      </c>
      <c r="W1496" t="str">
        <f>IF(SeismicData[[#This Row],[genergy]]=0,"0","10^"&amp;INT(LOG10(SeismicData[[#This Row],[genergy]])))</f>
        <v>10^4</v>
      </c>
      <c r="X1496" t="str">
        <f>IF(OR(SeismicData[[#This Row],[genergy]]&lt;$AA$6,SeismicData[[#This Row],[genergy]]&gt;$AA$5),"Outlier","Normal")</f>
        <v>Normal</v>
      </c>
    </row>
    <row r="1497" spans="1:24" x14ac:dyDescent="0.15">
      <c r="A1497">
        <v>1496</v>
      </c>
      <c r="B1497" t="s">
        <v>23</v>
      </c>
      <c r="C1497" t="s">
        <v>20</v>
      </c>
      <c r="D1497" t="s">
        <v>22</v>
      </c>
      <c r="E1497">
        <v>13960</v>
      </c>
      <c r="F1497">
        <v>293</v>
      </c>
      <c r="G1497">
        <v>-12</v>
      </c>
      <c r="H1497">
        <v>12</v>
      </c>
      <c r="I1497" t="s">
        <v>20</v>
      </c>
      <c r="J1497">
        <v>1</v>
      </c>
      <c r="K1497">
        <v>0</v>
      </c>
      <c r="L1497">
        <v>0</v>
      </c>
      <c r="M1497">
        <v>1</v>
      </c>
      <c r="N1497">
        <v>0</v>
      </c>
      <c r="O1497">
        <v>0</v>
      </c>
      <c r="P1497">
        <v>0</v>
      </c>
      <c r="Q1497">
        <v>0</v>
      </c>
      <c r="R1497">
        <v>30000</v>
      </c>
      <c r="S1497">
        <v>30000</v>
      </c>
      <c r="T1497">
        <v>0</v>
      </c>
      <c r="U1497" t="str">
        <f>IF(SeismicData[[#This Row],[class]]=1,"Dangerous","Safe")</f>
        <v>Safe</v>
      </c>
      <c r="V1497" t="str">
        <f>IF(SeismicData[[#This Row],[shift]]="W","Production","Non-Production")</f>
        <v>Production</v>
      </c>
      <c r="W1497" t="str">
        <f>IF(SeismicData[[#This Row],[genergy]]=0,"0","10^"&amp;INT(LOG10(SeismicData[[#This Row],[genergy]])))</f>
        <v>10^4</v>
      </c>
      <c r="X1497" t="str">
        <f>IF(OR(SeismicData[[#This Row],[genergy]]&lt;$AA$6,SeismicData[[#This Row],[genergy]]&gt;$AA$5),"Outlier","Normal")</f>
        <v>Normal</v>
      </c>
    </row>
    <row r="1498" spans="1:24" x14ac:dyDescent="0.15">
      <c r="A1498">
        <v>1497</v>
      </c>
      <c r="B1498" t="s">
        <v>23</v>
      </c>
      <c r="C1498" t="s">
        <v>20</v>
      </c>
      <c r="D1498" t="s">
        <v>22</v>
      </c>
      <c r="E1498">
        <v>24880</v>
      </c>
      <c r="F1498">
        <v>527</v>
      </c>
      <c r="G1498">
        <v>85</v>
      </c>
      <c r="H1498">
        <v>37</v>
      </c>
      <c r="I1498" t="s">
        <v>20</v>
      </c>
      <c r="J1498">
        <v>0</v>
      </c>
      <c r="K1498">
        <v>0</v>
      </c>
      <c r="L1498">
        <v>0</v>
      </c>
      <c r="M1498">
        <v>0</v>
      </c>
      <c r="N1498">
        <v>0</v>
      </c>
      <c r="O1498">
        <v>0</v>
      </c>
      <c r="P1498">
        <v>0</v>
      </c>
      <c r="Q1498">
        <v>0</v>
      </c>
      <c r="R1498">
        <v>0</v>
      </c>
      <c r="S1498">
        <v>0</v>
      </c>
      <c r="T1498">
        <v>0</v>
      </c>
      <c r="U1498" t="str">
        <f>IF(SeismicData[[#This Row],[class]]=1,"Dangerous","Safe")</f>
        <v>Safe</v>
      </c>
      <c r="V1498" t="str">
        <f>IF(SeismicData[[#This Row],[shift]]="W","Production","Non-Production")</f>
        <v>Production</v>
      </c>
      <c r="W1498" t="str">
        <f>IF(SeismicData[[#This Row],[genergy]]=0,"0","10^"&amp;INT(LOG10(SeismicData[[#This Row],[genergy]])))</f>
        <v>10^4</v>
      </c>
      <c r="X1498" t="str">
        <f>IF(OR(SeismicData[[#This Row],[genergy]]&lt;$AA$6,SeismicData[[#This Row],[genergy]]&gt;$AA$5),"Outlier","Normal")</f>
        <v>Normal</v>
      </c>
    </row>
    <row r="1499" spans="1:24" x14ac:dyDescent="0.15">
      <c r="A1499">
        <v>1498</v>
      </c>
      <c r="B1499" t="s">
        <v>23</v>
      </c>
      <c r="C1499" t="s">
        <v>20</v>
      </c>
      <c r="D1499" t="s">
        <v>22</v>
      </c>
      <c r="E1499">
        <v>33640</v>
      </c>
      <c r="F1499">
        <v>699</v>
      </c>
      <c r="G1499">
        <v>150</v>
      </c>
      <c r="H1499">
        <v>81</v>
      </c>
      <c r="I1499" t="s">
        <v>20</v>
      </c>
      <c r="J1499">
        <v>0</v>
      </c>
      <c r="K1499">
        <v>0</v>
      </c>
      <c r="L1499">
        <v>0</v>
      </c>
      <c r="M1499">
        <v>0</v>
      </c>
      <c r="N1499">
        <v>0</v>
      </c>
      <c r="O1499">
        <v>0</v>
      </c>
      <c r="P1499">
        <v>0</v>
      </c>
      <c r="Q1499">
        <v>0</v>
      </c>
      <c r="R1499">
        <v>0</v>
      </c>
      <c r="S1499">
        <v>0</v>
      </c>
      <c r="T1499">
        <v>0</v>
      </c>
      <c r="U1499" t="str">
        <f>IF(SeismicData[[#This Row],[class]]=1,"Dangerous","Safe")</f>
        <v>Safe</v>
      </c>
      <c r="V1499" t="str">
        <f>IF(SeismicData[[#This Row],[shift]]="W","Production","Non-Production")</f>
        <v>Production</v>
      </c>
      <c r="W1499" t="str">
        <f>IF(SeismicData[[#This Row],[genergy]]=0,"0","10^"&amp;INT(LOG10(SeismicData[[#This Row],[genergy]])))</f>
        <v>10^4</v>
      </c>
      <c r="X1499" t="str">
        <f>IF(OR(SeismicData[[#This Row],[genergy]]&lt;$AA$6,SeismicData[[#This Row],[genergy]]&gt;$AA$5),"Outlier","Normal")</f>
        <v>Normal</v>
      </c>
    </row>
    <row r="1500" spans="1:24" x14ac:dyDescent="0.15">
      <c r="A1500">
        <v>1499</v>
      </c>
      <c r="B1500" t="s">
        <v>23</v>
      </c>
      <c r="C1500" t="s">
        <v>20</v>
      </c>
      <c r="D1500" t="s">
        <v>22</v>
      </c>
      <c r="E1500">
        <v>29790</v>
      </c>
      <c r="F1500">
        <v>695</v>
      </c>
      <c r="G1500">
        <v>121</v>
      </c>
      <c r="H1500">
        <v>80</v>
      </c>
      <c r="I1500" t="s">
        <v>20</v>
      </c>
      <c r="J1500">
        <v>0</v>
      </c>
      <c r="K1500">
        <v>0</v>
      </c>
      <c r="L1500">
        <v>0</v>
      </c>
      <c r="M1500">
        <v>0</v>
      </c>
      <c r="N1500">
        <v>0</v>
      </c>
      <c r="O1500">
        <v>0</v>
      </c>
      <c r="P1500">
        <v>0</v>
      </c>
      <c r="Q1500">
        <v>0</v>
      </c>
      <c r="R1500">
        <v>0</v>
      </c>
      <c r="S1500">
        <v>0</v>
      </c>
      <c r="T1500">
        <v>0</v>
      </c>
      <c r="U1500" t="str">
        <f>IF(SeismicData[[#This Row],[class]]=1,"Dangerous","Safe")</f>
        <v>Safe</v>
      </c>
      <c r="V1500" t="str">
        <f>IF(SeismicData[[#This Row],[shift]]="W","Production","Non-Production")</f>
        <v>Production</v>
      </c>
      <c r="W1500" t="str">
        <f>IF(SeismicData[[#This Row],[genergy]]=0,"0","10^"&amp;INT(LOG10(SeismicData[[#This Row],[genergy]])))</f>
        <v>10^4</v>
      </c>
      <c r="X1500" t="str">
        <f>IF(OR(SeismicData[[#This Row],[genergy]]&lt;$AA$6,SeismicData[[#This Row],[genergy]]&gt;$AA$5),"Outlier","Normal")</f>
        <v>Normal</v>
      </c>
    </row>
    <row r="1501" spans="1:24" x14ac:dyDescent="0.15">
      <c r="A1501">
        <v>1500</v>
      </c>
      <c r="B1501" t="s">
        <v>23</v>
      </c>
      <c r="C1501" t="s">
        <v>20</v>
      </c>
      <c r="D1501" t="s">
        <v>22</v>
      </c>
      <c r="E1501">
        <v>29500</v>
      </c>
      <c r="F1501">
        <v>794</v>
      </c>
      <c r="G1501">
        <v>119</v>
      </c>
      <c r="H1501">
        <v>106</v>
      </c>
      <c r="I1501" t="s">
        <v>20</v>
      </c>
      <c r="J1501">
        <v>0</v>
      </c>
      <c r="K1501">
        <v>0</v>
      </c>
      <c r="L1501">
        <v>0</v>
      </c>
      <c r="M1501">
        <v>0</v>
      </c>
      <c r="N1501">
        <v>0</v>
      </c>
      <c r="O1501">
        <v>0</v>
      </c>
      <c r="P1501">
        <v>0</v>
      </c>
      <c r="Q1501">
        <v>0</v>
      </c>
      <c r="R1501">
        <v>0</v>
      </c>
      <c r="S1501">
        <v>0</v>
      </c>
      <c r="T1501">
        <v>1</v>
      </c>
      <c r="U1501" t="str">
        <f>IF(SeismicData[[#This Row],[class]]=1,"Dangerous","Safe")</f>
        <v>Dangerous</v>
      </c>
      <c r="V1501" t="str">
        <f>IF(SeismicData[[#This Row],[shift]]="W","Production","Non-Production")</f>
        <v>Production</v>
      </c>
      <c r="W1501" t="str">
        <f>IF(SeismicData[[#This Row],[genergy]]=0,"0","10^"&amp;INT(LOG10(SeismicData[[#This Row],[genergy]])))</f>
        <v>10^4</v>
      </c>
      <c r="X1501" t="str">
        <f>IF(OR(SeismicData[[#This Row],[genergy]]&lt;$AA$6,SeismicData[[#This Row],[genergy]]&gt;$AA$5),"Outlier","Normal")</f>
        <v>Normal</v>
      </c>
    </row>
    <row r="1502" spans="1:24" x14ac:dyDescent="0.15">
      <c r="A1502">
        <v>1501</v>
      </c>
      <c r="B1502" t="s">
        <v>23</v>
      </c>
      <c r="C1502" t="s">
        <v>20</v>
      </c>
      <c r="D1502" t="s">
        <v>22</v>
      </c>
      <c r="E1502">
        <v>26780</v>
      </c>
      <c r="F1502">
        <v>1003</v>
      </c>
      <c r="G1502">
        <v>99</v>
      </c>
      <c r="H1502">
        <v>160</v>
      </c>
      <c r="I1502" t="s">
        <v>20</v>
      </c>
      <c r="J1502">
        <v>1</v>
      </c>
      <c r="K1502">
        <v>0</v>
      </c>
      <c r="L1502">
        <v>0</v>
      </c>
      <c r="M1502">
        <v>1</v>
      </c>
      <c r="N1502">
        <v>0</v>
      </c>
      <c r="O1502">
        <v>0</v>
      </c>
      <c r="P1502">
        <v>0</v>
      </c>
      <c r="Q1502">
        <v>0</v>
      </c>
      <c r="R1502">
        <v>60000</v>
      </c>
      <c r="S1502">
        <v>60000</v>
      </c>
      <c r="T1502">
        <v>0</v>
      </c>
      <c r="U1502" t="str">
        <f>IF(SeismicData[[#This Row],[class]]=1,"Dangerous","Safe")</f>
        <v>Safe</v>
      </c>
      <c r="V1502" t="str">
        <f>IF(SeismicData[[#This Row],[shift]]="W","Production","Non-Production")</f>
        <v>Production</v>
      </c>
      <c r="W1502" t="str">
        <f>IF(SeismicData[[#This Row],[genergy]]=0,"0","10^"&amp;INT(LOG10(SeismicData[[#This Row],[genergy]])))</f>
        <v>10^4</v>
      </c>
      <c r="X1502" t="str">
        <f>IF(OR(SeismicData[[#This Row],[genergy]]&lt;$AA$6,SeismicData[[#This Row],[genergy]]&gt;$AA$5),"Outlier","Normal")</f>
        <v>Normal</v>
      </c>
    </row>
    <row r="1503" spans="1:24" x14ac:dyDescent="0.15">
      <c r="A1503">
        <v>1502</v>
      </c>
      <c r="B1503" t="s">
        <v>23</v>
      </c>
      <c r="C1503" t="s">
        <v>20</v>
      </c>
      <c r="D1503" t="s">
        <v>22</v>
      </c>
      <c r="E1503">
        <v>19370</v>
      </c>
      <c r="F1503">
        <v>715</v>
      </c>
      <c r="G1503">
        <v>44</v>
      </c>
      <c r="H1503">
        <v>85</v>
      </c>
      <c r="I1503" t="s">
        <v>20</v>
      </c>
      <c r="J1503">
        <v>0</v>
      </c>
      <c r="K1503">
        <v>0</v>
      </c>
      <c r="L1503">
        <v>0</v>
      </c>
      <c r="M1503">
        <v>0</v>
      </c>
      <c r="N1503">
        <v>0</v>
      </c>
      <c r="O1503">
        <v>0</v>
      </c>
      <c r="P1503">
        <v>0</v>
      </c>
      <c r="Q1503">
        <v>0</v>
      </c>
      <c r="R1503">
        <v>0</v>
      </c>
      <c r="S1503">
        <v>0</v>
      </c>
      <c r="T1503">
        <v>0</v>
      </c>
      <c r="U1503" t="str">
        <f>IF(SeismicData[[#This Row],[class]]=1,"Dangerous","Safe")</f>
        <v>Safe</v>
      </c>
      <c r="V1503" t="str">
        <f>IF(SeismicData[[#This Row],[shift]]="W","Production","Non-Production")</f>
        <v>Production</v>
      </c>
      <c r="W1503" t="str">
        <f>IF(SeismicData[[#This Row],[genergy]]=0,"0","10^"&amp;INT(LOG10(SeismicData[[#This Row],[genergy]])))</f>
        <v>10^4</v>
      </c>
      <c r="X1503" t="str">
        <f>IF(OR(SeismicData[[#This Row],[genergy]]&lt;$AA$6,SeismicData[[#This Row],[genergy]]&gt;$AA$5),"Outlier","Normal")</f>
        <v>Normal</v>
      </c>
    </row>
    <row r="1504" spans="1:24" x14ac:dyDescent="0.15">
      <c r="A1504">
        <v>1503</v>
      </c>
      <c r="B1504" t="s">
        <v>23</v>
      </c>
      <c r="C1504" t="s">
        <v>20</v>
      </c>
      <c r="D1504" t="s">
        <v>22</v>
      </c>
      <c r="E1504">
        <v>22910</v>
      </c>
      <c r="F1504">
        <v>629</v>
      </c>
      <c r="G1504">
        <v>72</v>
      </c>
      <c r="H1504">
        <v>62</v>
      </c>
      <c r="I1504" t="s">
        <v>20</v>
      </c>
      <c r="J1504">
        <v>0</v>
      </c>
      <c r="K1504">
        <v>0</v>
      </c>
      <c r="L1504">
        <v>0</v>
      </c>
      <c r="M1504">
        <v>0</v>
      </c>
      <c r="N1504">
        <v>0</v>
      </c>
      <c r="O1504">
        <v>0</v>
      </c>
      <c r="P1504">
        <v>0</v>
      </c>
      <c r="Q1504">
        <v>0</v>
      </c>
      <c r="R1504">
        <v>0</v>
      </c>
      <c r="S1504">
        <v>0</v>
      </c>
      <c r="T1504">
        <v>0</v>
      </c>
      <c r="U1504" t="str">
        <f>IF(SeismicData[[#This Row],[class]]=1,"Dangerous","Safe")</f>
        <v>Safe</v>
      </c>
      <c r="V1504" t="str">
        <f>IF(SeismicData[[#This Row],[shift]]="W","Production","Non-Production")</f>
        <v>Production</v>
      </c>
      <c r="W1504" t="str">
        <f>IF(SeismicData[[#This Row],[genergy]]=0,"0","10^"&amp;INT(LOG10(SeismicData[[#This Row],[genergy]])))</f>
        <v>10^4</v>
      </c>
      <c r="X1504" t="str">
        <f>IF(OR(SeismicData[[#This Row],[genergy]]&lt;$AA$6,SeismicData[[#This Row],[genergy]]&gt;$AA$5),"Outlier","Normal")</f>
        <v>Normal</v>
      </c>
    </row>
    <row r="1505" spans="1:24" x14ac:dyDescent="0.15">
      <c r="A1505">
        <v>1504</v>
      </c>
      <c r="B1505" t="s">
        <v>23</v>
      </c>
      <c r="C1505" t="s">
        <v>20</v>
      </c>
      <c r="D1505" t="s">
        <v>22</v>
      </c>
      <c r="E1505">
        <v>16240</v>
      </c>
      <c r="F1505">
        <v>673</v>
      </c>
      <c r="G1505">
        <v>22</v>
      </c>
      <c r="H1505">
        <v>74</v>
      </c>
      <c r="I1505" t="s">
        <v>20</v>
      </c>
      <c r="J1505">
        <v>0</v>
      </c>
      <c r="K1505">
        <v>0</v>
      </c>
      <c r="L1505">
        <v>0</v>
      </c>
      <c r="M1505">
        <v>0</v>
      </c>
      <c r="N1505">
        <v>0</v>
      </c>
      <c r="O1505">
        <v>0</v>
      </c>
      <c r="P1505">
        <v>0</v>
      </c>
      <c r="Q1505">
        <v>0</v>
      </c>
      <c r="R1505">
        <v>0</v>
      </c>
      <c r="S1505">
        <v>0</v>
      </c>
      <c r="T1505">
        <v>0</v>
      </c>
      <c r="U1505" t="str">
        <f>IF(SeismicData[[#This Row],[class]]=1,"Dangerous","Safe")</f>
        <v>Safe</v>
      </c>
      <c r="V1505" t="str">
        <f>IF(SeismicData[[#This Row],[shift]]="W","Production","Non-Production")</f>
        <v>Production</v>
      </c>
      <c r="W1505" t="str">
        <f>IF(SeismicData[[#This Row],[genergy]]=0,"0","10^"&amp;INT(LOG10(SeismicData[[#This Row],[genergy]])))</f>
        <v>10^4</v>
      </c>
      <c r="X1505" t="str">
        <f>IF(OR(SeismicData[[#This Row],[genergy]]&lt;$AA$6,SeismicData[[#This Row],[genergy]]&gt;$AA$5),"Outlier","Normal")</f>
        <v>Normal</v>
      </c>
    </row>
    <row r="1506" spans="1:24" x14ac:dyDescent="0.15">
      <c r="A1506">
        <v>1505</v>
      </c>
      <c r="B1506" t="s">
        <v>23</v>
      </c>
      <c r="C1506" t="s">
        <v>20</v>
      </c>
      <c r="D1506" t="s">
        <v>22</v>
      </c>
      <c r="E1506">
        <v>27960</v>
      </c>
      <c r="F1506">
        <v>740</v>
      </c>
      <c r="G1506">
        <v>110</v>
      </c>
      <c r="H1506">
        <v>91</v>
      </c>
      <c r="I1506" t="s">
        <v>20</v>
      </c>
      <c r="J1506">
        <v>0</v>
      </c>
      <c r="K1506">
        <v>0</v>
      </c>
      <c r="L1506">
        <v>0</v>
      </c>
      <c r="M1506">
        <v>0</v>
      </c>
      <c r="N1506">
        <v>0</v>
      </c>
      <c r="O1506">
        <v>0</v>
      </c>
      <c r="P1506">
        <v>0</v>
      </c>
      <c r="Q1506">
        <v>0</v>
      </c>
      <c r="R1506">
        <v>0</v>
      </c>
      <c r="S1506">
        <v>0</v>
      </c>
      <c r="T1506">
        <v>0</v>
      </c>
      <c r="U1506" t="str">
        <f>IF(SeismicData[[#This Row],[class]]=1,"Dangerous","Safe")</f>
        <v>Safe</v>
      </c>
      <c r="V1506" t="str">
        <f>IF(SeismicData[[#This Row],[shift]]="W","Production","Non-Production")</f>
        <v>Production</v>
      </c>
      <c r="W1506" t="str">
        <f>IF(SeismicData[[#This Row],[genergy]]=0,"0","10^"&amp;INT(LOG10(SeismicData[[#This Row],[genergy]])))</f>
        <v>10^4</v>
      </c>
      <c r="X1506" t="str">
        <f>IF(OR(SeismicData[[#This Row],[genergy]]&lt;$AA$6,SeismicData[[#This Row],[genergy]]&gt;$AA$5),"Outlier","Normal")</f>
        <v>Normal</v>
      </c>
    </row>
    <row r="1507" spans="1:24" x14ac:dyDescent="0.15">
      <c r="A1507">
        <v>1506</v>
      </c>
      <c r="B1507" t="s">
        <v>23</v>
      </c>
      <c r="C1507" t="s">
        <v>20</v>
      </c>
      <c r="D1507" t="s">
        <v>22</v>
      </c>
      <c r="E1507">
        <v>39760</v>
      </c>
      <c r="F1507">
        <v>783</v>
      </c>
      <c r="G1507">
        <v>198</v>
      </c>
      <c r="H1507">
        <v>102</v>
      </c>
      <c r="I1507" t="s">
        <v>20</v>
      </c>
      <c r="J1507">
        <v>1</v>
      </c>
      <c r="K1507">
        <v>1</v>
      </c>
      <c r="L1507">
        <v>0</v>
      </c>
      <c r="M1507">
        <v>0</v>
      </c>
      <c r="N1507">
        <v>0</v>
      </c>
      <c r="O1507">
        <v>0</v>
      </c>
      <c r="P1507">
        <v>0</v>
      </c>
      <c r="Q1507">
        <v>0</v>
      </c>
      <c r="R1507">
        <v>900</v>
      </c>
      <c r="S1507">
        <v>900</v>
      </c>
      <c r="T1507">
        <v>0</v>
      </c>
      <c r="U1507" t="str">
        <f>IF(SeismicData[[#This Row],[class]]=1,"Dangerous","Safe")</f>
        <v>Safe</v>
      </c>
      <c r="V1507" t="str">
        <f>IF(SeismicData[[#This Row],[shift]]="W","Production","Non-Production")</f>
        <v>Production</v>
      </c>
      <c r="W1507" t="str">
        <f>IF(SeismicData[[#This Row],[genergy]]=0,"0","10^"&amp;INT(LOG10(SeismicData[[#This Row],[genergy]])))</f>
        <v>10^4</v>
      </c>
      <c r="X1507" t="str">
        <f>IF(OR(SeismicData[[#This Row],[genergy]]&lt;$AA$6,SeismicData[[#This Row],[genergy]]&gt;$AA$5),"Outlier","Normal")</f>
        <v>Normal</v>
      </c>
    </row>
    <row r="1508" spans="1:24" x14ac:dyDescent="0.15">
      <c r="A1508">
        <v>1507</v>
      </c>
      <c r="B1508" t="s">
        <v>23</v>
      </c>
      <c r="C1508" t="s">
        <v>20</v>
      </c>
      <c r="D1508" t="s">
        <v>22</v>
      </c>
      <c r="E1508">
        <v>22460</v>
      </c>
      <c r="F1508">
        <v>732</v>
      </c>
      <c r="G1508">
        <v>69</v>
      </c>
      <c r="H1508">
        <v>89</v>
      </c>
      <c r="I1508" t="s">
        <v>20</v>
      </c>
      <c r="J1508">
        <v>1</v>
      </c>
      <c r="K1508">
        <v>1</v>
      </c>
      <c r="L1508">
        <v>0</v>
      </c>
      <c r="M1508">
        <v>0</v>
      </c>
      <c r="N1508">
        <v>0</v>
      </c>
      <c r="O1508">
        <v>0</v>
      </c>
      <c r="P1508">
        <v>0</v>
      </c>
      <c r="Q1508">
        <v>0</v>
      </c>
      <c r="R1508">
        <v>400</v>
      </c>
      <c r="S1508">
        <v>400</v>
      </c>
      <c r="T1508">
        <v>0</v>
      </c>
      <c r="U1508" t="str">
        <f>IF(SeismicData[[#This Row],[class]]=1,"Dangerous","Safe")</f>
        <v>Safe</v>
      </c>
      <c r="V1508" t="str">
        <f>IF(SeismicData[[#This Row],[shift]]="W","Production","Non-Production")</f>
        <v>Production</v>
      </c>
      <c r="W1508" t="str">
        <f>IF(SeismicData[[#This Row],[genergy]]=0,"0","10^"&amp;INT(LOG10(SeismicData[[#This Row],[genergy]])))</f>
        <v>10^4</v>
      </c>
      <c r="X1508" t="str">
        <f>IF(OR(SeismicData[[#This Row],[genergy]]&lt;$AA$6,SeismicData[[#This Row],[genergy]]&gt;$AA$5),"Outlier","Normal")</f>
        <v>Normal</v>
      </c>
    </row>
    <row r="1509" spans="1:24" x14ac:dyDescent="0.15">
      <c r="A1509">
        <v>1508</v>
      </c>
      <c r="B1509" t="s">
        <v>23</v>
      </c>
      <c r="C1509" t="s">
        <v>20</v>
      </c>
      <c r="D1509" t="s">
        <v>22</v>
      </c>
      <c r="E1509">
        <v>11320</v>
      </c>
      <c r="F1509">
        <v>514</v>
      </c>
      <c r="G1509">
        <v>-15</v>
      </c>
      <c r="H1509">
        <v>33</v>
      </c>
      <c r="I1509" t="s">
        <v>20</v>
      </c>
      <c r="J1509">
        <v>0</v>
      </c>
      <c r="K1509">
        <v>0</v>
      </c>
      <c r="L1509">
        <v>0</v>
      </c>
      <c r="M1509">
        <v>0</v>
      </c>
      <c r="N1509">
        <v>0</v>
      </c>
      <c r="O1509">
        <v>0</v>
      </c>
      <c r="P1509">
        <v>0</v>
      </c>
      <c r="Q1509">
        <v>0</v>
      </c>
      <c r="R1509">
        <v>0</v>
      </c>
      <c r="S1509">
        <v>0</v>
      </c>
      <c r="T1509">
        <v>0</v>
      </c>
      <c r="U1509" t="str">
        <f>IF(SeismicData[[#This Row],[class]]=1,"Dangerous","Safe")</f>
        <v>Safe</v>
      </c>
      <c r="V1509" t="str">
        <f>IF(SeismicData[[#This Row],[shift]]="W","Production","Non-Production")</f>
        <v>Production</v>
      </c>
      <c r="W1509" t="str">
        <f>IF(SeismicData[[#This Row],[genergy]]=0,"0","10^"&amp;INT(LOG10(SeismicData[[#This Row],[genergy]])))</f>
        <v>10^4</v>
      </c>
      <c r="X1509" t="str">
        <f>IF(OR(SeismicData[[#This Row],[genergy]]&lt;$AA$6,SeismicData[[#This Row],[genergy]]&gt;$AA$5),"Outlier","Normal")</f>
        <v>Normal</v>
      </c>
    </row>
    <row r="1510" spans="1:24" x14ac:dyDescent="0.15">
      <c r="A1510">
        <v>1509</v>
      </c>
      <c r="B1510" t="s">
        <v>23</v>
      </c>
      <c r="C1510" t="s">
        <v>20</v>
      </c>
      <c r="D1510" t="s">
        <v>22</v>
      </c>
      <c r="E1510">
        <v>16320</v>
      </c>
      <c r="F1510">
        <v>454</v>
      </c>
      <c r="G1510">
        <v>23</v>
      </c>
      <c r="H1510">
        <v>17</v>
      </c>
      <c r="I1510" t="s">
        <v>20</v>
      </c>
      <c r="J1510">
        <v>0</v>
      </c>
      <c r="K1510">
        <v>0</v>
      </c>
      <c r="L1510">
        <v>0</v>
      </c>
      <c r="M1510">
        <v>0</v>
      </c>
      <c r="N1510">
        <v>0</v>
      </c>
      <c r="O1510">
        <v>0</v>
      </c>
      <c r="P1510">
        <v>0</v>
      </c>
      <c r="Q1510">
        <v>0</v>
      </c>
      <c r="R1510">
        <v>0</v>
      </c>
      <c r="S1510">
        <v>0</v>
      </c>
      <c r="T1510">
        <v>0</v>
      </c>
      <c r="U1510" t="str">
        <f>IF(SeismicData[[#This Row],[class]]=1,"Dangerous","Safe")</f>
        <v>Safe</v>
      </c>
      <c r="V1510" t="str">
        <f>IF(SeismicData[[#This Row],[shift]]="W","Production","Non-Production")</f>
        <v>Production</v>
      </c>
      <c r="W1510" t="str">
        <f>IF(SeismicData[[#This Row],[genergy]]=0,"0","10^"&amp;INT(LOG10(SeismicData[[#This Row],[genergy]])))</f>
        <v>10^4</v>
      </c>
      <c r="X1510" t="str">
        <f>IF(OR(SeismicData[[#This Row],[genergy]]&lt;$AA$6,SeismicData[[#This Row],[genergy]]&gt;$AA$5),"Outlier","Normal")</f>
        <v>Normal</v>
      </c>
    </row>
    <row r="1511" spans="1:24" x14ac:dyDescent="0.15">
      <c r="A1511">
        <v>1510</v>
      </c>
      <c r="B1511" t="s">
        <v>23</v>
      </c>
      <c r="C1511" t="s">
        <v>20</v>
      </c>
      <c r="D1511" t="s">
        <v>22</v>
      </c>
      <c r="E1511">
        <v>23490</v>
      </c>
      <c r="F1511">
        <v>595</v>
      </c>
      <c r="G1511">
        <v>76</v>
      </c>
      <c r="H1511">
        <v>54</v>
      </c>
      <c r="I1511" t="s">
        <v>20</v>
      </c>
      <c r="J1511">
        <v>1</v>
      </c>
      <c r="K1511">
        <v>0</v>
      </c>
      <c r="L1511">
        <v>1</v>
      </c>
      <c r="M1511">
        <v>0</v>
      </c>
      <c r="N1511">
        <v>0</v>
      </c>
      <c r="O1511">
        <v>0</v>
      </c>
      <c r="P1511">
        <v>0</v>
      </c>
      <c r="Q1511">
        <v>0</v>
      </c>
      <c r="R1511">
        <v>1000</v>
      </c>
      <c r="S1511">
        <v>1000</v>
      </c>
      <c r="T1511">
        <v>0</v>
      </c>
      <c r="U1511" t="str">
        <f>IF(SeismicData[[#This Row],[class]]=1,"Dangerous","Safe")</f>
        <v>Safe</v>
      </c>
      <c r="V1511" t="str">
        <f>IF(SeismicData[[#This Row],[shift]]="W","Production","Non-Production")</f>
        <v>Production</v>
      </c>
      <c r="W1511" t="str">
        <f>IF(SeismicData[[#This Row],[genergy]]=0,"0","10^"&amp;INT(LOG10(SeismicData[[#This Row],[genergy]])))</f>
        <v>10^4</v>
      </c>
      <c r="X1511" t="str">
        <f>IF(OR(SeismicData[[#This Row],[genergy]]&lt;$AA$6,SeismicData[[#This Row],[genergy]]&gt;$AA$5),"Outlier","Normal")</f>
        <v>Normal</v>
      </c>
    </row>
    <row r="1512" spans="1:24" x14ac:dyDescent="0.15">
      <c r="A1512">
        <v>1511</v>
      </c>
      <c r="B1512" t="s">
        <v>23</v>
      </c>
      <c r="C1512" t="s">
        <v>20</v>
      </c>
      <c r="D1512" t="s">
        <v>22</v>
      </c>
      <c r="E1512">
        <v>13260</v>
      </c>
      <c r="F1512">
        <v>563</v>
      </c>
      <c r="G1512">
        <v>-8</v>
      </c>
      <c r="H1512">
        <v>36</v>
      </c>
      <c r="I1512" t="s">
        <v>20</v>
      </c>
      <c r="J1512">
        <v>0</v>
      </c>
      <c r="K1512">
        <v>0</v>
      </c>
      <c r="L1512">
        <v>0</v>
      </c>
      <c r="M1512">
        <v>0</v>
      </c>
      <c r="N1512">
        <v>0</v>
      </c>
      <c r="O1512">
        <v>0</v>
      </c>
      <c r="P1512">
        <v>0</v>
      </c>
      <c r="Q1512">
        <v>0</v>
      </c>
      <c r="R1512">
        <v>0</v>
      </c>
      <c r="S1512">
        <v>0</v>
      </c>
      <c r="T1512">
        <v>0</v>
      </c>
      <c r="U1512" t="str">
        <f>IF(SeismicData[[#This Row],[class]]=1,"Dangerous","Safe")</f>
        <v>Safe</v>
      </c>
      <c r="V1512" t="str">
        <f>IF(SeismicData[[#This Row],[shift]]="W","Production","Non-Production")</f>
        <v>Production</v>
      </c>
      <c r="W1512" t="str">
        <f>IF(SeismicData[[#This Row],[genergy]]=0,"0","10^"&amp;INT(LOG10(SeismicData[[#This Row],[genergy]])))</f>
        <v>10^4</v>
      </c>
      <c r="X1512" t="str">
        <f>IF(OR(SeismicData[[#This Row],[genergy]]&lt;$AA$6,SeismicData[[#This Row],[genergy]]&gt;$AA$5),"Outlier","Normal")</f>
        <v>Normal</v>
      </c>
    </row>
    <row r="1513" spans="1:24" x14ac:dyDescent="0.15">
      <c r="A1513">
        <v>1512</v>
      </c>
      <c r="B1513" t="s">
        <v>23</v>
      </c>
      <c r="C1513" t="s">
        <v>20</v>
      </c>
      <c r="D1513" t="s">
        <v>22</v>
      </c>
      <c r="E1513">
        <v>14300</v>
      </c>
      <c r="F1513">
        <v>431</v>
      </c>
      <c r="G1513">
        <v>0</v>
      </c>
      <c r="H1513">
        <v>4</v>
      </c>
      <c r="I1513" t="s">
        <v>20</v>
      </c>
      <c r="J1513">
        <v>2</v>
      </c>
      <c r="K1513">
        <v>0</v>
      </c>
      <c r="L1513">
        <v>2</v>
      </c>
      <c r="M1513">
        <v>0</v>
      </c>
      <c r="N1513">
        <v>0</v>
      </c>
      <c r="O1513">
        <v>0</v>
      </c>
      <c r="P1513">
        <v>0</v>
      </c>
      <c r="Q1513">
        <v>0</v>
      </c>
      <c r="R1513">
        <v>8000</v>
      </c>
      <c r="S1513">
        <v>6000</v>
      </c>
      <c r="T1513">
        <v>0</v>
      </c>
      <c r="U1513" t="str">
        <f>IF(SeismicData[[#This Row],[class]]=1,"Dangerous","Safe")</f>
        <v>Safe</v>
      </c>
      <c r="V1513" t="str">
        <f>IF(SeismicData[[#This Row],[shift]]="W","Production","Non-Production")</f>
        <v>Production</v>
      </c>
      <c r="W1513" t="str">
        <f>IF(SeismicData[[#This Row],[genergy]]=0,"0","10^"&amp;INT(LOG10(SeismicData[[#This Row],[genergy]])))</f>
        <v>10^4</v>
      </c>
      <c r="X1513" t="str">
        <f>IF(OR(SeismicData[[#This Row],[genergy]]&lt;$AA$6,SeismicData[[#This Row],[genergy]]&gt;$AA$5),"Outlier","Normal")</f>
        <v>Normal</v>
      </c>
    </row>
    <row r="1514" spans="1:24" x14ac:dyDescent="0.15">
      <c r="A1514">
        <v>1513</v>
      </c>
      <c r="B1514" t="s">
        <v>23</v>
      </c>
      <c r="C1514" t="s">
        <v>20</v>
      </c>
      <c r="D1514" t="s">
        <v>22</v>
      </c>
      <c r="E1514">
        <v>12160</v>
      </c>
      <c r="F1514">
        <v>364</v>
      </c>
      <c r="G1514">
        <v>-15</v>
      </c>
      <c r="H1514">
        <v>-12</v>
      </c>
      <c r="I1514" t="s">
        <v>20</v>
      </c>
      <c r="J1514">
        <v>0</v>
      </c>
      <c r="K1514">
        <v>0</v>
      </c>
      <c r="L1514">
        <v>0</v>
      </c>
      <c r="M1514">
        <v>0</v>
      </c>
      <c r="N1514">
        <v>0</v>
      </c>
      <c r="O1514">
        <v>0</v>
      </c>
      <c r="P1514">
        <v>0</v>
      </c>
      <c r="Q1514">
        <v>0</v>
      </c>
      <c r="R1514">
        <v>0</v>
      </c>
      <c r="S1514">
        <v>0</v>
      </c>
      <c r="T1514">
        <v>0</v>
      </c>
      <c r="U1514" t="str">
        <f>IF(SeismicData[[#This Row],[class]]=1,"Dangerous","Safe")</f>
        <v>Safe</v>
      </c>
      <c r="V1514" t="str">
        <f>IF(SeismicData[[#This Row],[shift]]="W","Production","Non-Production")</f>
        <v>Production</v>
      </c>
      <c r="W1514" t="str">
        <f>IF(SeismicData[[#This Row],[genergy]]=0,"0","10^"&amp;INT(LOG10(SeismicData[[#This Row],[genergy]])))</f>
        <v>10^4</v>
      </c>
      <c r="X1514" t="str">
        <f>IF(OR(SeismicData[[#This Row],[genergy]]&lt;$AA$6,SeismicData[[#This Row],[genergy]]&gt;$AA$5),"Outlier","Normal")</f>
        <v>Normal</v>
      </c>
    </row>
    <row r="1515" spans="1:24" x14ac:dyDescent="0.15">
      <c r="A1515">
        <v>1514</v>
      </c>
      <c r="B1515" t="s">
        <v>23</v>
      </c>
      <c r="C1515" t="s">
        <v>20</v>
      </c>
      <c r="D1515" t="s">
        <v>22</v>
      </c>
      <c r="E1515">
        <v>12030</v>
      </c>
      <c r="F1515">
        <v>308</v>
      </c>
      <c r="G1515">
        <v>-16</v>
      </c>
      <c r="H1515">
        <v>-26</v>
      </c>
      <c r="I1515" t="s">
        <v>20</v>
      </c>
      <c r="J1515">
        <v>0</v>
      </c>
      <c r="K1515">
        <v>0</v>
      </c>
      <c r="L1515">
        <v>0</v>
      </c>
      <c r="M1515">
        <v>0</v>
      </c>
      <c r="N1515">
        <v>0</v>
      </c>
      <c r="O1515">
        <v>0</v>
      </c>
      <c r="P1515">
        <v>0</v>
      </c>
      <c r="Q1515">
        <v>0</v>
      </c>
      <c r="R1515">
        <v>0</v>
      </c>
      <c r="S1515">
        <v>0</v>
      </c>
      <c r="T1515">
        <v>0</v>
      </c>
      <c r="U1515" t="str">
        <f>IF(SeismicData[[#This Row],[class]]=1,"Dangerous","Safe")</f>
        <v>Safe</v>
      </c>
      <c r="V1515" t="str">
        <f>IF(SeismicData[[#This Row],[shift]]="W","Production","Non-Production")</f>
        <v>Production</v>
      </c>
      <c r="W1515" t="str">
        <f>IF(SeismicData[[#This Row],[genergy]]=0,"0","10^"&amp;INT(LOG10(SeismicData[[#This Row],[genergy]])))</f>
        <v>10^4</v>
      </c>
      <c r="X1515" t="str">
        <f>IF(OR(SeismicData[[#This Row],[genergy]]&lt;$AA$6,SeismicData[[#This Row],[genergy]]&gt;$AA$5),"Outlier","Normal")</f>
        <v>Normal</v>
      </c>
    </row>
    <row r="1516" spans="1:24" x14ac:dyDescent="0.15">
      <c r="A1516">
        <v>1515</v>
      </c>
      <c r="B1516" t="s">
        <v>23</v>
      </c>
      <c r="C1516" t="s">
        <v>20</v>
      </c>
      <c r="D1516" t="s">
        <v>22</v>
      </c>
      <c r="E1516">
        <v>17050</v>
      </c>
      <c r="F1516">
        <v>367</v>
      </c>
      <c r="G1516">
        <v>19</v>
      </c>
      <c r="H1516">
        <v>-12</v>
      </c>
      <c r="I1516" t="s">
        <v>20</v>
      </c>
      <c r="J1516">
        <v>0</v>
      </c>
      <c r="K1516">
        <v>0</v>
      </c>
      <c r="L1516">
        <v>0</v>
      </c>
      <c r="M1516">
        <v>0</v>
      </c>
      <c r="N1516">
        <v>0</v>
      </c>
      <c r="O1516">
        <v>0</v>
      </c>
      <c r="P1516">
        <v>0</v>
      </c>
      <c r="Q1516">
        <v>0</v>
      </c>
      <c r="R1516">
        <v>0</v>
      </c>
      <c r="S1516">
        <v>0</v>
      </c>
      <c r="T1516">
        <v>0</v>
      </c>
      <c r="U1516" t="str">
        <f>IF(SeismicData[[#This Row],[class]]=1,"Dangerous","Safe")</f>
        <v>Safe</v>
      </c>
      <c r="V1516" t="str">
        <f>IF(SeismicData[[#This Row],[shift]]="W","Production","Non-Production")</f>
        <v>Production</v>
      </c>
      <c r="W1516" t="str">
        <f>IF(SeismicData[[#This Row],[genergy]]=0,"0","10^"&amp;INT(LOG10(SeismicData[[#This Row],[genergy]])))</f>
        <v>10^4</v>
      </c>
      <c r="X1516" t="str">
        <f>IF(OR(SeismicData[[#This Row],[genergy]]&lt;$AA$6,SeismicData[[#This Row],[genergy]]&gt;$AA$5),"Outlier","Normal")</f>
        <v>Normal</v>
      </c>
    </row>
    <row r="1517" spans="1:24" x14ac:dyDescent="0.15">
      <c r="A1517">
        <v>1516</v>
      </c>
      <c r="B1517" t="s">
        <v>23</v>
      </c>
      <c r="C1517" t="s">
        <v>20</v>
      </c>
      <c r="D1517" t="s">
        <v>22</v>
      </c>
      <c r="E1517">
        <v>62880</v>
      </c>
      <c r="F1517">
        <v>826</v>
      </c>
      <c r="G1517">
        <v>338</v>
      </c>
      <c r="H1517">
        <v>99</v>
      </c>
      <c r="I1517" t="s">
        <v>23</v>
      </c>
      <c r="J1517">
        <v>1</v>
      </c>
      <c r="K1517">
        <v>1</v>
      </c>
      <c r="L1517">
        <v>0</v>
      </c>
      <c r="M1517">
        <v>0</v>
      </c>
      <c r="N1517">
        <v>0</v>
      </c>
      <c r="O1517">
        <v>0</v>
      </c>
      <c r="P1517">
        <v>0</v>
      </c>
      <c r="Q1517">
        <v>0</v>
      </c>
      <c r="R1517">
        <v>700</v>
      </c>
      <c r="S1517">
        <v>700</v>
      </c>
      <c r="T1517">
        <v>0</v>
      </c>
      <c r="U1517" t="str">
        <f>IF(SeismicData[[#This Row],[class]]=1,"Dangerous","Safe")</f>
        <v>Safe</v>
      </c>
      <c r="V1517" t="str">
        <f>IF(SeismicData[[#This Row],[shift]]="W","Production","Non-Production")</f>
        <v>Production</v>
      </c>
      <c r="W1517" t="str">
        <f>IF(SeismicData[[#This Row],[genergy]]=0,"0","10^"&amp;INT(LOG10(SeismicData[[#This Row],[genergy]])))</f>
        <v>10^4</v>
      </c>
      <c r="X1517" t="str">
        <f>IF(OR(SeismicData[[#This Row],[genergy]]&lt;$AA$6,SeismicData[[#This Row],[genergy]]&gt;$AA$5),"Outlier","Normal")</f>
        <v>Normal</v>
      </c>
    </row>
    <row r="1518" spans="1:24" x14ac:dyDescent="0.15">
      <c r="A1518">
        <v>1517</v>
      </c>
      <c r="B1518" t="s">
        <v>23</v>
      </c>
      <c r="C1518" t="s">
        <v>20</v>
      </c>
      <c r="D1518" t="s">
        <v>22</v>
      </c>
      <c r="E1518">
        <v>45070</v>
      </c>
      <c r="F1518">
        <v>1016</v>
      </c>
      <c r="G1518">
        <v>214</v>
      </c>
      <c r="H1518">
        <v>145</v>
      </c>
      <c r="I1518" t="s">
        <v>20</v>
      </c>
      <c r="J1518">
        <v>0</v>
      </c>
      <c r="K1518">
        <v>0</v>
      </c>
      <c r="L1518">
        <v>0</v>
      </c>
      <c r="M1518">
        <v>0</v>
      </c>
      <c r="N1518">
        <v>0</v>
      </c>
      <c r="O1518">
        <v>0</v>
      </c>
      <c r="P1518">
        <v>0</v>
      </c>
      <c r="Q1518">
        <v>0</v>
      </c>
      <c r="R1518">
        <v>0</v>
      </c>
      <c r="S1518">
        <v>0</v>
      </c>
      <c r="T1518">
        <v>0</v>
      </c>
      <c r="U1518" t="str">
        <f>IF(SeismicData[[#This Row],[class]]=1,"Dangerous","Safe")</f>
        <v>Safe</v>
      </c>
      <c r="V1518" t="str">
        <f>IF(SeismicData[[#This Row],[shift]]="W","Production","Non-Production")</f>
        <v>Production</v>
      </c>
      <c r="W1518" t="str">
        <f>IF(SeismicData[[#This Row],[genergy]]=0,"0","10^"&amp;INT(LOG10(SeismicData[[#This Row],[genergy]])))</f>
        <v>10^4</v>
      </c>
      <c r="X1518" t="str">
        <f>IF(OR(SeismicData[[#This Row],[genergy]]&lt;$AA$6,SeismicData[[#This Row],[genergy]]&gt;$AA$5),"Outlier","Normal")</f>
        <v>Normal</v>
      </c>
    </row>
    <row r="1519" spans="1:24" x14ac:dyDescent="0.15">
      <c r="A1519">
        <v>1518</v>
      </c>
      <c r="B1519" t="s">
        <v>23</v>
      </c>
      <c r="C1519" t="s">
        <v>20</v>
      </c>
      <c r="D1519" t="s">
        <v>22</v>
      </c>
      <c r="E1519">
        <v>27960</v>
      </c>
      <c r="F1519">
        <v>804</v>
      </c>
      <c r="G1519">
        <v>95</v>
      </c>
      <c r="H1519">
        <v>94</v>
      </c>
      <c r="I1519" t="s">
        <v>20</v>
      </c>
      <c r="J1519">
        <v>0</v>
      </c>
      <c r="K1519">
        <v>0</v>
      </c>
      <c r="L1519">
        <v>0</v>
      </c>
      <c r="M1519">
        <v>0</v>
      </c>
      <c r="N1519">
        <v>0</v>
      </c>
      <c r="O1519">
        <v>0</v>
      </c>
      <c r="P1519">
        <v>0</v>
      </c>
      <c r="Q1519">
        <v>0</v>
      </c>
      <c r="R1519">
        <v>0</v>
      </c>
      <c r="S1519">
        <v>0</v>
      </c>
      <c r="T1519">
        <v>0</v>
      </c>
      <c r="U1519" t="str">
        <f>IF(SeismicData[[#This Row],[class]]=1,"Dangerous","Safe")</f>
        <v>Safe</v>
      </c>
      <c r="V1519" t="str">
        <f>IF(SeismicData[[#This Row],[shift]]="W","Production","Non-Production")</f>
        <v>Production</v>
      </c>
      <c r="W1519" t="str">
        <f>IF(SeismicData[[#This Row],[genergy]]=0,"0","10^"&amp;INT(LOG10(SeismicData[[#This Row],[genergy]])))</f>
        <v>10^4</v>
      </c>
      <c r="X1519" t="str">
        <f>IF(OR(SeismicData[[#This Row],[genergy]]&lt;$AA$6,SeismicData[[#This Row],[genergy]]&gt;$AA$5),"Outlier","Normal")</f>
        <v>Normal</v>
      </c>
    </row>
    <row r="1520" spans="1:24" x14ac:dyDescent="0.15">
      <c r="A1520">
        <v>1519</v>
      </c>
      <c r="B1520" t="s">
        <v>23</v>
      </c>
      <c r="C1520" t="s">
        <v>23</v>
      </c>
      <c r="D1520" t="s">
        <v>22</v>
      </c>
      <c r="E1520">
        <v>25930</v>
      </c>
      <c r="F1520">
        <v>631</v>
      </c>
      <c r="G1520">
        <v>70</v>
      </c>
      <c r="H1520">
        <v>43</v>
      </c>
      <c r="I1520" t="s">
        <v>23</v>
      </c>
      <c r="J1520">
        <v>0</v>
      </c>
      <c r="K1520">
        <v>0</v>
      </c>
      <c r="L1520">
        <v>0</v>
      </c>
      <c r="M1520">
        <v>0</v>
      </c>
      <c r="N1520">
        <v>0</v>
      </c>
      <c r="O1520">
        <v>0</v>
      </c>
      <c r="P1520">
        <v>0</v>
      </c>
      <c r="Q1520">
        <v>0</v>
      </c>
      <c r="R1520">
        <v>0</v>
      </c>
      <c r="S1520">
        <v>0</v>
      </c>
      <c r="T1520">
        <v>0</v>
      </c>
      <c r="U1520" t="str">
        <f>IF(SeismicData[[#This Row],[class]]=1,"Dangerous","Safe")</f>
        <v>Safe</v>
      </c>
      <c r="V1520" t="str">
        <f>IF(SeismicData[[#This Row],[shift]]="W","Production","Non-Production")</f>
        <v>Production</v>
      </c>
      <c r="W1520" t="str">
        <f>IF(SeismicData[[#This Row],[genergy]]=0,"0","10^"&amp;INT(LOG10(SeismicData[[#This Row],[genergy]])))</f>
        <v>10^4</v>
      </c>
      <c r="X1520" t="str">
        <f>IF(OR(SeismicData[[#This Row],[genergy]]&lt;$AA$6,SeismicData[[#This Row],[genergy]]&gt;$AA$5),"Outlier","Normal")</f>
        <v>Normal</v>
      </c>
    </row>
    <row r="1521" spans="1:24" x14ac:dyDescent="0.15">
      <c r="A1521">
        <v>1520</v>
      </c>
      <c r="B1521" t="s">
        <v>23</v>
      </c>
      <c r="C1521" t="s">
        <v>23</v>
      </c>
      <c r="D1521" t="s">
        <v>22</v>
      </c>
      <c r="E1521">
        <v>41230</v>
      </c>
      <c r="F1521">
        <v>487</v>
      </c>
      <c r="G1521">
        <v>152</v>
      </c>
      <c r="H1521">
        <v>70</v>
      </c>
      <c r="I1521" t="s">
        <v>20</v>
      </c>
      <c r="J1521">
        <v>1</v>
      </c>
      <c r="K1521">
        <v>1</v>
      </c>
      <c r="L1521">
        <v>0</v>
      </c>
      <c r="M1521">
        <v>0</v>
      </c>
      <c r="N1521">
        <v>0</v>
      </c>
      <c r="O1521">
        <v>0</v>
      </c>
      <c r="P1521">
        <v>0</v>
      </c>
      <c r="Q1521">
        <v>0</v>
      </c>
      <c r="R1521">
        <v>400</v>
      </c>
      <c r="S1521">
        <v>400</v>
      </c>
      <c r="T1521">
        <v>0</v>
      </c>
      <c r="U1521" t="str">
        <f>IF(SeismicData[[#This Row],[class]]=1,"Dangerous","Safe")</f>
        <v>Safe</v>
      </c>
      <c r="V1521" t="str">
        <f>IF(SeismicData[[#This Row],[shift]]="W","Production","Non-Production")</f>
        <v>Production</v>
      </c>
      <c r="W1521" t="str">
        <f>IF(SeismicData[[#This Row],[genergy]]=0,"0","10^"&amp;INT(LOG10(SeismicData[[#This Row],[genergy]])))</f>
        <v>10^4</v>
      </c>
      <c r="X1521" t="str">
        <f>IF(OR(SeismicData[[#This Row],[genergy]]&lt;$AA$6,SeismicData[[#This Row],[genergy]]&gt;$AA$5),"Outlier","Normal")</f>
        <v>Normal</v>
      </c>
    </row>
    <row r="1522" spans="1:24" x14ac:dyDescent="0.15">
      <c r="A1522">
        <v>1521</v>
      </c>
      <c r="B1522" t="s">
        <v>23</v>
      </c>
      <c r="C1522" t="s">
        <v>23</v>
      </c>
      <c r="D1522" t="s">
        <v>22</v>
      </c>
      <c r="E1522">
        <v>33430</v>
      </c>
      <c r="F1522">
        <v>518</v>
      </c>
      <c r="G1522">
        <v>105</v>
      </c>
      <c r="H1522">
        <v>80</v>
      </c>
      <c r="I1522" t="s">
        <v>20</v>
      </c>
      <c r="J1522">
        <v>0</v>
      </c>
      <c r="K1522">
        <v>0</v>
      </c>
      <c r="L1522">
        <v>0</v>
      </c>
      <c r="M1522">
        <v>0</v>
      </c>
      <c r="N1522">
        <v>0</v>
      </c>
      <c r="O1522">
        <v>0</v>
      </c>
      <c r="P1522">
        <v>0</v>
      </c>
      <c r="Q1522">
        <v>0</v>
      </c>
      <c r="R1522">
        <v>0</v>
      </c>
      <c r="S1522">
        <v>0</v>
      </c>
      <c r="T1522">
        <v>0</v>
      </c>
      <c r="U1522" t="str">
        <f>IF(SeismicData[[#This Row],[class]]=1,"Dangerous","Safe")</f>
        <v>Safe</v>
      </c>
      <c r="V1522" t="str">
        <f>IF(SeismicData[[#This Row],[shift]]="W","Production","Non-Production")</f>
        <v>Production</v>
      </c>
      <c r="W1522" t="str">
        <f>IF(SeismicData[[#This Row],[genergy]]=0,"0","10^"&amp;INT(LOG10(SeismicData[[#This Row],[genergy]])))</f>
        <v>10^4</v>
      </c>
      <c r="X1522" t="str">
        <f>IF(OR(SeismicData[[#This Row],[genergy]]&lt;$AA$6,SeismicData[[#This Row],[genergy]]&gt;$AA$5),"Outlier","Normal")</f>
        <v>Normal</v>
      </c>
    </row>
    <row r="1523" spans="1:24" x14ac:dyDescent="0.15">
      <c r="A1523">
        <v>1522</v>
      </c>
      <c r="B1523" t="s">
        <v>23</v>
      </c>
      <c r="C1523" t="s">
        <v>23</v>
      </c>
      <c r="D1523" t="s">
        <v>22</v>
      </c>
      <c r="E1523">
        <v>42220</v>
      </c>
      <c r="F1523">
        <v>515</v>
      </c>
      <c r="G1523">
        <v>159</v>
      </c>
      <c r="H1523">
        <v>79</v>
      </c>
      <c r="I1523" t="s">
        <v>20</v>
      </c>
      <c r="J1523">
        <v>0</v>
      </c>
      <c r="K1523">
        <v>0</v>
      </c>
      <c r="L1523">
        <v>0</v>
      </c>
      <c r="M1523">
        <v>0</v>
      </c>
      <c r="N1523">
        <v>0</v>
      </c>
      <c r="O1523">
        <v>0</v>
      </c>
      <c r="P1523">
        <v>0</v>
      </c>
      <c r="Q1523">
        <v>0</v>
      </c>
      <c r="R1523">
        <v>0</v>
      </c>
      <c r="S1523">
        <v>0</v>
      </c>
      <c r="T1523">
        <v>1</v>
      </c>
      <c r="U1523" t="str">
        <f>IF(SeismicData[[#This Row],[class]]=1,"Dangerous","Safe")</f>
        <v>Dangerous</v>
      </c>
      <c r="V1523" t="str">
        <f>IF(SeismicData[[#This Row],[shift]]="W","Production","Non-Production")</f>
        <v>Production</v>
      </c>
      <c r="W1523" t="str">
        <f>IF(SeismicData[[#This Row],[genergy]]=0,"0","10^"&amp;INT(LOG10(SeismicData[[#This Row],[genergy]])))</f>
        <v>10^4</v>
      </c>
      <c r="X1523" t="str">
        <f>IF(OR(SeismicData[[#This Row],[genergy]]&lt;$AA$6,SeismicData[[#This Row],[genergy]]&gt;$AA$5),"Outlier","Normal")</f>
        <v>Normal</v>
      </c>
    </row>
    <row r="1524" spans="1:24" x14ac:dyDescent="0.15">
      <c r="A1524">
        <v>1523</v>
      </c>
      <c r="B1524" t="s">
        <v>23</v>
      </c>
      <c r="C1524" t="s">
        <v>23</v>
      </c>
      <c r="D1524" t="s">
        <v>22</v>
      </c>
      <c r="E1524">
        <v>37590</v>
      </c>
      <c r="F1524">
        <v>1115</v>
      </c>
      <c r="G1524">
        <v>146</v>
      </c>
      <c r="H1524">
        <v>153</v>
      </c>
      <c r="I1524" t="s">
        <v>23</v>
      </c>
      <c r="J1524">
        <v>1</v>
      </c>
      <c r="K1524">
        <v>0</v>
      </c>
      <c r="L1524">
        <v>0</v>
      </c>
      <c r="M1524">
        <v>1</v>
      </c>
      <c r="N1524">
        <v>0</v>
      </c>
      <c r="O1524">
        <v>0</v>
      </c>
      <c r="P1524">
        <v>0</v>
      </c>
      <c r="Q1524">
        <v>0</v>
      </c>
      <c r="R1524">
        <v>40000</v>
      </c>
      <c r="S1524">
        <v>40000</v>
      </c>
      <c r="T1524">
        <v>0</v>
      </c>
      <c r="U1524" t="str">
        <f>IF(SeismicData[[#This Row],[class]]=1,"Dangerous","Safe")</f>
        <v>Safe</v>
      </c>
      <c r="V1524" t="str">
        <f>IF(SeismicData[[#This Row],[shift]]="W","Production","Non-Production")</f>
        <v>Production</v>
      </c>
      <c r="W1524" t="str">
        <f>IF(SeismicData[[#This Row],[genergy]]=0,"0","10^"&amp;INT(LOG10(SeismicData[[#This Row],[genergy]])))</f>
        <v>10^4</v>
      </c>
      <c r="X1524" t="str">
        <f>IF(OR(SeismicData[[#This Row],[genergy]]&lt;$AA$6,SeismicData[[#This Row],[genergy]]&gt;$AA$5),"Outlier","Normal")</f>
        <v>Normal</v>
      </c>
    </row>
    <row r="1525" spans="1:24" x14ac:dyDescent="0.15">
      <c r="A1525">
        <v>1524</v>
      </c>
      <c r="B1525" t="s">
        <v>23</v>
      </c>
      <c r="C1525" t="s">
        <v>23</v>
      </c>
      <c r="D1525" t="s">
        <v>22</v>
      </c>
      <c r="E1525">
        <v>22450</v>
      </c>
      <c r="F1525">
        <v>568</v>
      </c>
      <c r="G1525">
        <v>47</v>
      </c>
      <c r="H1525">
        <v>29</v>
      </c>
      <c r="I1525" t="s">
        <v>23</v>
      </c>
      <c r="J1525">
        <v>0</v>
      </c>
      <c r="K1525">
        <v>0</v>
      </c>
      <c r="L1525">
        <v>0</v>
      </c>
      <c r="M1525">
        <v>0</v>
      </c>
      <c r="N1525">
        <v>0</v>
      </c>
      <c r="O1525">
        <v>0</v>
      </c>
      <c r="P1525">
        <v>0</v>
      </c>
      <c r="Q1525">
        <v>0</v>
      </c>
      <c r="R1525">
        <v>0</v>
      </c>
      <c r="S1525">
        <v>0</v>
      </c>
      <c r="T1525">
        <v>0</v>
      </c>
      <c r="U1525" t="str">
        <f>IF(SeismicData[[#This Row],[class]]=1,"Dangerous","Safe")</f>
        <v>Safe</v>
      </c>
      <c r="V1525" t="str">
        <f>IF(SeismicData[[#This Row],[shift]]="W","Production","Non-Production")</f>
        <v>Production</v>
      </c>
      <c r="W1525" t="str">
        <f>IF(SeismicData[[#This Row],[genergy]]=0,"0","10^"&amp;INT(LOG10(SeismicData[[#This Row],[genergy]])))</f>
        <v>10^4</v>
      </c>
      <c r="X1525" t="str">
        <f>IF(OR(SeismicData[[#This Row],[genergy]]&lt;$AA$6,SeismicData[[#This Row],[genergy]]&gt;$AA$5),"Outlier","Normal")</f>
        <v>Normal</v>
      </c>
    </row>
    <row r="1526" spans="1:24" x14ac:dyDescent="0.15">
      <c r="A1526">
        <v>1525</v>
      </c>
      <c r="B1526" t="s">
        <v>23</v>
      </c>
      <c r="C1526" t="s">
        <v>23</v>
      </c>
      <c r="D1526" t="s">
        <v>22</v>
      </c>
      <c r="E1526">
        <v>23790</v>
      </c>
      <c r="F1526">
        <v>589</v>
      </c>
      <c r="G1526">
        <v>56</v>
      </c>
      <c r="H1526">
        <v>34</v>
      </c>
      <c r="I1526" t="s">
        <v>23</v>
      </c>
      <c r="J1526">
        <v>0</v>
      </c>
      <c r="K1526">
        <v>0</v>
      </c>
      <c r="L1526">
        <v>0</v>
      </c>
      <c r="M1526">
        <v>0</v>
      </c>
      <c r="N1526">
        <v>0</v>
      </c>
      <c r="O1526">
        <v>0</v>
      </c>
      <c r="P1526">
        <v>0</v>
      </c>
      <c r="Q1526">
        <v>0</v>
      </c>
      <c r="R1526">
        <v>0</v>
      </c>
      <c r="S1526">
        <v>0</v>
      </c>
      <c r="T1526">
        <v>0</v>
      </c>
      <c r="U1526" t="str">
        <f>IF(SeismicData[[#This Row],[class]]=1,"Dangerous","Safe")</f>
        <v>Safe</v>
      </c>
      <c r="V1526" t="str">
        <f>IF(SeismicData[[#This Row],[shift]]="W","Production","Non-Production")</f>
        <v>Production</v>
      </c>
      <c r="W1526" t="str">
        <f>IF(SeismicData[[#This Row],[genergy]]=0,"0","10^"&amp;INT(LOG10(SeismicData[[#This Row],[genergy]])))</f>
        <v>10^4</v>
      </c>
      <c r="X1526" t="str">
        <f>IF(OR(SeismicData[[#This Row],[genergy]]&lt;$AA$6,SeismicData[[#This Row],[genergy]]&gt;$AA$5),"Outlier","Normal")</f>
        <v>Normal</v>
      </c>
    </row>
    <row r="1527" spans="1:24" x14ac:dyDescent="0.15">
      <c r="A1527">
        <v>1526</v>
      </c>
      <c r="B1527" t="s">
        <v>23</v>
      </c>
      <c r="C1527" t="s">
        <v>23</v>
      </c>
      <c r="D1527" t="s">
        <v>22</v>
      </c>
      <c r="E1527">
        <v>43780</v>
      </c>
      <c r="F1527">
        <v>529</v>
      </c>
      <c r="G1527">
        <v>168</v>
      </c>
      <c r="H1527">
        <v>84</v>
      </c>
      <c r="I1527" t="s">
        <v>20</v>
      </c>
      <c r="J1527">
        <v>1</v>
      </c>
      <c r="K1527">
        <v>0</v>
      </c>
      <c r="L1527">
        <v>1</v>
      </c>
      <c r="M1527">
        <v>0</v>
      </c>
      <c r="N1527">
        <v>0</v>
      </c>
      <c r="O1527">
        <v>0</v>
      </c>
      <c r="P1527">
        <v>0</v>
      </c>
      <c r="Q1527">
        <v>0</v>
      </c>
      <c r="R1527">
        <v>1000</v>
      </c>
      <c r="S1527">
        <v>1000</v>
      </c>
      <c r="T1527">
        <v>0</v>
      </c>
      <c r="U1527" t="str">
        <f>IF(SeismicData[[#This Row],[class]]=1,"Dangerous","Safe")</f>
        <v>Safe</v>
      </c>
      <c r="V1527" t="str">
        <f>IF(SeismicData[[#This Row],[shift]]="W","Production","Non-Production")</f>
        <v>Production</v>
      </c>
      <c r="W1527" t="str">
        <f>IF(SeismicData[[#This Row],[genergy]]=0,"0","10^"&amp;INT(LOG10(SeismicData[[#This Row],[genergy]])))</f>
        <v>10^4</v>
      </c>
      <c r="X1527" t="str">
        <f>IF(OR(SeismicData[[#This Row],[genergy]]&lt;$AA$6,SeismicData[[#This Row],[genergy]]&gt;$AA$5),"Outlier","Normal")</f>
        <v>Normal</v>
      </c>
    </row>
    <row r="1528" spans="1:24" x14ac:dyDescent="0.15">
      <c r="A1528">
        <v>1527</v>
      </c>
      <c r="B1528" t="s">
        <v>23</v>
      </c>
      <c r="C1528" t="s">
        <v>23</v>
      </c>
      <c r="D1528" t="s">
        <v>22</v>
      </c>
      <c r="E1528">
        <v>44010</v>
      </c>
      <c r="F1528">
        <v>961</v>
      </c>
      <c r="G1528">
        <v>167</v>
      </c>
      <c r="H1528">
        <v>109</v>
      </c>
      <c r="I1528" t="s">
        <v>23</v>
      </c>
      <c r="J1528">
        <v>1</v>
      </c>
      <c r="K1528">
        <v>1</v>
      </c>
      <c r="L1528">
        <v>0</v>
      </c>
      <c r="M1528">
        <v>0</v>
      </c>
      <c r="N1528">
        <v>0</v>
      </c>
      <c r="O1528">
        <v>0</v>
      </c>
      <c r="P1528">
        <v>0</v>
      </c>
      <c r="Q1528">
        <v>0</v>
      </c>
      <c r="R1528">
        <v>500</v>
      </c>
      <c r="S1528">
        <v>500</v>
      </c>
      <c r="T1528">
        <v>0</v>
      </c>
      <c r="U1528" t="str">
        <f>IF(SeismicData[[#This Row],[class]]=1,"Dangerous","Safe")</f>
        <v>Safe</v>
      </c>
      <c r="V1528" t="str">
        <f>IF(SeismicData[[#This Row],[shift]]="W","Production","Non-Production")</f>
        <v>Production</v>
      </c>
      <c r="W1528" t="str">
        <f>IF(SeismicData[[#This Row],[genergy]]=0,"0","10^"&amp;INT(LOG10(SeismicData[[#This Row],[genergy]])))</f>
        <v>10^4</v>
      </c>
      <c r="X1528" t="str">
        <f>IF(OR(SeismicData[[#This Row],[genergy]]&lt;$AA$6,SeismicData[[#This Row],[genergy]]&gt;$AA$5),"Outlier","Normal")</f>
        <v>Normal</v>
      </c>
    </row>
    <row r="1529" spans="1:24" x14ac:dyDescent="0.15">
      <c r="A1529">
        <v>1528</v>
      </c>
      <c r="B1529" t="s">
        <v>23</v>
      </c>
      <c r="C1529" t="s">
        <v>23</v>
      </c>
      <c r="D1529" t="s">
        <v>22</v>
      </c>
      <c r="E1529">
        <v>32500</v>
      </c>
      <c r="F1529">
        <v>873</v>
      </c>
      <c r="G1529">
        <v>97</v>
      </c>
      <c r="H1529">
        <v>90</v>
      </c>
      <c r="I1529" t="s">
        <v>23</v>
      </c>
      <c r="J1529">
        <v>1</v>
      </c>
      <c r="K1529">
        <v>1</v>
      </c>
      <c r="L1529">
        <v>0</v>
      </c>
      <c r="M1529">
        <v>0</v>
      </c>
      <c r="N1529">
        <v>0</v>
      </c>
      <c r="O1529">
        <v>0</v>
      </c>
      <c r="P1529">
        <v>0</v>
      </c>
      <c r="Q1529">
        <v>0</v>
      </c>
      <c r="R1529">
        <v>300</v>
      </c>
      <c r="S1529">
        <v>300</v>
      </c>
      <c r="T1529">
        <v>0</v>
      </c>
      <c r="U1529" t="str">
        <f>IF(SeismicData[[#This Row],[class]]=1,"Dangerous","Safe")</f>
        <v>Safe</v>
      </c>
      <c r="V1529" t="str">
        <f>IF(SeismicData[[#This Row],[shift]]="W","Production","Non-Production")</f>
        <v>Production</v>
      </c>
      <c r="W1529" t="str">
        <f>IF(SeismicData[[#This Row],[genergy]]=0,"0","10^"&amp;INT(LOG10(SeismicData[[#This Row],[genergy]])))</f>
        <v>10^4</v>
      </c>
      <c r="X1529" t="str">
        <f>IF(OR(SeismicData[[#This Row],[genergy]]&lt;$AA$6,SeismicData[[#This Row],[genergy]]&gt;$AA$5),"Outlier","Normal")</f>
        <v>Normal</v>
      </c>
    </row>
    <row r="1530" spans="1:24" x14ac:dyDescent="0.15">
      <c r="A1530">
        <v>1529</v>
      </c>
      <c r="B1530" t="s">
        <v>23</v>
      </c>
      <c r="C1530" t="s">
        <v>23</v>
      </c>
      <c r="D1530" t="s">
        <v>22</v>
      </c>
      <c r="E1530">
        <v>54860</v>
      </c>
      <c r="F1530">
        <v>989</v>
      </c>
      <c r="G1530">
        <v>233</v>
      </c>
      <c r="H1530">
        <v>115</v>
      </c>
      <c r="I1530" t="s">
        <v>23</v>
      </c>
      <c r="J1530">
        <v>0</v>
      </c>
      <c r="K1530">
        <v>0</v>
      </c>
      <c r="L1530">
        <v>0</v>
      </c>
      <c r="M1530">
        <v>0</v>
      </c>
      <c r="N1530">
        <v>0</v>
      </c>
      <c r="O1530">
        <v>0</v>
      </c>
      <c r="P1530">
        <v>0</v>
      </c>
      <c r="Q1530">
        <v>0</v>
      </c>
      <c r="R1530">
        <v>0</v>
      </c>
      <c r="S1530">
        <v>0</v>
      </c>
      <c r="T1530">
        <v>0</v>
      </c>
      <c r="U1530" t="str">
        <f>IF(SeismicData[[#This Row],[class]]=1,"Dangerous","Safe")</f>
        <v>Safe</v>
      </c>
      <c r="V1530" t="str">
        <f>IF(SeismicData[[#This Row],[shift]]="W","Production","Non-Production")</f>
        <v>Production</v>
      </c>
      <c r="W1530" t="str">
        <f>IF(SeismicData[[#This Row],[genergy]]=0,"0","10^"&amp;INT(LOG10(SeismicData[[#This Row],[genergy]])))</f>
        <v>10^4</v>
      </c>
      <c r="X1530" t="str">
        <f>IF(OR(SeismicData[[#This Row],[genergy]]&lt;$AA$6,SeismicData[[#This Row],[genergy]]&gt;$AA$5),"Outlier","Normal")</f>
        <v>Normal</v>
      </c>
    </row>
    <row r="1531" spans="1:24" x14ac:dyDescent="0.15">
      <c r="A1531">
        <v>1530</v>
      </c>
      <c r="B1531" t="s">
        <v>23</v>
      </c>
      <c r="C1531" t="s">
        <v>23</v>
      </c>
      <c r="D1531" t="s">
        <v>22</v>
      </c>
      <c r="E1531">
        <v>60140</v>
      </c>
      <c r="F1531">
        <v>800</v>
      </c>
      <c r="G1531">
        <v>267</v>
      </c>
      <c r="H1531">
        <v>181</v>
      </c>
      <c r="I1531" t="s">
        <v>20</v>
      </c>
      <c r="J1531">
        <v>2</v>
      </c>
      <c r="K1531">
        <v>0</v>
      </c>
      <c r="L1531">
        <v>2</v>
      </c>
      <c r="M1531">
        <v>0</v>
      </c>
      <c r="N1531">
        <v>0</v>
      </c>
      <c r="O1531">
        <v>0</v>
      </c>
      <c r="P1531">
        <v>0</v>
      </c>
      <c r="Q1531">
        <v>0</v>
      </c>
      <c r="R1531">
        <v>3000</v>
      </c>
      <c r="S1531">
        <v>2000</v>
      </c>
      <c r="T1531">
        <v>0</v>
      </c>
      <c r="U1531" t="str">
        <f>IF(SeismicData[[#This Row],[class]]=1,"Dangerous","Safe")</f>
        <v>Safe</v>
      </c>
      <c r="V1531" t="str">
        <f>IF(SeismicData[[#This Row],[shift]]="W","Production","Non-Production")</f>
        <v>Production</v>
      </c>
      <c r="W1531" t="str">
        <f>IF(SeismicData[[#This Row],[genergy]]=0,"0","10^"&amp;INT(LOG10(SeismicData[[#This Row],[genergy]])))</f>
        <v>10^4</v>
      </c>
      <c r="X1531" t="str">
        <f>IF(OR(SeismicData[[#This Row],[genergy]]&lt;$AA$6,SeismicData[[#This Row],[genergy]]&gt;$AA$5),"Outlier","Normal")</f>
        <v>Normal</v>
      </c>
    </row>
    <row r="1532" spans="1:24" x14ac:dyDescent="0.15">
      <c r="A1532">
        <v>1531</v>
      </c>
      <c r="B1532" t="s">
        <v>23</v>
      </c>
      <c r="C1532" t="s">
        <v>23</v>
      </c>
      <c r="D1532" t="s">
        <v>22</v>
      </c>
      <c r="E1532">
        <v>45520</v>
      </c>
      <c r="F1532">
        <v>1214</v>
      </c>
      <c r="G1532">
        <v>177</v>
      </c>
      <c r="H1532">
        <v>164</v>
      </c>
      <c r="I1532" t="s">
        <v>23</v>
      </c>
      <c r="J1532">
        <v>0</v>
      </c>
      <c r="K1532">
        <v>0</v>
      </c>
      <c r="L1532">
        <v>0</v>
      </c>
      <c r="M1532">
        <v>0</v>
      </c>
      <c r="N1532">
        <v>0</v>
      </c>
      <c r="O1532">
        <v>0</v>
      </c>
      <c r="P1532">
        <v>0</v>
      </c>
      <c r="Q1532">
        <v>0</v>
      </c>
      <c r="R1532">
        <v>0</v>
      </c>
      <c r="S1532">
        <v>0</v>
      </c>
      <c r="T1532">
        <v>0</v>
      </c>
      <c r="U1532" t="str">
        <f>IF(SeismicData[[#This Row],[class]]=1,"Dangerous","Safe")</f>
        <v>Safe</v>
      </c>
      <c r="V1532" t="str">
        <f>IF(SeismicData[[#This Row],[shift]]="W","Production","Non-Production")</f>
        <v>Production</v>
      </c>
      <c r="W1532" t="str">
        <f>IF(SeismicData[[#This Row],[genergy]]=0,"0","10^"&amp;INT(LOG10(SeismicData[[#This Row],[genergy]])))</f>
        <v>10^4</v>
      </c>
      <c r="X1532" t="str">
        <f>IF(OR(SeismicData[[#This Row],[genergy]]&lt;$AA$6,SeismicData[[#This Row],[genergy]]&gt;$AA$5),"Outlier","Normal")</f>
        <v>Normal</v>
      </c>
    </row>
    <row r="1533" spans="1:24" x14ac:dyDescent="0.15">
      <c r="A1533">
        <v>1532</v>
      </c>
      <c r="B1533" t="s">
        <v>23</v>
      </c>
      <c r="C1533" t="s">
        <v>23</v>
      </c>
      <c r="D1533" t="s">
        <v>22</v>
      </c>
      <c r="E1533">
        <v>72090</v>
      </c>
      <c r="F1533">
        <v>1139</v>
      </c>
      <c r="G1533">
        <v>338</v>
      </c>
      <c r="H1533">
        <v>147</v>
      </c>
      <c r="I1533" t="s">
        <v>23</v>
      </c>
      <c r="J1533">
        <v>0</v>
      </c>
      <c r="K1533">
        <v>0</v>
      </c>
      <c r="L1533">
        <v>0</v>
      </c>
      <c r="M1533">
        <v>0</v>
      </c>
      <c r="N1533">
        <v>0</v>
      </c>
      <c r="O1533">
        <v>0</v>
      </c>
      <c r="P1533">
        <v>0</v>
      </c>
      <c r="Q1533">
        <v>0</v>
      </c>
      <c r="R1533">
        <v>0</v>
      </c>
      <c r="S1533">
        <v>0</v>
      </c>
      <c r="T1533">
        <v>0</v>
      </c>
      <c r="U1533" t="str">
        <f>IF(SeismicData[[#This Row],[class]]=1,"Dangerous","Safe")</f>
        <v>Safe</v>
      </c>
      <c r="V1533" t="str">
        <f>IF(SeismicData[[#This Row],[shift]]="W","Production","Non-Production")</f>
        <v>Production</v>
      </c>
      <c r="W1533" t="str">
        <f>IF(SeismicData[[#This Row],[genergy]]=0,"0","10^"&amp;INT(LOG10(SeismicData[[#This Row],[genergy]])))</f>
        <v>10^4</v>
      </c>
      <c r="X1533" t="str">
        <f>IF(OR(SeismicData[[#This Row],[genergy]]&lt;$AA$6,SeismicData[[#This Row],[genergy]]&gt;$AA$5),"Outlier","Normal")</f>
        <v>Normal</v>
      </c>
    </row>
    <row r="1534" spans="1:24" x14ac:dyDescent="0.15">
      <c r="A1534">
        <v>1533</v>
      </c>
      <c r="B1534" t="s">
        <v>23</v>
      </c>
      <c r="C1534" t="s">
        <v>23</v>
      </c>
      <c r="D1534" t="s">
        <v>22</v>
      </c>
      <c r="E1534">
        <v>61310</v>
      </c>
      <c r="F1534">
        <v>931</v>
      </c>
      <c r="G1534">
        <v>274</v>
      </c>
      <c r="H1534">
        <v>227</v>
      </c>
      <c r="I1534" t="s">
        <v>23</v>
      </c>
      <c r="J1534">
        <v>1</v>
      </c>
      <c r="K1534">
        <v>0</v>
      </c>
      <c r="L1534">
        <v>1</v>
      </c>
      <c r="M1534">
        <v>0</v>
      </c>
      <c r="N1534">
        <v>0</v>
      </c>
      <c r="O1534">
        <v>0</v>
      </c>
      <c r="P1534">
        <v>0</v>
      </c>
      <c r="Q1534">
        <v>0</v>
      </c>
      <c r="R1534">
        <v>3000</v>
      </c>
      <c r="S1534">
        <v>3000</v>
      </c>
      <c r="T1534">
        <v>0</v>
      </c>
      <c r="U1534" t="str">
        <f>IF(SeismicData[[#This Row],[class]]=1,"Dangerous","Safe")</f>
        <v>Safe</v>
      </c>
      <c r="V1534" t="str">
        <f>IF(SeismicData[[#This Row],[shift]]="W","Production","Non-Production")</f>
        <v>Production</v>
      </c>
      <c r="W1534" t="str">
        <f>IF(SeismicData[[#This Row],[genergy]]=0,"0","10^"&amp;INT(LOG10(SeismicData[[#This Row],[genergy]])))</f>
        <v>10^4</v>
      </c>
      <c r="X1534" t="str">
        <f>IF(OR(SeismicData[[#This Row],[genergy]]&lt;$AA$6,SeismicData[[#This Row],[genergy]]&gt;$AA$5),"Outlier","Normal")</f>
        <v>Normal</v>
      </c>
    </row>
    <row r="1535" spans="1:24" x14ac:dyDescent="0.15">
      <c r="A1535">
        <v>1534</v>
      </c>
      <c r="B1535" t="s">
        <v>23</v>
      </c>
      <c r="C1535" t="s">
        <v>23</v>
      </c>
      <c r="D1535" t="s">
        <v>22</v>
      </c>
      <c r="E1535">
        <v>65800</v>
      </c>
      <c r="F1535">
        <v>1634</v>
      </c>
      <c r="G1535">
        <v>300</v>
      </c>
      <c r="H1535">
        <v>255</v>
      </c>
      <c r="I1535" t="s">
        <v>23</v>
      </c>
      <c r="J1535">
        <v>0</v>
      </c>
      <c r="K1535">
        <v>0</v>
      </c>
      <c r="L1535">
        <v>0</v>
      </c>
      <c r="M1535">
        <v>0</v>
      </c>
      <c r="N1535">
        <v>0</v>
      </c>
      <c r="O1535">
        <v>0</v>
      </c>
      <c r="P1535">
        <v>0</v>
      </c>
      <c r="Q1535">
        <v>0</v>
      </c>
      <c r="R1535">
        <v>0</v>
      </c>
      <c r="S1535">
        <v>0</v>
      </c>
      <c r="T1535">
        <v>0</v>
      </c>
      <c r="U1535" t="str">
        <f>IF(SeismicData[[#This Row],[class]]=1,"Dangerous","Safe")</f>
        <v>Safe</v>
      </c>
      <c r="V1535" t="str">
        <f>IF(SeismicData[[#This Row],[shift]]="W","Production","Non-Production")</f>
        <v>Production</v>
      </c>
      <c r="W1535" t="str">
        <f>IF(SeismicData[[#This Row],[genergy]]=0,"0","10^"&amp;INT(LOG10(SeismicData[[#This Row],[genergy]])))</f>
        <v>10^4</v>
      </c>
      <c r="X1535" t="str">
        <f>IF(OR(SeismicData[[#This Row],[genergy]]&lt;$AA$6,SeismicData[[#This Row],[genergy]]&gt;$AA$5),"Outlier","Normal")</f>
        <v>Normal</v>
      </c>
    </row>
    <row r="1536" spans="1:24" x14ac:dyDescent="0.15">
      <c r="A1536">
        <v>1535</v>
      </c>
      <c r="B1536" t="s">
        <v>23</v>
      </c>
      <c r="C1536" t="s">
        <v>23</v>
      </c>
      <c r="D1536" t="s">
        <v>22</v>
      </c>
      <c r="E1536">
        <v>40130</v>
      </c>
      <c r="F1536">
        <v>1324</v>
      </c>
      <c r="G1536">
        <v>120</v>
      </c>
      <c r="H1536">
        <v>162</v>
      </c>
      <c r="I1536" t="s">
        <v>23</v>
      </c>
      <c r="J1536">
        <v>2</v>
      </c>
      <c r="K1536">
        <v>2</v>
      </c>
      <c r="L1536">
        <v>0</v>
      </c>
      <c r="M1536">
        <v>0</v>
      </c>
      <c r="N1536">
        <v>0</v>
      </c>
      <c r="O1536">
        <v>0</v>
      </c>
      <c r="P1536">
        <v>0</v>
      </c>
      <c r="Q1536">
        <v>0</v>
      </c>
      <c r="R1536">
        <v>1100</v>
      </c>
      <c r="S1536">
        <v>600</v>
      </c>
      <c r="T1536">
        <v>0</v>
      </c>
      <c r="U1536" t="str">
        <f>IF(SeismicData[[#This Row],[class]]=1,"Dangerous","Safe")</f>
        <v>Safe</v>
      </c>
      <c r="V1536" t="str">
        <f>IF(SeismicData[[#This Row],[shift]]="W","Production","Non-Production")</f>
        <v>Production</v>
      </c>
      <c r="W1536" t="str">
        <f>IF(SeismicData[[#This Row],[genergy]]=0,"0","10^"&amp;INT(LOG10(SeismicData[[#This Row],[genergy]])))</f>
        <v>10^4</v>
      </c>
      <c r="X1536" t="str">
        <f>IF(OR(SeismicData[[#This Row],[genergy]]&lt;$AA$6,SeismicData[[#This Row],[genergy]]&gt;$AA$5),"Outlier","Normal")</f>
        <v>Normal</v>
      </c>
    </row>
    <row r="1537" spans="1:24" x14ac:dyDescent="0.15">
      <c r="A1537">
        <v>1536</v>
      </c>
      <c r="B1537" t="s">
        <v>23</v>
      </c>
      <c r="C1537" t="s">
        <v>23</v>
      </c>
      <c r="D1537" t="s">
        <v>21</v>
      </c>
      <c r="E1537">
        <v>30840</v>
      </c>
      <c r="F1537">
        <v>1022</v>
      </c>
      <c r="G1537">
        <v>235</v>
      </c>
      <c r="H1537">
        <v>235</v>
      </c>
      <c r="I1537" t="s">
        <v>23</v>
      </c>
      <c r="J1537">
        <v>0</v>
      </c>
      <c r="K1537">
        <v>0</v>
      </c>
      <c r="L1537">
        <v>0</v>
      </c>
      <c r="M1537">
        <v>0</v>
      </c>
      <c r="N1537">
        <v>0</v>
      </c>
      <c r="O1537">
        <v>0</v>
      </c>
      <c r="P1537">
        <v>0</v>
      </c>
      <c r="Q1537">
        <v>0</v>
      </c>
      <c r="R1537">
        <v>0</v>
      </c>
      <c r="S1537">
        <v>0</v>
      </c>
      <c r="T1537">
        <v>0</v>
      </c>
      <c r="U1537" t="str">
        <f>IF(SeismicData[[#This Row],[class]]=1,"Dangerous","Safe")</f>
        <v>Safe</v>
      </c>
      <c r="V1537" t="str">
        <f>IF(SeismicData[[#This Row],[shift]]="W","Production","Non-Production")</f>
        <v>Non-Production</v>
      </c>
      <c r="W1537" t="str">
        <f>IF(SeismicData[[#This Row],[genergy]]=0,"0","10^"&amp;INT(LOG10(SeismicData[[#This Row],[genergy]])))</f>
        <v>10^4</v>
      </c>
      <c r="X1537" t="str">
        <f>IF(OR(SeismicData[[#This Row],[genergy]]&lt;$AA$6,SeismicData[[#This Row],[genergy]]&gt;$AA$5),"Outlier","Normal")</f>
        <v>Normal</v>
      </c>
    </row>
    <row r="1538" spans="1:24" x14ac:dyDescent="0.15">
      <c r="A1538">
        <v>1537</v>
      </c>
      <c r="B1538" t="s">
        <v>23</v>
      </c>
      <c r="C1538" t="s">
        <v>23</v>
      </c>
      <c r="D1538" t="s">
        <v>22</v>
      </c>
      <c r="E1538">
        <v>22820</v>
      </c>
      <c r="F1538">
        <v>833</v>
      </c>
      <c r="G1538">
        <v>25</v>
      </c>
      <c r="H1538">
        <v>65</v>
      </c>
      <c r="I1538" t="s">
        <v>23</v>
      </c>
      <c r="J1538">
        <v>0</v>
      </c>
      <c r="K1538">
        <v>0</v>
      </c>
      <c r="L1538">
        <v>0</v>
      </c>
      <c r="M1538">
        <v>0</v>
      </c>
      <c r="N1538">
        <v>0</v>
      </c>
      <c r="O1538">
        <v>0</v>
      </c>
      <c r="P1538">
        <v>0</v>
      </c>
      <c r="Q1538">
        <v>0</v>
      </c>
      <c r="R1538">
        <v>0</v>
      </c>
      <c r="S1538">
        <v>0</v>
      </c>
      <c r="T1538">
        <v>0</v>
      </c>
      <c r="U1538" t="str">
        <f>IF(SeismicData[[#This Row],[class]]=1,"Dangerous","Safe")</f>
        <v>Safe</v>
      </c>
      <c r="V1538" t="str">
        <f>IF(SeismicData[[#This Row],[shift]]="W","Production","Non-Production")</f>
        <v>Production</v>
      </c>
      <c r="W1538" t="str">
        <f>IF(SeismicData[[#This Row],[genergy]]=0,"0","10^"&amp;INT(LOG10(SeismicData[[#This Row],[genergy]])))</f>
        <v>10^4</v>
      </c>
      <c r="X1538" t="str">
        <f>IF(OR(SeismicData[[#This Row],[genergy]]&lt;$AA$6,SeismicData[[#This Row],[genergy]]&gt;$AA$5),"Outlier","Normal")</f>
        <v>Normal</v>
      </c>
    </row>
    <row r="1539" spans="1:24" x14ac:dyDescent="0.15">
      <c r="A1539">
        <v>1538</v>
      </c>
      <c r="B1539" t="s">
        <v>23</v>
      </c>
      <c r="C1539" t="s">
        <v>23</v>
      </c>
      <c r="D1539" t="s">
        <v>22</v>
      </c>
      <c r="E1539">
        <v>23750</v>
      </c>
      <c r="F1539">
        <v>442</v>
      </c>
      <c r="G1539">
        <v>32</v>
      </c>
      <c r="H1539">
        <v>44</v>
      </c>
      <c r="I1539" t="s">
        <v>23</v>
      </c>
      <c r="J1539">
        <v>1</v>
      </c>
      <c r="K1539">
        <v>1</v>
      </c>
      <c r="L1539">
        <v>0</v>
      </c>
      <c r="M1539">
        <v>0</v>
      </c>
      <c r="N1539">
        <v>0</v>
      </c>
      <c r="O1539">
        <v>0</v>
      </c>
      <c r="P1539">
        <v>0</v>
      </c>
      <c r="Q1539">
        <v>0</v>
      </c>
      <c r="R1539">
        <v>600</v>
      </c>
      <c r="S1539">
        <v>600</v>
      </c>
      <c r="T1539">
        <v>0</v>
      </c>
      <c r="U1539" t="str">
        <f>IF(SeismicData[[#This Row],[class]]=1,"Dangerous","Safe")</f>
        <v>Safe</v>
      </c>
      <c r="V1539" t="str">
        <f>IF(SeismicData[[#This Row],[shift]]="W","Production","Non-Production")</f>
        <v>Production</v>
      </c>
      <c r="W1539" t="str">
        <f>IF(SeismicData[[#This Row],[genergy]]=0,"0","10^"&amp;INT(LOG10(SeismicData[[#This Row],[genergy]])))</f>
        <v>10^4</v>
      </c>
      <c r="X1539" t="str">
        <f>IF(OR(SeismicData[[#This Row],[genergy]]&lt;$AA$6,SeismicData[[#This Row],[genergy]]&gt;$AA$5),"Outlier","Normal")</f>
        <v>Normal</v>
      </c>
    </row>
    <row r="1540" spans="1:24" x14ac:dyDescent="0.15">
      <c r="A1540">
        <v>1539</v>
      </c>
      <c r="B1540" t="s">
        <v>23</v>
      </c>
      <c r="C1540" t="s">
        <v>23</v>
      </c>
      <c r="D1540" t="s">
        <v>22</v>
      </c>
      <c r="E1540">
        <v>23260</v>
      </c>
      <c r="F1540">
        <v>746</v>
      </c>
      <c r="G1540">
        <v>27</v>
      </c>
      <c r="H1540">
        <v>48</v>
      </c>
      <c r="I1540" t="s">
        <v>23</v>
      </c>
      <c r="J1540">
        <v>0</v>
      </c>
      <c r="K1540">
        <v>0</v>
      </c>
      <c r="L1540">
        <v>0</v>
      </c>
      <c r="M1540">
        <v>0</v>
      </c>
      <c r="N1540">
        <v>0</v>
      </c>
      <c r="O1540">
        <v>0</v>
      </c>
      <c r="P1540">
        <v>0</v>
      </c>
      <c r="Q1540">
        <v>0</v>
      </c>
      <c r="R1540">
        <v>0</v>
      </c>
      <c r="S1540">
        <v>0</v>
      </c>
      <c r="T1540">
        <v>0</v>
      </c>
      <c r="U1540" t="str">
        <f>IF(SeismicData[[#This Row],[class]]=1,"Dangerous","Safe")</f>
        <v>Safe</v>
      </c>
      <c r="V1540" t="str">
        <f>IF(SeismicData[[#This Row],[shift]]="W","Production","Non-Production")</f>
        <v>Production</v>
      </c>
      <c r="W1540" t="str">
        <f>IF(SeismicData[[#This Row],[genergy]]=0,"0","10^"&amp;INT(LOG10(SeismicData[[#This Row],[genergy]])))</f>
        <v>10^4</v>
      </c>
      <c r="X1540" t="str">
        <f>IF(OR(SeismicData[[#This Row],[genergy]]&lt;$AA$6,SeismicData[[#This Row],[genergy]]&gt;$AA$5),"Outlier","Normal")</f>
        <v>Normal</v>
      </c>
    </row>
    <row r="1541" spans="1:24" x14ac:dyDescent="0.15">
      <c r="A1541">
        <v>1540</v>
      </c>
      <c r="B1541" t="s">
        <v>23</v>
      </c>
      <c r="C1541" t="s">
        <v>23</v>
      </c>
      <c r="D1541" t="s">
        <v>22</v>
      </c>
      <c r="E1541">
        <v>50860</v>
      </c>
      <c r="F1541">
        <v>982</v>
      </c>
      <c r="G1541">
        <v>178</v>
      </c>
      <c r="H1541">
        <v>94</v>
      </c>
      <c r="I1541" t="s">
        <v>23</v>
      </c>
      <c r="J1541">
        <v>0</v>
      </c>
      <c r="K1541">
        <v>0</v>
      </c>
      <c r="L1541">
        <v>0</v>
      </c>
      <c r="M1541">
        <v>0</v>
      </c>
      <c r="N1541">
        <v>0</v>
      </c>
      <c r="O1541">
        <v>0</v>
      </c>
      <c r="P1541">
        <v>0</v>
      </c>
      <c r="Q1541">
        <v>0</v>
      </c>
      <c r="R1541">
        <v>0</v>
      </c>
      <c r="S1541">
        <v>0</v>
      </c>
      <c r="T1541">
        <v>0</v>
      </c>
      <c r="U1541" t="str">
        <f>IF(SeismicData[[#This Row],[class]]=1,"Dangerous","Safe")</f>
        <v>Safe</v>
      </c>
      <c r="V1541" t="str">
        <f>IF(SeismicData[[#This Row],[shift]]="W","Production","Non-Production")</f>
        <v>Production</v>
      </c>
      <c r="W1541" t="str">
        <f>IF(SeismicData[[#This Row],[genergy]]=0,"0","10^"&amp;INT(LOG10(SeismicData[[#This Row],[genergy]])))</f>
        <v>10^4</v>
      </c>
      <c r="X1541" t="str">
        <f>IF(OR(SeismicData[[#This Row],[genergy]]&lt;$AA$6,SeismicData[[#This Row],[genergy]]&gt;$AA$5),"Outlier","Normal")</f>
        <v>Normal</v>
      </c>
    </row>
    <row r="1542" spans="1:24" x14ac:dyDescent="0.15">
      <c r="A1542">
        <v>1541</v>
      </c>
      <c r="B1542" t="s">
        <v>23</v>
      </c>
      <c r="C1542" t="s">
        <v>23</v>
      </c>
      <c r="D1542" t="s">
        <v>22</v>
      </c>
      <c r="E1542">
        <v>75890</v>
      </c>
      <c r="F1542">
        <v>1742</v>
      </c>
      <c r="G1542">
        <v>315</v>
      </c>
      <c r="H1542">
        <v>245</v>
      </c>
      <c r="I1542" t="s">
        <v>23</v>
      </c>
      <c r="J1542">
        <v>1</v>
      </c>
      <c r="K1542">
        <v>0</v>
      </c>
      <c r="L1542">
        <v>1</v>
      </c>
      <c r="M1542">
        <v>0</v>
      </c>
      <c r="N1542">
        <v>0</v>
      </c>
      <c r="O1542">
        <v>0</v>
      </c>
      <c r="P1542">
        <v>0</v>
      </c>
      <c r="Q1542">
        <v>0</v>
      </c>
      <c r="R1542">
        <v>1000</v>
      </c>
      <c r="S1542">
        <v>1000</v>
      </c>
      <c r="T1542">
        <v>0</v>
      </c>
      <c r="U1542" t="str">
        <f>IF(SeismicData[[#This Row],[class]]=1,"Dangerous","Safe")</f>
        <v>Safe</v>
      </c>
      <c r="V1542" t="str">
        <f>IF(SeismicData[[#This Row],[shift]]="W","Production","Non-Production")</f>
        <v>Production</v>
      </c>
      <c r="W1542" t="str">
        <f>IF(SeismicData[[#This Row],[genergy]]=0,"0","10^"&amp;INT(LOG10(SeismicData[[#This Row],[genergy]])))</f>
        <v>10^4</v>
      </c>
      <c r="X1542" t="str">
        <f>IF(OR(SeismicData[[#This Row],[genergy]]&lt;$AA$6,SeismicData[[#This Row],[genergy]]&gt;$AA$5),"Outlier","Normal")</f>
        <v>Normal</v>
      </c>
    </row>
    <row r="1543" spans="1:24" x14ac:dyDescent="0.15">
      <c r="A1543">
        <v>1542</v>
      </c>
      <c r="B1543" t="s">
        <v>23</v>
      </c>
      <c r="C1543" t="s">
        <v>23</v>
      </c>
      <c r="D1543" t="s">
        <v>22</v>
      </c>
      <c r="E1543">
        <v>48130</v>
      </c>
      <c r="F1543">
        <v>1330</v>
      </c>
      <c r="G1543">
        <v>163</v>
      </c>
      <c r="H1543">
        <v>163</v>
      </c>
      <c r="I1543" t="s">
        <v>23</v>
      </c>
      <c r="J1543">
        <v>0</v>
      </c>
      <c r="K1543">
        <v>0</v>
      </c>
      <c r="L1543">
        <v>0</v>
      </c>
      <c r="M1543">
        <v>0</v>
      </c>
      <c r="N1543">
        <v>0</v>
      </c>
      <c r="O1543">
        <v>0</v>
      </c>
      <c r="P1543">
        <v>0</v>
      </c>
      <c r="Q1543">
        <v>0</v>
      </c>
      <c r="R1543">
        <v>0</v>
      </c>
      <c r="S1543">
        <v>0</v>
      </c>
      <c r="T1543">
        <v>0</v>
      </c>
      <c r="U1543" t="str">
        <f>IF(SeismicData[[#This Row],[class]]=1,"Dangerous","Safe")</f>
        <v>Safe</v>
      </c>
      <c r="V1543" t="str">
        <f>IF(SeismicData[[#This Row],[shift]]="W","Production","Non-Production")</f>
        <v>Production</v>
      </c>
      <c r="W1543" t="str">
        <f>IF(SeismicData[[#This Row],[genergy]]=0,"0","10^"&amp;INT(LOG10(SeismicData[[#This Row],[genergy]])))</f>
        <v>10^4</v>
      </c>
      <c r="X1543" t="str">
        <f>IF(OR(SeismicData[[#This Row],[genergy]]&lt;$AA$6,SeismicData[[#This Row],[genergy]]&gt;$AA$5),"Outlier","Normal")</f>
        <v>Normal</v>
      </c>
    </row>
    <row r="1544" spans="1:24" x14ac:dyDescent="0.15">
      <c r="A1544">
        <v>1543</v>
      </c>
      <c r="B1544" t="s">
        <v>23</v>
      </c>
      <c r="C1544" t="s">
        <v>23</v>
      </c>
      <c r="D1544" t="s">
        <v>22</v>
      </c>
      <c r="E1544">
        <v>24490</v>
      </c>
      <c r="F1544">
        <v>1079</v>
      </c>
      <c r="G1544">
        <v>10</v>
      </c>
      <c r="H1544">
        <v>82</v>
      </c>
      <c r="I1544" t="s">
        <v>20</v>
      </c>
      <c r="J1544">
        <v>0</v>
      </c>
      <c r="K1544">
        <v>0</v>
      </c>
      <c r="L1544">
        <v>0</v>
      </c>
      <c r="M1544">
        <v>0</v>
      </c>
      <c r="N1544">
        <v>0</v>
      </c>
      <c r="O1544">
        <v>0</v>
      </c>
      <c r="P1544">
        <v>0</v>
      </c>
      <c r="Q1544">
        <v>0</v>
      </c>
      <c r="R1544">
        <v>0</v>
      </c>
      <c r="S1544">
        <v>0</v>
      </c>
      <c r="T1544">
        <v>0</v>
      </c>
      <c r="U1544" t="str">
        <f>IF(SeismicData[[#This Row],[class]]=1,"Dangerous","Safe")</f>
        <v>Safe</v>
      </c>
      <c r="V1544" t="str">
        <f>IF(SeismicData[[#This Row],[shift]]="W","Production","Non-Production")</f>
        <v>Production</v>
      </c>
      <c r="W1544" t="str">
        <f>IF(SeismicData[[#This Row],[genergy]]=0,"0","10^"&amp;INT(LOG10(SeismicData[[#This Row],[genergy]])))</f>
        <v>10^4</v>
      </c>
      <c r="X1544" t="str">
        <f>IF(OR(SeismicData[[#This Row],[genergy]]&lt;$AA$6,SeismicData[[#This Row],[genergy]]&gt;$AA$5),"Outlier","Normal")</f>
        <v>Normal</v>
      </c>
    </row>
    <row r="1545" spans="1:24" x14ac:dyDescent="0.15">
      <c r="A1545">
        <v>1544</v>
      </c>
      <c r="B1545" t="s">
        <v>23</v>
      </c>
      <c r="C1545" t="s">
        <v>23</v>
      </c>
      <c r="D1545" t="s">
        <v>22</v>
      </c>
      <c r="E1545">
        <v>32180</v>
      </c>
      <c r="F1545">
        <v>934</v>
      </c>
      <c r="G1545">
        <v>44</v>
      </c>
      <c r="H1545">
        <v>57</v>
      </c>
      <c r="I1545" t="s">
        <v>20</v>
      </c>
      <c r="J1545">
        <v>1</v>
      </c>
      <c r="K1545">
        <v>1</v>
      </c>
      <c r="L1545">
        <v>0</v>
      </c>
      <c r="M1545">
        <v>0</v>
      </c>
      <c r="N1545">
        <v>0</v>
      </c>
      <c r="O1545">
        <v>0</v>
      </c>
      <c r="P1545">
        <v>0</v>
      </c>
      <c r="Q1545">
        <v>0</v>
      </c>
      <c r="R1545">
        <v>400</v>
      </c>
      <c r="S1545">
        <v>400</v>
      </c>
      <c r="T1545">
        <v>0</v>
      </c>
      <c r="U1545" t="str">
        <f>IF(SeismicData[[#This Row],[class]]=1,"Dangerous","Safe")</f>
        <v>Safe</v>
      </c>
      <c r="V1545" t="str">
        <f>IF(SeismicData[[#This Row],[shift]]="W","Production","Non-Production")</f>
        <v>Production</v>
      </c>
      <c r="W1545" t="str">
        <f>IF(SeismicData[[#This Row],[genergy]]=0,"0","10^"&amp;INT(LOG10(SeismicData[[#This Row],[genergy]])))</f>
        <v>10^4</v>
      </c>
      <c r="X1545" t="str">
        <f>IF(OR(SeismicData[[#This Row],[genergy]]&lt;$AA$6,SeismicData[[#This Row],[genergy]]&gt;$AA$5),"Outlier","Normal")</f>
        <v>Normal</v>
      </c>
    </row>
    <row r="1546" spans="1:24" x14ac:dyDescent="0.15">
      <c r="A1546">
        <v>1545</v>
      </c>
      <c r="B1546" t="s">
        <v>23</v>
      </c>
      <c r="C1546" t="s">
        <v>23</v>
      </c>
      <c r="D1546" t="s">
        <v>22</v>
      </c>
      <c r="E1546">
        <v>40560</v>
      </c>
      <c r="F1546">
        <v>1130</v>
      </c>
      <c r="G1546">
        <v>82</v>
      </c>
      <c r="H1546">
        <v>90</v>
      </c>
      <c r="I1546" t="s">
        <v>20</v>
      </c>
      <c r="J1546">
        <v>2</v>
      </c>
      <c r="K1546">
        <v>2</v>
      </c>
      <c r="L1546">
        <v>0</v>
      </c>
      <c r="M1546">
        <v>0</v>
      </c>
      <c r="N1546">
        <v>0</v>
      </c>
      <c r="O1546">
        <v>0</v>
      </c>
      <c r="P1546">
        <v>0</v>
      </c>
      <c r="Q1546">
        <v>0</v>
      </c>
      <c r="R1546">
        <v>1200</v>
      </c>
      <c r="S1546">
        <v>700</v>
      </c>
      <c r="T1546">
        <v>0</v>
      </c>
      <c r="U1546" t="str">
        <f>IF(SeismicData[[#This Row],[class]]=1,"Dangerous","Safe")</f>
        <v>Safe</v>
      </c>
      <c r="V1546" t="str">
        <f>IF(SeismicData[[#This Row],[shift]]="W","Production","Non-Production")</f>
        <v>Production</v>
      </c>
      <c r="W1546" t="str">
        <f>IF(SeismicData[[#This Row],[genergy]]=0,"0","10^"&amp;INT(LOG10(SeismicData[[#This Row],[genergy]])))</f>
        <v>10^4</v>
      </c>
      <c r="X1546" t="str">
        <f>IF(OR(SeismicData[[#This Row],[genergy]]&lt;$AA$6,SeismicData[[#This Row],[genergy]]&gt;$AA$5),"Outlier","Normal")</f>
        <v>Normal</v>
      </c>
    </row>
    <row r="1547" spans="1:24" x14ac:dyDescent="0.15">
      <c r="A1547">
        <v>1546</v>
      </c>
      <c r="B1547" t="s">
        <v>23</v>
      </c>
      <c r="C1547" t="s">
        <v>23</v>
      </c>
      <c r="D1547" t="s">
        <v>22</v>
      </c>
      <c r="E1547">
        <v>50130</v>
      </c>
      <c r="F1547">
        <v>1613</v>
      </c>
      <c r="G1547">
        <v>125</v>
      </c>
      <c r="H1547">
        <v>172</v>
      </c>
      <c r="I1547" t="s">
        <v>20</v>
      </c>
      <c r="J1547">
        <v>2</v>
      </c>
      <c r="K1547">
        <v>2</v>
      </c>
      <c r="L1547">
        <v>0</v>
      </c>
      <c r="M1547">
        <v>0</v>
      </c>
      <c r="N1547">
        <v>0</v>
      </c>
      <c r="O1547">
        <v>0</v>
      </c>
      <c r="P1547">
        <v>0</v>
      </c>
      <c r="Q1547">
        <v>0</v>
      </c>
      <c r="R1547">
        <v>1100</v>
      </c>
      <c r="S1547">
        <v>600</v>
      </c>
      <c r="T1547">
        <v>0</v>
      </c>
      <c r="U1547" t="str">
        <f>IF(SeismicData[[#This Row],[class]]=1,"Dangerous","Safe")</f>
        <v>Safe</v>
      </c>
      <c r="V1547" t="str">
        <f>IF(SeismicData[[#This Row],[shift]]="W","Production","Non-Production")</f>
        <v>Production</v>
      </c>
      <c r="W1547" t="str">
        <f>IF(SeismicData[[#This Row],[genergy]]=0,"0","10^"&amp;INT(LOG10(SeismicData[[#This Row],[genergy]])))</f>
        <v>10^4</v>
      </c>
      <c r="X1547" t="str">
        <f>IF(OR(SeismicData[[#This Row],[genergy]]&lt;$AA$6,SeismicData[[#This Row],[genergy]]&gt;$AA$5),"Outlier","Normal")</f>
        <v>Normal</v>
      </c>
    </row>
    <row r="1548" spans="1:24" x14ac:dyDescent="0.15">
      <c r="A1548">
        <v>1547</v>
      </c>
      <c r="B1548" t="s">
        <v>23</v>
      </c>
      <c r="C1548" t="s">
        <v>23</v>
      </c>
      <c r="D1548" t="s">
        <v>22</v>
      </c>
      <c r="E1548">
        <v>58100</v>
      </c>
      <c r="F1548">
        <v>1267</v>
      </c>
      <c r="G1548">
        <v>161</v>
      </c>
      <c r="H1548">
        <v>113</v>
      </c>
      <c r="I1548" t="s">
        <v>20</v>
      </c>
      <c r="J1548">
        <v>1</v>
      </c>
      <c r="K1548">
        <v>1</v>
      </c>
      <c r="L1548">
        <v>0</v>
      </c>
      <c r="M1548">
        <v>0</v>
      </c>
      <c r="N1548">
        <v>0</v>
      </c>
      <c r="O1548">
        <v>0</v>
      </c>
      <c r="P1548">
        <v>0</v>
      </c>
      <c r="Q1548">
        <v>0</v>
      </c>
      <c r="R1548">
        <v>300</v>
      </c>
      <c r="S1548">
        <v>300</v>
      </c>
      <c r="T1548">
        <v>0</v>
      </c>
      <c r="U1548" t="str">
        <f>IF(SeismicData[[#This Row],[class]]=1,"Dangerous","Safe")</f>
        <v>Safe</v>
      </c>
      <c r="V1548" t="str">
        <f>IF(SeismicData[[#This Row],[shift]]="W","Production","Non-Production")</f>
        <v>Production</v>
      </c>
      <c r="W1548" t="str">
        <f>IF(SeismicData[[#This Row],[genergy]]=0,"0","10^"&amp;INT(LOG10(SeismicData[[#This Row],[genergy]])))</f>
        <v>10^4</v>
      </c>
      <c r="X1548" t="str">
        <f>IF(OR(SeismicData[[#This Row],[genergy]]&lt;$AA$6,SeismicData[[#This Row],[genergy]]&gt;$AA$5),"Outlier","Normal")</f>
        <v>Normal</v>
      </c>
    </row>
    <row r="1549" spans="1:24" x14ac:dyDescent="0.15">
      <c r="A1549">
        <v>1548</v>
      </c>
      <c r="B1549" t="s">
        <v>23</v>
      </c>
      <c r="C1549" t="s">
        <v>23</v>
      </c>
      <c r="D1549" t="s">
        <v>22</v>
      </c>
      <c r="E1549">
        <v>30610</v>
      </c>
      <c r="F1549">
        <v>1260</v>
      </c>
      <c r="G1549">
        <v>37</v>
      </c>
      <c r="H1549">
        <v>112</v>
      </c>
      <c r="I1549" t="s">
        <v>20</v>
      </c>
      <c r="J1549">
        <v>1</v>
      </c>
      <c r="K1549">
        <v>1</v>
      </c>
      <c r="L1549">
        <v>0</v>
      </c>
      <c r="M1549">
        <v>0</v>
      </c>
      <c r="N1549">
        <v>0</v>
      </c>
      <c r="O1549">
        <v>0</v>
      </c>
      <c r="P1549">
        <v>0</v>
      </c>
      <c r="Q1549">
        <v>0</v>
      </c>
      <c r="R1549">
        <v>300</v>
      </c>
      <c r="S1549">
        <v>300</v>
      </c>
      <c r="T1549">
        <v>0</v>
      </c>
      <c r="U1549" t="str">
        <f>IF(SeismicData[[#This Row],[class]]=1,"Dangerous","Safe")</f>
        <v>Safe</v>
      </c>
      <c r="V1549" t="str">
        <f>IF(SeismicData[[#This Row],[shift]]="W","Production","Non-Production")</f>
        <v>Production</v>
      </c>
      <c r="W1549" t="str">
        <f>IF(SeismicData[[#This Row],[genergy]]=0,"0","10^"&amp;INT(LOG10(SeismicData[[#This Row],[genergy]])))</f>
        <v>10^4</v>
      </c>
      <c r="X1549" t="str">
        <f>IF(OR(SeismicData[[#This Row],[genergy]]&lt;$AA$6,SeismicData[[#This Row],[genergy]]&gt;$AA$5),"Outlier","Normal")</f>
        <v>Normal</v>
      </c>
    </row>
    <row r="1550" spans="1:24" x14ac:dyDescent="0.15">
      <c r="A1550">
        <v>1549</v>
      </c>
      <c r="B1550" t="s">
        <v>23</v>
      </c>
      <c r="C1550" t="s">
        <v>23</v>
      </c>
      <c r="D1550" t="s">
        <v>22</v>
      </c>
      <c r="E1550">
        <v>61620</v>
      </c>
      <c r="F1550">
        <v>1211</v>
      </c>
      <c r="G1550">
        <v>176</v>
      </c>
      <c r="H1550">
        <v>104</v>
      </c>
      <c r="I1550" t="s">
        <v>20</v>
      </c>
      <c r="J1550">
        <v>0</v>
      </c>
      <c r="K1550">
        <v>0</v>
      </c>
      <c r="L1550">
        <v>0</v>
      </c>
      <c r="M1550">
        <v>0</v>
      </c>
      <c r="N1550">
        <v>0</v>
      </c>
      <c r="O1550">
        <v>0</v>
      </c>
      <c r="P1550">
        <v>0</v>
      </c>
      <c r="Q1550">
        <v>0</v>
      </c>
      <c r="R1550">
        <v>0</v>
      </c>
      <c r="S1550">
        <v>0</v>
      </c>
      <c r="T1550">
        <v>1</v>
      </c>
      <c r="U1550" t="str">
        <f>IF(SeismicData[[#This Row],[class]]=1,"Dangerous","Safe")</f>
        <v>Dangerous</v>
      </c>
      <c r="V1550" t="str">
        <f>IF(SeismicData[[#This Row],[shift]]="W","Production","Non-Production")</f>
        <v>Production</v>
      </c>
      <c r="W1550" t="str">
        <f>IF(SeismicData[[#This Row],[genergy]]=0,"0","10^"&amp;INT(LOG10(SeismicData[[#This Row],[genergy]])))</f>
        <v>10^4</v>
      </c>
      <c r="X1550" t="str">
        <f>IF(OR(SeismicData[[#This Row],[genergy]]&lt;$AA$6,SeismicData[[#This Row],[genergy]]&gt;$AA$5),"Outlier","Normal")</f>
        <v>Normal</v>
      </c>
    </row>
    <row r="1551" spans="1:24" x14ac:dyDescent="0.15">
      <c r="A1551">
        <v>1550</v>
      </c>
      <c r="B1551" t="s">
        <v>23</v>
      </c>
      <c r="C1551" t="s">
        <v>23</v>
      </c>
      <c r="D1551" t="s">
        <v>22</v>
      </c>
      <c r="E1551">
        <v>90960</v>
      </c>
      <c r="F1551">
        <v>2039</v>
      </c>
      <c r="G1551">
        <v>308</v>
      </c>
      <c r="H1551">
        <v>243</v>
      </c>
      <c r="I1551" t="s">
        <v>23</v>
      </c>
      <c r="J1551">
        <v>2</v>
      </c>
      <c r="K1551">
        <v>0</v>
      </c>
      <c r="L1551">
        <v>1</v>
      </c>
      <c r="M1551">
        <v>1</v>
      </c>
      <c r="N1551">
        <v>0</v>
      </c>
      <c r="O1551">
        <v>0</v>
      </c>
      <c r="P1551">
        <v>0</v>
      </c>
      <c r="Q1551">
        <v>0</v>
      </c>
      <c r="R1551">
        <v>32000</v>
      </c>
      <c r="S1551">
        <v>30000</v>
      </c>
      <c r="T1551">
        <v>0</v>
      </c>
      <c r="U1551" t="str">
        <f>IF(SeismicData[[#This Row],[class]]=1,"Dangerous","Safe")</f>
        <v>Safe</v>
      </c>
      <c r="V1551" t="str">
        <f>IF(SeismicData[[#This Row],[shift]]="W","Production","Non-Production")</f>
        <v>Production</v>
      </c>
      <c r="W1551" t="str">
        <f>IF(SeismicData[[#This Row],[genergy]]=0,"0","10^"&amp;INT(LOG10(SeismicData[[#This Row],[genergy]])))</f>
        <v>10^4</v>
      </c>
      <c r="X1551" t="str">
        <f>IF(OR(SeismicData[[#This Row],[genergy]]&lt;$AA$6,SeismicData[[#This Row],[genergy]]&gt;$AA$5),"Outlier","Normal")</f>
        <v>Normal</v>
      </c>
    </row>
    <row r="1552" spans="1:24" x14ac:dyDescent="0.15">
      <c r="A1552">
        <v>1551</v>
      </c>
      <c r="B1552" t="s">
        <v>23</v>
      </c>
      <c r="C1552" t="s">
        <v>23</v>
      </c>
      <c r="D1552" t="s">
        <v>22</v>
      </c>
      <c r="E1552">
        <v>91210</v>
      </c>
      <c r="F1552">
        <v>2362</v>
      </c>
      <c r="G1552">
        <v>267</v>
      </c>
      <c r="H1552">
        <v>255</v>
      </c>
      <c r="I1552" t="s">
        <v>20</v>
      </c>
      <c r="J1552">
        <v>0</v>
      </c>
      <c r="K1552">
        <v>0</v>
      </c>
      <c r="L1552">
        <v>0</v>
      </c>
      <c r="M1552">
        <v>0</v>
      </c>
      <c r="N1552">
        <v>0</v>
      </c>
      <c r="O1552">
        <v>0</v>
      </c>
      <c r="P1552">
        <v>0</v>
      </c>
      <c r="Q1552">
        <v>0</v>
      </c>
      <c r="R1552">
        <v>0</v>
      </c>
      <c r="S1552">
        <v>0</v>
      </c>
      <c r="T1552">
        <v>0</v>
      </c>
      <c r="U1552" t="str">
        <f>IF(SeismicData[[#This Row],[class]]=1,"Dangerous","Safe")</f>
        <v>Safe</v>
      </c>
      <c r="V1552" t="str">
        <f>IF(SeismicData[[#This Row],[shift]]="W","Production","Non-Production")</f>
        <v>Production</v>
      </c>
      <c r="W1552" t="str">
        <f>IF(SeismicData[[#This Row],[genergy]]=0,"0","10^"&amp;INT(LOG10(SeismicData[[#This Row],[genergy]])))</f>
        <v>10^4</v>
      </c>
      <c r="X1552" t="str">
        <f>IF(OR(SeismicData[[#This Row],[genergy]]&lt;$AA$6,SeismicData[[#This Row],[genergy]]&gt;$AA$5),"Outlier","Normal")</f>
        <v>Normal</v>
      </c>
    </row>
    <row r="1553" spans="1:24" x14ac:dyDescent="0.15">
      <c r="A1553">
        <v>1552</v>
      </c>
      <c r="B1553" t="s">
        <v>23</v>
      </c>
      <c r="C1553" t="s">
        <v>23</v>
      </c>
      <c r="D1553" t="s">
        <v>22</v>
      </c>
      <c r="E1553">
        <v>66780</v>
      </c>
      <c r="F1553">
        <v>2022</v>
      </c>
      <c r="G1553">
        <v>169</v>
      </c>
      <c r="H1553">
        <v>204</v>
      </c>
      <c r="I1553" t="s">
        <v>20</v>
      </c>
      <c r="J1553">
        <v>0</v>
      </c>
      <c r="K1553">
        <v>0</v>
      </c>
      <c r="L1553">
        <v>0</v>
      </c>
      <c r="M1553">
        <v>0</v>
      </c>
      <c r="N1553">
        <v>0</v>
      </c>
      <c r="O1553">
        <v>0</v>
      </c>
      <c r="P1553">
        <v>0</v>
      </c>
      <c r="Q1553">
        <v>0</v>
      </c>
      <c r="R1553">
        <v>0</v>
      </c>
      <c r="S1553">
        <v>0</v>
      </c>
      <c r="T1553">
        <v>0</v>
      </c>
      <c r="U1553" t="str">
        <f>IF(SeismicData[[#This Row],[class]]=1,"Dangerous","Safe")</f>
        <v>Safe</v>
      </c>
      <c r="V1553" t="str">
        <f>IF(SeismicData[[#This Row],[shift]]="W","Production","Non-Production")</f>
        <v>Production</v>
      </c>
      <c r="W1553" t="str">
        <f>IF(SeismicData[[#This Row],[genergy]]=0,"0","10^"&amp;INT(LOG10(SeismicData[[#This Row],[genergy]])))</f>
        <v>10^4</v>
      </c>
      <c r="X1553" t="str">
        <f>IF(OR(SeismicData[[#This Row],[genergy]]&lt;$AA$6,SeismicData[[#This Row],[genergy]]&gt;$AA$5),"Outlier","Normal")</f>
        <v>Normal</v>
      </c>
    </row>
    <row r="1554" spans="1:24" x14ac:dyDescent="0.15">
      <c r="A1554">
        <v>1553</v>
      </c>
      <c r="B1554" t="s">
        <v>23</v>
      </c>
      <c r="C1554" t="s">
        <v>23</v>
      </c>
      <c r="D1554" t="s">
        <v>22</v>
      </c>
      <c r="E1554">
        <v>46640</v>
      </c>
      <c r="F1554">
        <v>1439</v>
      </c>
      <c r="G1554">
        <v>88</v>
      </c>
      <c r="H1554">
        <v>116</v>
      </c>
      <c r="I1554" t="s">
        <v>20</v>
      </c>
      <c r="J1554">
        <v>0</v>
      </c>
      <c r="K1554">
        <v>0</v>
      </c>
      <c r="L1554">
        <v>0</v>
      </c>
      <c r="M1554">
        <v>0</v>
      </c>
      <c r="N1554">
        <v>0</v>
      </c>
      <c r="O1554">
        <v>0</v>
      </c>
      <c r="P1554">
        <v>0</v>
      </c>
      <c r="Q1554">
        <v>0</v>
      </c>
      <c r="R1554">
        <v>0</v>
      </c>
      <c r="S1554">
        <v>0</v>
      </c>
      <c r="T1554">
        <v>1</v>
      </c>
      <c r="U1554" t="str">
        <f>IF(SeismicData[[#This Row],[class]]=1,"Dangerous","Safe")</f>
        <v>Dangerous</v>
      </c>
      <c r="V1554" t="str">
        <f>IF(SeismicData[[#This Row],[shift]]="W","Production","Non-Production")</f>
        <v>Production</v>
      </c>
      <c r="W1554" t="str">
        <f>IF(SeismicData[[#This Row],[genergy]]=0,"0","10^"&amp;INT(LOG10(SeismicData[[#This Row],[genergy]])))</f>
        <v>10^4</v>
      </c>
      <c r="X1554" t="str">
        <f>IF(OR(SeismicData[[#This Row],[genergy]]&lt;$AA$6,SeismicData[[#This Row],[genergy]]&gt;$AA$5),"Outlier","Normal")</f>
        <v>Normal</v>
      </c>
    </row>
    <row r="1555" spans="1:24" x14ac:dyDescent="0.15">
      <c r="A1555">
        <v>1554</v>
      </c>
      <c r="B1555" t="s">
        <v>23</v>
      </c>
      <c r="C1555" t="s">
        <v>23</v>
      </c>
      <c r="D1555" t="s">
        <v>22</v>
      </c>
      <c r="E1555">
        <v>53730</v>
      </c>
      <c r="F1555">
        <v>1444</v>
      </c>
      <c r="G1555">
        <v>116</v>
      </c>
      <c r="H1555">
        <v>117</v>
      </c>
      <c r="I1555" t="s">
        <v>20</v>
      </c>
      <c r="J1555">
        <v>1</v>
      </c>
      <c r="K1555">
        <v>0</v>
      </c>
      <c r="L1555">
        <v>0</v>
      </c>
      <c r="M1555">
        <v>1</v>
      </c>
      <c r="N1555">
        <v>0</v>
      </c>
      <c r="O1555">
        <v>0</v>
      </c>
      <c r="P1555">
        <v>0</v>
      </c>
      <c r="Q1555">
        <v>0</v>
      </c>
      <c r="R1555">
        <v>80000</v>
      </c>
      <c r="S1555">
        <v>80000</v>
      </c>
      <c r="T1555">
        <v>0</v>
      </c>
      <c r="U1555" t="str">
        <f>IF(SeismicData[[#This Row],[class]]=1,"Dangerous","Safe")</f>
        <v>Safe</v>
      </c>
      <c r="V1555" t="str">
        <f>IF(SeismicData[[#This Row],[shift]]="W","Production","Non-Production")</f>
        <v>Production</v>
      </c>
      <c r="W1555" t="str">
        <f>IF(SeismicData[[#This Row],[genergy]]=0,"0","10^"&amp;INT(LOG10(SeismicData[[#This Row],[genergy]])))</f>
        <v>10^4</v>
      </c>
      <c r="X1555" t="str">
        <f>IF(OR(SeismicData[[#This Row],[genergy]]&lt;$AA$6,SeismicData[[#This Row],[genergy]]&gt;$AA$5),"Outlier","Normal")</f>
        <v>Normal</v>
      </c>
    </row>
    <row r="1556" spans="1:24" x14ac:dyDescent="0.15">
      <c r="A1556">
        <v>1555</v>
      </c>
      <c r="B1556" t="s">
        <v>23</v>
      </c>
      <c r="C1556" t="s">
        <v>23</v>
      </c>
      <c r="D1556" t="s">
        <v>22</v>
      </c>
      <c r="E1556">
        <v>56690</v>
      </c>
      <c r="F1556">
        <v>800</v>
      </c>
      <c r="G1556">
        <v>158</v>
      </c>
      <c r="H1556">
        <v>115</v>
      </c>
      <c r="I1556" t="s">
        <v>23</v>
      </c>
      <c r="J1556">
        <v>1</v>
      </c>
      <c r="K1556">
        <v>0</v>
      </c>
      <c r="L1556">
        <v>1</v>
      </c>
      <c r="M1556">
        <v>0</v>
      </c>
      <c r="N1556">
        <v>0</v>
      </c>
      <c r="O1556">
        <v>0</v>
      </c>
      <c r="P1556">
        <v>0</v>
      </c>
      <c r="Q1556">
        <v>0</v>
      </c>
      <c r="R1556">
        <v>1000</v>
      </c>
      <c r="S1556">
        <v>1000</v>
      </c>
      <c r="T1556">
        <v>0</v>
      </c>
      <c r="U1556" t="str">
        <f>IF(SeismicData[[#This Row],[class]]=1,"Dangerous","Safe")</f>
        <v>Safe</v>
      </c>
      <c r="V1556" t="str">
        <f>IF(SeismicData[[#This Row],[shift]]="W","Production","Non-Production")</f>
        <v>Production</v>
      </c>
      <c r="W1556" t="str">
        <f>IF(SeismicData[[#This Row],[genergy]]=0,"0","10^"&amp;INT(LOG10(SeismicData[[#This Row],[genergy]])))</f>
        <v>10^4</v>
      </c>
      <c r="X1556" t="str">
        <f>IF(OR(SeismicData[[#This Row],[genergy]]&lt;$AA$6,SeismicData[[#This Row],[genergy]]&gt;$AA$5),"Outlier","Normal")</f>
        <v>Normal</v>
      </c>
    </row>
    <row r="1557" spans="1:24" x14ac:dyDescent="0.15">
      <c r="A1557">
        <v>1556</v>
      </c>
      <c r="B1557" t="s">
        <v>23</v>
      </c>
      <c r="C1557" t="s">
        <v>23</v>
      </c>
      <c r="D1557" t="s">
        <v>22</v>
      </c>
      <c r="E1557">
        <v>45680</v>
      </c>
      <c r="F1557">
        <v>1276</v>
      </c>
      <c r="G1557">
        <v>84</v>
      </c>
      <c r="H1557">
        <v>92</v>
      </c>
      <c r="I1557" t="s">
        <v>20</v>
      </c>
      <c r="J1557">
        <v>1</v>
      </c>
      <c r="K1557">
        <v>1</v>
      </c>
      <c r="L1557">
        <v>0</v>
      </c>
      <c r="M1557">
        <v>0</v>
      </c>
      <c r="N1557">
        <v>0</v>
      </c>
      <c r="O1557">
        <v>0</v>
      </c>
      <c r="P1557">
        <v>0</v>
      </c>
      <c r="Q1557">
        <v>0</v>
      </c>
      <c r="R1557">
        <v>500</v>
      </c>
      <c r="S1557">
        <v>500</v>
      </c>
      <c r="T1557">
        <v>0</v>
      </c>
      <c r="U1557" t="str">
        <f>IF(SeismicData[[#This Row],[class]]=1,"Dangerous","Safe")</f>
        <v>Safe</v>
      </c>
      <c r="V1557" t="str">
        <f>IF(SeismicData[[#This Row],[shift]]="W","Production","Non-Production")</f>
        <v>Production</v>
      </c>
      <c r="W1557" t="str">
        <f>IF(SeismicData[[#This Row],[genergy]]=0,"0","10^"&amp;INT(LOG10(SeismicData[[#This Row],[genergy]])))</f>
        <v>10^4</v>
      </c>
      <c r="X1557" t="str">
        <f>IF(OR(SeismicData[[#This Row],[genergy]]&lt;$AA$6,SeismicData[[#This Row],[genergy]]&gt;$AA$5),"Outlier","Normal")</f>
        <v>Normal</v>
      </c>
    </row>
    <row r="1558" spans="1:24" x14ac:dyDescent="0.15">
      <c r="A1558">
        <v>1557</v>
      </c>
      <c r="B1558" t="s">
        <v>23</v>
      </c>
      <c r="C1558" t="s">
        <v>23</v>
      </c>
      <c r="D1558" t="s">
        <v>22</v>
      </c>
      <c r="E1558">
        <v>63390</v>
      </c>
      <c r="F1558">
        <v>1039</v>
      </c>
      <c r="G1558">
        <v>188</v>
      </c>
      <c r="H1558">
        <v>179</v>
      </c>
      <c r="I1558" t="s">
        <v>20</v>
      </c>
      <c r="J1558">
        <v>1</v>
      </c>
      <c r="K1558">
        <v>0</v>
      </c>
      <c r="L1558">
        <v>1</v>
      </c>
      <c r="M1558">
        <v>0</v>
      </c>
      <c r="N1558">
        <v>0</v>
      </c>
      <c r="O1558">
        <v>0</v>
      </c>
      <c r="P1558">
        <v>0</v>
      </c>
      <c r="Q1558">
        <v>0</v>
      </c>
      <c r="R1558">
        <v>7000</v>
      </c>
      <c r="S1558">
        <v>7000</v>
      </c>
      <c r="T1558">
        <v>0</v>
      </c>
      <c r="U1558" t="str">
        <f>IF(SeismicData[[#This Row],[class]]=1,"Dangerous","Safe")</f>
        <v>Safe</v>
      </c>
      <c r="V1558" t="str">
        <f>IF(SeismicData[[#This Row],[shift]]="W","Production","Non-Production")</f>
        <v>Production</v>
      </c>
      <c r="W1558" t="str">
        <f>IF(SeismicData[[#This Row],[genergy]]=0,"0","10^"&amp;INT(LOG10(SeismicData[[#This Row],[genergy]])))</f>
        <v>10^4</v>
      </c>
      <c r="X1558" t="str">
        <f>IF(OR(SeismicData[[#This Row],[genergy]]&lt;$AA$6,SeismicData[[#This Row],[genergy]]&gt;$AA$5),"Outlier","Normal")</f>
        <v>Normal</v>
      </c>
    </row>
    <row r="1559" spans="1:24" x14ac:dyDescent="0.15">
      <c r="A1559">
        <v>1558</v>
      </c>
      <c r="B1559" t="s">
        <v>23</v>
      </c>
      <c r="C1559" t="s">
        <v>23</v>
      </c>
      <c r="D1559" t="s">
        <v>22</v>
      </c>
      <c r="E1559">
        <v>42350</v>
      </c>
      <c r="F1559">
        <v>1625</v>
      </c>
      <c r="G1559">
        <v>70</v>
      </c>
      <c r="H1559">
        <v>144</v>
      </c>
      <c r="I1559" t="s">
        <v>20</v>
      </c>
      <c r="J1559">
        <v>0</v>
      </c>
      <c r="K1559">
        <v>0</v>
      </c>
      <c r="L1559">
        <v>0</v>
      </c>
      <c r="M1559">
        <v>0</v>
      </c>
      <c r="N1559">
        <v>0</v>
      </c>
      <c r="O1559">
        <v>0</v>
      </c>
      <c r="P1559">
        <v>0</v>
      </c>
      <c r="Q1559">
        <v>0</v>
      </c>
      <c r="R1559">
        <v>0</v>
      </c>
      <c r="S1559">
        <v>0</v>
      </c>
      <c r="T1559">
        <v>0</v>
      </c>
      <c r="U1559" t="str">
        <f>IF(SeismicData[[#This Row],[class]]=1,"Dangerous","Safe")</f>
        <v>Safe</v>
      </c>
      <c r="V1559" t="str">
        <f>IF(SeismicData[[#This Row],[shift]]="W","Production","Non-Production")</f>
        <v>Production</v>
      </c>
      <c r="W1559" t="str">
        <f>IF(SeismicData[[#This Row],[genergy]]=0,"0","10^"&amp;INT(LOG10(SeismicData[[#This Row],[genergy]])))</f>
        <v>10^4</v>
      </c>
      <c r="X1559" t="str">
        <f>IF(OR(SeismicData[[#This Row],[genergy]]&lt;$AA$6,SeismicData[[#This Row],[genergy]]&gt;$AA$5),"Outlier","Normal")</f>
        <v>Normal</v>
      </c>
    </row>
    <row r="1560" spans="1:24" x14ac:dyDescent="0.15">
      <c r="A1560">
        <v>1559</v>
      </c>
      <c r="B1560" t="s">
        <v>23</v>
      </c>
      <c r="C1560" t="s">
        <v>23</v>
      </c>
      <c r="D1560" t="s">
        <v>21</v>
      </c>
      <c r="E1560">
        <v>32410</v>
      </c>
      <c r="F1560">
        <v>1205</v>
      </c>
      <c r="G1560">
        <v>252</v>
      </c>
      <c r="H1560">
        <v>295</v>
      </c>
      <c r="I1560" t="s">
        <v>23</v>
      </c>
      <c r="J1560">
        <v>0</v>
      </c>
      <c r="K1560">
        <v>0</v>
      </c>
      <c r="L1560">
        <v>0</v>
      </c>
      <c r="M1560">
        <v>0</v>
      </c>
      <c r="N1560">
        <v>0</v>
      </c>
      <c r="O1560">
        <v>0</v>
      </c>
      <c r="P1560">
        <v>0</v>
      </c>
      <c r="Q1560">
        <v>0</v>
      </c>
      <c r="R1560">
        <v>0</v>
      </c>
      <c r="S1560">
        <v>0</v>
      </c>
      <c r="T1560">
        <v>0</v>
      </c>
      <c r="U1560" t="str">
        <f>IF(SeismicData[[#This Row],[class]]=1,"Dangerous","Safe")</f>
        <v>Safe</v>
      </c>
      <c r="V1560" t="str">
        <f>IF(SeismicData[[#This Row],[shift]]="W","Production","Non-Production")</f>
        <v>Non-Production</v>
      </c>
      <c r="W1560" t="str">
        <f>IF(SeismicData[[#This Row],[genergy]]=0,"0","10^"&amp;INT(LOG10(SeismicData[[#This Row],[genergy]])))</f>
        <v>10^4</v>
      </c>
      <c r="X1560" t="str">
        <f>IF(OR(SeismicData[[#This Row],[genergy]]&lt;$AA$6,SeismicData[[#This Row],[genergy]]&gt;$AA$5),"Outlier","Normal")</f>
        <v>Normal</v>
      </c>
    </row>
    <row r="1561" spans="1:24" x14ac:dyDescent="0.15">
      <c r="A1561">
        <v>1560</v>
      </c>
      <c r="B1561" t="s">
        <v>23</v>
      </c>
      <c r="C1561" t="s">
        <v>23</v>
      </c>
      <c r="D1561" t="s">
        <v>21</v>
      </c>
      <c r="E1561">
        <v>21540</v>
      </c>
      <c r="F1561">
        <v>862</v>
      </c>
      <c r="G1561">
        <v>134</v>
      </c>
      <c r="H1561">
        <v>182</v>
      </c>
      <c r="I1561" t="s">
        <v>23</v>
      </c>
      <c r="J1561">
        <v>2</v>
      </c>
      <c r="K1561">
        <v>1</v>
      </c>
      <c r="L1561">
        <v>1</v>
      </c>
      <c r="M1561">
        <v>0</v>
      </c>
      <c r="N1561">
        <v>0</v>
      </c>
      <c r="O1561">
        <v>0</v>
      </c>
      <c r="P1561">
        <v>0</v>
      </c>
      <c r="Q1561">
        <v>0</v>
      </c>
      <c r="R1561">
        <v>4200</v>
      </c>
      <c r="S1561">
        <v>4000</v>
      </c>
      <c r="T1561">
        <v>0</v>
      </c>
      <c r="U1561" t="str">
        <f>IF(SeismicData[[#This Row],[class]]=1,"Dangerous","Safe")</f>
        <v>Safe</v>
      </c>
      <c r="V1561" t="str">
        <f>IF(SeismicData[[#This Row],[shift]]="W","Production","Non-Production")</f>
        <v>Non-Production</v>
      </c>
      <c r="W1561" t="str">
        <f>IF(SeismicData[[#This Row],[genergy]]=0,"0","10^"&amp;INT(LOG10(SeismicData[[#This Row],[genergy]])))</f>
        <v>10^4</v>
      </c>
      <c r="X1561" t="str">
        <f>IF(OR(SeismicData[[#This Row],[genergy]]&lt;$AA$6,SeismicData[[#This Row],[genergy]]&gt;$AA$5),"Outlier","Normal")</f>
        <v>Normal</v>
      </c>
    </row>
    <row r="1562" spans="1:24" x14ac:dyDescent="0.15">
      <c r="A1562">
        <v>1561</v>
      </c>
      <c r="B1562" t="s">
        <v>23</v>
      </c>
      <c r="C1562" t="s">
        <v>23</v>
      </c>
      <c r="D1562" t="s">
        <v>22</v>
      </c>
      <c r="E1562">
        <v>24510</v>
      </c>
      <c r="F1562">
        <v>845</v>
      </c>
      <c r="G1562">
        <v>-16</v>
      </c>
      <c r="H1562">
        <v>9</v>
      </c>
      <c r="I1562" t="s">
        <v>23</v>
      </c>
      <c r="J1562">
        <v>0</v>
      </c>
      <c r="K1562">
        <v>0</v>
      </c>
      <c r="L1562">
        <v>0</v>
      </c>
      <c r="M1562">
        <v>0</v>
      </c>
      <c r="N1562">
        <v>0</v>
      </c>
      <c r="O1562">
        <v>0</v>
      </c>
      <c r="P1562">
        <v>0</v>
      </c>
      <c r="Q1562">
        <v>0</v>
      </c>
      <c r="R1562">
        <v>0</v>
      </c>
      <c r="S1562">
        <v>0</v>
      </c>
      <c r="T1562">
        <v>0</v>
      </c>
      <c r="U1562" t="str">
        <f>IF(SeismicData[[#This Row],[class]]=1,"Dangerous","Safe")</f>
        <v>Safe</v>
      </c>
      <c r="V1562" t="str">
        <f>IF(SeismicData[[#This Row],[shift]]="W","Production","Non-Production")</f>
        <v>Production</v>
      </c>
      <c r="W1562" t="str">
        <f>IF(SeismicData[[#This Row],[genergy]]=0,"0","10^"&amp;INT(LOG10(SeismicData[[#This Row],[genergy]])))</f>
        <v>10^4</v>
      </c>
      <c r="X1562" t="str">
        <f>IF(OR(SeismicData[[#This Row],[genergy]]&lt;$AA$6,SeismicData[[#This Row],[genergy]]&gt;$AA$5),"Outlier","Normal")</f>
        <v>Normal</v>
      </c>
    </row>
    <row r="1563" spans="1:24" x14ac:dyDescent="0.15">
      <c r="A1563">
        <v>1562</v>
      </c>
      <c r="B1563" t="s">
        <v>23</v>
      </c>
      <c r="C1563" t="s">
        <v>23</v>
      </c>
      <c r="D1563" t="s">
        <v>22</v>
      </c>
      <c r="E1563">
        <v>47370</v>
      </c>
      <c r="F1563">
        <v>1333</v>
      </c>
      <c r="G1563">
        <v>62</v>
      </c>
      <c r="H1563">
        <v>71</v>
      </c>
      <c r="I1563" t="s">
        <v>23</v>
      </c>
      <c r="J1563">
        <v>0</v>
      </c>
      <c r="K1563">
        <v>0</v>
      </c>
      <c r="L1563">
        <v>0</v>
      </c>
      <c r="M1563">
        <v>0</v>
      </c>
      <c r="N1563">
        <v>0</v>
      </c>
      <c r="O1563">
        <v>0</v>
      </c>
      <c r="P1563">
        <v>0</v>
      </c>
      <c r="Q1563">
        <v>0</v>
      </c>
      <c r="R1563">
        <v>0</v>
      </c>
      <c r="S1563">
        <v>0</v>
      </c>
      <c r="T1563">
        <v>0</v>
      </c>
      <c r="U1563" t="str">
        <f>IF(SeismicData[[#This Row],[class]]=1,"Dangerous","Safe")</f>
        <v>Safe</v>
      </c>
      <c r="V1563" t="str">
        <f>IF(SeismicData[[#This Row],[shift]]="W","Production","Non-Production")</f>
        <v>Production</v>
      </c>
      <c r="W1563" t="str">
        <f>IF(SeismicData[[#This Row],[genergy]]=0,"0","10^"&amp;INT(LOG10(SeismicData[[#This Row],[genergy]])))</f>
        <v>10^4</v>
      </c>
      <c r="X1563" t="str">
        <f>IF(OR(SeismicData[[#This Row],[genergy]]&lt;$AA$6,SeismicData[[#This Row],[genergy]]&gt;$AA$5),"Outlier","Normal")</f>
        <v>Normal</v>
      </c>
    </row>
    <row r="1564" spans="1:24" x14ac:dyDescent="0.15">
      <c r="A1564">
        <v>1563</v>
      </c>
      <c r="B1564" t="s">
        <v>23</v>
      </c>
      <c r="C1564" t="s">
        <v>23</v>
      </c>
      <c r="D1564" t="s">
        <v>22</v>
      </c>
      <c r="E1564">
        <v>30730</v>
      </c>
      <c r="F1564">
        <v>890</v>
      </c>
      <c r="G1564">
        <v>5</v>
      </c>
      <c r="H1564">
        <v>14</v>
      </c>
      <c r="I1564" t="s">
        <v>23</v>
      </c>
      <c r="J1564">
        <v>0</v>
      </c>
      <c r="K1564">
        <v>0</v>
      </c>
      <c r="L1564">
        <v>0</v>
      </c>
      <c r="M1564">
        <v>0</v>
      </c>
      <c r="N1564">
        <v>0</v>
      </c>
      <c r="O1564">
        <v>0</v>
      </c>
      <c r="P1564">
        <v>0</v>
      </c>
      <c r="Q1564">
        <v>0</v>
      </c>
      <c r="R1564">
        <v>0</v>
      </c>
      <c r="S1564">
        <v>0</v>
      </c>
      <c r="T1564">
        <v>0</v>
      </c>
      <c r="U1564" t="str">
        <f>IF(SeismicData[[#This Row],[class]]=1,"Dangerous","Safe")</f>
        <v>Safe</v>
      </c>
      <c r="V1564" t="str">
        <f>IF(SeismicData[[#This Row],[shift]]="W","Production","Non-Production")</f>
        <v>Production</v>
      </c>
      <c r="W1564" t="str">
        <f>IF(SeismicData[[#This Row],[genergy]]=0,"0","10^"&amp;INT(LOG10(SeismicData[[#This Row],[genergy]])))</f>
        <v>10^4</v>
      </c>
      <c r="X1564" t="str">
        <f>IF(OR(SeismicData[[#This Row],[genergy]]&lt;$AA$6,SeismicData[[#This Row],[genergy]]&gt;$AA$5),"Outlier","Normal")</f>
        <v>Normal</v>
      </c>
    </row>
    <row r="1565" spans="1:24" x14ac:dyDescent="0.15">
      <c r="A1565">
        <v>1564</v>
      </c>
      <c r="B1565" t="s">
        <v>23</v>
      </c>
      <c r="C1565" t="s">
        <v>23</v>
      </c>
      <c r="D1565" t="s">
        <v>22</v>
      </c>
      <c r="E1565">
        <v>22550</v>
      </c>
      <c r="F1565">
        <v>859</v>
      </c>
      <c r="G1565">
        <v>-23</v>
      </c>
      <c r="H1565">
        <v>10</v>
      </c>
      <c r="I1565" t="s">
        <v>23</v>
      </c>
      <c r="J1565">
        <v>1</v>
      </c>
      <c r="K1565">
        <v>1</v>
      </c>
      <c r="L1565">
        <v>0</v>
      </c>
      <c r="M1565">
        <v>0</v>
      </c>
      <c r="N1565">
        <v>0</v>
      </c>
      <c r="O1565">
        <v>0</v>
      </c>
      <c r="P1565">
        <v>0</v>
      </c>
      <c r="Q1565">
        <v>0</v>
      </c>
      <c r="R1565">
        <v>300</v>
      </c>
      <c r="S1565">
        <v>300</v>
      </c>
      <c r="T1565">
        <v>0</v>
      </c>
      <c r="U1565" t="str">
        <f>IF(SeismicData[[#This Row],[class]]=1,"Dangerous","Safe")</f>
        <v>Safe</v>
      </c>
      <c r="V1565" t="str">
        <f>IF(SeismicData[[#This Row],[shift]]="W","Production","Non-Production")</f>
        <v>Production</v>
      </c>
      <c r="W1565" t="str">
        <f>IF(SeismicData[[#This Row],[genergy]]=0,"0","10^"&amp;INT(LOG10(SeismicData[[#This Row],[genergy]])))</f>
        <v>10^4</v>
      </c>
      <c r="X1565" t="str">
        <f>IF(OR(SeismicData[[#This Row],[genergy]]&lt;$AA$6,SeismicData[[#This Row],[genergy]]&gt;$AA$5),"Outlier","Normal")</f>
        <v>Normal</v>
      </c>
    </row>
    <row r="1566" spans="1:24" x14ac:dyDescent="0.15">
      <c r="A1566">
        <v>1565</v>
      </c>
      <c r="B1566" t="s">
        <v>23</v>
      </c>
      <c r="C1566" t="s">
        <v>23</v>
      </c>
      <c r="D1566" t="s">
        <v>22</v>
      </c>
      <c r="E1566">
        <v>19790</v>
      </c>
      <c r="F1566">
        <v>825</v>
      </c>
      <c r="G1566">
        <v>-32</v>
      </c>
      <c r="H1566">
        <v>6</v>
      </c>
      <c r="I1566" t="s">
        <v>23</v>
      </c>
      <c r="J1566">
        <v>1</v>
      </c>
      <c r="K1566">
        <v>1</v>
      </c>
      <c r="L1566">
        <v>0</v>
      </c>
      <c r="M1566">
        <v>0</v>
      </c>
      <c r="N1566">
        <v>0</v>
      </c>
      <c r="O1566">
        <v>0</v>
      </c>
      <c r="P1566">
        <v>0</v>
      </c>
      <c r="Q1566">
        <v>0</v>
      </c>
      <c r="R1566">
        <v>400</v>
      </c>
      <c r="S1566">
        <v>400</v>
      </c>
      <c r="T1566">
        <v>0</v>
      </c>
      <c r="U1566" t="str">
        <f>IF(SeismicData[[#This Row],[class]]=1,"Dangerous","Safe")</f>
        <v>Safe</v>
      </c>
      <c r="V1566" t="str">
        <f>IF(SeismicData[[#This Row],[shift]]="W","Production","Non-Production")</f>
        <v>Production</v>
      </c>
      <c r="W1566" t="str">
        <f>IF(SeismicData[[#This Row],[genergy]]=0,"0","10^"&amp;INT(LOG10(SeismicData[[#This Row],[genergy]])))</f>
        <v>10^4</v>
      </c>
      <c r="X1566" t="str">
        <f>IF(OR(SeismicData[[#This Row],[genergy]]&lt;$AA$6,SeismicData[[#This Row],[genergy]]&gt;$AA$5),"Outlier","Normal")</f>
        <v>Normal</v>
      </c>
    </row>
    <row r="1567" spans="1:24" x14ac:dyDescent="0.15">
      <c r="A1567">
        <v>1566</v>
      </c>
      <c r="B1567" t="s">
        <v>23</v>
      </c>
      <c r="C1567" t="s">
        <v>23</v>
      </c>
      <c r="D1567" t="s">
        <v>22</v>
      </c>
      <c r="E1567">
        <v>17960</v>
      </c>
      <c r="F1567">
        <v>780</v>
      </c>
      <c r="G1567">
        <v>-38</v>
      </c>
      <c r="H1567">
        <v>0</v>
      </c>
      <c r="I1567" t="s">
        <v>23</v>
      </c>
      <c r="J1567">
        <v>0</v>
      </c>
      <c r="K1567">
        <v>0</v>
      </c>
      <c r="L1567">
        <v>0</v>
      </c>
      <c r="M1567">
        <v>0</v>
      </c>
      <c r="N1567">
        <v>0</v>
      </c>
      <c r="O1567">
        <v>0</v>
      </c>
      <c r="P1567">
        <v>0</v>
      </c>
      <c r="Q1567">
        <v>0</v>
      </c>
      <c r="R1567">
        <v>0</v>
      </c>
      <c r="S1567">
        <v>0</v>
      </c>
      <c r="T1567">
        <v>0</v>
      </c>
      <c r="U1567" t="str">
        <f>IF(SeismicData[[#This Row],[class]]=1,"Dangerous","Safe")</f>
        <v>Safe</v>
      </c>
      <c r="V1567" t="str">
        <f>IF(SeismicData[[#This Row],[shift]]="W","Production","Non-Production")</f>
        <v>Production</v>
      </c>
      <c r="W1567" t="str">
        <f>IF(SeismicData[[#This Row],[genergy]]=0,"0","10^"&amp;INT(LOG10(SeismicData[[#This Row],[genergy]])))</f>
        <v>10^4</v>
      </c>
      <c r="X1567" t="str">
        <f>IF(OR(SeismicData[[#This Row],[genergy]]&lt;$AA$6,SeismicData[[#This Row],[genergy]]&gt;$AA$5),"Outlier","Normal")</f>
        <v>Normal</v>
      </c>
    </row>
    <row r="1568" spans="1:24" x14ac:dyDescent="0.15">
      <c r="A1568">
        <v>1567</v>
      </c>
      <c r="B1568" t="s">
        <v>23</v>
      </c>
      <c r="C1568" t="s">
        <v>23</v>
      </c>
      <c r="D1568" t="s">
        <v>22</v>
      </c>
      <c r="E1568">
        <v>20160</v>
      </c>
      <c r="F1568">
        <v>688</v>
      </c>
      <c r="G1568">
        <v>-40</v>
      </c>
      <c r="H1568">
        <v>-25</v>
      </c>
      <c r="I1568" t="s">
        <v>23</v>
      </c>
      <c r="J1568">
        <v>0</v>
      </c>
      <c r="K1568">
        <v>0</v>
      </c>
      <c r="L1568">
        <v>0</v>
      </c>
      <c r="M1568">
        <v>0</v>
      </c>
      <c r="N1568">
        <v>0</v>
      </c>
      <c r="O1568">
        <v>0</v>
      </c>
      <c r="P1568">
        <v>0</v>
      </c>
      <c r="Q1568">
        <v>0</v>
      </c>
      <c r="R1568">
        <v>0</v>
      </c>
      <c r="S1568">
        <v>0</v>
      </c>
      <c r="T1568">
        <v>0</v>
      </c>
      <c r="U1568" t="str">
        <f>IF(SeismicData[[#This Row],[class]]=1,"Dangerous","Safe")</f>
        <v>Safe</v>
      </c>
      <c r="V1568" t="str">
        <f>IF(SeismicData[[#This Row],[shift]]="W","Production","Non-Production")</f>
        <v>Production</v>
      </c>
      <c r="W1568" t="str">
        <f>IF(SeismicData[[#This Row],[genergy]]=0,"0","10^"&amp;INT(LOG10(SeismicData[[#This Row],[genergy]])))</f>
        <v>10^4</v>
      </c>
      <c r="X1568" t="str">
        <f>IF(OR(SeismicData[[#This Row],[genergy]]&lt;$AA$6,SeismicData[[#This Row],[genergy]]&gt;$AA$5),"Outlier","Normal")</f>
        <v>Normal</v>
      </c>
    </row>
    <row r="1569" spans="1:24" x14ac:dyDescent="0.15">
      <c r="A1569">
        <v>1568</v>
      </c>
      <c r="B1569" t="s">
        <v>23</v>
      </c>
      <c r="C1569" t="s">
        <v>23</v>
      </c>
      <c r="D1569" t="s">
        <v>22</v>
      </c>
      <c r="E1569">
        <v>9730</v>
      </c>
      <c r="F1569">
        <v>488</v>
      </c>
      <c r="G1569">
        <v>-71</v>
      </c>
      <c r="H1569">
        <v>-47</v>
      </c>
      <c r="I1569" t="s">
        <v>23</v>
      </c>
      <c r="J1569">
        <v>0</v>
      </c>
      <c r="K1569">
        <v>0</v>
      </c>
      <c r="L1569">
        <v>0</v>
      </c>
      <c r="M1569">
        <v>0</v>
      </c>
      <c r="N1569">
        <v>0</v>
      </c>
      <c r="O1569">
        <v>0</v>
      </c>
      <c r="P1569">
        <v>0</v>
      </c>
      <c r="Q1569">
        <v>0</v>
      </c>
      <c r="R1569">
        <v>0</v>
      </c>
      <c r="S1569">
        <v>0</v>
      </c>
      <c r="T1569">
        <v>0</v>
      </c>
      <c r="U1569" t="str">
        <f>IF(SeismicData[[#This Row],[class]]=1,"Dangerous","Safe")</f>
        <v>Safe</v>
      </c>
      <c r="V1569" t="str">
        <f>IF(SeismicData[[#This Row],[shift]]="W","Production","Non-Production")</f>
        <v>Production</v>
      </c>
      <c r="W1569" t="str">
        <f>IF(SeismicData[[#This Row],[genergy]]=0,"0","10^"&amp;INT(LOG10(SeismicData[[#This Row],[genergy]])))</f>
        <v>10^3</v>
      </c>
      <c r="X1569" t="str">
        <f>IF(OR(SeismicData[[#This Row],[genergy]]&lt;$AA$6,SeismicData[[#This Row],[genergy]]&gt;$AA$5),"Outlier","Normal")</f>
        <v>Normal</v>
      </c>
    </row>
    <row r="1570" spans="1:24" x14ac:dyDescent="0.15">
      <c r="A1570">
        <v>1569</v>
      </c>
      <c r="B1570" t="s">
        <v>23</v>
      </c>
      <c r="C1570" t="s">
        <v>23</v>
      </c>
      <c r="D1570" t="s">
        <v>22</v>
      </c>
      <c r="E1570">
        <v>21060</v>
      </c>
      <c r="F1570">
        <v>588</v>
      </c>
      <c r="G1570">
        <v>-37</v>
      </c>
      <c r="H1570">
        <v>-36</v>
      </c>
      <c r="I1570" t="s">
        <v>23</v>
      </c>
      <c r="J1570">
        <v>0</v>
      </c>
      <c r="K1570">
        <v>0</v>
      </c>
      <c r="L1570">
        <v>0</v>
      </c>
      <c r="M1570">
        <v>0</v>
      </c>
      <c r="N1570">
        <v>0</v>
      </c>
      <c r="O1570">
        <v>0</v>
      </c>
      <c r="P1570">
        <v>0</v>
      </c>
      <c r="Q1570">
        <v>0</v>
      </c>
      <c r="R1570">
        <v>0</v>
      </c>
      <c r="S1570">
        <v>0</v>
      </c>
      <c r="T1570">
        <v>1</v>
      </c>
      <c r="U1570" t="str">
        <f>IF(SeismicData[[#This Row],[class]]=1,"Dangerous","Safe")</f>
        <v>Dangerous</v>
      </c>
      <c r="V1570" t="str">
        <f>IF(SeismicData[[#This Row],[shift]]="W","Production","Non-Production")</f>
        <v>Production</v>
      </c>
      <c r="W1570" t="str">
        <f>IF(SeismicData[[#This Row],[genergy]]=0,"0","10^"&amp;INT(LOG10(SeismicData[[#This Row],[genergy]])))</f>
        <v>10^4</v>
      </c>
      <c r="X1570" t="str">
        <f>IF(OR(SeismicData[[#This Row],[genergy]]&lt;$AA$6,SeismicData[[#This Row],[genergy]]&gt;$AA$5),"Outlier","Normal")</f>
        <v>Normal</v>
      </c>
    </row>
    <row r="1571" spans="1:24" x14ac:dyDescent="0.15">
      <c r="A1571">
        <v>1570</v>
      </c>
      <c r="B1571" t="s">
        <v>23</v>
      </c>
      <c r="C1571" t="s">
        <v>23</v>
      </c>
      <c r="D1571" t="s">
        <v>22</v>
      </c>
      <c r="E1571">
        <v>74960</v>
      </c>
      <c r="F1571">
        <v>1471</v>
      </c>
      <c r="G1571">
        <v>124</v>
      </c>
      <c r="H1571">
        <v>60</v>
      </c>
      <c r="I1571" t="s">
        <v>23</v>
      </c>
      <c r="J1571">
        <v>1</v>
      </c>
      <c r="K1571">
        <v>0</v>
      </c>
      <c r="L1571">
        <v>0</v>
      </c>
      <c r="M1571">
        <v>1</v>
      </c>
      <c r="N1571">
        <v>0</v>
      </c>
      <c r="O1571">
        <v>0</v>
      </c>
      <c r="P1571">
        <v>0</v>
      </c>
      <c r="Q1571">
        <v>0</v>
      </c>
      <c r="R1571">
        <v>10000</v>
      </c>
      <c r="S1571">
        <v>10000</v>
      </c>
      <c r="T1571">
        <v>0</v>
      </c>
      <c r="U1571" t="str">
        <f>IF(SeismicData[[#This Row],[class]]=1,"Dangerous","Safe")</f>
        <v>Safe</v>
      </c>
      <c r="V1571" t="str">
        <f>IF(SeismicData[[#This Row],[shift]]="W","Production","Non-Production")</f>
        <v>Production</v>
      </c>
      <c r="W1571" t="str">
        <f>IF(SeismicData[[#This Row],[genergy]]=0,"0","10^"&amp;INT(LOG10(SeismicData[[#This Row],[genergy]])))</f>
        <v>10^4</v>
      </c>
      <c r="X1571" t="str">
        <f>IF(OR(SeismicData[[#This Row],[genergy]]&lt;$AA$6,SeismicData[[#This Row],[genergy]]&gt;$AA$5),"Outlier","Normal")</f>
        <v>Normal</v>
      </c>
    </row>
    <row r="1572" spans="1:24" x14ac:dyDescent="0.15">
      <c r="A1572">
        <v>1571</v>
      </c>
      <c r="B1572" t="s">
        <v>23</v>
      </c>
      <c r="C1572" t="s">
        <v>23</v>
      </c>
      <c r="D1572" t="s">
        <v>22</v>
      </c>
      <c r="E1572">
        <v>45650</v>
      </c>
      <c r="F1572">
        <v>664</v>
      </c>
      <c r="G1572">
        <v>55</v>
      </c>
      <c r="H1572">
        <v>34</v>
      </c>
      <c r="I1572" t="s">
        <v>23</v>
      </c>
      <c r="J1572">
        <v>0</v>
      </c>
      <c r="K1572">
        <v>0</v>
      </c>
      <c r="L1572">
        <v>0</v>
      </c>
      <c r="M1572">
        <v>0</v>
      </c>
      <c r="N1572">
        <v>0</v>
      </c>
      <c r="O1572">
        <v>0</v>
      </c>
      <c r="P1572">
        <v>0</v>
      </c>
      <c r="Q1572">
        <v>0</v>
      </c>
      <c r="R1572">
        <v>0</v>
      </c>
      <c r="S1572">
        <v>0</v>
      </c>
      <c r="T1572">
        <v>0</v>
      </c>
      <c r="U1572" t="str">
        <f>IF(SeismicData[[#This Row],[class]]=1,"Dangerous","Safe")</f>
        <v>Safe</v>
      </c>
      <c r="V1572" t="str">
        <f>IF(SeismicData[[#This Row],[shift]]="W","Production","Non-Production")</f>
        <v>Production</v>
      </c>
      <c r="W1572" t="str">
        <f>IF(SeismicData[[#This Row],[genergy]]=0,"0","10^"&amp;INT(LOG10(SeismicData[[#This Row],[genergy]])))</f>
        <v>10^4</v>
      </c>
      <c r="X1572" t="str">
        <f>IF(OR(SeismicData[[#This Row],[genergy]]&lt;$AA$6,SeismicData[[#This Row],[genergy]]&gt;$AA$5),"Outlier","Normal")</f>
        <v>Normal</v>
      </c>
    </row>
    <row r="1573" spans="1:24" x14ac:dyDescent="0.15">
      <c r="A1573">
        <v>1572</v>
      </c>
      <c r="B1573" t="s">
        <v>23</v>
      </c>
      <c r="C1573" t="s">
        <v>23</v>
      </c>
      <c r="D1573" t="s">
        <v>22</v>
      </c>
      <c r="E1573">
        <v>31160</v>
      </c>
      <c r="F1573">
        <v>1133</v>
      </c>
      <c r="G1573">
        <v>-7</v>
      </c>
      <c r="H1573">
        <v>23</v>
      </c>
      <c r="I1573" t="s">
        <v>23</v>
      </c>
      <c r="J1573">
        <v>1</v>
      </c>
      <c r="K1573">
        <v>0</v>
      </c>
      <c r="L1573">
        <v>1</v>
      </c>
      <c r="M1573">
        <v>0</v>
      </c>
      <c r="N1573">
        <v>0</v>
      </c>
      <c r="O1573">
        <v>0</v>
      </c>
      <c r="P1573">
        <v>0</v>
      </c>
      <c r="Q1573">
        <v>0</v>
      </c>
      <c r="R1573">
        <v>5000</v>
      </c>
      <c r="S1573">
        <v>5000</v>
      </c>
      <c r="T1573">
        <v>0</v>
      </c>
      <c r="U1573" t="str">
        <f>IF(SeismicData[[#This Row],[class]]=1,"Dangerous","Safe")</f>
        <v>Safe</v>
      </c>
      <c r="V1573" t="str">
        <f>IF(SeismicData[[#This Row],[shift]]="W","Production","Non-Production")</f>
        <v>Production</v>
      </c>
      <c r="W1573" t="str">
        <f>IF(SeismicData[[#This Row],[genergy]]=0,"0","10^"&amp;INT(LOG10(SeismicData[[#This Row],[genergy]])))</f>
        <v>10^4</v>
      </c>
      <c r="X1573" t="str">
        <f>IF(OR(SeismicData[[#This Row],[genergy]]&lt;$AA$6,SeismicData[[#This Row],[genergy]]&gt;$AA$5),"Outlier","Normal")</f>
        <v>Normal</v>
      </c>
    </row>
    <row r="1574" spans="1:24" x14ac:dyDescent="0.15">
      <c r="A1574">
        <v>1573</v>
      </c>
      <c r="B1574" t="s">
        <v>23</v>
      </c>
      <c r="C1574" t="s">
        <v>23</v>
      </c>
      <c r="D1574" t="s">
        <v>22</v>
      </c>
      <c r="E1574">
        <v>31240</v>
      </c>
      <c r="F1574">
        <v>836</v>
      </c>
      <c r="G1574">
        <v>-7</v>
      </c>
      <c r="H1574">
        <v>-9</v>
      </c>
      <c r="I1574" t="s">
        <v>23</v>
      </c>
      <c r="J1574">
        <v>1</v>
      </c>
      <c r="K1574">
        <v>0</v>
      </c>
      <c r="L1574">
        <v>1</v>
      </c>
      <c r="M1574">
        <v>0</v>
      </c>
      <c r="N1574">
        <v>0</v>
      </c>
      <c r="O1574">
        <v>0</v>
      </c>
      <c r="P1574">
        <v>0</v>
      </c>
      <c r="Q1574">
        <v>0</v>
      </c>
      <c r="R1574">
        <v>2000</v>
      </c>
      <c r="S1574">
        <v>2000</v>
      </c>
      <c r="T1574">
        <v>0</v>
      </c>
      <c r="U1574" t="str">
        <f>IF(SeismicData[[#This Row],[class]]=1,"Dangerous","Safe")</f>
        <v>Safe</v>
      </c>
      <c r="V1574" t="str">
        <f>IF(SeismicData[[#This Row],[shift]]="W","Production","Non-Production")</f>
        <v>Production</v>
      </c>
      <c r="W1574" t="str">
        <f>IF(SeismicData[[#This Row],[genergy]]=0,"0","10^"&amp;INT(LOG10(SeismicData[[#This Row],[genergy]])))</f>
        <v>10^4</v>
      </c>
      <c r="X1574" t="str">
        <f>IF(OR(SeismicData[[#This Row],[genergy]]&lt;$AA$6,SeismicData[[#This Row],[genergy]]&gt;$AA$5),"Outlier","Normal")</f>
        <v>Normal</v>
      </c>
    </row>
    <row r="1575" spans="1:24" x14ac:dyDescent="0.15">
      <c r="A1575">
        <v>1574</v>
      </c>
      <c r="B1575" t="s">
        <v>23</v>
      </c>
      <c r="C1575" t="s">
        <v>23</v>
      </c>
      <c r="D1575" t="s">
        <v>22</v>
      </c>
      <c r="E1575">
        <v>28930</v>
      </c>
      <c r="F1575">
        <v>948</v>
      </c>
      <c r="G1575">
        <v>-13</v>
      </c>
      <c r="H1575">
        <v>3</v>
      </c>
      <c r="I1575" t="s">
        <v>23</v>
      </c>
      <c r="J1575">
        <v>0</v>
      </c>
      <c r="K1575">
        <v>0</v>
      </c>
      <c r="L1575">
        <v>0</v>
      </c>
      <c r="M1575">
        <v>0</v>
      </c>
      <c r="N1575">
        <v>0</v>
      </c>
      <c r="O1575">
        <v>0</v>
      </c>
      <c r="P1575">
        <v>0</v>
      </c>
      <c r="Q1575">
        <v>0</v>
      </c>
      <c r="R1575">
        <v>0</v>
      </c>
      <c r="S1575">
        <v>0</v>
      </c>
      <c r="T1575">
        <v>0</v>
      </c>
      <c r="U1575" t="str">
        <f>IF(SeismicData[[#This Row],[class]]=1,"Dangerous","Safe")</f>
        <v>Safe</v>
      </c>
      <c r="V1575" t="str">
        <f>IF(SeismicData[[#This Row],[shift]]="W","Production","Non-Production")</f>
        <v>Production</v>
      </c>
      <c r="W1575" t="str">
        <f>IF(SeismicData[[#This Row],[genergy]]=0,"0","10^"&amp;INT(LOG10(SeismicData[[#This Row],[genergy]])))</f>
        <v>10^4</v>
      </c>
      <c r="X1575" t="str">
        <f>IF(OR(SeismicData[[#This Row],[genergy]]&lt;$AA$6,SeismicData[[#This Row],[genergy]]&gt;$AA$5),"Outlier","Normal")</f>
        <v>Normal</v>
      </c>
    </row>
    <row r="1576" spans="1:24" x14ac:dyDescent="0.15">
      <c r="A1576">
        <v>1575</v>
      </c>
      <c r="B1576" t="s">
        <v>23</v>
      </c>
      <c r="C1576" t="s">
        <v>23</v>
      </c>
      <c r="D1576" t="s">
        <v>21</v>
      </c>
      <c r="E1576">
        <v>25390</v>
      </c>
      <c r="F1576">
        <v>861</v>
      </c>
      <c r="G1576">
        <v>176</v>
      </c>
      <c r="H1576">
        <v>182</v>
      </c>
      <c r="I1576" t="s">
        <v>23</v>
      </c>
      <c r="J1576">
        <v>0</v>
      </c>
      <c r="K1576">
        <v>0</v>
      </c>
      <c r="L1576">
        <v>0</v>
      </c>
      <c r="M1576">
        <v>0</v>
      </c>
      <c r="N1576">
        <v>0</v>
      </c>
      <c r="O1576">
        <v>0</v>
      </c>
      <c r="P1576">
        <v>0</v>
      </c>
      <c r="Q1576">
        <v>0</v>
      </c>
      <c r="R1576">
        <v>0</v>
      </c>
      <c r="S1576">
        <v>0</v>
      </c>
      <c r="T1576">
        <v>0</v>
      </c>
      <c r="U1576" t="str">
        <f>IF(SeismicData[[#This Row],[class]]=1,"Dangerous","Safe")</f>
        <v>Safe</v>
      </c>
      <c r="V1576" t="str">
        <f>IF(SeismicData[[#This Row],[shift]]="W","Production","Non-Production")</f>
        <v>Non-Production</v>
      </c>
      <c r="W1576" t="str">
        <f>IF(SeismicData[[#This Row],[genergy]]=0,"0","10^"&amp;INT(LOG10(SeismicData[[#This Row],[genergy]])))</f>
        <v>10^4</v>
      </c>
      <c r="X1576" t="str">
        <f>IF(OR(SeismicData[[#This Row],[genergy]]&lt;$AA$6,SeismicData[[#This Row],[genergy]]&gt;$AA$5),"Outlier","Normal")</f>
        <v>Normal</v>
      </c>
    </row>
    <row r="1577" spans="1:24" x14ac:dyDescent="0.15">
      <c r="A1577">
        <v>1576</v>
      </c>
      <c r="B1577" t="s">
        <v>23</v>
      </c>
      <c r="C1577" t="s">
        <v>23</v>
      </c>
      <c r="D1577" t="s">
        <v>21</v>
      </c>
      <c r="E1577">
        <v>16500</v>
      </c>
      <c r="F1577">
        <v>321</v>
      </c>
      <c r="G1577">
        <v>115</v>
      </c>
      <c r="H1577">
        <v>96</v>
      </c>
      <c r="I1577" t="s">
        <v>23</v>
      </c>
      <c r="J1577">
        <v>0</v>
      </c>
      <c r="K1577">
        <v>0</v>
      </c>
      <c r="L1577">
        <v>0</v>
      </c>
      <c r="M1577">
        <v>0</v>
      </c>
      <c r="N1577">
        <v>0</v>
      </c>
      <c r="O1577">
        <v>0</v>
      </c>
      <c r="P1577">
        <v>0</v>
      </c>
      <c r="Q1577">
        <v>0</v>
      </c>
      <c r="R1577">
        <v>0</v>
      </c>
      <c r="S1577">
        <v>0</v>
      </c>
      <c r="T1577">
        <v>0</v>
      </c>
      <c r="U1577" t="str">
        <f>IF(SeismicData[[#This Row],[class]]=1,"Dangerous","Safe")</f>
        <v>Safe</v>
      </c>
      <c r="V1577" t="str">
        <f>IF(SeismicData[[#This Row],[shift]]="W","Production","Non-Production")</f>
        <v>Non-Production</v>
      </c>
      <c r="W1577" t="str">
        <f>IF(SeismicData[[#This Row],[genergy]]=0,"0","10^"&amp;INT(LOG10(SeismicData[[#This Row],[genergy]])))</f>
        <v>10^4</v>
      </c>
      <c r="X1577" t="str">
        <f>IF(OR(SeismicData[[#This Row],[genergy]]&lt;$AA$6,SeismicData[[#This Row],[genergy]]&gt;$AA$5),"Outlier","Normal")</f>
        <v>Normal</v>
      </c>
    </row>
    <row r="1578" spans="1:24" x14ac:dyDescent="0.15">
      <c r="A1578">
        <v>1577</v>
      </c>
      <c r="B1578" t="s">
        <v>23</v>
      </c>
      <c r="C1578" t="s">
        <v>23</v>
      </c>
      <c r="D1578" t="s">
        <v>22</v>
      </c>
      <c r="E1578">
        <v>18180</v>
      </c>
      <c r="F1578">
        <v>609</v>
      </c>
      <c r="G1578">
        <v>-47</v>
      </c>
      <c r="H1578">
        <v>-36</v>
      </c>
      <c r="I1578" t="s">
        <v>23</v>
      </c>
      <c r="J1578">
        <v>0</v>
      </c>
      <c r="K1578">
        <v>0</v>
      </c>
      <c r="L1578">
        <v>0</v>
      </c>
      <c r="M1578">
        <v>0</v>
      </c>
      <c r="N1578">
        <v>0</v>
      </c>
      <c r="O1578">
        <v>0</v>
      </c>
      <c r="P1578">
        <v>0</v>
      </c>
      <c r="Q1578">
        <v>0</v>
      </c>
      <c r="R1578">
        <v>0</v>
      </c>
      <c r="S1578">
        <v>0</v>
      </c>
      <c r="T1578">
        <v>0</v>
      </c>
      <c r="U1578" t="str">
        <f>IF(SeismicData[[#This Row],[class]]=1,"Dangerous","Safe")</f>
        <v>Safe</v>
      </c>
      <c r="V1578" t="str">
        <f>IF(SeismicData[[#This Row],[shift]]="W","Production","Non-Production")</f>
        <v>Production</v>
      </c>
      <c r="W1578" t="str">
        <f>IF(SeismicData[[#This Row],[genergy]]=0,"0","10^"&amp;INT(LOG10(SeismicData[[#This Row],[genergy]])))</f>
        <v>10^4</v>
      </c>
      <c r="X1578" t="str">
        <f>IF(OR(SeismicData[[#This Row],[genergy]]&lt;$AA$6,SeismicData[[#This Row],[genergy]]&gt;$AA$5),"Outlier","Normal")</f>
        <v>Normal</v>
      </c>
    </row>
    <row r="1579" spans="1:24" x14ac:dyDescent="0.15">
      <c r="A1579">
        <v>1578</v>
      </c>
      <c r="B1579" t="s">
        <v>23</v>
      </c>
      <c r="C1579" t="s">
        <v>23</v>
      </c>
      <c r="D1579" t="s">
        <v>22</v>
      </c>
      <c r="E1579">
        <v>23600</v>
      </c>
      <c r="F1579">
        <v>704</v>
      </c>
      <c r="G1579">
        <v>-31</v>
      </c>
      <c r="H1579">
        <v>-26</v>
      </c>
      <c r="I1579" t="s">
        <v>23</v>
      </c>
      <c r="J1579">
        <v>0</v>
      </c>
      <c r="K1579">
        <v>0</v>
      </c>
      <c r="L1579">
        <v>0</v>
      </c>
      <c r="M1579">
        <v>0</v>
      </c>
      <c r="N1579">
        <v>0</v>
      </c>
      <c r="O1579">
        <v>0</v>
      </c>
      <c r="P1579">
        <v>0</v>
      </c>
      <c r="Q1579">
        <v>0</v>
      </c>
      <c r="R1579">
        <v>0</v>
      </c>
      <c r="S1579">
        <v>0</v>
      </c>
      <c r="T1579">
        <v>0</v>
      </c>
      <c r="U1579" t="str">
        <f>IF(SeismicData[[#This Row],[class]]=1,"Dangerous","Safe")</f>
        <v>Safe</v>
      </c>
      <c r="V1579" t="str">
        <f>IF(SeismicData[[#This Row],[shift]]="W","Production","Non-Production")</f>
        <v>Production</v>
      </c>
      <c r="W1579" t="str">
        <f>IF(SeismicData[[#This Row],[genergy]]=0,"0","10^"&amp;INT(LOG10(SeismicData[[#This Row],[genergy]])))</f>
        <v>10^4</v>
      </c>
      <c r="X1579" t="str">
        <f>IF(OR(SeismicData[[#This Row],[genergy]]&lt;$AA$6,SeismicData[[#This Row],[genergy]]&gt;$AA$5),"Outlier","Normal")</f>
        <v>Normal</v>
      </c>
    </row>
    <row r="1580" spans="1:24" x14ac:dyDescent="0.15">
      <c r="A1580">
        <v>1579</v>
      </c>
      <c r="B1580" t="s">
        <v>23</v>
      </c>
      <c r="C1580" t="s">
        <v>23</v>
      </c>
      <c r="D1580" t="s">
        <v>22</v>
      </c>
      <c r="E1580">
        <v>21430</v>
      </c>
      <c r="F1580">
        <v>776</v>
      </c>
      <c r="G1580">
        <v>-37</v>
      </c>
      <c r="H1580">
        <v>-19</v>
      </c>
      <c r="I1580" t="s">
        <v>23</v>
      </c>
      <c r="J1580">
        <v>0</v>
      </c>
      <c r="K1580">
        <v>0</v>
      </c>
      <c r="L1580">
        <v>0</v>
      </c>
      <c r="M1580">
        <v>0</v>
      </c>
      <c r="N1580">
        <v>0</v>
      </c>
      <c r="O1580">
        <v>0</v>
      </c>
      <c r="P1580">
        <v>0</v>
      </c>
      <c r="Q1580">
        <v>0</v>
      </c>
      <c r="R1580">
        <v>0</v>
      </c>
      <c r="S1580">
        <v>0</v>
      </c>
      <c r="T1580">
        <v>0</v>
      </c>
      <c r="U1580" t="str">
        <f>IF(SeismicData[[#This Row],[class]]=1,"Dangerous","Safe")</f>
        <v>Safe</v>
      </c>
      <c r="V1580" t="str">
        <f>IF(SeismicData[[#This Row],[shift]]="W","Production","Non-Production")</f>
        <v>Production</v>
      </c>
      <c r="W1580" t="str">
        <f>IF(SeismicData[[#This Row],[genergy]]=0,"0","10^"&amp;INT(LOG10(SeismicData[[#This Row],[genergy]])))</f>
        <v>10^4</v>
      </c>
      <c r="X1580" t="str">
        <f>IF(OR(SeismicData[[#This Row],[genergy]]&lt;$AA$6,SeismicData[[#This Row],[genergy]]&gt;$AA$5),"Outlier","Normal")</f>
        <v>Normal</v>
      </c>
    </row>
    <row r="1581" spans="1:24" x14ac:dyDescent="0.15">
      <c r="A1581">
        <v>1580</v>
      </c>
      <c r="B1581" t="s">
        <v>23</v>
      </c>
      <c r="C1581" t="s">
        <v>23</v>
      </c>
      <c r="D1581" t="s">
        <v>22</v>
      </c>
      <c r="E1581">
        <v>69390</v>
      </c>
      <c r="F1581">
        <v>1107</v>
      </c>
      <c r="G1581">
        <v>104</v>
      </c>
      <c r="H1581">
        <v>16</v>
      </c>
      <c r="I1581" t="s">
        <v>23</v>
      </c>
      <c r="J1581">
        <v>2</v>
      </c>
      <c r="K1581">
        <v>1</v>
      </c>
      <c r="L1581">
        <v>1</v>
      </c>
      <c r="M1581">
        <v>0</v>
      </c>
      <c r="N1581">
        <v>0</v>
      </c>
      <c r="O1581">
        <v>0</v>
      </c>
      <c r="P1581">
        <v>0</v>
      </c>
      <c r="Q1581">
        <v>0</v>
      </c>
      <c r="R1581">
        <v>3700</v>
      </c>
      <c r="S1581">
        <v>3000</v>
      </c>
      <c r="T1581">
        <v>0</v>
      </c>
      <c r="U1581" t="str">
        <f>IF(SeismicData[[#This Row],[class]]=1,"Dangerous","Safe")</f>
        <v>Safe</v>
      </c>
      <c r="V1581" t="str">
        <f>IF(SeismicData[[#This Row],[shift]]="W","Production","Non-Production")</f>
        <v>Production</v>
      </c>
      <c r="W1581" t="str">
        <f>IF(SeismicData[[#This Row],[genergy]]=0,"0","10^"&amp;INT(LOG10(SeismicData[[#This Row],[genergy]])))</f>
        <v>10^4</v>
      </c>
      <c r="X1581" t="str">
        <f>IF(OR(SeismicData[[#This Row],[genergy]]&lt;$AA$6,SeismicData[[#This Row],[genergy]]&gt;$AA$5),"Outlier","Normal")</f>
        <v>Normal</v>
      </c>
    </row>
    <row r="1582" spans="1:24" x14ac:dyDescent="0.15">
      <c r="A1582">
        <v>1581</v>
      </c>
      <c r="B1582" t="s">
        <v>23</v>
      </c>
      <c r="C1582" t="s">
        <v>23</v>
      </c>
      <c r="D1582" t="s">
        <v>22</v>
      </c>
      <c r="E1582">
        <v>48330</v>
      </c>
      <c r="F1582">
        <v>1389</v>
      </c>
      <c r="G1582">
        <v>42</v>
      </c>
      <c r="H1582">
        <v>45</v>
      </c>
      <c r="I1582" t="s">
        <v>23</v>
      </c>
      <c r="J1582">
        <v>0</v>
      </c>
      <c r="K1582">
        <v>0</v>
      </c>
      <c r="L1582">
        <v>0</v>
      </c>
      <c r="M1582">
        <v>0</v>
      </c>
      <c r="N1582">
        <v>0</v>
      </c>
      <c r="O1582">
        <v>0</v>
      </c>
      <c r="P1582">
        <v>0</v>
      </c>
      <c r="Q1582">
        <v>0</v>
      </c>
      <c r="R1582">
        <v>0</v>
      </c>
      <c r="S1582">
        <v>0</v>
      </c>
      <c r="T1582">
        <v>0</v>
      </c>
      <c r="U1582" t="str">
        <f>IF(SeismicData[[#This Row],[class]]=1,"Dangerous","Safe")</f>
        <v>Safe</v>
      </c>
      <c r="V1582" t="str">
        <f>IF(SeismicData[[#This Row],[shift]]="W","Production","Non-Production")</f>
        <v>Production</v>
      </c>
      <c r="W1582" t="str">
        <f>IF(SeismicData[[#This Row],[genergy]]=0,"0","10^"&amp;INT(LOG10(SeismicData[[#This Row],[genergy]])))</f>
        <v>10^4</v>
      </c>
      <c r="X1582" t="str">
        <f>IF(OR(SeismicData[[#This Row],[genergy]]&lt;$AA$6,SeismicData[[#This Row],[genergy]]&gt;$AA$5),"Outlier","Normal")</f>
        <v>Normal</v>
      </c>
    </row>
    <row r="1583" spans="1:24" x14ac:dyDescent="0.15">
      <c r="A1583">
        <v>1582</v>
      </c>
      <c r="B1583" t="s">
        <v>23</v>
      </c>
      <c r="C1583" t="s">
        <v>23</v>
      </c>
      <c r="D1583" t="s">
        <v>22</v>
      </c>
      <c r="E1583">
        <v>63800</v>
      </c>
      <c r="F1583">
        <v>2116</v>
      </c>
      <c r="G1583">
        <v>88</v>
      </c>
      <c r="H1583">
        <v>121</v>
      </c>
      <c r="I1583" t="s">
        <v>23</v>
      </c>
      <c r="J1583">
        <v>0</v>
      </c>
      <c r="K1583">
        <v>0</v>
      </c>
      <c r="L1583">
        <v>0</v>
      </c>
      <c r="M1583">
        <v>0</v>
      </c>
      <c r="N1583">
        <v>0</v>
      </c>
      <c r="O1583">
        <v>0</v>
      </c>
      <c r="P1583">
        <v>0</v>
      </c>
      <c r="Q1583">
        <v>0</v>
      </c>
      <c r="R1583">
        <v>0</v>
      </c>
      <c r="S1583">
        <v>0</v>
      </c>
      <c r="T1583">
        <v>0</v>
      </c>
      <c r="U1583" t="str">
        <f>IF(SeismicData[[#This Row],[class]]=1,"Dangerous","Safe")</f>
        <v>Safe</v>
      </c>
      <c r="V1583" t="str">
        <f>IF(SeismicData[[#This Row],[shift]]="W","Production","Non-Production")</f>
        <v>Production</v>
      </c>
      <c r="W1583" t="str">
        <f>IF(SeismicData[[#This Row],[genergy]]=0,"0","10^"&amp;INT(LOG10(SeismicData[[#This Row],[genergy]])))</f>
        <v>10^4</v>
      </c>
      <c r="X1583" t="str">
        <f>IF(OR(SeismicData[[#This Row],[genergy]]&lt;$AA$6,SeismicData[[#This Row],[genergy]]&gt;$AA$5),"Outlier","Normal")</f>
        <v>Normal</v>
      </c>
    </row>
    <row r="1584" spans="1:24" x14ac:dyDescent="0.15">
      <c r="A1584">
        <v>1583</v>
      </c>
      <c r="B1584" t="s">
        <v>20</v>
      </c>
      <c r="C1584" t="s">
        <v>23</v>
      </c>
      <c r="D1584" t="s">
        <v>21</v>
      </c>
      <c r="E1584">
        <v>29720</v>
      </c>
      <c r="F1584">
        <v>482</v>
      </c>
      <c r="G1584">
        <v>287</v>
      </c>
      <c r="H1584">
        <v>195</v>
      </c>
      <c r="I1584" t="s">
        <v>20</v>
      </c>
      <c r="J1584">
        <v>0</v>
      </c>
      <c r="K1584">
        <v>0</v>
      </c>
      <c r="L1584">
        <v>0</v>
      </c>
      <c r="M1584">
        <v>0</v>
      </c>
      <c r="N1584">
        <v>0</v>
      </c>
      <c r="O1584">
        <v>0</v>
      </c>
      <c r="P1584">
        <v>0</v>
      </c>
      <c r="Q1584">
        <v>0</v>
      </c>
      <c r="R1584">
        <v>0</v>
      </c>
      <c r="S1584">
        <v>0</v>
      </c>
      <c r="T1584">
        <v>0</v>
      </c>
      <c r="U1584" t="str">
        <f>IF(SeismicData[[#This Row],[class]]=1,"Dangerous","Safe")</f>
        <v>Safe</v>
      </c>
      <c r="V1584" t="str">
        <f>IF(SeismicData[[#This Row],[shift]]="W","Production","Non-Production")</f>
        <v>Non-Production</v>
      </c>
      <c r="W1584" t="str">
        <f>IF(SeismicData[[#This Row],[genergy]]=0,"0","10^"&amp;INT(LOG10(SeismicData[[#This Row],[genergy]])))</f>
        <v>10^4</v>
      </c>
      <c r="X1584" t="str">
        <f>IF(OR(SeismicData[[#This Row],[genergy]]&lt;$AA$6,SeismicData[[#This Row],[genergy]]&gt;$AA$5),"Outlier","Normal")</f>
        <v>Normal</v>
      </c>
    </row>
    <row r="1585" spans="1:24" x14ac:dyDescent="0.15">
      <c r="A1585">
        <v>1584</v>
      </c>
      <c r="B1585" t="s">
        <v>20</v>
      </c>
      <c r="C1585" t="s">
        <v>23</v>
      </c>
      <c r="D1585" t="s">
        <v>21</v>
      </c>
      <c r="E1585">
        <v>19500</v>
      </c>
      <c r="F1585">
        <v>678</v>
      </c>
      <c r="G1585">
        <v>112</v>
      </c>
      <c r="H1585">
        <v>122</v>
      </c>
      <c r="I1585" t="s">
        <v>20</v>
      </c>
      <c r="J1585">
        <v>0</v>
      </c>
      <c r="K1585">
        <v>0</v>
      </c>
      <c r="L1585">
        <v>0</v>
      </c>
      <c r="M1585">
        <v>0</v>
      </c>
      <c r="N1585">
        <v>0</v>
      </c>
      <c r="O1585">
        <v>0</v>
      </c>
      <c r="P1585">
        <v>0</v>
      </c>
      <c r="Q1585">
        <v>0</v>
      </c>
      <c r="R1585">
        <v>0</v>
      </c>
      <c r="S1585">
        <v>0</v>
      </c>
      <c r="T1585">
        <v>0</v>
      </c>
      <c r="U1585" t="str">
        <f>IF(SeismicData[[#This Row],[class]]=1,"Dangerous","Safe")</f>
        <v>Safe</v>
      </c>
      <c r="V1585" t="str">
        <f>IF(SeismicData[[#This Row],[shift]]="W","Production","Non-Production")</f>
        <v>Non-Production</v>
      </c>
      <c r="W1585" t="str">
        <f>IF(SeismicData[[#This Row],[genergy]]=0,"0","10^"&amp;INT(LOG10(SeismicData[[#This Row],[genergy]])))</f>
        <v>10^4</v>
      </c>
      <c r="X1585" t="str">
        <f>IF(OR(SeismicData[[#This Row],[genergy]]&lt;$AA$6,SeismicData[[#This Row],[genergy]]&gt;$AA$5),"Outlier","Normal")</f>
        <v>Normal</v>
      </c>
    </row>
    <row r="1586" spans="1:24" x14ac:dyDescent="0.15">
      <c r="A1586">
        <v>1585</v>
      </c>
      <c r="B1586" t="s">
        <v>20</v>
      </c>
      <c r="C1586" t="s">
        <v>23</v>
      </c>
      <c r="D1586" t="s">
        <v>21</v>
      </c>
      <c r="E1586">
        <v>21780</v>
      </c>
      <c r="F1586">
        <v>944</v>
      </c>
      <c r="G1586">
        <v>136</v>
      </c>
      <c r="H1586">
        <v>209</v>
      </c>
      <c r="I1586" t="s">
        <v>20</v>
      </c>
      <c r="J1586">
        <v>0</v>
      </c>
      <c r="K1586">
        <v>0</v>
      </c>
      <c r="L1586">
        <v>0</v>
      </c>
      <c r="M1586">
        <v>0</v>
      </c>
      <c r="N1586">
        <v>0</v>
      </c>
      <c r="O1586">
        <v>0</v>
      </c>
      <c r="P1586">
        <v>0</v>
      </c>
      <c r="Q1586">
        <v>0</v>
      </c>
      <c r="R1586">
        <v>0</v>
      </c>
      <c r="S1586">
        <v>0</v>
      </c>
      <c r="T1586">
        <v>0</v>
      </c>
      <c r="U1586" t="str">
        <f>IF(SeismicData[[#This Row],[class]]=1,"Dangerous","Safe")</f>
        <v>Safe</v>
      </c>
      <c r="V1586" t="str">
        <f>IF(SeismicData[[#This Row],[shift]]="W","Production","Non-Production")</f>
        <v>Non-Production</v>
      </c>
      <c r="W1586" t="str">
        <f>IF(SeismicData[[#This Row],[genergy]]=0,"0","10^"&amp;INT(LOG10(SeismicData[[#This Row],[genergy]])))</f>
        <v>10^4</v>
      </c>
      <c r="X1586" t="str">
        <f>IF(OR(SeismicData[[#This Row],[genergy]]&lt;$AA$6,SeismicData[[#This Row],[genergy]]&gt;$AA$5),"Outlier","Normal")</f>
        <v>Normal</v>
      </c>
    </row>
    <row r="1587" spans="1:24" x14ac:dyDescent="0.15">
      <c r="A1587">
        <v>1586</v>
      </c>
      <c r="B1587" t="s">
        <v>20</v>
      </c>
      <c r="C1587" t="s">
        <v>23</v>
      </c>
      <c r="D1587" t="s">
        <v>21</v>
      </c>
      <c r="E1587">
        <v>17390</v>
      </c>
      <c r="F1587">
        <v>720</v>
      </c>
      <c r="G1587">
        <v>89</v>
      </c>
      <c r="H1587">
        <v>136</v>
      </c>
      <c r="I1587" t="s">
        <v>20</v>
      </c>
      <c r="J1587">
        <v>0</v>
      </c>
      <c r="K1587">
        <v>0</v>
      </c>
      <c r="L1587">
        <v>0</v>
      </c>
      <c r="M1587">
        <v>0</v>
      </c>
      <c r="N1587">
        <v>0</v>
      </c>
      <c r="O1587">
        <v>0</v>
      </c>
      <c r="P1587">
        <v>0</v>
      </c>
      <c r="Q1587">
        <v>0</v>
      </c>
      <c r="R1587">
        <v>0</v>
      </c>
      <c r="S1587">
        <v>0</v>
      </c>
      <c r="T1587">
        <v>0</v>
      </c>
      <c r="U1587" t="str">
        <f>IF(SeismicData[[#This Row],[class]]=1,"Dangerous","Safe")</f>
        <v>Safe</v>
      </c>
      <c r="V1587" t="str">
        <f>IF(SeismicData[[#This Row],[shift]]="W","Production","Non-Production")</f>
        <v>Non-Production</v>
      </c>
      <c r="W1587" t="str">
        <f>IF(SeismicData[[#This Row],[genergy]]=0,"0","10^"&amp;INT(LOG10(SeismicData[[#This Row],[genergy]])))</f>
        <v>10^4</v>
      </c>
      <c r="X1587" t="str">
        <f>IF(OR(SeismicData[[#This Row],[genergy]]&lt;$AA$6,SeismicData[[#This Row],[genergy]]&gt;$AA$5),"Outlier","Normal")</f>
        <v>Normal</v>
      </c>
    </row>
    <row r="1588" spans="1:24" x14ac:dyDescent="0.15">
      <c r="A1588">
        <v>1587</v>
      </c>
      <c r="B1588" t="s">
        <v>20</v>
      </c>
      <c r="C1588" t="s">
        <v>23</v>
      </c>
      <c r="D1588" t="s">
        <v>21</v>
      </c>
      <c r="E1588">
        <v>17670</v>
      </c>
      <c r="F1588">
        <v>255</v>
      </c>
      <c r="G1588">
        <v>130</v>
      </c>
      <c r="H1588">
        <v>56</v>
      </c>
      <c r="I1588" t="s">
        <v>20</v>
      </c>
      <c r="J1588">
        <v>0</v>
      </c>
      <c r="K1588">
        <v>0</v>
      </c>
      <c r="L1588">
        <v>0</v>
      </c>
      <c r="M1588">
        <v>0</v>
      </c>
      <c r="N1588">
        <v>0</v>
      </c>
      <c r="O1588">
        <v>0</v>
      </c>
      <c r="P1588">
        <v>0</v>
      </c>
      <c r="Q1588">
        <v>0</v>
      </c>
      <c r="R1588">
        <v>0</v>
      </c>
      <c r="S1588">
        <v>0</v>
      </c>
      <c r="T1588">
        <v>0</v>
      </c>
      <c r="U1588" t="str">
        <f>IF(SeismicData[[#This Row],[class]]=1,"Dangerous","Safe")</f>
        <v>Safe</v>
      </c>
      <c r="V1588" t="str">
        <f>IF(SeismicData[[#This Row],[shift]]="W","Production","Non-Production")</f>
        <v>Non-Production</v>
      </c>
      <c r="W1588" t="str">
        <f>IF(SeismicData[[#This Row],[genergy]]=0,"0","10^"&amp;INT(LOG10(SeismicData[[#This Row],[genergy]])))</f>
        <v>10^4</v>
      </c>
      <c r="X1588" t="str">
        <f>IF(OR(SeismicData[[#This Row],[genergy]]&lt;$AA$6,SeismicData[[#This Row],[genergy]]&gt;$AA$5),"Outlier","Normal")</f>
        <v>Normal</v>
      </c>
    </row>
    <row r="1589" spans="1:24" x14ac:dyDescent="0.15">
      <c r="A1589">
        <v>1588</v>
      </c>
      <c r="B1589" t="s">
        <v>20</v>
      </c>
      <c r="C1589" t="s">
        <v>23</v>
      </c>
      <c r="D1589" t="s">
        <v>21</v>
      </c>
      <c r="E1589">
        <v>16460</v>
      </c>
      <c r="F1589">
        <v>586</v>
      </c>
      <c r="G1589">
        <v>79</v>
      </c>
      <c r="H1589">
        <v>92</v>
      </c>
      <c r="I1589" t="s">
        <v>20</v>
      </c>
      <c r="J1589">
        <v>0</v>
      </c>
      <c r="K1589">
        <v>0</v>
      </c>
      <c r="L1589">
        <v>0</v>
      </c>
      <c r="M1589">
        <v>0</v>
      </c>
      <c r="N1589">
        <v>0</v>
      </c>
      <c r="O1589">
        <v>0</v>
      </c>
      <c r="P1589">
        <v>0</v>
      </c>
      <c r="Q1589">
        <v>0</v>
      </c>
      <c r="R1589">
        <v>0</v>
      </c>
      <c r="S1589">
        <v>0</v>
      </c>
      <c r="T1589">
        <v>0</v>
      </c>
      <c r="U1589" t="str">
        <f>IF(SeismicData[[#This Row],[class]]=1,"Dangerous","Safe")</f>
        <v>Safe</v>
      </c>
      <c r="V1589" t="str">
        <f>IF(SeismicData[[#This Row],[shift]]="W","Production","Non-Production")</f>
        <v>Non-Production</v>
      </c>
      <c r="W1589" t="str">
        <f>IF(SeismicData[[#This Row],[genergy]]=0,"0","10^"&amp;INT(LOG10(SeismicData[[#This Row],[genergy]])))</f>
        <v>10^4</v>
      </c>
      <c r="X1589" t="str">
        <f>IF(OR(SeismicData[[#This Row],[genergy]]&lt;$AA$6,SeismicData[[#This Row],[genergy]]&gt;$AA$5),"Outlier","Normal")</f>
        <v>Normal</v>
      </c>
    </row>
    <row r="1590" spans="1:24" x14ac:dyDescent="0.15">
      <c r="A1590">
        <v>1589</v>
      </c>
      <c r="B1590" t="s">
        <v>20</v>
      </c>
      <c r="C1590" t="s">
        <v>23</v>
      </c>
      <c r="D1590" t="s">
        <v>21</v>
      </c>
      <c r="E1590">
        <v>11240</v>
      </c>
      <c r="F1590">
        <v>554</v>
      </c>
      <c r="G1590">
        <v>22</v>
      </c>
      <c r="H1590">
        <v>82</v>
      </c>
      <c r="I1590" t="s">
        <v>20</v>
      </c>
      <c r="J1590">
        <v>0</v>
      </c>
      <c r="K1590">
        <v>0</v>
      </c>
      <c r="L1590">
        <v>0</v>
      </c>
      <c r="M1590">
        <v>0</v>
      </c>
      <c r="N1590">
        <v>0</v>
      </c>
      <c r="O1590">
        <v>0</v>
      </c>
      <c r="P1590">
        <v>0</v>
      </c>
      <c r="Q1590">
        <v>0</v>
      </c>
      <c r="R1590">
        <v>0</v>
      </c>
      <c r="S1590">
        <v>0</v>
      </c>
      <c r="T1590">
        <v>0</v>
      </c>
      <c r="U1590" t="str">
        <f>IF(SeismicData[[#This Row],[class]]=1,"Dangerous","Safe")</f>
        <v>Safe</v>
      </c>
      <c r="V1590" t="str">
        <f>IF(SeismicData[[#This Row],[shift]]="W","Production","Non-Production")</f>
        <v>Non-Production</v>
      </c>
      <c r="W1590" t="str">
        <f>IF(SeismicData[[#This Row],[genergy]]=0,"0","10^"&amp;INT(LOG10(SeismicData[[#This Row],[genergy]])))</f>
        <v>10^4</v>
      </c>
      <c r="X1590" t="str">
        <f>IF(OR(SeismicData[[#This Row],[genergy]]&lt;$AA$6,SeismicData[[#This Row],[genergy]]&gt;$AA$5),"Outlier","Normal")</f>
        <v>Normal</v>
      </c>
    </row>
    <row r="1591" spans="1:24" x14ac:dyDescent="0.15">
      <c r="A1591">
        <v>1590</v>
      </c>
      <c r="B1591" t="s">
        <v>20</v>
      </c>
      <c r="C1591" t="s">
        <v>23</v>
      </c>
      <c r="D1591" t="s">
        <v>21</v>
      </c>
      <c r="E1591">
        <v>12300</v>
      </c>
      <c r="F1591">
        <v>424</v>
      </c>
      <c r="G1591">
        <v>34</v>
      </c>
      <c r="H1591">
        <v>39</v>
      </c>
      <c r="I1591" t="s">
        <v>20</v>
      </c>
      <c r="J1591">
        <v>0</v>
      </c>
      <c r="K1591">
        <v>0</v>
      </c>
      <c r="L1591">
        <v>0</v>
      </c>
      <c r="M1591">
        <v>0</v>
      </c>
      <c r="N1591">
        <v>0</v>
      </c>
      <c r="O1591">
        <v>0</v>
      </c>
      <c r="P1591">
        <v>0</v>
      </c>
      <c r="Q1591">
        <v>0</v>
      </c>
      <c r="R1591">
        <v>0</v>
      </c>
      <c r="S1591">
        <v>0</v>
      </c>
      <c r="T1591">
        <v>0</v>
      </c>
      <c r="U1591" t="str">
        <f>IF(SeismicData[[#This Row],[class]]=1,"Dangerous","Safe")</f>
        <v>Safe</v>
      </c>
      <c r="V1591" t="str">
        <f>IF(SeismicData[[#This Row],[shift]]="W","Production","Non-Production")</f>
        <v>Non-Production</v>
      </c>
      <c r="W1591" t="str">
        <f>IF(SeismicData[[#This Row],[genergy]]=0,"0","10^"&amp;INT(LOG10(SeismicData[[#This Row],[genergy]])))</f>
        <v>10^4</v>
      </c>
      <c r="X1591" t="str">
        <f>IF(OR(SeismicData[[#This Row],[genergy]]&lt;$AA$6,SeismicData[[#This Row],[genergy]]&gt;$AA$5),"Outlier","Normal")</f>
        <v>Normal</v>
      </c>
    </row>
    <row r="1592" spans="1:24" x14ac:dyDescent="0.15">
      <c r="A1592">
        <v>1591</v>
      </c>
      <c r="B1592" t="s">
        <v>20</v>
      </c>
      <c r="C1592" t="s">
        <v>23</v>
      </c>
      <c r="D1592" t="s">
        <v>21</v>
      </c>
      <c r="E1592">
        <v>10900</v>
      </c>
      <c r="F1592">
        <v>176</v>
      </c>
      <c r="G1592">
        <v>34</v>
      </c>
      <c r="H1592">
        <v>4</v>
      </c>
      <c r="I1592" t="s">
        <v>20</v>
      </c>
      <c r="J1592">
        <v>1</v>
      </c>
      <c r="K1592">
        <v>1</v>
      </c>
      <c r="L1592">
        <v>0</v>
      </c>
      <c r="M1592">
        <v>0</v>
      </c>
      <c r="N1592">
        <v>0</v>
      </c>
      <c r="O1592">
        <v>0</v>
      </c>
      <c r="P1592">
        <v>0</v>
      </c>
      <c r="Q1592">
        <v>0</v>
      </c>
      <c r="R1592">
        <v>700</v>
      </c>
      <c r="S1592">
        <v>700</v>
      </c>
      <c r="T1592">
        <v>0</v>
      </c>
      <c r="U1592" t="str">
        <f>IF(SeismicData[[#This Row],[class]]=1,"Dangerous","Safe")</f>
        <v>Safe</v>
      </c>
      <c r="V1592" t="str">
        <f>IF(SeismicData[[#This Row],[shift]]="W","Production","Non-Production")</f>
        <v>Non-Production</v>
      </c>
      <c r="W1592" t="str">
        <f>IF(SeismicData[[#This Row],[genergy]]=0,"0","10^"&amp;INT(LOG10(SeismicData[[#This Row],[genergy]])))</f>
        <v>10^4</v>
      </c>
      <c r="X1592" t="str">
        <f>IF(OR(SeismicData[[#This Row],[genergy]]&lt;$AA$6,SeismicData[[#This Row],[genergy]]&gt;$AA$5),"Outlier","Normal")</f>
        <v>Normal</v>
      </c>
    </row>
    <row r="1593" spans="1:24" x14ac:dyDescent="0.15">
      <c r="A1593">
        <v>1592</v>
      </c>
      <c r="B1593" t="s">
        <v>20</v>
      </c>
      <c r="C1593" t="s">
        <v>23</v>
      </c>
      <c r="D1593" t="s">
        <v>21</v>
      </c>
      <c r="E1593">
        <v>11230</v>
      </c>
      <c r="F1593">
        <v>383</v>
      </c>
      <c r="G1593">
        <v>19</v>
      </c>
      <c r="H1593">
        <v>22</v>
      </c>
      <c r="I1593" t="s">
        <v>20</v>
      </c>
      <c r="J1593">
        <v>0</v>
      </c>
      <c r="K1593">
        <v>0</v>
      </c>
      <c r="L1593">
        <v>0</v>
      </c>
      <c r="M1593">
        <v>0</v>
      </c>
      <c r="N1593">
        <v>0</v>
      </c>
      <c r="O1593">
        <v>0</v>
      </c>
      <c r="P1593">
        <v>0</v>
      </c>
      <c r="Q1593">
        <v>0</v>
      </c>
      <c r="R1593">
        <v>0</v>
      </c>
      <c r="S1593">
        <v>0</v>
      </c>
      <c r="T1593">
        <v>0</v>
      </c>
      <c r="U1593" t="str">
        <f>IF(SeismicData[[#This Row],[class]]=1,"Dangerous","Safe")</f>
        <v>Safe</v>
      </c>
      <c r="V1593" t="str">
        <f>IF(SeismicData[[#This Row],[shift]]="W","Production","Non-Production")</f>
        <v>Non-Production</v>
      </c>
      <c r="W1593" t="str">
        <f>IF(SeismicData[[#This Row],[genergy]]=0,"0","10^"&amp;INT(LOG10(SeismicData[[#This Row],[genergy]])))</f>
        <v>10^4</v>
      </c>
      <c r="X1593" t="str">
        <f>IF(OR(SeismicData[[#This Row],[genergy]]&lt;$AA$6,SeismicData[[#This Row],[genergy]]&gt;$AA$5),"Outlier","Normal")</f>
        <v>Normal</v>
      </c>
    </row>
    <row r="1594" spans="1:24" x14ac:dyDescent="0.15">
      <c r="A1594">
        <v>1593</v>
      </c>
      <c r="B1594" t="s">
        <v>20</v>
      </c>
      <c r="C1594" t="s">
        <v>23</v>
      </c>
      <c r="D1594" t="s">
        <v>21</v>
      </c>
      <c r="E1594">
        <v>9870</v>
      </c>
      <c r="F1594">
        <v>360</v>
      </c>
      <c r="G1594">
        <v>5</v>
      </c>
      <c r="H1594">
        <v>14</v>
      </c>
      <c r="I1594" t="s">
        <v>20</v>
      </c>
      <c r="J1594">
        <v>0</v>
      </c>
      <c r="K1594">
        <v>0</v>
      </c>
      <c r="L1594">
        <v>0</v>
      </c>
      <c r="M1594">
        <v>0</v>
      </c>
      <c r="N1594">
        <v>0</v>
      </c>
      <c r="O1594">
        <v>0</v>
      </c>
      <c r="P1594">
        <v>0</v>
      </c>
      <c r="Q1594">
        <v>0</v>
      </c>
      <c r="R1594">
        <v>0</v>
      </c>
      <c r="S1594">
        <v>0</v>
      </c>
      <c r="T1594">
        <v>0</v>
      </c>
      <c r="U1594" t="str">
        <f>IF(SeismicData[[#This Row],[class]]=1,"Dangerous","Safe")</f>
        <v>Safe</v>
      </c>
      <c r="V1594" t="str">
        <f>IF(SeismicData[[#This Row],[shift]]="W","Production","Non-Production")</f>
        <v>Non-Production</v>
      </c>
      <c r="W1594" t="str">
        <f>IF(SeismicData[[#This Row],[genergy]]=0,"0","10^"&amp;INT(LOG10(SeismicData[[#This Row],[genergy]])))</f>
        <v>10^3</v>
      </c>
      <c r="X1594" t="str">
        <f>IF(OR(SeismicData[[#This Row],[genergy]]&lt;$AA$6,SeismicData[[#This Row],[genergy]]&gt;$AA$5),"Outlier","Normal")</f>
        <v>Normal</v>
      </c>
    </row>
    <row r="1595" spans="1:24" x14ac:dyDescent="0.15">
      <c r="A1595">
        <v>1594</v>
      </c>
      <c r="B1595" t="s">
        <v>20</v>
      </c>
      <c r="C1595" t="s">
        <v>23</v>
      </c>
      <c r="D1595" t="s">
        <v>21</v>
      </c>
      <c r="E1595">
        <v>9450</v>
      </c>
      <c r="F1595">
        <v>325</v>
      </c>
      <c r="G1595">
        <v>0</v>
      </c>
      <c r="H1595">
        <v>3</v>
      </c>
      <c r="I1595" t="s">
        <v>20</v>
      </c>
      <c r="J1595">
        <v>0</v>
      </c>
      <c r="K1595">
        <v>0</v>
      </c>
      <c r="L1595">
        <v>0</v>
      </c>
      <c r="M1595">
        <v>0</v>
      </c>
      <c r="N1595">
        <v>0</v>
      </c>
      <c r="O1595">
        <v>0</v>
      </c>
      <c r="P1595">
        <v>0</v>
      </c>
      <c r="Q1595">
        <v>0</v>
      </c>
      <c r="R1595">
        <v>0</v>
      </c>
      <c r="S1595">
        <v>0</v>
      </c>
      <c r="T1595">
        <v>0</v>
      </c>
      <c r="U1595" t="str">
        <f>IF(SeismicData[[#This Row],[class]]=1,"Dangerous","Safe")</f>
        <v>Safe</v>
      </c>
      <c r="V1595" t="str">
        <f>IF(SeismicData[[#This Row],[shift]]="W","Production","Non-Production")</f>
        <v>Non-Production</v>
      </c>
      <c r="W1595" t="str">
        <f>IF(SeismicData[[#This Row],[genergy]]=0,"0","10^"&amp;INT(LOG10(SeismicData[[#This Row],[genergy]])))</f>
        <v>10^3</v>
      </c>
      <c r="X1595" t="str">
        <f>IF(OR(SeismicData[[#This Row],[genergy]]&lt;$AA$6,SeismicData[[#This Row],[genergy]]&gt;$AA$5),"Outlier","Normal")</f>
        <v>Normal</v>
      </c>
    </row>
    <row r="1596" spans="1:24" x14ac:dyDescent="0.15">
      <c r="A1596">
        <v>1595</v>
      </c>
      <c r="B1596" t="s">
        <v>20</v>
      </c>
      <c r="C1596" t="s">
        <v>23</v>
      </c>
      <c r="D1596" t="s">
        <v>21</v>
      </c>
      <c r="E1596">
        <v>6330</v>
      </c>
      <c r="F1596">
        <v>327</v>
      </c>
      <c r="G1596">
        <v>-33</v>
      </c>
      <c r="H1596">
        <v>4</v>
      </c>
      <c r="I1596" t="s">
        <v>20</v>
      </c>
      <c r="J1596">
        <v>0</v>
      </c>
      <c r="K1596">
        <v>0</v>
      </c>
      <c r="L1596">
        <v>0</v>
      </c>
      <c r="M1596">
        <v>0</v>
      </c>
      <c r="N1596">
        <v>0</v>
      </c>
      <c r="O1596">
        <v>0</v>
      </c>
      <c r="P1596">
        <v>0</v>
      </c>
      <c r="Q1596">
        <v>0</v>
      </c>
      <c r="R1596">
        <v>0</v>
      </c>
      <c r="S1596">
        <v>0</v>
      </c>
      <c r="T1596">
        <v>0</v>
      </c>
      <c r="U1596" t="str">
        <f>IF(SeismicData[[#This Row],[class]]=1,"Dangerous","Safe")</f>
        <v>Safe</v>
      </c>
      <c r="V1596" t="str">
        <f>IF(SeismicData[[#This Row],[shift]]="W","Production","Non-Production")</f>
        <v>Non-Production</v>
      </c>
      <c r="W1596" t="str">
        <f>IF(SeismicData[[#This Row],[genergy]]=0,"0","10^"&amp;INT(LOG10(SeismicData[[#This Row],[genergy]])))</f>
        <v>10^3</v>
      </c>
      <c r="X1596" t="str">
        <f>IF(OR(SeismicData[[#This Row],[genergy]]&lt;$AA$6,SeismicData[[#This Row],[genergy]]&gt;$AA$5),"Outlier","Normal")</f>
        <v>Normal</v>
      </c>
    </row>
    <row r="1597" spans="1:24" x14ac:dyDescent="0.15">
      <c r="A1597">
        <v>1596</v>
      </c>
      <c r="B1597" t="s">
        <v>20</v>
      </c>
      <c r="C1597" t="s">
        <v>23</v>
      </c>
      <c r="D1597" t="s">
        <v>21</v>
      </c>
      <c r="E1597">
        <v>14040</v>
      </c>
      <c r="F1597">
        <v>408</v>
      </c>
      <c r="G1597">
        <v>49</v>
      </c>
      <c r="H1597">
        <v>29</v>
      </c>
      <c r="I1597" t="s">
        <v>20</v>
      </c>
      <c r="J1597">
        <v>0</v>
      </c>
      <c r="K1597">
        <v>0</v>
      </c>
      <c r="L1597">
        <v>0</v>
      </c>
      <c r="M1597">
        <v>0</v>
      </c>
      <c r="N1597">
        <v>0</v>
      </c>
      <c r="O1597">
        <v>0</v>
      </c>
      <c r="P1597">
        <v>0</v>
      </c>
      <c r="Q1597">
        <v>0</v>
      </c>
      <c r="R1597">
        <v>0</v>
      </c>
      <c r="S1597">
        <v>0</v>
      </c>
      <c r="T1597">
        <v>0</v>
      </c>
      <c r="U1597" t="str">
        <f>IF(SeismicData[[#This Row],[class]]=1,"Dangerous","Safe")</f>
        <v>Safe</v>
      </c>
      <c r="V1597" t="str">
        <f>IF(SeismicData[[#This Row],[shift]]="W","Production","Non-Production")</f>
        <v>Non-Production</v>
      </c>
      <c r="W1597" t="str">
        <f>IF(SeismicData[[#This Row],[genergy]]=0,"0","10^"&amp;INT(LOG10(SeismicData[[#This Row],[genergy]])))</f>
        <v>10^4</v>
      </c>
      <c r="X1597" t="str">
        <f>IF(OR(SeismicData[[#This Row],[genergy]]&lt;$AA$6,SeismicData[[#This Row],[genergy]]&gt;$AA$5),"Outlier","Normal")</f>
        <v>Normal</v>
      </c>
    </row>
    <row r="1598" spans="1:24" x14ac:dyDescent="0.15">
      <c r="A1598">
        <v>1597</v>
      </c>
      <c r="B1598" t="s">
        <v>20</v>
      </c>
      <c r="C1598" t="s">
        <v>23</v>
      </c>
      <c r="D1598" t="s">
        <v>21</v>
      </c>
      <c r="E1598">
        <v>12290</v>
      </c>
      <c r="F1598">
        <v>471</v>
      </c>
      <c r="G1598">
        <v>30</v>
      </c>
      <c r="H1598">
        <v>49</v>
      </c>
      <c r="I1598" t="s">
        <v>20</v>
      </c>
      <c r="J1598">
        <v>1</v>
      </c>
      <c r="K1598">
        <v>1</v>
      </c>
      <c r="L1598">
        <v>0</v>
      </c>
      <c r="M1598">
        <v>0</v>
      </c>
      <c r="N1598">
        <v>0</v>
      </c>
      <c r="O1598">
        <v>0</v>
      </c>
      <c r="P1598">
        <v>0</v>
      </c>
      <c r="Q1598">
        <v>0</v>
      </c>
      <c r="R1598">
        <v>500</v>
      </c>
      <c r="S1598">
        <v>500</v>
      </c>
      <c r="T1598">
        <v>0</v>
      </c>
      <c r="U1598" t="str">
        <f>IF(SeismicData[[#This Row],[class]]=1,"Dangerous","Safe")</f>
        <v>Safe</v>
      </c>
      <c r="V1598" t="str">
        <f>IF(SeismicData[[#This Row],[shift]]="W","Production","Non-Production")</f>
        <v>Non-Production</v>
      </c>
      <c r="W1598" t="str">
        <f>IF(SeismicData[[#This Row],[genergy]]=0,"0","10^"&amp;INT(LOG10(SeismicData[[#This Row],[genergy]])))</f>
        <v>10^4</v>
      </c>
      <c r="X1598" t="str">
        <f>IF(OR(SeismicData[[#This Row],[genergy]]&lt;$AA$6,SeismicData[[#This Row],[genergy]]&gt;$AA$5),"Outlier","Normal")</f>
        <v>Normal</v>
      </c>
    </row>
    <row r="1599" spans="1:24" x14ac:dyDescent="0.15">
      <c r="A1599">
        <v>1598</v>
      </c>
      <c r="B1599" t="s">
        <v>20</v>
      </c>
      <c r="C1599" t="s">
        <v>23</v>
      </c>
      <c r="D1599" t="s">
        <v>21</v>
      </c>
      <c r="E1599">
        <v>8190</v>
      </c>
      <c r="F1599">
        <v>325</v>
      </c>
      <c r="G1599">
        <v>-13</v>
      </c>
      <c r="H1599">
        <v>3</v>
      </c>
      <c r="I1599" t="s">
        <v>20</v>
      </c>
      <c r="J1599">
        <v>0</v>
      </c>
      <c r="K1599">
        <v>0</v>
      </c>
      <c r="L1599">
        <v>0</v>
      </c>
      <c r="M1599">
        <v>0</v>
      </c>
      <c r="N1599">
        <v>0</v>
      </c>
      <c r="O1599">
        <v>0</v>
      </c>
      <c r="P1599">
        <v>0</v>
      </c>
      <c r="Q1599">
        <v>0</v>
      </c>
      <c r="R1599">
        <v>0</v>
      </c>
      <c r="S1599">
        <v>0</v>
      </c>
      <c r="T1599">
        <v>0</v>
      </c>
      <c r="U1599" t="str">
        <f>IF(SeismicData[[#This Row],[class]]=1,"Dangerous","Safe")</f>
        <v>Safe</v>
      </c>
      <c r="V1599" t="str">
        <f>IF(SeismicData[[#This Row],[shift]]="W","Production","Non-Production")</f>
        <v>Non-Production</v>
      </c>
      <c r="W1599" t="str">
        <f>IF(SeismicData[[#This Row],[genergy]]=0,"0","10^"&amp;INT(LOG10(SeismicData[[#This Row],[genergy]])))</f>
        <v>10^3</v>
      </c>
      <c r="X1599" t="str">
        <f>IF(OR(SeismicData[[#This Row],[genergy]]&lt;$AA$6,SeismicData[[#This Row],[genergy]]&gt;$AA$5),"Outlier","Normal")</f>
        <v>Normal</v>
      </c>
    </row>
    <row r="1600" spans="1:24" x14ac:dyDescent="0.15">
      <c r="A1600">
        <v>1599</v>
      </c>
      <c r="B1600" t="s">
        <v>20</v>
      </c>
      <c r="C1600" t="s">
        <v>20</v>
      </c>
      <c r="D1600" t="s">
        <v>21</v>
      </c>
      <c r="E1600">
        <v>8390</v>
      </c>
      <c r="F1600">
        <v>33</v>
      </c>
      <c r="G1600">
        <v>262</v>
      </c>
      <c r="H1600">
        <v>-65</v>
      </c>
      <c r="I1600" t="s">
        <v>20</v>
      </c>
      <c r="J1600">
        <v>0</v>
      </c>
      <c r="K1600">
        <v>0</v>
      </c>
      <c r="L1600">
        <v>0</v>
      </c>
      <c r="M1600">
        <v>0</v>
      </c>
      <c r="N1600">
        <v>0</v>
      </c>
      <c r="O1600">
        <v>0</v>
      </c>
      <c r="P1600">
        <v>0</v>
      </c>
      <c r="Q1600">
        <v>0</v>
      </c>
      <c r="R1600">
        <v>0</v>
      </c>
      <c r="S1600">
        <v>0</v>
      </c>
      <c r="T1600">
        <v>0</v>
      </c>
      <c r="U1600" t="str">
        <f>IF(SeismicData[[#This Row],[class]]=1,"Dangerous","Safe")</f>
        <v>Safe</v>
      </c>
      <c r="V1600" t="str">
        <f>IF(SeismicData[[#This Row],[shift]]="W","Production","Non-Production")</f>
        <v>Non-Production</v>
      </c>
      <c r="W1600" t="str">
        <f>IF(SeismicData[[#This Row],[genergy]]=0,"0","10^"&amp;INT(LOG10(SeismicData[[#This Row],[genergy]])))</f>
        <v>10^3</v>
      </c>
      <c r="X1600" t="str">
        <f>IF(OR(SeismicData[[#This Row],[genergy]]&lt;$AA$6,SeismicData[[#This Row],[genergy]]&gt;$AA$5),"Outlier","Normal")</f>
        <v>Normal</v>
      </c>
    </row>
    <row r="1601" spans="1:24" x14ac:dyDescent="0.15">
      <c r="A1601">
        <v>1600</v>
      </c>
      <c r="B1601" t="s">
        <v>20</v>
      </c>
      <c r="C1601" t="s">
        <v>20</v>
      </c>
      <c r="D1601" t="s">
        <v>21</v>
      </c>
      <c r="E1601">
        <v>5890</v>
      </c>
      <c r="F1601">
        <v>301</v>
      </c>
      <c r="G1601">
        <v>-43</v>
      </c>
      <c r="H1601">
        <v>-13</v>
      </c>
      <c r="I1601" t="s">
        <v>20</v>
      </c>
      <c r="J1601">
        <v>0</v>
      </c>
      <c r="K1601">
        <v>0</v>
      </c>
      <c r="L1601">
        <v>0</v>
      </c>
      <c r="M1601">
        <v>0</v>
      </c>
      <c r="N1601">
        <v>0</v>
      </c>
      <c r="O1601">
        <v>0</v>
      </c>
      <c r="P1601">
        <v>0</v>
      </c>
      <c r="Q1601">
        <v>0</v>
      </c>
      <c r="R1601">
        <v>0</v>
      </c>
      <c r="S1601">
        <v>0</v>
      </c>
      <c r="T1601">
        <v>0</v>
      </c>
      <c r="U1601" t="str">
        <f>IF(SeismicData[[#This Row],[class]]=1,"Dangerous","Safe")</f>
        <v>Safe</v>
      </c>
      <c r="V1601" t="str">
        <f>IF(SeismicData[[#This Row],[shift]]="W","Production","Non-Production")</f>
        <v>Non-Production</v>
      </c>
      <c r="W1601" t="str">
        <f>IF(SeismicData[[#This Row],[genergy]]=0,"0","10^"&amp;INT(LOG10(SeismicData[[#This Row],[genergy]])))</f>
        <v>10^3</v>
      </c>
      <c r="X1601" t="str">
        <f>IF(OR(SeismicData[[#This Row],[genergy]]&lt;$AA$6,SeismicData[[#This Row],[genergy]]&gt;$AA$5),"Outlier","Normal")</f>
        <v>Normal</v>
      </c>
    </row>
    <row r="1602" spans="1:24" x14ac:dyDescent="0.15">
      <c r="A1602">
        <v>1601</v>
      </c>
      <c r="B1602" t="s">
        <v>20</v>
      </c>
      <c r="C1602" t="s">
        <v>20</v>
      </c>
      <c r="D1602" t="s">
        <v>21</v>
      </c>
      <c r="E1602">
        <v>4030</v>
      </c>
      <c r="F1602">
        <v>262</v>
      </c>
      <c r="G1602">
        <v>-61</v>
      </c>
      <c r="H1602">
        <v>-24</v>
      </c>
      <c r="I1602" t="s">
        <v>20</v>
      </c>
      <c r="J1602">
        <v>0</v>
      </c>
      <c r="K1602">
        <v>0</v>
      </c>
      <c r="L1602">
        <v>0</v>
      </c>
      <c r="M1602">
        <v>0</v>
      </c>
      <c r="N1602">
        <v>0</v>
      </c>
      <c r="O1602">
        <v>0</v>
      </c>
      <c r="P1602">
        <v>0</v>
      </c>
      <c r="Q1602">
        <v>0</v>
      </c>
      <c r="R1602">
        <v>0</v>
      </c>
      <c r="S1602">
        <v>0</v>
      </c>
      <c r="T1602">
        <v>0</v>
      </c>
      <c r="U1602" t="str">
        <f>IF(SeismicData[[#This Row],[class]]=1,"Dangerous","Safe")</f>
        <v>Safe</v>
      </c>
      <c r="V1602" t="str">
        <f>IF(SeismicData[[#This Row],[shift]]="W","Production","Non-Production")</f>
        <v>Non-Production</v>
      </c>
      <c r="W1602" t="str">
        <f>IF(SeismicData[[#This Row],[genergy]]=0,"0","10^"&amp;INT(LOG10(SeismicData[[#This Row],[genergy]])))</f>
        <v>10^3</v>
      </c>
      <c r="X1602" t="str">
        <f>IF(OR(SeismicData[[#This Row],[genergy]]&lt;$AA$6,SeismicData[[#This Row],[genergy]]&gt;$AA$5),"Outlier","Normal")</f>
        <v>Normal</v>
      </c>
    </row>
    <row r="1603" spans="1:24" x14ac:dyDescent="0.15">
      <c r="A1603">
        <v>1602</v>
      </c>
      <c r="B1603" t="s">
        <v>20</v>
      </c>
      <c r="C1603" t="s">
        <v>20</v>
      </c>
      <c r="D1603" t="s">
        <v>21</v>
      </c>
      <c r="E1603">
        <v>7920</v>
      </c>
      <c r="F1603">
        <v>248</v>
      </c>
      <c r="G1603">
        <v>-23</v>
      </c>
      <c r="H1603">
        <v>-28</v>
      </c>
      <c r="I1603" t="s">
        <v>20</v>
      </c>
      <c r="J1603">
        <v>0</v>
      </c>
      <c r="K1603">
        <v>0</v>
      </c>
      <c r="L1603">
        <v>0</v>
      </c>
      <c r="M1603">
        <v>0</v>
      </c>
      <c r="N1603">
        <v>0</v>
      </c>
      <c r="O1603">
        <v>0</v>
      </c>
      <c r="P1603">
        <v>0</v>
      </c>
      <c r="Q1603">
        <v>0</v>
      </c>
      <c r="R1603">
        <v>0</v>
      </c>
      <c r="S1603">
        <v>0</v>
      </c>
      <c r="T1603">
        <v>0</v>
      </c>
      <c r="U1603" t="str">
        <f>IF(SeismicData[[#This Row],[class]]=1,"Dangerous","Safe")</f>
        <v>Safe</v>
      </c>
      <c r="V1603" t="str">
        <f>IF(SeismicData[[#This Row],[shift]]="W","Production","Non-Production")</f>
        <v>Non-Production</v>
      </c>
      <c r="W1603" t="str">
        <f>IF(SeismicData[[#This Row],[genergy]]=0,"0","10^"&amp;INT(LOG10(SeismicData[[#This Row],[genergy]])))</f>
        <v>10^3</v>
      </c>
      <c r="X1603" t="str">
        <f>IF(OR(SeismicData[[#This Row],[genergy]]&lt;$AA$6,SeismicData[[#This Row],[genergy]]&gt;$AA$5),"Outlier","Normal")</f>
        <v>Normal</v>
      </c>
    </row>
    <row r="1604" spans="1:24" x14ac:dyDescent="0.15">
      <c r="A1604">
        <v>1603</v>
      </c>
      <c r="B1604" t="s">
        <v>20</v>
      </c>
      <c r="C1604" t="s">
        <v>20</v>
      </c>
      <c r="D1604" t="s">
        <v>21</v>
      </c>
      <c r="E1604">
        <v>6010</v>
      </c>
      <c r="F1604">
        <v>215</v>
      </c>
      <c r="G1604">
        <v>-41</v>
      </c>
      <c r="H1604">
        <v>-38</v>
      </c>
      <c r="I1604" t="s">
        <v>20</v>
      </c>
      <c r="J1604">
        <v>0</v>
      </c>
      <c r="K1604">
        <v>0</v>
      </c>
      <c r="L1604">
        <v>0</v>
      </c>
      <c r="M1604">
        <v>0</v>
      </c>
      <c r="N1604">
        <v>0</v>
      </c>
      <c r="O1604">
        <v>0</v>
      </c>
      <c r="P1604">
        <v>0</v>
      </c>
      <c r="Q1604">
        <v>0</v>
      </c>
      <c r="R1604">
        <v>0</v>
      </c>
      <c r="S1604">
        <v>0</v>
      </c>
      <c r="T1604">
        <v>0</v>
      </c>
      <c r="U1604" t="str">
        <f>IF(SeismicData[[#This Row],[class]]=1,"Dangerous","Safe")</f>
        <v>Safe</v>
      </c>
      <c r="V1604" t="str">
        <f>IF(SeismicData[[#This Row],[shift]]="W","Production","Non-Production")</f>
        <v>Non-Production</v>
      </c>
      <c r="W1604" t="str">
        <f>IF(SeismicData[[#This Row],[genergy]]=0,"0","10^"&amp;INT(LOG10(SeismicData[[#This Row],[genergy]])))</f>
        <v>10^3</v>
      </c>
      <c r="X1604" t="str">
        <f>IF(OR(SeismicData[[#This Row],[genergy]]&lt;$AA$6,SeismicData[[#This Row],[genergy]]&gt;$AA$5),"Outlier","Normal")</f>
        <v>Normal</v>
      </c>
    </row>
    <row r="1605" spans="1:24" x14ac:dyDescent="0.15">
      <c r="A1605">
        <v>1604</v>
      </c>
      <c r="B1605" t="s">
        <v>20</v>
      </c>
      <c r="C1605" t="s">
        <v>20</v>
      </c>
      <c r="D1605" t="s">
        <v>21</v>
      </c>
      <c r="E1605">
        <v>8780</v>
      </c>
      <c r="F1605">
        <v>178</v>
      </c>
      <c r="G1605">
        <v>279</v>
      </c>
      <c r="H1605">
        <v>91</v>
      </c>
      <c r="I1605" t="s">
        <v>20</v>
      </c>
      <c r="J1605">
        <v>0</v>
      </c>
      <c r="K1605">
        <v>0</v>
      </c>
      <c r="L1605">
        <v>0</v>
      </c>
      <c r="M1605">
        <v>0</v>
      </c>
      <c r="N1605">
        <v>0</v>
      </c>
      <c r="O1605">
        <v>0</v>
      </c>
      <c r="P1605">
        <v>0</v>
      </c>
      <c r="Q1605">
        <v>0</v>
      </c>
      <c r="R1605">
        <v>0</v>
      </c>
      <c r="S1605">
        <v>0</v>
      </c>
      <c r="T1605">
        <v>0</v>
      </c>
      <c r="U1605" t="str">
        <f>IF(SeismicData[[#This Row],[class]]=1,"Dangerous","Safe")</f>
        <v>Safe</v>
      </c>
      <c r="V1605" t="str">
        <f>IF(SeismicData[[#This Row],[shift]]="W","Production","Non-Production")</f>
        <v>Non-Production</v>
      </c>
      <c r="W1605" t="str">
        <f>IF(SeismicData[[#This Row],[genergy]]=0,"0","10^"&amp;INT(LOG10(SeismicData[[#This Row],[genergy]])))</f>
        <v>10^3</v>
      </c>
      <c r="X1605" t="str">
        <f>IF(OR(SeismicData[[#This Row],[genergy]]&lt;$AA$6,SeismicData[[#This Row],[genergy]]&gt;$AA$5),"Outlier","Normal")</f>
        <v>Normal</v>
      </c>
    </row>
    <row r="1606" spans="1:24" x14ac:dyDescent="0.15">
      <c r="A1606">
        <v>1605</v>
      </c>
      <c r="B1606" t="s">
        <v>20</v>
      </c>
      <c r="C1606" t="s">
        <v>20</v>
      </c>
      <c r="D1606" t="s">
        <v>21</v>
      </c>
      <c r="E1606">
        <v>9150</v>
      </c>
      <c r="F1606">
        <v>257</v>
      </c>
      <c r="G1606">
        <v>-11</v>
      </c>
      <c r="H1606">
        <v>-26</v>
      </c>
      <c r="I1606" t="s">
        <v>20</v>
      </c>
      <c r="J1606">
        <v>0</v>
      </c>
      <c r="K1606">
        <v>0</v>
      </c>
      <c r="L1606">
        <v>0</v>
      </c>
      <c r="M1606">
        <v>0</v>
      </c>
      <c r="N1606">
        <v>0</v>
      </c>
      <c r="O1606">
        <v>0</v>
      </c>
      <c r="P1606">
        <v>0</v>
      </c>
      <c r="Q1606">
        <v>0</v>
      </c>
      <c r="R1606">
        <v>0</v>
      </c>
      <c r="S1606">
        <v>0</v>
      </c>
      <c r="T1606">
        <v>0</v>
      </c>
      <c r="U1606" t="str">
        <f>IF(SeismicData[[#This Row],[class]]=1,"Dangerous","Safe")</f>
        <v>Safe</v>
      </c>
      <c r="V1606" t="str">
        <f>IF(SeismicData[[#This Row],[shift]]="W","Production","Non-Production")</f>
        <v>Non-Production</v>
      </c>
      <c r="W1606" t="str">
        <f>IF(SeismicData[[#This Row],[genergy]]=0,"0","10^"&amp;INT(LOG10(SeismicData[[#This Row],[genergy]])))</f>
        <v>10^3</v>
      </c>
      <c r="X1606" t="str">
        <f>IF(OR(SeismicData[[#This Row],[genergy]]&lt;$AA$6,SeismicData[[#This Row],[genergy]]&gt;$AA$5),"Outlier","Normal")</f>
        <v>Normal</v>
      </c>
    </row>
    <row r="1607" spans="1:24" x14ac:dyDescent="0.15">
      <c r="A1607">
        <v>1606</v>
      </c>
      <c r="B1607" t="s">
        <v>20</v>
      </c>
      <c r="C1607" t="s">
        <v>20</v>
      </c>
      <c r="D1607" t="s">
        <v>21</v>
      </c>
      <c r="E1607">
        <v>7240</v>
      </c>
      <c r="F1607">
        <v>295</v>
      </c>
      <c r="G1607">
        <v>-29</v>
      </c>
      <c r="H1607">
        <v>-14</v>
      </c>
      <c r="I1607" t="s">
        <v>20</v>
      </c>
      <c r="J1607">
        <v>0</v>
      </c>
      <c r="K1607">
        <v>0</v>
      </c>
      <c r="L1607">
        <v>0</v>
      </c>
      <c r="M1607">
        <v>0</v>
      </c>
      <c r="N1607">
        <v>0</v>
      </c>
      <c r="O1607">
        <v>0</v>
      </c>
      <c r="P1607">
        <v>0</v>
      </c>
      <c r="Q1607">
        <v>0</v>
      </c>
      <c r="R1607">
        <v>0</v>
      </c>
      <c r="S1607">
        <v>0</v>
      </c>
      <c r="T1607">
        <v>0</v>
      </c>
      <c r="U1607" t="str">
        <f>IF(SeismicData[[#This Row],[class]]=1,"Dangerous","Safe")</f>
        <v>Safe</v>
      </c>
      <c r="V1607" t="str">
        <f>IF(SeismicData[[#This Row],[shift]]="W","Production","Non-Production")</f>
        <v>Non-Production</v>
      </c>
      <c r="W1607" t="str">
        <f>IF(SeismicData[[#This Row],[genergy]]=0,"0","10^"&amp;INT(LOG10(SeismicData[[#This Row],[genergy]])))</f>
        <v>10^3</v>
      </c>
      <c r="X1607" t="str">
        <f>IF(OR(SeismicData[[#This Row],[genergy]]&lt;$AA$6,SeismicData[[#This Row],[genergy]]&gt;$AA$5),"Outlier","Normal")</f>
        <v>Normal</v>
      </c>
    </row>
    <row r="1608" spans="1:24" x14ac:dyDescent="0.15">
      <c r="A1608">
        <v>1607</v>
      </c>
      <c r="B1608" t="s">
        <v>20</v>
      </c>
      <c r="C1608" t="s">
        <v>20</v>
      </c>
      <c r="D1608" t="s">
        <v>21</v>
      </c>
      <c r="E1608">
        <v>6260</v>
      </c>
      <c r="F1608">
        <v>98</v>
      </c>
      <c r="G1608">
        <v>-26</v>
      </c>
      <c r="H1608">
        <v>-42</v>
      </c>
      <c r="I1608" t="s">
        <v>20</v>
      </c>
      <c r="J1608">
        <v>0</v>
      </c>
      <c r="K1608">
        <v>0</v>
      </c>
      <c r="L1608">
        <v>0</v>
      </c>
      <c r="M1608">
        <v>0</v>
      </c>
      <c r="N1608">
        <v>0</v>
      </c>
      <c r="O1608">
        <v>0</v>
      </c>
      <c r="P1608">
        <v>0</v>
      </c>
      <c r="Q1608">
        <v>0</v>
      </c>
      <c r="R1608">
        <v>0</v>
      </c>
      <c r="S1608">
        <v>0</v>
      </c>
      <c r="T1608">
        <v>0</v>
      </c>
      <c r="U1608" t="str">
        <f>IF(SeismicData[[#This Row],[class]]=1,"Dangerous","Safe")</f>
        <v>Safe</v>
      </c>
      <c r="V1608" t="str">
        <f>IF(SeismicData[[#This Row],[shift]]="W","Production","Non-Production")</f>
        <v>Non-Production</v>
      </c>
      <c r="W1608" t="str">
        <f>IF(SeismicData[[#This Row],[genergy]]=0,"0","10^"&amp;INT(LOG10(SeismicData[[#This Row],[genergy]])))</f>
        <v>10^3</v>
      </c>
      <c r="X1608" t="str">
        <f>IF(OR(SeismicData[[#This Row],[genergy]]&lt;$AA$6,SeismicData[[#This Row],[genergy]]&gt;$AA$5),"Outlier","Normal")</f>
        <v>Normal</v>
      </c>
    </row>
    <row r="1609" spans="1:24" x14ac:dyDescent="0.15">
      <c r="A1609">
        <v>1608</v>
      </c>
      <c r="B1609" t="s">
        <v>20</v>
      </c>
      <c r="C1609" t="s">
        <v>20</v>
      </c>
      <c r="D1609" t="s">
        <v>21</v>
      </c>
      <c r="E1609">
        <v>7460</v>
      </c>
      <c r="F1609">
        <v>240</v>
      </c>
      <c r="G1609">
        <v>-28</v>
      </c>
      <c r="H1609">
        <v>-32</v>
      </c>
      <c r="I1609" t="s">
        <v>20</v>
      </c>
      <c r="J1609">
        <v>0</v>
      </c>
      <c r="K1609">
        <v>0</v>
      </c>
      <c r="L1609">
        <v>0</v>
      </c>
      <c r="M1609">
        <v>0</v>
      </c>
      <c r="N1609">
        <v>0</v>
      </c>
      <c r="O1609">
        <v>0</v>
      </c>
      <c r="P1609">
        <v>0</v>
      </c>
      <c r="Q1609">
        <v>0</v>
      </c>
      <c r="R1609">
        <v>0</v>
      </c>
      <c r="S1609">
        <v>0</v>
      </c>
      <c r="T1609">
        <v>0</v>
      </c>
      <c r="U1609" t="str">
        <f>IF(SeismicData[[#This Row],[class]]=1,"Dangerous","Safe")</f>
        <v>Safe</v>
      </c>
      <c r="V1609" t="str">
        <f>IF(SeismicData[[#This Row],[shift]]="W","Production","Non-Production")</f>
        <v>Non-Production</v>
      </c>
      <c r="W1609" t="str">
        <f>IF(SeismicData[[#This Row],[genergy]]=0,"0","10^"&amp;INT(LOG10(SeismicData[[#This Row],[genergy]])))</f>
        <v>10^3</v>
      </c>
      <c r="X1609" t="str">
        <f>IF(OR(SeismicData[[#This Row],[genergy]]&lt;$AA$6,SeismicData[[#This Row],[genergy]]&gt;$AA$5),"Outlier","Normal")</f>
        <v>Normal</v>
      </c>
    </row>
    <row r="1610" spans="1:24" x14ac:dyDescent="0.15">
      <c r="A1610">
        <v>1609</v>
      </c>
      <c r="B1610" t="s">
        <v>20</v>
      </c>
      <c r="C1610" t="s">
        <v>20</v>
      </c>
      <c r="D1610" t="s">
        <v>21</v>
      </c>
      <c r="E1610">
        <v>8460</v>
      </c>
      <c r="F1610">
        <v>252</v>
      </c>
      <c r="G1610">
        <v>-18</v>
      </c>
      <c r="H1610">
        <v>-28</v>
      </c>
      <c r="I1610" t="s">
        <v>20</v>
      </c>
      <c r="J1610">
        <v>1</v>
      </c>
      <c r="K1610">
        <v>1</v>
      </c>
      <c r="L1610">
        <v>0</v>
      </c>
      <c r="M1610">
        <v>0</v>
      </c>
      <c r="N1610">
        <v>0</v>
      </c>
      <c r="O1610">
        <v>0</v>
      </c>
      <c r="P1610">
        <v>0</v>
      </c>
      <c r="Q1610">
        <v>0</v>
      </c>
      <c r="R1610">
        <v>200</v>
      </c>
      <c r="S1610">
        <v>200</v>
      </c>
      <c r="T1610">
        <v>0</v>
      </c>
      <c r="U1610" t="str">
        <f>IF(SeismicData[[#This Row],[class]]=1,"Dangerous","Safe")</f>
        <v>Safe</v>
      </c>
      <c r="V1610" t="str">
        <f>IF(SeismicData[[#This Row],[shift]]="W","Production","Non-Production")</f>
        <v>Non-Production</v>
      </c>
      <c r="W1610" t="str">
        <f>IF(SeismicData[[#This Row],[genergy]]=0,"0","10^"&amp;INT(LOG10(SeismicData[[#This Row],[genergy]])))</f>
        <v>10^3</v>
      </c>
      <c r="X1610" t="str">
        <f>IF(OR(SeismicData[[#This Row],[genergy]]&lt;$AA$6,SeismicData[[#This Row],[genergy]]&gt;$AA$5),"Outlier","Normal")</f>
        <v>Normal</v>
      </c>
    </row>
    <row r="1611" spans="1:24" x14ac:dyDescent="0.15">
      <c r="A1611">
        <v>1610</v>
      </c>
      <c r="B1611" t="s">
        <v>20</v>
      </c>
      <c r="C1611" t="s">
        <v>20</v>
      </c>
      <c r="D1611" t="s">
        <v>22</v>
      </c>
      <c r="E1611">
        <v>27630</v>
      </c>
      <c r="F1611">
        <v>733</v>
      </c>
      <c r="G1611">
        <v>-23</v>
      </c>
      <c r="H1611">
        <v>-27</v>
      </c>
      <c r="I1611" t="s">
        <v>20</v>
      </c>
      <c r="J1611">
        <v>0</v>
      </c>
      <c r="K1611">
        <v>0</v>
      </c>
      <c r="L1611">
        <v>0</v>
      </c>
      <c r="M1611">
        <v>0</v>
      </c>
      <c r="N1611">
        <v>0</v>
      </c>
      <c r="O1611">
        <v>0</v>
      </c>
      <c r="P1611">
        <v>0</v>
      </c>
      <c r="Q1611">
        <v>0</v>
      </c>
      <c r="R1611">
        <v>0</v>
      </c>
      <c r="S1611">
        <v>0</v>
      </c>
      <c r="T1611">
        <v>0</v>
      </c>
      <c r="U1611" t="str">
        <f>IF(SeismicData[[#This Row],[class]]=1,"Dangerous","Safe")</f>
        <v>Safe</v>
      </c>
      <c r="V1611" t="str">
        <f>IF(SeismicData[[#This Row],[shift]]="W","Production","Non-Production")</f>
        <v>Production</v>
      </c>
      <c r="W1611" t="str">
        <f>IF(SeismicData[[#This Row],[genergy]]=0,"0","10^"&amp;INT(LOG10(SeismicData[[#This Row],[genergy]])))</f>
        <v>10^4</v>
      </c>
      <c r="X1611" t="str">
        <f>IF(OR(SeismicData[[#This Row],[genergy]]&lt;$AA$6,SeismicData[[#This Row],[genergy]]&gt;$AA$5),"Outlier","Normal")</f>
        <v>Normal</v>
      </c>
    </row>
    <row r="1612" spans="1:24" x14ac:dyDescent="0.15">
      <c r="A1612">
        <v>1611</v>
      </c>
      <c r="B1612" t="s">
        <v>20</v>
      </c>
      <c r="C1612" t="s">
        <v>20</v>
      </c>
      <c r="D1612" t="s">
        <v>22</v>
      </c>
      <c r="E1612">
        <v>24160</v>
      </c>
      <c r="F1612">
        <v>362</v>
      </c>
      <c r="G1612">
        <v>-23</v>
      </c>
      <c r="H1612">
        <v>-32</v>
      </c>
      <c r="I1612" t="s">
        <v>20</v>
      </c>
      <c r="J1612">
        <v>0</v>
      </c>
      <c r="K1612">
        <v>0</v>
      </c>
      <c r="L1612">
        <v>0</v>
      </c>
      <c r="M1612">
        <v>0</v>
      </c>
      <c r="N1612">
        <v>0</v>
      </c>
      <c r="O1612">
        <v>0</v>
      </c>
      <c r="P1612">
        <v>0</v>
      </c>
      <c r="Q1612">
        <v>0</v>
      </c>
      <c r="R1612">
        <v>0</v>
      </c>
      <c r="S1612">
        <v>0</v>
      </c>
      <c r="T1612">
        <v>0</v>
      </c>
      <c r="U1612" t="str">
        <f>IF(SeismicData[[#This Row],[class]]=1,"Dangerous","Safe")</f>
        <v>Safe</v>
      </c>
      <c r="V1612" t="str">
        <f>IF(SeismicData[[#This Row],[shift]]="W","Production","Non-Production")</f>
        <v>Production</v>
      </c>
      <c r="W1612" t="str">
        <f>IF(SeismicData[[#This Row],[genergy]]=0,"0","10^"&amp;INT(LOG10(SeismicData[[#This Row],[genergy]])))</f>
        <v>10^4</v>
      </c>
      <c r="X1612" t="str">
        <f>IF(OR(SeismicData[[#This Row],[genergy]]&lt;$AA$6,SeismicData[[#This Row],[genergy]]&gt;$AA$5),"Outlier","Normal")</f>
        <v>Normal</v>
      </c>
    </row>
    <row r="1613" spans="1:24" x14ac:dyDescent="0.15">
      <c r="A1613">
        <v>1612</v>
      </c>
      <c r="B1613" t="s">
        <v>20</v>
      </c>
      <c r="C1613" t="s">
        <v>20</v>
      </c>
      <c r="D1613" t="s">
        <v>22</v>
      </c>
      <c r="E1613">
        <v>25200</v>
      </c>
      <c r="F1613">
        <v>318</v>
      </c>
      <c r="G1613">
        <v>-20</v>
      </c>
      <c r="H1613">
        <v>-40</v>
      </c>
      <c r="I1613" t="s">
        <v>20</v>
      </c>
      <c r="J1613">
        <v>1</v>
      </c>
      <c r="K1613">
        <v>0</v>
      </c>
      <c r="L1613">
        <v>1</v>
      </c>
      <c r="M1613">
        <v>0</v>
      </c>
      <c r="N1613">
        <v>0</v>
      </c>
      <c r="O1613">
        <v>0</v>
      </c>
      <c r="P1613">
        <v>0</v>
      </c>
      <c r="Q1613">
        <v>0</v>
      </c>
      <c r="R1613">
        <v>1000</v>
      </c>
      <c r="S1613">
        <v>1000</v>
      </c>
      <c r="T1613">
        <v>1</v>
      </c>
      <c r="U1613" t="str">
        <f>IF(SeismicData[[#This Row],[class]]=1,"Dangerous","Safe")</f>
        <v>Dangerous</v>
      </c>
      <c r="V1613" t="str">
        <f>IF(SeismicData[[#This Row],[shift]]="W","Production","Non-Production")</f>
        <v>Production</v>
      </c>
      <c r="W1613" t="str">
        <f>IF(SeismicData[[#This Row],[genergy]]=0,"0","10^"&amp;INT(LOG10(SeismicData[[#This Row],[genergy]])))</f>
        <v>10^4</v>
      </c>
      <c r="X1613" t="str">
        <f>IF(OR(SeismicData[[#This Row],[genergy]]&lt;$AA$6,SeismicData[[#This Row],[genergy]]&gt;$AA$5),"Outlier","Normal")</f>
        <v>Normal</v>
      </c>
    </row>
    <row r="1614" spans="1:24" x14ac:dyDescent="0.15">
      <c r="A1614">
        <v>1613</v>
      </c>
      <c r="B1614" t="s">
        <v>20</v>
      </c>
      <c r="C1614" t="s">
        <v>20</v>
      </c>
      <c r="D1614" t="s">
        <v>22</v>
      </c>
      <c r="E1614">
        <v>94190</v>
      </c>
      <c r="F1614">
        <v>2191</v>
      </c>
      <c r="G1614">
        <v>161</v>
      </c>
      <c r="H1614">
        <v>117</v>
      </c>
      <c r="I1614" t="s">
        <v>20</v>
      </c>
      <c r="J1614">
        <v>5</v>
      </c>
      <c r="K1614">
        <v>2</v>
      </c>
      <c r="L1614">
        <v>1</v>
      </c>
      <c r="M1614">
        <v>2</v>
      </c>
      <c r="N1614">
        <v>0</v>
      </c>
      <c r="O1614">
        <v>0</v>
      </c>
      <c r="P1614">
        <v>0</v>
      </c>
      <c r="Q1614">
        <v>0</v>
      </c>
      <c r="R1614">
        <v>116500</v>
      </c>
      <c r="S1614">
        <v>90000</v>
      </c>
      <c r="T1614">
        <v>0</v>
      </c>
      <c r="U1614" t="str">
        <f>IF(SeismicData[[#This Row],[class]]=1,"Dangerous","Safe")</f>
        <v>Safe</v>
      </c>
      <c r="V1614" t="str">
        <f>IF(SeismicData[[#This Row],[shift]]="W","Production","Non-Production")</f>
        <v>Production</v>
      </c>
      <c r="W1614" t="str">
        <f>IF(SeismicData[[#This Row],[genergy]]=0,"0","10^"&amp;INT(LOG10(SeismicData[[#This Row],[genergy]])))</f>
        <v>10^4</v>
      </c>
      <c r="X1614" t="str">
        <f>IF(OR(SeismicData[[#This Row],[genergy]]&lt;$AA$6,SeismicData[[#This Row],[genergy]]&gt;$AA$5),"Outlier","Normal")</f>
        <v>Normal</v>
      </c>
    </row>
    <row r="1615" spans="1:24" x14ac:dyDescent="0.15">
      <c r="A1615">
        <v>1614</v>
      </c>
      <c r="B1615" t="s">
        <v>20</v>
      </c>
      <c r="C1615" t="s">
        <v>20</v>
      </c>
      <c r="D1615" t="s">
        <v>22</v>
      </c>
      <c r="E1615">
        <v>93020</v>
      </c>
      <c r="F1615">
        <v>2422</v>
      </c>
      <c r="G1615">
        <v>158</v>
      </c>
      <c r="H1615">
        <v>140</v>
      </c>
      <c r="I1615" t="s">
        <v>20</v>
      </c>
      <c r="J1615">
        <v>1</v>
      </c>
      <c r="K1615">
        <v>1</v>
      </c>
      <c r="L1615">
        <v>0</v>
      </c>
      <c r="M1615">
        <v>0</v>
      </c>
      <c r="N1615">
        <v>0</v>
      </c>
      <c r="O1615">
        <v>0</v>
      </c>
      <c r="P1615">
        <v>0</v>
      </c>
      <c r="Q1615">
        <v>0</v>
      </c>
      <c r="R1615">
        <v>600</v>
      </c>
      <c r="S1615">
        <v>600</v>
      </c>
      <c r="T1615">
        <v>0</v>
      </c>
      <c r="U1615" t="str">
        <f>IF(SeismicData[[#This Row],[class]]=1,"Dangerous","Safe")</f>
        <v>Safe</v>
      </c>
      <c r="V1615" t="str">
        <f>IF(SeismicData[[#This Row],[shift]]="W","Production","Non-Production")</f>
        <v>Production</v>
      </c>
      <c r="W1615" t="str">
        <f>IF(SeismicData[[#This Row],[genergy]]=0,"0","10^"&amp;INT(LOG10(SeismicData[[#This Row],[genergy]])))</f>
        <v>10^4</v>
      </c>
      <c r="X1615" t="str">
        <f>IF(OR(SeismicData[[#This Row],[genergy]]&lt;$AA$6,SeismicData[[#This Row],[genergy]]&gt;$AA$5),"Outlier","Normal")</f>
        <v>Normal</v>
      </c>
    </row>
    <row r="1616" spans="1:24" x14ac:dyDescent="0.15">
      <c r="A1616">
        <v>1615</v>
      </c>
      <c r="B1616" t="s">
        <v>23</v>
      </c>
      <c r="C1616" t="s">
        <v>20</v>
      </c>
      <c r="D1616" t="s">
        <v>22</v>
      </c>
      <c r="E1616">
        <v>46520</v>
      </c>
      <c r="F1616">
        <v>1587</v>
      </c>
      <c r="G1616">
        <v>25</v>
      </c>
      <c r="H1616">
        <v>52</v>
      </c>
      <c r="I1616" t="s">
        <v>20</v>
      </c>
      <c r="J1616">
        <v>0</v>
      </c>
      <c r="K1616">
        <v>0</v>
      </c>
      <c r="L1616">
        <v>0</v>
      </c>
      <c r="M1616">
        <v>0</v>
      </c>
      <c r="N1616">
        <v>0</v>
      </c>
      <c r="O1616">
        <v>0</v>
      </c>
      <c r="P1616">
        <v>0</v>
      </c>
      <c r="Q1616">
        <v>0</v>
      </c>
      <c r="R1616">
        <v>0</v>
      </c>
      <c r="S1616">
        <v>0</v>
      </c>
      <c r="T1616">
        <v>0</v>
      </c>
      <c r="U1616" t="str">
        <f>IF(SeismicData[[#This Row],[class]]=1,"Dangerous","Safe")</f>
        <v>Safe</v>
      </c>
      <c r="V1616" t="str">
        <f>IF(SeismicData[[#This Row],[shift]]="W","Production","Non-Production")</f>
        <v>Production</v>
      </c>
      <c r="W1616" t="str">
        <f>IF(SeismicData[[#This Row],[genergy]]=0,"0","10^"&amp;INT(LOG10(SeismicData[[#This Row],[genergy]])))</f>
        <v>10^4</v>
      </c>
      <c r="X1616" t="str">
        <f>IF(OR(SeismicData[[#This Row],[genergy]]&lt;$AA$6,SeismicData[[#This Row],[genergy]]&gt;$AA$5),"Outlier","Normal")</f>
        <v>Normal</v>
      </c>
    </row>
    <row r="1617" spans="1:24" x14ac:dyDescent="0.15">
      <c r="A1617">
        <v>1616</v>
      </c>
      <c r="B1617" t="s">
        <v>23</v>
      </c>
      <c r="C1617" t="s">
        <v>20</v>
      </c>
      <c r="D1617" t="s">
        <v>22</v>
      </c>
      <c r="E1617">
        <v>38530</v>
      </c>
      <c r="F1617">
        <v>1232</v>
      </c>
      <c r="G1617">
        <v>3</v>
      </c>
      <c r="H1617">
        <v>18</v>
      </c>
      <c r="I1617" t="s">
        <v>20</v>
      </c>
      <c r="J1617">
        <v>1</v>
      </c>
      <c r="K1617">
        <v>1</v>
      </c>
      <c r="L1617">
        <v>0</v>
      </c>
      <c r="M1617">
        <v>0</v>
      </c>
      <c r="N1617">
        <v>0</v>
      </c>
      <c r="O1617">
        <v>0</v>
      </c>
      <c r="P1617">
        <v>0</v>
      </c>
      <c r="Q1617">
        <v>0</v>
      </c>
      <c r="R1617">
        <v>700</v>
      </c>
      <c r="S1617">
        <v>700</v>
      </c>
      <c r="T1617">
        <v>0</v>
      </c>
      <c r="U1617" t="str">
        <f>IF(SeismicData[[#This Row],[class]]=1,"Dangerous","Safe")</f>
        <v>Safe</v>
      </c>
      <c r="V1617" t="str">
        <f>IF(SeismicData[[#This Row],[shift]]="W","Production","Non-Production")</f>
        <v>Production</v>
      </c>
      <c r="W1617" t="str">
        <f>IF(SeismicData[[#This Row],[genergy]]=0,"0","10^"&amp;INT(LOG10(SeismicData[[#This Row],[genergy]])))</f>
        <v>10^4</v>
      </c>
      <c r="X1617" t="str">
        <f>IF(OR(SeismicData[[#This Row],[genergy]]&lt;$AA$6,SeismicData[[#This Row],[genergy]]&gt;$AA$5),"Outlier","Normal")</f>
        <v>Normal</v>
      </c>
    </row>
    <row r="1618" spans="1:24" x14ac:dyDescent="0.15">
      <c r="A1618">
        <v>1617</v>
      </c>
      <c r="B1618" t="s">
        <v>23</v>
      </c>
      <c r="C1618" t="s">
        <v>20</v>
      </c>
      <c r="D1618" t="s">
        <v>22</v>
      </c>
      <c r="E1618">
        <v>27900</v>
      </c>
      <c r="F1618">
        <v>1158</v>
      </c>
      <c r="G1618">
        <v>-25</v>
      </c>
      <c r="H1618">
        <v>11</v>
      </c>
      <c r="I1618" t="s">
        <v>20</v>
      </c>
      <c r="J1618">
        <v>0</v>
      </c>
      <c r="K1618">
        <v>0</v>
      </c>
      <c r="L1618">
        <v>0</v>
      </c>
      <c r="M1618">
        <v>0</v>
      </c>
      <c r="N1618">
        <v>0</v>
      </c>
      <c r="O1618">
        <v>0</v>
      </c>
      <c r="P1618">
        <v>0</v>
      </c>
      <c r="Q1618">
        <v>0</v>
      </c>
      <c r="R1618">
        <v>0</v>
      </c>
      <c r="S1618">
        <v>0</v>
      </c>
      <c r="T1618">
        <v>0</v>
      </c>
      <c r="U1618" t="str">
        <f>IF(SeismicData[[#This Row],[class]]=1,"Dangerous","Safe")</f>
        <v>Safe</v>
      </c>
      <c r="V1618" t="str">
        <f>IF(SeismicData[[#This Row],[shift]]="W","Production","Non-Production")</f>
        <v>Production</v>
      </c>
      <c r="W1618" t="str">
        <f>IF(SeismicData[[#This Row],[genergy]]=0,"0","10^"&amp;INT(LOG10(SeismicData[[#This Row],[genergy]])))</f>
        <v>10^4</v>
      </c>
      <c r="X1618" t="str">
        <f>IF(OR(SeismicData[[#This Row],[genergy]]&lt;$AA$6,SeismicData[[#This Row],[genergy]]&gt;$AA$5),"Outlier","Normal")</f>
        <v>Normal</v>
      </c>
    </row>
    <row r="1619" spans="1:24" x14ac:dyDescent="0.15">
      <c r="A1619">
        <v>1618</v>
      </c>
      <c r="B1619" t="s">
        <v>23</v>
      </c>
      <c r="C1619" t="s">
        <v>20</v>
      </c>
      <c r="D1619" t="s">
        <v>22</v>
      </c>
      <c r="E1619">
        <v>59250</v>
      </c>
      <c r="F1619">
        <v>1452</v>
      </c>
      <c r="G1619">
        <v>59</v>
      </c>
      <c r="H1619">
        <v>39</v>
      </c>
      <c r="I1619" t="s">
        <v>20</v>
      </c>
      <c r="J1619">
        <v>1</v>
      </c>
      <c r="K1619">
        <v>1</v>
      </c>
      <c r="L1619">
        <v>0</v>
      </c>
      <c r="M1619">
        <v>0</v>
      </c>
      <c r="N1619">
        <v>0</v>
      </c>
      <c r="O1619">
        <v>0</v>
      </c>
      <c r="P1619">
        <v>0</v>
      </c>
      <c r="Q1619">
        <v>0</v>
      </c>
      <c r="R1619">
        <v>500</v>
      </c>
      <c r="S1619">
        <v>500</v>
      </c>
      <c r="T1619">
        <v>0</v>
      </c>
      <c r="U1619" t="str">
        <f>IF(SeismicData[[#This Row],[class]]=1,"Dangerous","Safe")</f>
        <v>Safe</v>
      </c>
      <c r="V1619" t="str">
        <f>IF(SeismicData[[#This Row],[shift]]="W","Production","Non-Production")</f>
        <v>Production</v>
      </c>
      <c r="W1619" t="str">
        <f>IF(SeismicData[[#This Row],[genergy]]=0,"0","10^"&amp;INT(LOG10(SeismicData[[#This Row],[genergy]])))</f>
        <v>10^4</v>
      </c>
      <c r="X1619" t="str">
        <f>IF(OR(SeismicData[[#This Row],[genergy]]&lt;$AA$6,SeismicData[[#This Row],[genergy]]&gt;$AA$5),"Outlier","Normal")</f>
        <v>Normal</v>
      </c>
    </row>
    <row r="1620" spans="1:24" x14ac:dyDescent="0.15">
      <c r="A1620">
        <v>1619</v>
      </c>
      <c r="B1620" t="s">
        <v>23</v>
      </c>
      <c r="C1620" t="s">
        <v>20</v>
      </c>
      <c r="D1620" t="s">
        <v>22</v>
      </c>
      <c r="E1620">
        <v>108280</v>
      </c>
      <c r="F1620">
        <v>2157</v>
      </c>
      <c r="G1620">
        <v>190</v>
      </c>
      <c r="H1620">
        <v>106</v>
      </c>
      <c r="I1620" t="s">
        <v>20</v>
      </c>
      <c r="J1620">
        <v>2</v>
      </c>
      <c r="K1620">
        <v>1</v>
      </c>
      <c r="L1620">
        <v>1</v>
      </c>
      <c r="M1620">
        <v>0</v>
      </c>
      <c r="N1620">
        <v>0</v>
      </c>
      <c r="O1620">
        <v>0</v>
      </c>
      <c r="P1620">
        <v>0</v>
      </c>
      <c r="Q1620">
        <v>0</v>
      </c>
      <c r="R1620">
        <v>9500</v>
      </c>
      <c r="S1620">
        <v>9000</v>
      </c>
      <c r="T1620">
        <v>0</v>
      </c>
      <c r="U1620" t="str">
        <f>IF(SeismicData[[#This Row],[class]]=1,"Dangerous","Safe")</f>
        <v>Safe</v>
      </c>
      <c r="V1620" t="str">
        <f>IF(SeismicData[[#This Row],[shift]]="W","Production","Non-Production")</f>
        <v>Production</v>
      </c>
      <c r="W1620" t="str">
        <f>IF(SeismicData[[#This Row],[genergy]]=0,"0","10^"&amp;INT(LOG10(SeismicData[[#This Row],[genergy]])))</f>
        <v>10^5</v>
      </c>
      <c r="X1620" t="str">
        <f>IF(OR(SeismicData[[#This Row],[genergy]]&lt;$AA$6,SeismicData[[#This Row],[genergy]]&gt;$AA$5),"Outlier","Normal")</f>
        <v>Normal</v>
      </c>
    </row>
    <row r="1621" spans="1:24" x14ac:dyDescent="0.15">
      <c r="A1621">
        <v>1620</v>
      </c>
      <c r="B1621" t="s">
        <v>23</v>
      </c>
      <c r="C1621" t="s">
        <v>20</v>
      </c>
      <c r="D1621" t="s">
        <v>22</v>
      </c>
      <c r="E1621">
        <v>59410</v>
      </c>
      <c r="F1621">
        <v>1552</v>
      </c>
      <c r="G1621">
        <v>59</v>
      </c>
      <c r="H1621">
        <v>48</v>
      </c>
      <c r="I1621" t="s">
        <v>20</v>
      </c>
      <c r="J1621">
        <v>2</v>
      </c>
      <c r="K1621">
        <v>2</v>
      </c>
      <c r="L1621">
        <v>0</v>
      </c>
      <c r="M1621">
        <v>0</v>
      </c>
      <c r="N1621">
        <v>0</v>
      </c>
      <c r="O1621">
        <v>0</v>
      </c>
      <c r="P1621">
        <v>0</v>
      </c>
      <c r="Q1621">
        <v>0</v>
      </c>
      <c r="R1621">
        <v>900</v>
      </c>
      <c r="S1621">
        <v>600</v>
      </c>
      <c r="T1621">
        <v>0</v>
      </c>
      <c r="U1621" t="str">
        <f>IF(SeismicData[[#This Row],[class]]=1,"Dangerous","Safe")</f>
        <v>Safe</v>
      </c>
      <c r="V1621" t="str">
        <f>IF(SeismicData[[#This Row],[shift]]="W","Production","Non-Production")</f>
        <v>Production</v>
      </c>
      <c r="W1621" t="str">
        <f>IF(SeismicData[[#This Row],[genergy]]=0,"0","10^"&amp;INT(LOG10(SeismicData[[#This Row],[genergy]])))</f>
        <v>10^4</v>
      </c>
      <c r="X1621" t="str">
        <f>IF(OR(SeismicData[[#This Row],[genergy]]&lt;$AA$6,SeismicData[[#This Row],[genergy]]&gt;$AA$5),"Outlier","Normal")</f>
        <v>Normal</v>
      </c>
    </row>
    <row r="1622" spans="1:24" x14ac:dyDescent="0.15">
      <c r="A1622">
        <v>1621</v>
      </c>
      <c r="B1622" t="s">
        <v>23</v>
      </c>
      <c r="C1622" t="s">
        <v>20</v>
      </c>
      <c r="D1622" t="s">
        <v>22</v>
      </c>
      <c r="E1622">
        <v>22840</v>
      </c>
      <c r="F1622">
        <v>842</v>
      </c>
      <c r="G1622">
        <v>146</v>
      </c>
      <c r="H1622">
        <v>311</v>
      </c>
      <c r="I1622" t="s">
        <v>23</v>
      </c>
      <c r="J1622">
        <v>0</v>
      </c>
      <c r="K1622">
        <v>0</v>
      </c>
      <c r="L1622">
        <v>0</v>
      </c>
      <c r="M1622">
        <v>0</v>
      </c>
      <c r="N1622">
        <v>0</v>
      </c>
      <c r="O1622">
        <v>0</v>
      </c>
      <c r="P1622">
        <v>0</v>
      </c>
      <c r="Q1622">
        <v>0</v>
      </c>
      <c r="R1622">
        <v>0</v>
      </c>
      <c r="S1622">
        <v>0</v>
      </c>
      <c r="T1622">
        <v>0</v>
      </c>
      <c r="U1622" t="str">
        <f>IF(SeismicData[[#This Row],[class]]=1,"Dangerous","Safe")</f>
        <v>Safe</v>
      </c>
      <c r="V1622" t="str">
        <f>IF(SeismicData[[#This Row],[shift]]="W","Production","Non-Production")</f>
        <v>Production</v>
      </c>
      <c r="W1622" t="str">
        <f>IF(SeismicData[[#This Row],[genergy]]=0,"0","10^"&amp;INT(LOG10(SeismicData[[#This Row],[genergy]])))</f>
        <v>10^4</v>
      </c>
      <c r="X1622" t="str">
        <f>IF(OR(SeismicData[[#This Row],[genergy]]&lt;$AA$6,SeismicData[[#This Row],[genergy]]&gt;$AA$5),"Outlier","Normal")</f>
        <v>Normal</v>
      </c>
    </row>
    <row r="1623" spans="1:24" x14ac:dyDescent="0.15">
      <c r="A1623">
        <v>1622</v>
      </c>
      <c r="B1623" t="s">
        <v>23</v>
      </c>
      <c r="C1623" t="s">
        <v>20</v>
      </c>
      <c r="D1623" t="s">
        <v>22</v>
      </c>
      <c r="E1623">
        <v>21200</v>
      </c>
      <c r="F1623">
        <v>794</v>
      </c>
      <c r="G1623">
        <v>-43</v>
      </c>
      <c r="H1623">
        <v>-24</v>
      </c>
      <c r="I1623" t="s">
        <v>20</v>
      </c>
      <c r="J1623">
        <v>1</v>
      </c>
      <c r="K1623">
        <v>1</v>
      </c>
      <c r="L1623">
        <v>0</v>
      </c>
      <c r="M1623">
        <v>0</v>
      </c>
      <c r="N1623">
        <v>0</v>
      </c>
      <c r="O1623">
        <v>0</v>
      </c>
      <c r="P1623">
        <v>0</v>
      </c>
      <c r="Q1623">
        <v>0</v>
      </c>
      <c r="R1623">
        <v>200</v>
      </c>
      <c r="S1623">
        <v>200</v>
      </c>
      <c r="T1623">
        <v>0</v>
      </c>
      <c r="U1623" t="str">
        <f>IF(SeismicData[[#This Row],[class]]=1,"Dangerous","Safe")</f>
        <v>Safe</v>
      </c>
      <c r="V1623" t="str">
        <f>IF(SeismicData[[#This Row],[shift]]="W","Production","Non-Production")</f>
        <v>Production</v>
      </c>
      <c r="W1623" t="str">
        <f>IF(SeismicData[[#This Row],[genergy]]=0,"0","10^"&amp;INT(LOG10(SeismicData[[#This Row],[genergy]])))</f>
        <v>10^4</v>
      </c>
      <c r="X1623" t="str">
        <f>IF(OR(SeismicData[[#This Row],[genergy]]&lt;$AA$6,SeismicData[[#This Row],[genergy]]&gt;$AA$5),"Outlier","Normal")</f>
        <v>Normal</v>
      </c>
    </row>
    <row r="1624" spans="1:24" x14ac:dyDescent="0.15">
      <c r="A1624">
        <v>1623</v>
      </c>
      <c r="B1624" t="s">
        <v>23</v>
      </c>
      <c r="C1624" t="s">
        <v>20</v>
      </c>
      <c r="D1624" t="s">
        <v>22</v>
      </c>
      <c r="E1624">
        <v>38330</v>
      </c>
      <c r="F1624">
        <v>1042</v>
      </c>
      <c r="G1624">
        <v>-1</v>
      </c>
      <c r="H1624">
        <v>-3</v>
      </c>
      <c r="I1624" t="s">
        <v>20</v>
      </c>
      <c r="J1624">
        <v>1</v>
      </c>
      <c r="K1624">
        <v>1</v>
      </c>
      <c r="L1624">
        <v>0</v>
      </c>
      <c r="M1624">
        <v>0</v>
      </c>
      <c r="N1624">
        <v>0</v>
      </c>
      <c r="O1624">
        <v>0</v>
      </c>
      <c r="P1624">
        <v>0</v>
      </c>
      <c r="Q1624">
        <v>0</v>
      </c>
      <c r="R1624">
        <v>600</v>
      </c>
      <c r="S1624">
        <v>600</v>
      </c>
      <c r="T1624">
        <v>0</v>
      </c>
      <c r="U1624" t="str">
        <f>IF(SeismicData[[#This Row],[class]]=1,"Dangerous","Safe")</f>
        <v>Safe</v>
      </c>
      <c r="V1624" t="str">
        <f>IF(SeismicData[[#This Row],[shift]]="W","Production","Non-Production")</f>
        <v>Production</v>
      </c>
      <c r="W1624" t="str">
        <f>IF(SeismicData[[#This Row],[genergy]]=0,"0","10^"&amp;INT(LOG10(SeismicData[[#This Row],[genergy]])))</f>
        <v>10^4</v>
      </c>
      <c r="X1624" t="str">
        <f>IF(OR(SeismicData[[#This Row],[genergy]]&lt;$AA$6,SeismicData[[#This Row],[genergy]]&gt;$AA$5),"Outlier","Normal")</f>
        <v>Normal</v>
      </c>
    </row>
    <row r="1625" spans="1:24" x14ac:dyDescent="0.15">
      <c r="A1625">
        <v>1624</v>
      </c>
      <c r="B1625" t="s">
        <v>23</v>
      </c>
      <c r="C1625" t="s">
        <v>20</v>
      </c>
      <c r="D1625" t="s">
        <v>22</v>
      </c>
      <c r="E1625">
        <v>90650</v>
      </c>
      <c r="F1625">
        <v>2005</v>
      </c>
      <c r="G1625">
        <v>135</v>
      </c>
      <c r="H1625">
        <v>86</v>
      </c>
      <c r="I1625" t="s">
        <v>20</v>
      </c>
      <c r="J1625">
        <v>2</v>
      </c>
      <c r="K1625">
        <v>0</v>
      </c>
      <c r="L1625">
        <v>2</v>
      </c>
      <c r="M1625">
        <v>0</v>
      </c>
      <c r="N1625">
        <v>0</v>
      </c>
      <c r="O1625">
        <v>0</v>
      </c>
      <c r="P1625">
        <v>0</v>
      </c>
      <c r="Q1625">
        <v>0</v>
      </c>
      <c r="R1625">
        <v>4000</v>
      </c>
      <c r="S1625">
        <v>3000</v>
      </c>
      <c r="T1625">
        <v>0</v>
      </c>
      <c r="U1625" t="str">
        <f>IF(SeismicData[[#This Row],[class]]=1,"Dangerous","Safe")</f>
        <v>Safe</v>
      </c>
      <c r="V1625" t="str">
        <f>IF(SeismicData[[#This Row],[shift]]="W","Production","Non-Production")</f>
        <v>Production</v>
      </c>
      <c r="W1625" t="str">
        <f>IF(SeismicData[[#This Row],[genergy]]=0,"0","10^"&amp;INT(LOG10(SeismicData[[#This Row],[genergy]])))</f>
        <v>10^4</v>
      </c>
      <c r="X1625" t="str">
        <f>IF(OR(SeismicData[[#This Row],[genergy]]&lt;$AA$6,SeismicData[[#This Row],[genergy]]&gt;$AA$5),"Outlier","Normal")</f>
        <v>Normal</v>
      </c>
    </row>
    <row r="1626" spans="1:24" x14ac:dyDescent="0.15">
      <c r="A1626">
        <v>1625</v>
      </c>
      <c r="B1626" t="s">
        <v>23</v>
      </c>
      <c r="C1626" t="s">
        <v>20</v>
      </c>
      <c r="D1626" t="s">
        <v>22</v>
      </c>
      <c r="E1626">
        <v>49660</v>
      </c>
      <c r="F1626">
        <v>747</v>
      </c>
      <c r="G1626">
        <v>48</v>
      </c>
      <c r="H1626">
        <v>36</v>
      </c>
      <c r="I1626" t="s">
        <v>20</v>
      </c>
      <c r="J1626">
        <v>0</v>
      </c>
      <c r="K1626">
        <v>0</v>
      </c>
      <c r="L1626">
        <v>0</v>
      </c>
      <c r="M1626">
        <v>0</v>
      </c>
      <c r="N1626">
        <v>0</v>
      </c>
      <c r="O1626">
        <v>0</v>
      </c>
      <c r="P1626">
        <v>0</v>
      </c>
      <c r="Q1626">
        <v>0</v>
      </c>
      <c r="R1626">
        <v>0</v>
      </c>
      <c r="S1626">
        <v>0</v>
      </c>
      <c r="T1626">
        <v>0</v>
      </c>
      <c r="U1626" t="str">
        <f>IF(SeismicData[[#This Row],[class]]=1,"Dangerous","Safe")</f>
        <v>Safe</v>
      </c>
      <c r="V1626" t="str">
        <f>IF(SeismicData[[#This Row],[shift]]="W","Production","Non-Production")</f>
        <v>Production</v>
      </c>
      <c r="W1626" t="str">
        <f>IF(SeismicData[[#This Row],[genergy]]=0,"0","10^"&amp;INT(LOG10(SeismicData[[#This Row],[genergy]])))</f>
        <v>10^4</v>
      </c>
      <c r="X1626" t="str">
        <f>IF(OR(SeismicData[[#This Row],[genergy]]&lt;$AA$6,SeismicData[[#This Row],[genergy]]&gt;$AA$5),"Outlier","Normal")</f>
        <v>Normal</v>
      </c>
    </row>
    <row r="1627" spans="1:24" x14ac:dyDescent="0.15">
      <c r="A1627">
        <v>1626</v>
      </c>
      <c r="B1627" t="s">
        <v>23</v>
      </c>
      <c r="C1627" t="s">
        <v>20</v>
      </c>
      <c r="D1627" t="s">
        <v>22</v>
      </c>
      <c r="E1627">
        <v>27810</v>
      </c>
      <c r="F1627">
        <v>499</v>
      </c>
      <c r="G1627">
        <v>-17</v>
      </c>
      <c r="H1627">
        <v>-9</v>
      </c>
      <c r="I1627" t="s">
        <v>20</v>
      </c>
      <c r="J1627">
        <v>0</v>
      </c>
      <c r="K1627">
        <v>0</v>
      </c>
      <c r="L1627">
        <v>0</v>
      </c>
      <c r="M1627">
        <v>0</v>
      </c>
      <c r="N1627">
        <v>0</v>
      </c>
      <c r="O1627">
        <v>0</v>
      </c>
      <c r="P1627">
        <v>0</v>
      </c>
      <c r="Q1627">
        <v>0</v>
      </c>
      <c r="R1627">
        <v>0</v>
      </c>
      <c r="S1627">
        <v>0</v>
      </c>
      <c r="T1627">
        <v>0</v>
      </c>
      <c r="U1627" t="str">
        <f>IF(SeismicData[[#This Row],[class]]=1,"Dangerous","Safe")</f>
        <v>Safe</v>
      </c>
      <c r="V1627" t="str">
        <f>IF(SeismicData[[#This Row],[shift]]="W","Production","Non-Production")</f>
        <v>Production</v>
      </c>
      <c r="W1627" t="str">
        <f>IF(SeismicData[[#This Row],[genergy]]=0,"0","10^"&amp;INT(LOG10(SeismicData[[#This Row],[genergy]])))</f>
        <v>10^4</v>
      </c>
      <c r="X1627" t="str">
        <f>IF(OR(SeismicData[[#This Row],[genergy]]&lt;$AA$6,SeismicData[[#This Row],[genergy]]&gt;$AA$5),"Outlier","Normal")</f>
        <v>Normal</v>
      </c>
    </row>
    <row r="1628" spans="1:24" x14ac:dyDescent="0.15">
      <c r="A1628">
        <v>1627</v>
      </c>
      <c r="B1628" t="s">
        <v>23</v>
      </c>
      <c r="C1628" t="s">
        <v>20</v>
      </c>
      <c r="D1628" t="s">
        <v>22</v>
      </c>
      <c r="E1628">
        <v>16470</v>
      </c>
      <c r="F1628">
        <v>668</v>
      </c>
      <c r="G1628">
        <v>-57</v>
      </c>
      <c r="H1628">
        <v>-38</v>
      </c>
      <c r="I1628" t="s">
        <v>20</v>
      </c>
      <c r="J1628">
        <v>0</v>
      </c>
      <c r="K1628">
        <v>0</v>
      </c>
      <c r="L1628">
        <v>0</v>
      </c>
      <c r="M1628">
        <v>0</v>
      </c>
      <c r="N1628">
        <v>0</v>
      </c>
      <c r="O1628">
        <v>0</v>
      </c>
      <c r="P1628">
        <v>0</v>
      </c>
      <c r="Q1628">
        <v>0</v>
      </c>
      <c r="R1628">
        <v>0</v>
      </c>
      <c r="S1628">
        <v>0</v>
      </c>
      <c r="T1628">
        <v>0</v>
      </c>
      <c r="U1628" t="str">
        <f>IF(SeismicData[[#This Row],[class]]=1,"Dangerous","Safe")</f>
        <v>Safe</v>
      </c>
      <c r="V1628" t="str">
        <f>IF(SeismicData[[#This Row],[shift]]="W","Production","Non-Production")</f>
        <v>Production</v>
      </c>
      <c r="W1628" t="str">
        <f>IF(SeismicData[[#This Row],[genergy]]=0,"0","10^"&amp;INT(LOG10(SeismicData[[#This Row],[genergy]])))</f>
        <v>10^4</v>
      </c>
      <c r="X1628" t="str">
        <f>IF(OR(SeismicData[[#This Row],[genergy]]&lt;$AA$6,SeismicData[[#This Row],[genergy]]&gt;$AA$5),"Outlier","Normal")</f>
        <v>Normal</v>
      </c>
    </row>
    <row r="1629" spans="1:24" x14ac:dyDescent="0.15">
      <c r="A1629">
        <v>1628</v>
      </c>
      <c r="B1629" t="s">
        <v>23</v>
      </c>
      <c r="C1629" t="s">
        <v>20</v>
      </c>
      <c r="D1629" t="s">
        <v>22</v>
      </c>
      <c r="E1629">
        <v>35300</v>
      </c>
      <c r="F1629">
        <v>816</v>
      </c>
      <c r="G1629">
        <v>-9</v>
      </c>
      <c r="H1629">
        <v>-24</v>
      </c>
      <c r="I1629" t="s">
        <v>20</v>
      </c>
      <c r="J1629">
        <v>0</v>
      </c>
      <c r="K1629">
        <v>0</v>
      </c>
      <c r="L1629">
        <v>0</v>
      </c>
      <c r="M1629">
        <v>0</v>
      </c>
      <c r="N1629">
        <v>0</v>
      </c>
      <c r="O1629">
        <v>0</v>
      </c>
      <c r="P1629">
        <v>0</v>
      </c>
      <c r="Q1629">
        <v>0</v>
      </c>
      <c r="R1629">
        <v>0</v>
      </c>
      <c r="S1629">
        <v>0</v>
      </c>
      <c r="T1629">
        <v>0</v>
      </c>
      <c r="U1629" t="str">
        <f>IF(SeismicData[[#This Row],[class]]=1,"Dangerous","Safe")</f>
        <v>Safe</v>
      </c>
      <c r="V1629" t="str">
        <f>IF(SeismicData[[#This Row],[shift]]="W","Production","Non-Production")</f>
        <v>Production</v>
      </c>
      <c r="W1629" t="str">
        <f>IF(SeismicData[[#This Row],[genergy]]=0,"0","10^"&amp;INT(LOG10(SeismicData[[#This Row],[genergy]])))</f>
        <v>10^4</v>
      </c>
      <c r="X1629" t="str">
        <f>IF(OR(SeismicData[[#This Row],[genergy]]&lt;$AA$6,SeismicData[[#This Row],[genergy]]&gt;$AA$5),"Outlier","Normal")</f>
        <v>Normal</v>
      </c>
    </row>
    <row r="1630" spans="1:24" x14ac:dyDescent="0.15">
      <c r="A1630">
        <v>1629</v>
      </c>
      <c r="B1630" t="s">
        <v>23</v>
      </c>
      <c r="C1630" t="s">
        <v>20</v>
      </c>
      <c r="D1630" t="s">
        <v>22</v>
      </c>
      <c r="E1630">
        <v>66320</v>
      </c>
      <c r="F1630">
        <v>1644</v>
      </c>
      <c r="G1630">
        <v>72</v>
      </c>
      <c r="H1630">
        <v>53</v>
      </c>
      <c r="I1630" t="s">
        <v>20</v>
      </c>
      <c r="J1630">
        <v>2</v>
      </c>
      <c r="K1630">
        <v>0</v>
      </c>
      <c r="L1630">
        <v>2</v>
      </c>
      <c r="M1630">
        <v>0</v>
      </c>
      <c r="N1630">
        <v>0</v>
      </c>
      <c r="O1630">
        <v>0</v>
      </c>
      <c r="P1630">
        <v>0</v>
      </c>
      <c r="Q1630">
        <v>0</v>
      </c>
      <c r="R1630">
        <v>6000</v>
      </c>
      <c r="S1630">
        <v>5000</v>
      </c>
      <c r="T1630">
        <v>0</v>
      </c>
      <c r="U1630" t="str">
        <f>IF(SeismicData[[#This Row],[class]]=1,"Dangerous","Safe")</f>
        <v>Safe</v>
      </c>
      <c r="V1630" t="str">
        <f>IF(SeismicData[[#This Row],[shift]]="W","Production","Non-Production")</f>
        <v>Production</v>
      </c>
      <c r="W1630" t="str">
        <f>IF(SeismicData[[#This Row],[genergy]]=0,"0","10^"&amp;INT(LOG10(SeismicData[[#This Row],[genergy]])))</f>
        <v>10^4</v>
      </c>
      <c r="X1630" t="str">
        <f>IF(OR(SeismicData[[#This Row],[genergy]]&lt;$AA$6,SeismicData[[#This Row],[genergy]]&gt;$AA$5),"Outlier","Normal")</f>
        <v>Normal</v>
      </c>
    </row>
    <row r="1631" spans="1:24" x14ac:dyDescent="0.15">
      <c r="A1631">
        <v>1630</v>
      </c>
      <c r="B1631" t="s">
        <v>23</v>
      </c>
      <c r="C1631" t="s">
        <v>20</v>
      </c>
      <c r="D1631" t="s">
        <v>22</v>
      </c>
      <c r="E1631">
        <v>26460</v>
      </c>
      <c r="F1631">
        <v>554</v>
      </c>
      <c r="G1631">
        <v>-21</v>
      </c>
      <c r="H1631">
        <v>1</v>
      </c>
      <c r="I1631" t="s">
        <v>20</v>
      </c>
      <c r="J1631">
        <v>1</v>
      </c>
      <c r="K1631">
        <v>0</v>
      </c>
      <c r="L1631">
        <v>1</v>
      </c>
      <c r="M1631">
        <v>0</v>
      </c>
      <c r="N1631">
        <v>0</v>
      </c>
      <c r="O1631">
        <v>0</v>
      </c>
      <c r="P1631">
        <v>0</v>
      </c>
      <c r="Q1631">
        <v>0</v>
      </c>
      <c r="R1631">
        <v>1000</v>
      </c>
      <c r="S1631">
        <v>1000</v>
      </c>
      <c r="T1631">
        <v>0</v>
      </c>
      <c r="U1631" t="str">
        <f>IF(SeismicData[[#This Row],[class]]=1,"Dangerous","Safe")</f>
        <v>Safe</v>
      </c>
      <c r="V1631" t="str">
        <f>IF(SeismicData[[#This Row],[shift]]="W","Production","Non-Production")</f>
        <v>Production</v>
      </c>
      <c r="W1631" t="str">
        <f>IF(SeismicData[[#This Row],[genergy]]=0,"0","10^"&amp;INT(LOG10(SeismicData[[#This Row],[genergy]])))</f>
        <v>10^4</v>
      </c>
      <c r="X1631" t="str">
        <f>IF(OR(SeismicData[[#This Row],[genergy]]&lt;$AA$6,SeismicData[[#This Row],[genergy]]&gt;$AA$5),"Outlier","Normal")</f>
        <v>Normal</v>
      </c>
    </row>
    <row r="1632" spans="1:24" x14ac:dyDescent="0.15">
      <c r="A1632">
        <v>1631</v>
      </c>
      <c r="B1632" t="s">
        <v>23</v>
      </c>
      <c r="C1632" t="s">
        <v>23</v>
      </c>
      <c r="D1632" t="s">
        <v>22</v>
      </c>
      <c r="E1632">
        <v>16680</v>
      </c>
      <c r="F1632">
        <v>586</v>
      </c>
      <c r="G1632">
        <v>-59</v>
      </c>
      <c r="H1632">
        <v>-49</v>
      </c>
      <c r="I1632" t="s">
        <v>20</v>
      </c>
      <c r="J1632">
        <v>1</v>
      </c>
      <c r="K1632">
        <v>1</v>
      </c>
      <c r="L1632">
        <v>0</v>
      </c>
      <c r="M1632">
        <v>0</v>
      </c>
      <c r="N1632">
        <v>0</v>
      </c>
      <c r="O1632">
        <v>0</v>
      </c>
      <c r="P1632">
        <v>0</v>
      </c>
      <c r="Q1632">
        <v>0</v>
      </c>
      <c r="R1632">
        <v>100</v>
      </c>
      <c r="S1632">
        <v>100</v>
      </c>
      <c r="T1632">
        <v>0</v>
      </c>
      <c r="U1632" t="str">
        <f>IF(SeismicData[[#This Row],[class]]=1,"Dangerous","Safe")</f>
        <v>Safe</v>
      </c>
      <c r="V1632" t="str">
        <f>IF(SeismicData[[#This Row],[shift]]="W","Production","Non-Production")</f>
        <v>Production</v>
      </c>
      <c r="W1632" t="str">
        <f>IF(SeismicData[[#This Row],[genergy]]=0,"0","10^"&amp;INT(LOG10(SeismicData[[#This Row],[genergy]])))</f>
        <v>10^4</v>
      </c>
      <c r="X1632" t="str">
        <f>IF(OR(SeismicData[[#This Row],[genergy]]&lt;$AA$6,SeismicData[[#This Row],[genergy]]&gt;$AA$5),"Outlier","Normal")</f>
        <v>Normal</v>
      </c>
    </row>
    <row r="1633" spans="1:24" x14ac:dyDescent="0.15">
      <c r="A1633">
        <v>1632</v>
      </c>
      <c r="B1633" t="s">
        <v>23</v>
      </c>
      <c r="C1633" t="s">
        <v>23</v>
      </c>
      <c r="D1633" t="s">
        <v>22</v>
      </c>
      <c r="E1633">
        <v>20140</v>
      </c>
      <c r="F1633">
        <v>248</v>
      </c>
      <c r="G1633">
        <v>-43</v>
      </c>
      <c r="H1633">
        <v>-57</v>
      </c>
      <c r="I1633" t="s">
        <v>20</v>
      </c>
      <c r="J1633">
        <v>1</v>
      </c>
      <c r="K1633">
        <v>0</v>
      </c>
      <c r="L1633">
        <v>1</v>
      </c>
      <c r="M1633">
        <v>0</v>
      </c>
      <c r="N1633">
        <v>0</v>
      </c>
      <c r="O1633">
        <v>0</v>
      </c>
      <c r="P1633">
        <v>0</v>
      </c>
      <c r="Q1633">
        <v>0</v>
      </c>
      <c r="R1633">
        <v>3000</v>
      </c>
      <c r="S1633">
        <v>3000</v>
      </c>
      <c r="T1633">
        <v>0</v>
      </c>
      <c r="U1633" t="str">
        <f>IF(SeismicData[[#This Row],[class]]=1,"Dangerous","Safe")</f>
        <v>Safe</v>
      </c>
      <c r="V1633" t="str">
        <f>IF(SeismicData[[#This Row],[shift]]="W","Production","Non-Production")</f>
        <v>Production</v>
      </c>
      <c r="W1633" t="str">
        <f>IF(SeismicData[[#This Row],[genergy]]=0,"0","10^"&amp;INT(LOG10(SeismicData[[#This Row],[genergy]])))</f>
        <v>10^4</v>
      </c>
      <c r="X1633" t="str">
        <f>IF(OR(SeismicData[[#This Row],[genergy]]&lt;$AA$6,SeismicData[[#This Row],[genergy]]&gt;$AA$5),"Outlier","Normal")</f>
        <v>Normal</v>
      </c>
    </row>
    <row r="1634" spans="1:24" x14ac:dyDescent="0.15">
      <c r="A1634">
        <v>1633</v>
      </c>
      <c r="B1634" t="s">
        <v>23</v>
      </c>
      <c r="C1634" t="s">
        <v>23</v>
      </c>
      <c r="D1634" t="s">
        <v>22</v>
      </c>
      <c r="E1634">
        <v>14890</v>
      </c>
      <c r="F1634">
        <v>540</v>
      </c>
      <c r="G1634">
        <v>-64</v>
      </c>
      <c r="H1634">
        <v>-53</v>
      </c>
      <c r="I1634" t="s">
        <v>20</v>
      </c>
      <c r="J1634">
        <v>0</v>
      </c>
      <c r="K1634">
        <v>0</v>
      </c>
      <c r="L1634">
        <v>0</v>
      </c>
      <c r="M1634">
        <v>0</v>
      </c>
      <c r="N1634">
        <v>0</v>
      </c>
      <c r="O1634">
        <v>0</v>
      </c>
      <c r="P1634">
        <v>0</v>
      </c>
      <c r="Q1634">
        <v>0</v>
      </c>
      <c r="R1634">
        <v>0</v>
      </c>
      <c r="S1634">
        <v>0</v>
      </c>
      <c r="T1634">
        <v>0</v>
      </c>
      <c r="U1634" t="str">
        <f>IF(SeismicData[[#This Row],[class]]=1,"Dangerous","Safe")</f>
        <v>Safe</v>
      </c>
      <c r="V1634" t="str">
        <f>IF(SeismicData[[#This Row],[shift]]="W","Production","Non-Production")</f>
        <v>Production</v>
      </c>
      <c r="W1634" t="str">
        <f>IF(SeismicData[[#This Row],[genergy]]=0,"0","10^"&amp;INT(LOG10(SeismicData[[#This Row],[genergy]])))</f>
        <v>10^4</v>
      </c>
      <c r="X1634" t="str">
        <f>IF(OR(SeismicData[[#This Row],[genergy]]&lt;$AA$6,SeismicData[[#This Row],[genergy]]&gt;$AA$5),"Outlier","Normal")</f>
        <v>Normal</v>
      </c>
    </row>
    <row r="1635" spans="1:24" x14ac:dyDescent="0.15">
      <c r="A1635">
        <v>1634</v>
      </c>
      <c r="B1635" t="s">
        <v>23</v>
      </c>
      <c r="C1635" t="s">
        <v>23</v>
      </c>
      <c r="D1635" t="s">
        <v>22</v>
      </c>
      <c r="E1635">
        <v>29520</v>
      </c>
      <c r="F1635">
        <v>779</v>
      </c>
      <c r="G1635">
        <v>-28</v>
      </c>
      <c r="H1635">
        <v>-32</v>
      </c>
      <c r="I1635" t="s">
        <v>20</v>
      </c>
      <c r="J1635">
        <v>0</v>
      </c>
      <c r="K1635">
        <v>0</v>
      </c>
      <c r="L1635">
        <v>0</v>
      </c>
      <c r="M1635">
        <v>0</v>
      </c>
      <c r="N1635">
        <v>0</v>
      </c>
      <c r="O1635">
        <v>0</v>
      </c>
      <c r="P1635">
        <v>0</v>
      </c>
      <c r="Q1635">
        <v>0</v>
      </c>
      <c r="R1635">
        <v>0</v>
      </c>
      <c r="S1635">
        <v>0</v>
      </c>
      <c r="T1635">
        <v>0</v>
      </c>
      <c r="U1635" t="str">
        <f>IF(SeismicData[[#This Row],[class]]=1,"Dangerous","Safe")</f>
        <v>Safe</v>
      </c>
      <c r="V1635" t="str">
        <f>IF(SeismicData[[#This Row],[shift]]="W","Production","Non-Production")</f>
        <v>Production</v>
      </c>
      <c r="W1635" t="str">
        <f>IF(SeismicData[[#This Row],[genergy]]=0,"0","10^"&amp;INT(LOG10(SeismicData[[#This Row],[genergy]])))</f>
        <v>10^4</v>
      </c>
      <c r="X1635" t="str">
        <f>IF(OR(SeismicData[[#This Row],[genergy]]&lt;$AA$6,SeismicData[[#This Row],[genergy]]&gt;$AA$5),"Outlier","Normal")</f>
        <v>Normal</v>
      </c>
    </row>
    <row r="1636" spans="1:24" x14ac:dyDescent="0.15">
      <c r="A1636">
        <v>1635</v>
      </c>
      <c r="B1636" t="s">
        <v>23</v>
      </c>
      <c r="C1636" t="s">
        <v>23</v>
      </c>
      <c r="D1636" t="s">
        <v>22</v>
      </c>
      <c r="E1636">
        <v>55200</v>
      </c>
      <c r="F1636">
        <v>1259</v>
      </c>
      <c r="G1636">
        <v>35</v>
      </c>
      <c r="H1636">
        <v>9</v>
      </c>
      <c r="I1636" t="s">
        <v>20</v>
      </c>
      <c r="J1636">
        <v>1</v>
      </c>
      <c r="K1636">
        <v>0</v>
      </c>
      <c r="L1636">
        <v>1</v>
      </c>
      <c r="M1636">
        <v>0</v>
      </c>
      <c r="N1636">
        <v>0</v>
      </c>
      <c r="O1636">
        <v>0</v>
      </c>
      <c r="P1636">
        <v>0</v>
      </c>
      <c r="Q1636">
        <v>0</v>
      </c>
      <c r="R1636">
        <v>4000</v>
      </c>
      <c r="S1636">
        <v>4000</v>
      </c>
      <c r="T1636">
        <v>1</v>
      </c>
      <c r="U1636" t="str">
        <f>IF(SeismicData[[#This Row],[class]]=1,"Dangerous","Safe")</f>
        <v>Dangerous</v>
      </c>
      <c r="V1636" t="str">
        <f>IF(SeismicData[[#This Row],[shift]]="W","Production","Non-Production")</f>
        <v>Production</v>
      </c>
      <c r="W1636" t="str">
        <f>IF(SeismicData[[#This Row],[genergy]]=0,"0","10^"&amp;INT(LOG10(SeismicData[[#This Row],[genergy]])))</f>
        <v>10^4</v>
      </c>
      <c r="X1636" t="str">
        <f>IF(OR(SeismicData[[#This Row],[genergy]]&lt;$AA$6,SeismicData[[#This Row],[genergy]]&gt;$AA$5),"Outlier","Normal")</f>
        <v>Normal</v>
      </c>
    </row>
    <row r="1637" spans="1:24" x14ac:dyDescent="0.15">
      <c r="A1637">
        <v>1636</v>
      </c>
      <c r="B1637" t="s">
        <v>23</v>
      </c>
      <c r="C1637" t="s">
        <v>23</v>
      </c>
      <c r="D1637" t="s">
        <v>22</v>
      </c>
      <c r="E1637">
        <v>43900</v>
      </c>
      <c r="F1637">
        <v>853</v>
      </c>
      <c r="G1637">
        <v>24</v>
      </c>
      <c r="H1637">
        <v>48</v>
      </c>
      <c r="I1637" t="s">
        <v>20</v>
      </c>
      <c r="J1637">
        <v>1</v>
      </c>
      <c r="K1637">
        <v>0</v>
      </c>
      <c r="L1637">
        <v>0</v>
      </c>
      <c r="M1637">
        <v>1</v>
      </c>
      <c r="N1637">
        <v>0</v>
      </c>
      <c r="O1637">
        <v>0</v>
      </c>
      <c r="P1637">
        <v>0</v>
      </c>
      <c r="Q1637">
        <v>0</v>
      </c>
      <c r="R1637">
        <v>80000</v>
      </c>
      <c r="S1637">
        <v>80000</v>
      </c>
      <c r="T1637">
        <v>0</v>
      </c>
      <c r="U1637" t="str">
        <f>IF(SeismicData[[#This Row],[class]]=1,"Dangerous","Safe")</f>
        <v>Safe</v>
      </c>
      <c r="V1637" t="str">
        <f>IF(SeismicData[[#This Row],[shift]]="W","Production","Non-Production")</f>
        <v>Production</v>
      </c>
      <c r="W1637" t="str">
        <f>IF(SeismicData[[#This Row],[genergy]]=0,"0","10^"&amp;INT(LOG10(SeismicData[[#This Row],[genergy]])))</f>
        <v>10^4</v>
      </c>
      <c r="X1637" t="str">
        <f>IF(OR(SeismicData[[#This Row],[genergy]]&lt;$AA$6,SeismicData[[#This Row],[genergy]]&gt;$AA$5),"Outlier","Normal")</f>
        <v>Normal</v>
      </c>
    </row>
    <row r="1638" spans="1:24" x14ac:dyDescent="0.15">
      <c r="A1638">
        <v>1637</v>
      </c>
      <c r="B1638" t="s">
        <v>23</v>
      </c>
      <c r="C1638" t="s">
        <v>23</v>
      </c>
      <c r="D1638" t="s">
        <v>22</v>
      </c>
      <c r="E1638">
        <v>28150</v>
      </c>
      <c r="F1638">
        <v>1047</v>
      </c>
      <c r="G1638">
        <v>-31</v>
      </c>
      <c r="H1638">
        <v>-9</v>
      </c>
      <c r="I1638" t="s">
        <v>20</v>
      </c>
      <c r="J1638">
        <v>0</v>
      </c>
      <c r="K1638">
        <v>0</v>
      </c>
      <c r="L1638">
        <v>0</v>
      </c>
      <c r="M1638">
        <v>0</v>
      </c>
      <c r="N1638">
        <v>0</v>
      </c>
      <c r="O1638">
        <v>0</v>
      </c>
      <c r="P1638">
        <v>0</v>
      </c>
      <c r="Q1638">
        <v>0</v>
      </c>
      <c r="R1638">
        <v>0</v>
      </c>
      <c r="S1638">
        <v>0</v>
      </c>
      <c r="T1638">
        <v>0</v>
      </c>
      <c r="U1638" t="str">
        <f>IF(SeismicData[[#This Row],[class]]=1,"Dangerous","Safe")</f>
        <v>Safe</v>
      </c>
      <c r="V1638" t="str">
        <f>IF(SeismicData[[#This Row],[shift]]="W","Production","Non-Production")</f>
        <v>Production</v>
      </c>
      <c r="W1638" t="str">
        <f>IF(SeismicData[[#This Row],[genergy]]=0,"0","10^"&amp;INT(LOG10(SeismicData[[#This Row],[genergy]])))</f>
        <v>10^4</v>
      </c>
      <c r="X1638" t="str">
        <f>IF(OR(SeismicData[[#This Row],[genergy]]&lt;$AA$6,SeismicData[[#This Row],[genergy]]&gt;$AA$5),"Outlier","Normal")</f>
        <v>Normal</v>
      </c>
    </row>
    <row r="1639" spans="1:24" x14ac:dyDescent="0.15">
      <c r="A1639">
        <v>1638</v>
      </c>
      <c r="B1639" t="s">
        <v>23</v>
      </c>
      <c r="C1639" t="s">
        <v>23</v>
      </c>
      <c r="D1639" t="s">
        <v>22</v>
      </c>
      <c r="E1639">
        <v>18540</v>
      </c>
      <c r="F1639">
        <v>896</v>
      </c>
      <c r="G1639">
        <v>-55</v>
      </c>
      <c r="H1639">
        <v>-22</v>
      </c>
      <c r="I1639" t="s">
        <v>20</v>
      </c>
      <c r="J1639">
        <v>0</v>
      </c>
      <c r="K1639">
        <v>0</v>
      </c>
      <c r="L1639">
        <v>0</v>
      </c>
      <c r="M1639">
        <v>0</v>
      </c>
      <c r="N1639">
        <v>0</v>
      </c>
      <c r="O1639">
        <v>0</v>
      </c>
      <c r="P1639">
        <v>0</v>
      </c>
      <c r="Q1639">
        <v>0</v>
      </c>
      <c r="R1639">
        <v>0</v>
      </c>
      <c r="S1639">
        <v>0</v>
      </c>
      <c r="T1639">
        <v>0</v>
      </c>
      <c r="U1639" t="str">
        <f>IF(SeismicData[[#This Row],[class]]=1,"Dangerous","Safe")</f>
        <v>Safe</v>
      </c>
      <c r="V1639" t="str">
        <f>IF(SeismicData[[#This Row],[shift]]="W","Production","Non-Production")</f>
        <v>Production</v>
      </c>
      <c r="W1639" t="str">
        <f>IF(SeismicData[[#This Row],[genergy]]=0,"0","10^"&amp;INT(LOG10(SeismicData[[#This Row],[genergy]])))</f>
        <v>10^4</v>
      </c>
      <c r="X1639" t="str">
        <f>IF(OR(SeismicData[[#This Row],[genergy]]&lt;$AA$6,SeismicData[[#This Row],[genergy]]&gt;$AA$5),"Outlier","Normal")</f>
        <v>Normal</v>
      </c>
    </row>
    <row r="1640" spans="1:24" x14ac:dyDescent="0.15">
      <c r="A1640">
        <v>1639</v>
      </c>
      <c r="B1640" t="s">
        <v>23</v>
      </c>
      <c r="C1640" t="s">
        <v>23</v>
      </c>
      <c r="D1640" t="s">
        <v>21</v>
      </c>
      <c r="E1640">
        <v>16470</v>
      </c>
      <c r="F1640">
        <v>661</v>
      </c>
      <c r="G1640">
        <v>60</v>
      </c>
      <c r="H1640">
        <v>88</v>
      </c>
      <c r="I1640" t="s">
        <v>20</v>
      </c>
      <c r="J1640">
        <v>0</v>
      </c>
      <c r="K1640">
        <v>0</v>
      </c>
      <c r="L1640">
        <v>0</v>
      </c>
      <c r="M1640">
        <v>0</v>
      </c>
      <c r="N1640">
        <v>0</v>
      </c>
      <c r="O1640">
        <v>0</v>
      </c>
      <c r="P1640">
        <v>0</v>
      </c>
      <c r="Q1640">
        <v>0</v>
      </c>
      <c r="R1640">
        <v>0</v>
      </c>
      <c r="S1640">
        <v>0</v>
      </c>
      <c r="T1640">
        <v>0</v>
      </c>
      <c r="U1640" t="str">
        <f>IF(SeismicData[[#This Row],[class]]=1,"Dangerous","Safe")</f>
        <v>Safe</v>
      </c>
      <c r="V1640" t="str">
        <f>IF(SeismicData[[#This Row],[shift]]="W","Production","Non-Production")</f>
        <v>Non-Production</v>
      </c>
      <c r="W1640" t="str">
        <f>IF(SeismicData[[#This Row],[genergy]]=0,"0","10^"&amp;INT(LOG10(SeismicData[[#This Row],[genergy]])))</f>
        <v>10^4</v>
      </c>
      <c r="X1640" t="str">
        <f>IF(OR(SeismicData[[#This Row],[genergy]]&lt;$AA$6,SeismicData[[#This Row],[genergy]]&gt;$AA$5),"Outlier","Normal")</f>
        <v>Normal</v>
      </c>
    </row>
    <row r="1641" spans="1:24" x14ac:dyDescent="0.15">
      <c r="A1641">
        <v>1640</v>
      </c>
      <c r="B1641" t="s">
        <v>23</v>
      </c>
      <c r="C1641" t="s">
        <v>23</v>
      </c>
      <c r="D1641" t="s">
        <v>21</v>
      </c>
      <c r="E1641">
        <v>16440</v>
      </c>
      <c r="F1641">
        <v>644</v>
      </c>
      <c r="G1641">
        <v>59</v>
      </c>
      <c r="H1641">
        <v>83</v>
      </c>
      <c r="I1641" t="s">
        <v>20</v>
      </c>
      <c r="J1641">
        <v>0</v>
      </c>
      <c r="K1641">
        <v>0</v>
      </c>
      <c r="L1641">
        <v>0</v>
      </c>
      <c r="M1641">
        <v>0</v>
      </c>
      <c r="N1641">
        <v>0</v>
      </c>
      <c r="O1641">
        <v>0</v>
      </c>
      <c r="P1641">
        <v>0</v>
      </c>
      <c r="Q1641">
        <v>0</v>
      </c>
      <c r="R1641">
        <v>0</v>
      </c>
      <c r="S1641">
        <v>0</v>
      </c>
      <c r="T1641">
        <v>0</v>
      </c>
      <c r="U1641" t="str">
        <f>IF(SeismicData[[#This Row],[class]]=1,"Dangerous","Safe")</f>
        <v>Safe</v>
      </c>
      <c r="V1641" t="str">
        <f>IF(SeismicData[[#This Row],[shift]]="W","Production","Non-Production")</f>
        <v>Non-Production</v>
      </c>
      <c r="W1641" t="str">
        <f>IF(SeismicData[[#This Row],[genergy]]=0,"0","10^"&amp;INT(LOG10(SeismicData[[#This Row],[genergy]])))</f>
        <v>10^4</v>
      </c>
      <c r="X1641" t="str">
        <f>IF(OR(SeismicData[[#This Row],[genergy]]&lt;$AA$6,SeismicData[[#This Row],[genergy]]&gt;$AA$5),"Outlier","Normal")</f>
        <v>Normal</v>
      </c>
    </row>
    <row r="1642" spans="1:24" x14ac:dyDescent="0.15">
      <c r="A1642">
        <v>1641</v>
      </c>
      <c r="B1642" t="s">
        <v>23</v>
      </c>
      <c r="C1642" t="s">
        <v>23</v>
      </c>
      <c r="D1642" t="s">
        <v>21</v>
      </c>
      <c r="E1642">
        <v>10110</v>
      </c>
      <c r="F1642">
        <v>531</v>
      </c>
      <c r="G1642">
        <v>-2</v>
      </c>
      <c r="H1642">
        <v>51</v>
      </c>
      <c r="I1642" t="s">
        <v>20</v>
      </c>
      <c r="J1642">
        <v>0</v>
      </c>
      <c r="K1642">
        <v>0</v>
      </c>
      <c r="L1642">
        <v>0</v>
      </c>
      <c r="M1642">
        <v>0</v>
      </c>
      <c r="N1642">
        <v>0</v>
      </c>
      <c r="O1642">
        <v>0</v>
      </c>
      <c r="P1642">
        <v>0</v>
      </c>
      <c r="Q1642">
        <v>0</v>
      </c>
      <c r="R1642">
        <v>0</v>
      </c>
      <c r="S1642">
        <v>0</v>
      </c>
      <c r="T1642">
        <v>0</v>
      </c>
      <c r="U1642" t="str">
        <f>IF(SeismicData[[#This Row],[class]]=1,"Dangerous","Safe")</f>
        <v>Safe</v>
      </c>
      <c r="V1642" t="str">
        <f>IF(SeismicData[[#This Row],[shift]]="W","Production","Non-Production")</f>
        <v>Non-Production</v>
      </c>
      <c r="W1642" t="str">
        <f>IF(SeismicData[[#This Row],[genergy]]=0,"0","10^"&amp;INT(LOG10(SeismicData[[#This Row],[genergy]])))</f>
        <v>10^4</v>
      </c>
      <c r="X1642" t="str">
        <f>IF(OR(SeismicData[[#This Row],[genergy]]&lt;$AA$6,SeismicData[[#This Row],[genergy]]&gt;$AA$5),"Outlier","Normal")</f>
        <v>Normal</v>
      </c>
    </row>
    <row r="1643" spans="1:24" x14ac:dyDescent="0.15">
      <c r="A1643">
        <v>1642</v>
      </c>
      <c r="B1643" t="s">
        <v>23</v>
      </c>
      <c r="C1643" t="s">
        <v>23</v>
      </c>
      <c r="D1643" t="s">
        <v>21</v>
      </c>
      <c r="E1643">
        <v>13330</v>
      </c>
      <c r="F1643">
        <v>443</v>
      </c>
      <c r="G1643">
        <v>29</v>
      </c>
      <c r="H1643">
        <v>26</v>
      </c>
      <c r="I1643" t="s">
        <v>20</v>
      </c>
      <c r="J1643">
        <v>0</v>
      </c>
      <c r="K1643">
        <v>0</v>
      </c>
      <c r="L1643">
        <v>0</v>
      </c>
      <c r="M1643">
        <v>0</v>
      </c>
      <c r="N1643">
        <v>0</v>
      </c>
      <c r="O1643">
        <v>0</v>
      </c>
      <c r="P1643">
        <v>0</v>
      </c>
      <c r="Q1643">
        <v>0</v>
      </c>
      <c r="R1643">
        <v>0</v>
      </c>
      <c r="S1643">
        <v>0</v>
      </c>
      <c r="T1643">
        <v>0</v>
      </c>
      <c r="U1643" t="str">
        <f>IF(SeismicData[[#This Row],[class]]=1,"Dangerous","Safe")</f>
        <v>Safe</v>
      </c>
      <c r="V1643" t="str">
        <f>IF(SeismicData[[#This Row],[shift]]="W","Production","Non-Production")</f>
        <v>Non-Production</v>
      </c>
      <c r="W1643" t="str">
        <f>IF(SeismicData[[#This Row],[genergy]]=0,"0","10^"&amp;INT(LOG10(SeismicData[[#This Row],[genergy]])))</f>
        <v>10^4</v>
      </c>
      <c r="X1643" t="str">
        <f>IF(OR(SeismicData[[#This Row],[genergy]]&lt;$AA$6,SeismicData[[#This Row],[genergy]]&gt;$AA$5),"Outlier","Normal")</f>
        <v>Normal</v>
      </c>
    </row>
    <row r="1644" spans="1:24" x14ac:dyDescent="0.15">
      <c r="A1644">
        <v>1643</v>
      </c>
      <c r="B1644" t="s">
        <v>23</v>
      </c>
      <c r="C1644" t="s">
        <v>23</v>
      </c>
      <c r="D1644" t="s">
        <v>21</v>
      </c>
      <c r="E1644">
        <v>9910</v>
      </c>
      <c r="F1644">
        <v>431</v>
      </c>
      <c r="G1644">
        <v>-4</v>
      </c>
      <c r="H1644">
        <v>22</v>
      </c>
      <c r="I1644" t="s">
        <v>20</v>
      </c>
      <c r="J1644">
        <v>0</v>
      </c>
      <c r="K1644">
        <v>0</v>
      </c>
      <c r="L1644">
        <v>0</v>
      </c>
      <c r="M1644">
        <v>0</v>
      </c>
      <c r="N1644">
        <v>0</v>
      </c>
      <c r="O1644">
        <v>0</v>
      </c>
      <c r="P1644">
        <v>0</v>
      </c>
      <c r="Q1644">
        <v>0</v>
      </c>
      <c r="R1644">
        <v>0</v>
      </c>
      <c r="S1644">
        <v>0</v>
      </c>
      <c r="T1644">
        <v>0</v>
      </c>
      <c r="U1644" t="str">
        <f>IF(SeismicData[[#This Row],[class]]=1,"Dangerous","Safe")</f>
        <v>Safe</v>
      </c>
      <c r="V1644" t="str">
        <f>IF(SeismicData[[#This Row],[shift]]="W","Production","Non-Production")</f>
        <v>Non-Production</v>
      </c>
      <c r="W1644" t="str">
        <f>IF(SeismicData[[#This Row],[genergy]]=0,"0","10^"&amp;INT(LOG10(SeismicData[[#This Row],[genergy]])))</f>
        <v>10^3</v>
      </c>
      <c r="X1644" t="str">
        <f>IF(OR(SeismicData[[#This Row],[genergy]]&lt;$AA$6,SeismicData[[#This Row],[genergy]]&gt;$AA$5),"Outlier","Normal")</f>
        <v>Normal</v>
      </c>
    </row>
    <row r="1645" spans="1:24" x14ac:dyDescent="0.15">
      <c r="A1645">
        <v>1644</v>
      </c>
      <c r="B1645" t="s">
        <v>23</v>
      </c>
      <c r="C1645" t="s">
        <v>23</v>
      </c>
      <c r="D1645" t="s">
        <v>21</v>
      </c>
      <c r="E1645">
        <v>21920</v>
      </c>
      <c r="F1645">
        <v>763</v>
      </c>
      <c r="G1645">
        <v>112</v>
      </c>
      <c r="H1645">
        <v>117</v>
      </c>
      <c r="I1645" t="s">
        <v>20</v>
      </c>
      <c r="J1645">
        <v>1</v>
      </c>
      <c r="K1645">
        <v>0</v>
      </c>
      <c r="L1645">
        <v>1</v>
      </c>
      <c r="M1645">
        <v>0</v>
      </c>
      <c r="N1645">
        <v>0</v>
      </c>
      <c r="O1645">
        <v>0</v>
      </c>
      <c r="P1645">
        <v>0</v>
      </c>
      <c r="Q1645">
        <v>0</v>
      </c>
      <c r="R1645">
        <v>4000</v>
      </c>
      <c r="S1645">
        <v>4000</v>
      </c>
      <c r="T1645">
        <v>0</v>
      </c>
      <c r="U1645" t="str">
        <f>IF(SeismicData[[#This Row],[class]]=1,"Dangerous","Safe")</f>
        <v>Safe</v>
      </c>
      <c r="V1645" t="str">
        <f>IF(SeismicData[[#This Row],[shift]]="W","Production","Non-Production")</f>
        <v>Non-Production</v>
      </c>
      <c r="W1645" t="str">
        <f>IF(SeismicData[[#This Row],[genergy]]=0,"0","10^"&amp;INT(LOG10(SeismicData[[#This Row],[genergy]])))</f>
        <v>10^4</v>
      </c>
      <c r="X1645" t="str">
        <f>IF(OR(SeismicData[[#This Row],[genergy]]&lt;$AA$6,SeismicData[[#This Row],[genergy]]&gt;$AA$5),"Outlier","Normal")</f>
        <v>Normal</v>
      </c>
    </row>
    <row r="1646" spans="1:24" x14ac:dyDescent="0.15">
      <c r="A1646">
        <v>1645</v>
      </c>
      <c r="B1646" t="s">
        <v>23</v>
      </c>
      <c r="C1646" t="s">
        <v>23</v>
      </c>
      <c r="D1646" t="s">
        <v>21</v>
      </c>
      <c r="E1646">
        <v>10680</v>
      </c>
      <c r="F1646">
        <v>506</v>
      </c>
      <c r="G1646">
        <v>3</v>
      </c>
      <c r="H1646">
        <v>44</v>
      </c>
      <c r="I1646" t="s">
        <v>20</v>
      </c>
      <c r="J1646">
        <v>0</v>
      </c>
      <c r="K1646">
        <v>0</v>
      </c>
      <c r="L1646">
        <v>0</v>
      </c>
      <c r="M1646">
        <v>0</v>
      </c>
      <c r="N1646">
        <v>0</v>
      </c>
      <c r="O1646">
        <v>0</v>
      </c>
      <c r="P1646">
        <v>0</v>
      </c>
      <c r="Q1646">
        <v>0</v>
      </c>
      <c r="R1646">
        <v>0</v>
      </c>
      <c r="S1646">
        <v>0</v>
      </c>
      <c r="T1646">
        <v>0</v>
      </c>
      <c r="U1646" t="str">
        <f>IF(SeismicData[[#This Row],[class]]=1,"Dangerous","Safe")</f>
        <v>Safe</v>
      </c>
      <c r="V1646" t="str">
        <f>IF(SeismicData[[#This Row],[shift]]="W","Production","Non-Production")</f>
        <v>Non-Production</v>
      </c>
      <c r="W1646" t="str">
        <f>IF(SeismicData[[#This Row],[genergy]]=0,"0","10^"&amp;INT(LOG10(SeismicData[[#This Row],[genergy]])))</f>
        <v>10^4</v>
      </c>
      <c r="X1646" t="str">
        <f>IF(OR(SeismicData[[#This Row],[genergy]]&lt;$AA$6,SeismicData[[#This Row],[genergy]]&gt;$AA$5),"Outlier","Normal")</f>
        <v>Normal</v>
      </c>
    </row>
    <row r="1647" spans="1:24" x14ac:dyDescent="0.15">
      <c r="A1647">
        <v>1646</v>
      </c>
      <c r="B1647" t="s">
        <v>23</v>
      </c>
      <c r="C1647" t="s">
        <v>23</v>
      </c>
      <c r="D1647" t="s">
        <v>22</v>
      </c>
      <c r="E1647">
        <v>15210</v>
      </c>
      <c r="F1647">
        <v>527</v>
      </c>
      <c r="G1647">
        <v>-64</v>
      </c>
      <c r="H1647">
        <v>-56</v>
      </c>
      <c r="I1647" t="s">
        <v>20</v>
      </c>
      <c r="J1647">
        <v>0</v>
      </c>
      <c r="K1647">
        <v>0</v>
      </c>
      <c r="L1647">
        <v>0</v>
      </c>
      <c r="M1647">
        <v>0</v>
      </c>
      <c r="N1647">
        <v>0</v>
      </c>
      <c r="O1647">
        <v>0</v>
      </c>
      <c r="P1647">
        <v>0</v>
      </c>
      <c r="Q1647">
        <v>0</v>
      </c>
      <c r="R1647">
        <v>0</v>
      </c>
      <c r="S1647">
        <v>0</v>
      </c>
      <c r="T1647">
        <v>0</v>
      </c>
      <c r="U1647" t="str">
        <f>IF(SeismicData[[#This Row],[class]]=1,"Dangerous","Safe")</f>
        <v>Safe</v>
      </c>
      <c r="V1647" t="str">
        <f>IF(SeismicData[[#This Row],[shift]]="W","Production","Non-Production")</f>
        <v>Production</v>
      </c>
      <c r="W1647" t="str">
        <f>IF(SeismicData[[#This Row],[genergy]]=0,"0","10^"&amp;INT(LOG10(SeismicData[[#This Row],[genergy]])))</f>
        <v>10^4</v>
      </c>
      <c r="X1647" t="str">
        <f>IF(OR(SeismicData[[#This Row],[genergy]]&lt;$AA$6,SeismicData[[#This Row],[genergy]]&gt;$AA$5),"Outlier","Normal")</f>
        <v>Normal</v>
      </c>
    </row>
    <row r="1648" spans="1:24" x14ac:dyDescent="0.15">
      <c r="A1648">
        <v>1647</v>
      </c>
      <c r="B1648" t="s">
        <v>23</v>
      </c>
      <c r="C1648" t="s">
        <v>23</v>
      </c>
      <c r="D1648" t="s">
        <v>21</v>
      </c>
      <c r="E1648">
        <v>38060</v>
      </c>
      <c r="F1648">
        <v>486</v>
      </c>
      <c r="G1648">
        <v>357</v>
      </c>
      <c r="H1648">
        <v>189</v>
      </c>
      <c r="I1648" t="s">
        <v>23</v>
      </c>
      <c r="J1648">
        <v>0</v>
      </c>
      <c r="K1648">
        <v>0</v>
      </c>
      <c r="L1648">
        <v>0</v>
      </c>
      <c r="M1648">
        <v>0</v>
      </c>
      <c r="N1648">
        <v>0</v>
      </c>
      <c r="O1648">
        <v>0</v>
      </c>
      <c r="P1648">
        <v>0</v>
      </c>
      <c r="Q1648">
        <v>0</v>
      </c>
      <c r="R1648">
        <v>0</v>
      </c>
      <c r="S1648">
        <v>0</v>
      </c>
      <c r="T1648">
        <v>0</v>
      </c>
      <c r="U1648" t="str">
        <f>IF(SeismicData[[#This Row],[class]]=1,"Dangerous","Safe")</f>
        <v>Safe</v>
      </c>
      <c r="V1648" t="str">
        <f>IF(SeismicData[[#This Row],[shift]]="W","Production","Non-Production")</f>
        <v>Non-Production</v>
      </c>
      <c r="W1648" t="str">
        <f>IF(SeismicData[[#This Row],[genergy]]=0,"0","10^"&amp;INT(LOG10(SeismicData[[#This Row],[genergy]])))</f>
        <v>10^4</v>
      </c>
      <c r="X1648" t="str">
        <f>IF(OR(SeismicData[[#This Row],[genergy]]&lt;$AA$6,SeismicData[[#This Row],[genergy]]&gt;$AA$5),"Outlier","Normal")</f>
        <v>Normal</v>
      </c>
    </row>
    <row r="1649" spans="1:24" x14ac:dyDescent="0.15">
      <c r="A1649">
        <v>1648</v>
      </c>
      <c r="B1649" t="s">
        <v>23</v>
      </c>
      <c r="C1649" t="s">
        <v>23</v>
      </c>
      <c r="D1649" t="s">
        <v>21</v>
      </c>
      <c r="E1649">
        <v>20620</v>
      </c>
      <c r="F1649">
        <v>808</v>
      </c>
      <c r="G1649">
        <v>105</v>
      </c>
      <c r="H1649">
        <v>132</v>
      </c>
      <c r="I1649" t="s">
        <v>20</v>
      </c>
      <c r="J1649">
        <v>0</v>
      </c>
      <c r="K1649">
        <v>0</v>
      </c>
      <c r="L1649">
        <v>0</v>
      </c>
      <c r="M1649">
        <v>0</v>
      </c>
      <c r="N1649">
        <v>0</v>
      </c>
      <c r="O1649">
        <v>0</v>
      </c>
      <c r="P1649">
        <v>0</v>
      </c>
      <c r="Q1649">
        <v>0</v>
      </c>
      <c r="R1649">
        <v>0</v>
      </c>
      <c r="S1649">
        <v>0</v>
      </c>
      <c r="T1649">
        <v>0</v>
      </c>
      <c r="U1649" t="str">
        <f>IF(SeismicData[[#This Row],[class]]=1,"Dangerous","Safe")</f>
        <v>Safe</v>
      </c>
      <c r="V1649" t="str">
        <f>IF(SeismicData[[#This Row],[shift]]="W","Production","Non-Production")</f>
        <v>Non-Production</v>
      </c>
      <c r="W1649" t="str">
        <f>IF(SeismicData[[#This Row],[genergy]]=0,"0","10^"&amp;INT(LOG10(SeismicData[[#This Row],[genergy]])))</f>
        <v>10^4</v>
      </c>
      <c r="X1649" t="str">
        <f>IF(OR(SeismicData[[#This Row],[genergy]]&lt;$AA$6,SeismicData[[#This Row],[genergy]]&gt;$AA$5),"Outlier","Normal")</f>
        <v>Normal</v>
      </c>
    </row>
    <row r="1650" spans="1:24" x14ac:dyDescent="0.15">
      <c r="A1650">
        <v>1649</v>
      </c>
      <c r="B1650" t="s">
        <v>23</v>
      </c>
      <c r="C1650" t="s">
        <v>23</v>
      </c>
      <c r="D1650" t="s">
        <v>21</v>
      </c>
      <c r="E1650">
        <v>17500</v>
      </c>
      <c r="F1650">
        <v>647</v>
      </c>
      <c r="G1650">
        <v>74</v>
      </c>
      <c r="H1650">
        <v>86</v>
      </c>
      <c r="I1650" t="s">
        <v>20</v>
      </c>
      <c r="J1650">
        <v>0</v>
      </c>
      <c r="K1650">
        <v>0</v>
      </c>
      <c r="L1650">
        <v>0</v>
      </c>
      <c r="M1650">
        <v>0</v>
      </c>
      <c r="N1650">
        <v>0</v>
      </c>
      <c r="O1650">
        <v>0</v>
      </c>
      <c r="P1650">
        <v>0</v>
      </c>
      <c r="Q1650">
        <v>0</v>
      </c>
      <c r="R1650">
        <v>0</v>
      </c>
      <c r="S1650">
        <v>0</v>
      </c>
      <c r="T1650">
        <v>0</v>
      </c>
      <c r="U1650" t="str">
        <f>IF(SeismicData[[#This Row],[class]]=1,"Dangerous","Safe")</f>
        <v>Safe</v>
      </c>
      <c r="V1650" t="str">
        <f>IF(SeismicData[[#This Row],[shift]]="W","Production","Non-Production")</f>
        <v>Non-Production</v>
      </c>
      <c r="W1650" t="str">
        <f>IF(SeismicData[[#This Row],[genergy]]=0,"0","10^"&amp;INT(LOG10(SeismicData[[#This Row],[genergy]])))</f>
        <v>10^4</v>
      </c>
      <c r="X1650" t="str">
        <f>IF(OR(SeismicData[[#This Row],[genergy]]&lt;$AA$6,SeismicData[[#This Row],[genergy]]&gt;$AA$5),"Outlier","Normal")</f>
        <v>Normal</v>
      </c>
    </row>
    <row r="1651" spans="1:24" x14ac:dyDescent="0.15">
      <c r="A1651">
        <v>1650</v>
      </c>
      <c r="B1651" t="s">
        <v>23</v>
      </c>
      <c r="C1651" t="s">
        <v>23</v>
      </c>
      <c r="D1651" t="s">
        <v>22</v>
      </c>
      <c r="E1651">
        <v>35290</v>
      </c>
      <c r="F1651">
        <v>754</v>
      </c>
      <c r="G1651">
        <v>-16</v>
      </c>
      <c r="H1651">
        <v>-36</v>
      </c>
      <c r="I1651" t="s">
        <v>20</v>
      </c>
      <c r="J1651">
        <v>0</v>
      </c>
      <c r="K1651">
        <v>0</v>
      </c>
      <c r="L1651">
        <v>0</v>
      </c>
      <c r="M1651">
        <v>0</v>
      </c>
      <c r="N1651">
        <v>0</v>
      </c>
      <c r="O1651">
        <v>0</v>
      </c>
      <c r="P1651">
        <v>0</v>
      </c>
      <c r="Q1651">
        <v>0</v>
      </c>
      <c r="R1651">
        <v>0</v>
      </c>
      <c r="S1651">
        <v>0</v>
      </c>
      <c r="T1651">
        <v>0</v>
      </c>
      <c r="U1651" t="str">
        <f>IF(SeismicData[[#This Row],[class]]=1,"Dangerous","Safe")</f>
        <v>Safe</v>
      </c>
      <c r="V1651" t="str">
        <f>IF(SeismicData[[#This Row],[shift]]="W","Production","Non-Production")</f>
        <v>Production</v>
      </c>
      <c r="W1651" t="str">
        <f>IF(SeismicData[[#This Row],[genergy]]=0,"0","10^"&amp;INT(LOG10(SeismicData[[#This Row],[genergy]])))</f>
        <v>10^4</v>
      </c>
      <c r="X1651" t="str">
        <f>IF(OR(SeismicData[[#This Row],[genergy]]&lt;$AA$6,SeismicData[[#This Row],[genergy]]&gt;$AA$5),"Outlier","Normal")</f>
        <v>Normal</v>
      </c>
    </row>
    <row r="1652" spans="1:24" x14ac:dyDescent="0.15">
      <c r="A1652">
        <v>1651</v>
      </c>
      <c r="B1652" t="s">
        <v>23</v>
      </c>
      <c r="C1652" t="s">
        <v>23</v>
      </c>
      <c r="D1652" t="s">
        <v>22</v>
      </c>
      <c r="E1652">
        <v>55570</v>
      </c>
      <c r="F1652">
        <v>560</v>
      </c>
      <c r="G1652">
        <v>54</v>
      </c>
      <c r="H1652">
        <v>-6</v>
      </c>
      <c r="I1652" t="s">
        <v>20</v>
      </c>
      <c r="J1652">
        <v>2</v>
      </c>
      <c r="K1652">
        <v>1</v>
      </c>
      <c r="L1652">
        <v>1</v>
      </c>
      <c r="M1652">
        <v>0</v>
      </c>
      <c r="N1652">
        <v>0</v>
      </c>
      <c r="O1652">
        <v>0</v>
      </c>
      <c r="P1652">
        <v>0</v>
      </c>
      <c r="Q1652">
        <v>0</v>
      </c>
      <c r="R1652">
        <v>3100</v>
      </c>
      <c r="S1652">
        <v>3000</v>
      </c>
      <c r="T1652">
        <v>0</v>
      </c>
      <c r="U1652" t="str">
        <f>IF(SeismicData[[#This Row],[class]]=1,"Dangerous","Safe")</f>
        <v>Safe</v>
      </c>
      <c r="V1652" t="str">
        <f>IF(SeismicData[[#This Row],[shift]]="W","Production","Non-Production")</f>
        <v>Production</v>
      </c>
      <c r="W1652" t="str">
        <f>IF(SeismicData[[#This Row],[genergy]]=0,"0","10^"&amp;INT(LOG10(SeismicData[[#This Row],[genergy]])))</f>
        <v>10^4</v>
      </c>
      <c r="X1652" t="str">
        <f>IF(OR(SeismicData[[#This Row],[genergy]]&lt;$AA$6,SeismicData[[#This Row],[genergy]]&gt;$AA$5),"Outlier","Normal")</f>
        <v>Normal</v>
      </c>
    </row>
    <row r="1653" spans="1:24" x14ac:dyDescent="0.15">
      <c r="A1653">
        <v>1652</v>
      </c>
      <c r="B1653" t="s">
        <v>23</v>
      </c>
      <c r="C1653" t="s">
        <v>23</v>
      </c>
      <c r="D1653" t="s">
        <v>22</v>
      </c>
      <c r="E1653">
        <v>29710</v>
      </c>
      <c r="F1653">
        <v>473</v>
      </c>
      <c r="G1653">
        <v>-18</v>
      </c>
      <c r="H1653">
        <v>-20</v>
      </c>
      <c r="I1653" t="s">
        <v>20</v>
      </c>
      <c r="J1653">
        <v>0</v>
      </c>
      <c r="K1653">
        <v>0</v>
      </c>
      <c r="L1653">
        <v>0</v>
      </c>
      <c r="M1653">
        <v>0</v>
      </c>
      <c r="N1653">
        <v>0</v>
      </c>
      <c r="O1653">
        <v>0</v>
      </c>
      <c r="P1653">
        <v>0</v>
      </c>
      <c r="Q1653">
        <v>0</v>
      </c>
      <c r="R1653">
        <v>0</v>
      </c>
      <c r="S1653">
        <v>0</v>
      </c>
      <c r="T1653">
        <v>0</v>
      </c>
      <c r="U1653" t="str">
        <f>IF(SeismicData[[#This Row],[class]]=1,"Dangerous","Safe")</f>
        <v>Safe</v>
      </c>
      <c r="V1653" t="str">
        <f>IF(SeismicData[[#This Row],[shift]]="W","Production","Non-Production")</f>
        <v>Production</v>
      </c>
      <c r="W1653" t="str">
        <f>IF(SeismicData[[#This Row],[genergy]]=0,"0","10^"&amp;INT(LOG10(SeismicData[[#This Row],[genergy]])))</f>
        <v>10^4</v>
      </c>
      <c r="X1653" t="str">
        <f>IF(OR(SeismicData[[#This Row],[genergy]]&lt;$AA$6,SeismicData[[#This Row],[genergy]]&gt;$AA$5),"Outlier","Normal")</f>
        <v>Normal</v>
      </c>
    </row>
    <row r="1654" spans="1:24" x14ac:dyDescent="0.15">
      <c r="A1654">
        <v>1653</v>
      </c>
      <c r="B1654" t="s">
        <v>23</v>
      </c>
      <c r="C1654" t="s">
        <v>23</v>
      </c>
      <c r="D1654" t="s">
        <v>22</v>
      </c>
      <c r="E1654">
        <v>46880</v>
      </c>
      <c r="F1654">
        <v>523</v>
      </c>
      <c r="G1654">
        <v>30</v>
      </c>
      <c r="H1654">
        <v>-12</v>
      </c>
      <c r="I1654" t="s">
        <v>20</v>
      </c>
      <c r="J1654">
        <v>0</v>
      </c>
      <c r="K1654">
        <v>0</v>
      </c>
      <c r="L1654">
        <v>0</v>
      </c>
      <c r="M1654">
        <v>0</v>
      </c>
      <c r="N1654">
        <v>0</v>
      </c>
      <c r="O1654">
        <v>0</v>
      </c>
      <c r="P1654">
        <v>0</v>
      </c>
      <c r="Q1654">
        <v>0</v>
      </c>
      <c r="R1654">
        <v>0</v>
      </c>
      <c r="S1654">
        <v>0</v>
      </c>
      <c r="T1654">
        <v>0</v>
      </c>
      <c r="U1654" t="str">
        <f>IF(SeismicData[[#This Row],[class]]=1,"Dangerous","Safe")</f>
        <v>Safe</v>
      </c>
      <c r="V1654" t="str">
        <f>IF(SeismicData[[#This Row],[shift]]="W","Production","Non-Production")</f>
        <v>Production</v>
      </c>
      <c r="W1654" t="str">
        <f>IF(SeismicData[[#This Row],[genergy]]=0,"0","10^"&amp;INT(LOG10(SeismicData[[#This Row],[genergy]])))</f>
        <v>10^4</v>
      </c>
      <c r="X1654" t="str">
        <f>IF(OR(SeismicData[[#This Row],[genergy]]&lt;$AA$6,SeismicData[[#This Row],[genergy]]&gt;$AA$5),"Outlier","Normal")</f>
        <v>Normal</v>
      </c>
    </row>
    <row r="1655" spans="1:24" x14ac:dyDescent="0.15">
      <c r="A1655">
        <v>1654</v>
      </c>
      <c r="B1655" t="s">
        <v>23</v>
      </c>
      <c r="C1655" t="s">
        <v>23</v>
      </c>
      <c r="D1655" t="s">
        <v>22</v>
      </c>
      <c r="E1655">
        <v>77870</v>
      </c>
      <c r="F1655">
        <v>271</v>
      </c>
      <c r="G1655">
        <v>626</v>
      </c>
      <c r="H1655">
        <v>18</v>
      </c>
      <c r="I1655" t="s">
        <v>23</v>
      </c>
      <c r="J1655">
        <v>0</v>
      </c>
      <c r="K1655">
        <v>0</v>
      </c>
      <c r="L1655">
        <v>0</v>
      </c>
      <c r="M1655">
        <v>0</v>
      </c>
      <c r="N1655">
        <v>0</v>
      </c>
      <c r="O1655">
        <v>0</v>
      </c>
      <c r="P1655">
        <v>0</v>
      </c>
      <c r="Q1655">
        <v>0</v>
      </c>
      <c r="R1655">
        <v>0</v>
      </c>
      <c r="S1655">
        <v>0</v>
      </c>
      <c r="T1655">
        <v>0</v>
      </c>
      <c r="U1655" t="str">
        <f>IF(SeismicData[[#This Row],[class]]=1,"Dangerous","Safe")</f>
        <v>Safe</v>
      </c>
      <c r="V1655" t="str">
        <f>IF(SeismicData[[#This Row],[shift]]="W","Production","Non-Production")</f>
        <v>Production</v>
      </c>
      <c r="W1655" t="str">
        <f>IF(SeismicData[[#This Row],[genergy]]=0,"0","10^"&amp;INT(LOG10(SeismicData[[#This Row],[genergy]])))</f>
        <v>10^4</v>
      </c>
      <c r="X1655" t="str">
        <f>IF(OR(SeismicData[[#This Row],[genergy]]&lt;$AA$6,SeismicData[[#This Row],[genergy]]&gt;$AA$5),"Outlier","Normal")</f>
        <v>Normal</v>
      </c>
    </row>
    <row r="1656" spans="1:24" x14ac:dyDescent="0.15">
      <c r="A1656">
        <v>1655</v>
      </c>
      <c r="B1656" t="s">
        <v>23</v>
      </c>
      <c r="C1656" t="s">
        <v>23</v>
      </c>
      <c r="D1656" t="s">
        <v>22</v>
      </c>
      <c r="E1656">
        <v>82030</v>
      </c>
      <c r="F1656">
        <v>349</v>
      </c>
      <c r="G1656">
        <v>681</v>
      </c>
      <c r="H1656">
        <v>57</v>
      </c>
      <c r="I1656" t="s">
        <v>23</v>
      </c>
      <c r="J1656">
        <v>3</v>
      </c>
      <c r="K1656">
        <v>3</v>
      </c>
      <c r="L1656">
        <v>0</v>
      </c>
      <c r="M1656">
        <v>0</v>
      </c>
      <c r="N1656">
        <v>0</v>
      </c>
      <c r="O1656">
        <v>0</v>
      </c>
      <c r="P1656">
        <v>0</v>
      </c>
      <c r="Q1656">
        <v>0</v>
      </c>
      <c r="R1656">
        <v>1300</v>
      </c>
      <c r="S1656">
        <v>600</v>
      </c>
      <c r="T1656">
        <v>0</v>
      </c>
      <c r="U1656" t="str">
        <f>IF(SeismicData[[#This Row],[class]]=1,"Dangerous","Safe")</f>
        <v>Safe</v>
      </c>
      <c r="V1656" t="str">
        <f>IF(SeismicData[[#This Row],[shift]]="W","Production","Non-Production")</f>
        <v>Production</v>
      </c>
      <c r="W1656" t="str">
        <f>IF(SeismicData[[#This Row],[genergy]]=0,"0","10^"&amp;INT(LOG10(SeismicData[[#This Row],[genergy]])))</f>
        <v>10^4</v>
      </c>
      <c r="X1656" t="str">
        <f>IF(OR(SeismicData[[#This Row],[genergy]]&lt;$AA$6,SeismicData[[#This Row],[genergy]]&gt;$AA$5),"Outlier","Normal")</f>
        <v>Normal</v>
      </c>
    </row>
    <row r="1657" spans="1:24" x14ac:dyDescent="0.15">
      <c r="A1657">
        <v>1656</v>
      </c>
      <c r="B1657" t="s">
        <v>23</v>
      </c>
      <c r="C1657" t="s">
        <v>23</v>
      </c>
      <c r="D1657" t="s">
        <v>22</v>
      </c>
      <c r="E1657">
        <v>21320</v>
      </c>
      <c r="F1657">
        <v>402</v>
      </c>
      <c r="G1657">
        <v>-38</v>
      </c>
      <c r="H1657">
        <v>-30</v>
      </c>
      <c r="I1657" t="s">
        <v>20</v>
      </c>
      <c r="J1657">
        <v>0</v>
      </c>
      <c r="K1657">
        <v>0</v>
      </c>
      <c r="L1657">
        <v>0</v>
      </c>
      <c r="M1657">
        <v>0</v>
      </c>
      <c r="N1657">
        <v>0</v>
      </c>
      <c r="O1657">
        <v>0</v>
      </c>
      <c r="P1657">
        <v>0</v>
      </c>
      <c r="Q1657">
        <v>0</v>
      </c>
      <c r="R1657">
        <v>0</v>
      </c>
      <c r="S1657">
        <v>0</v>
      </c>
      <c r="T1657">
        <v>0</v>
      </c>
      <c r="U1657" t="str">
        <f>IF(SeismicData[[#This Row],[class]]=1,"Dangerous","Safe")</f>
        <v>Safe</v>
      </c>
      <c r="V1657" t="str">
        <f>IF(SeismicData[[#This Row],[shift]]="W","Production","Non-Production")</f>
        <v>Production</v>
      </c>
      <c r="W1657" t="str">
        <f>IF(SeismicData[[#This Row],[genergy]]=0,"0","10^"&amp;INT(LOG10(SeismicData[[#This Row],[genergy]])))</f>
        <v>10^4</v>
      </c>
      <c r="X1657" t="str">
        <f>IF(OR(SeismicData[[#This Row],[genergy]]&lt;$AA$6,SeismicData[[#This Row],[genergy]]&gt;$AA$5),"Outlier","Normal")</f>
        <v>Normal</v>
      </c>
    </row>
    <row r="1658" spans="1:24" x14ac:dyDescent="0.15">
      <c r="A1658">
        <v>1657</v>
      </c>
      <c r="B1658" t="s">
        <v>23</v>
      </c>
      <c r="C1658" t="s">
        <v>23</v>
      </c>
      <c r="D1658" t="s">
        <v>22</v>
      </c>
      <c r="E1658">
        <v>17300</v>
      </c>
      <c r="F1658">
        <v>656</v>
      </c>
      <c r="G1658">
        <v>-56</v>
      </c>
      <c r="H1658">
        <v>-43</v>
      </c>
      <c r="I1658" t="s">
        <v>20</v>
      </c>
      <c r="J1658">
        <v>1</v>
      </c>
      <c r="K1658">
        <v>0</v>
      </c>
      <c r="L1658">
        <v>1</v>
      </c>
      <c r="M1658">
        <v>0</v>
      </c>
      <c r="N1658">
        <v>0</v>
      </c>
      <c r="O1658">
        <v>0</v>
      </c>
      <c r="P1658">
        <v>0</v>
      </c>
      <c r="Q1658">
        <v>0</v>
      </c>
      <c r="R1658">
        <v>7000</v>
      </c>
      <c r="S1658">
        <v>7000</v>
      </c>
      <c r="T1658">
        <v>0</v>
      </c>
      <c r="U1658" t="str">
        <f>IF(SeismicData[[#This Row],[class]]=1,"Dangerous","Safe")</f>
        <v>Safe</v>
      </c>
      <c r="V1658" t="str">
        <f>IF(SeismicData[[#This Row],[shift]]="W","Production","Non-Production")</f>
        <v>Production</v>
      </c>
      <c r="W1658" t="str">
        <f>IF(SeismicData[[#This Row],[genergy]]=0,"0","10^"&amp;INT(LOG10(SeismicData[[#This Row],[genergy]])))</f>
        <v>10^4</v>
      </c>
      <c r="X1658" t="str">
        <f>IF(OR(SeismicData[[#This Row],[genergy]]&lt;$AA$6,SeismicData[[#This Row],[genergy]]&gt;$AA$5),"Outlier","Normal")</f>
        <v>Normal</v>
      </c>
    </row>
    <row r="1659" spans="1:24" x14ac:dyDescent="0.15">
      <c r="A1659">
        <v>1658</v>
      </c>
      <c r="B1659" t="s">
        <v>23</v>
      </c>
      <c r="C1659" t="s">
        <v>23</v>
      </c>
      <c r="D1659" t="s">
        <v>22</v>
      </c>
      <c r="E1659">
        <v>19760</v>
      </c>
      <c r="F1659">
        <v>328</v>
      </c>
      <c r="G1659">
        <v>-42</v>
      </c>
      <c r="H1659">
        <v>-43</v>
      </c>
      <c r="I1659" t="s">
        <v>20</v>
      </c>
      <c r="J1659">
        <v>0</v>
      </c>
      <c r="K1659">
        <v>0</v>
      </c>
      <c r="L1659">
        <v>0</v>
      </c>
      <c r="M1659">
        <v>0</v>
      </c>
      <c r="N1659">
        <v>0</v>
      </c>
      <c r="O1659">
        <v>0</v>
      </c>
      <c r="P1659">
        <v>0</v>
      </c>
      <c r="Q1659">
        <v>0</v>
      </c>
      <c r="R1659">
        <v>0</v>
      </c>
      <c r="S1659">
        <v>0</v>
      </c>
      <c r="T1659">
        <v>0</v>
      </c>
      <c r="U1659" t="str">
        <f>IF(SeismicData[[#This Row],[class]]=1,"Dangerous","Safe")</f>
        <v>Safe</v>
      </c>
      <c r="V1659" t="str">
        <f>IF(SeismicData[[#This Row],[shift]]="W","Production","Non-Production")</f>
        <v>Production</v>
      </c>
      <c r="W1659" t="str">
        <f>IF(SeismicData[[#This Row],[genergy]]=0,"0","10^"&amp;INT(LOG10(SeismicData[[#This Row],[genergy]])))</f>
        <v>10^4</v>
      </c>
      <c r="X1659" t="str">
        <f>IF(OR(SeismicData[[#This Row],[genergy]]&lt;$AA$6,SeismicData[[#This Row],[genergy]]&gt;$AA$5),"Outlier","Normal")</f>
        <v>Normal</v>
      </c>
    </row>
    <row r="1660" spans="1:24" x14ac:dyDescent="0.15">
      <c r="A1660">
        <v>1659</v>
      </c>
      <c r="B1660" t="s">
        <v>23</v>
      </c>
      <c r="C1660" t="s">
        <v>23</v>
      </c>
      <c r="D1660" t="s">
        <v>22</v>
      </c>
      <c r="E1660">
        <v>47670</v>
      </c>
      <c r="F1660">
        <v>507</v>
      </c>
      <c r="G1660">
        <v>40</v>
      </c>
      <c r="H1660">
        <v>-11</v>
      </c>
      <c r="I1660" t="s">
        <v>20</v>
      </c>
      <c r="J1660">
        <v>0</v>
      </c>
      <c r="K1660">
        <v>0</v>
      </c>
      <c r="L1660">
        <v>0</v>
      </c>
      <c r="M1660">
        <v>0</v>
      </c>
      <c r="N1660">
        <v>0</v>
      </c>
      <c r="O1660">
        <v>0</v>
      </c>
      <c r="P1660">
        <v>0</v>
      </c>
      <c r="Q1660">
        <v>0</v>
      </c>
      <c r="R1660">
        <v>0</v>
      </c>
      <c r="S1660">
        <v>0</v>
      </c>
      <c r="T1660">
        <v>0</v>
      </c>
      <c r="U1660" t="str">
        <f>IF(SeismicData[[#This Row],[class]]=1,"Dangerous","Safe")</f>
        <v>Safe</v>
      </c>
      <c r="V1660" t="str">
        <f>IF(SeismicData[[#This Row],[shift]]="W","Production","Non-Production")</f>
        <v>Production</v>
      </c>
      <c r="W1660" t="str">
        <f>IF(SeismicData[[#This Row],[genergy]]=0,"0","10^"&amp;INT(LOG10(SeismicData[[#This Row],[genergy]])))</f>
        <v>10^4</v>
      </c>
      <c r="X1660" t="str">
        <f>IF(OR(SeismicData[[#This Row],[genergy]]&lt;$AA$6,SeismicData[[#This Row],[genergy]]&gt;$AA$5),"Outlier","Normal")</f>
        <v>Normal</v>
      </c>
    </row>
    <row r="1661" spans="1:24" x14ac:dyDescent="0.15">
      <c r="A1661">
        <v>1660</v>
      </c>
      <c r="B1661" t="s">
        <v>23</v>
      </c>
      <c r="C1661" t="s">
        <v>23</v>
      </c>
      <c r="D1661" t="s">
        <v>22</v>
      </c>
      <c r="E1661">
        <v>40280</v>
      </c>
      <c r="F1661">
        <v>840</v>
      </c>
      <c r="G1661">
        <v>284</v>
      </c>
      <c r="H1661">
        <v>278</v>
      </c>
      <c r="I1661" t="s">
        <v>20</v>
      </c>
      <c r="J1661">
        <v>0</v>
      </c>
      <c r="K1661">
        <v>0</v>
      </c>
      <c r="L1661">
        <v>0</v>
      </c>
      <c r="M1661">
        <v>0</v>
      </c>
      <c r="N1661">
        <v>0</v>
      </c>
      <c r="O1661">
        <v>0</v>
      </c>
      <c r="P1661">
        <v>0</v>
      </c>
      <c r="Q1661">
        <v>0</v>
      </c>
      <c r="R1661">
        <v>0</v>
      </c>
      <c r="S1661">
        <v>0</v>
      </c>
      <c r="T1661">
        <v>0</v>
      </c>
      <c r="U1661" t="str">
        <f>IF(SeismicData[[#This Row],[class]]=1,"Dangerous","Safe")</f>
        <v>Safe</v>
      </c>
      <c r="V1661" t="str">
        <f>IF(SeismicData[[#This Row],[shift]]="W","Production","Non-Production")</f>
        <v>Production</v>
      </c>
      <c r="W1661" t="str">
        <f>IF(SeismicData[[#This Row],[genergy]]=0,"0","10^"&amp;INT(LOG10(SeismicData[[#This Row],[genergy]])))</f>
        <v>10^4</v>
      </c>
      <c r="X1661" t="str">
        <f>IF(OR(SeismicData[[#This Row],[genergy]]&lt;$AA$6,SeismicData[[#This Row],[genergy]]&gt;$AA$5),"Outlier","Normal")</f>
        <v>Normal</v>
      </c>
    </row>
    <row r="1662" spans="1:24" x14ac:dyDescent="0.15">
      <c r="A1662">
        <v>1661</v>
      </c>
      <c r="B1662" t="s">
        <v>23</v>
      </c>
      <c r="C1662" t="s">
        <v>23</v>
      </c>
      <c r="D1662" t="s">
        <v>22</v>
      </c>
      <c r="E1662">
        <v>19290</v>
      </c>
      <c r="F1662">
        <v>859</v>
      </c>
      <c r="G1662">
        <v>-51</v>
      </c>
      <c r="H1662">
        <v>-25</v>
      </c>
      <c r="I1662" t="s">
        <v>20</v>
      </c>
      <c r="J1662">
        <v>1</v>
      </c>
      <c r="K1662">
        <v>1</v>
      </c>
      <c r="L1662">
        <v>0</v>
      </c>
      <c r="M1662">
        <v>0</v>
      </c>
      <c r="N1662">
        <v>0</v>
      </c>
      <c r="O1662">
        <v>0</v>
      </c>
      <c r="P1662">
        <v>0</v>
      </c>
      <c r="Q1662">
        <v>0</v>
      </c>
      <c r="R1662">
        <v>200</v>
      </c>
      <c r="S1662">
        <v>200</v>
      </c>
      <c r="T1662">
        <v>0</v>
      </c>
      <c r="U1662" t="str">
        <f>IF(SeismicData[[#This Row],[class]]=1,"Dangerous","Safe")</f>
        <v>Safe</v>
      </c>
      <c r="V1662" t="str">
        <f>IF(SeismicData[[#This Row],[shift]]="W","Production","Non-Production")</f>
        <v>Production</v>
      </c>
      <c r="W1662" t="str">
        <f>IF(SeismicData[[#This Row],[genergy]]=0,"0","10^"&amp;INT(LOG10(SeismicData[[#This Row],[genergy]])))</f>
        <v>10^4</v>
      </c>
      <c r="X1662" t="str">
        <f>IF(OR(SeismicData[[#This Row],[genergy]]&lt;$AA$6,SeismicData[[#This Row],[genergy]]&gt;$AA$5),"Outlier","Normal")</f>
        <v>Normal</v>
      </c>
    </row>
    <row r="1663" spans="1:24" x14ac:dyDescent="0.15">
      <c r="A1663">
        <v>1662</v>
      </c>
      <c r="B1663" t="s">
        <v>23</v>
      </c>
      <c r="C1663" t="s">
        <v>23</v>
      </c>
      <c r="D1663" t="s">
        <v>22</v>
      </c>
      <c r="E1663">
        <v>59210</v>
      </c>
      <c r="F1663">
        <v>705</v>
      </c>
      <c r="G1663">
        <v>73</v>
      </c>
      <c r="H1663">
        <v>23</v>
      </c>
      <c r="I1663" t="s">
        <v>20</v>
      </c>
      <c r="J1663">
        <v>2</v>
      </c>
      <c r="K1663">
        <v>0</v>
      </c>
      <c r="L1663">
        <v>2</v>
      </c>
      <c r="M1663">
        <v>0</v>
      </c>
      <c r="N1663">
        <v>0</v>
      </c>
      <c r="O1663">
        <v>0</v>
      </c>
      <c r="P1663">
        <v>0</v>
      </c>
      <c r="Q1663">
        <v>0</v>
      </c>
      <c r="R1663">
        <v>4000</v>
      </c>
      <c r="S1663">
        <v>2000</v>
      </c>
      <c r="T1663">
        <v>0</v>
      </c>
      <c r="U1663" t="str">
        <f>IF(SeismicData[[#This Row],[class]]=1,"Dangerous","Safe")</f>
        <v>Safe</v>
      </c>
      <c r="V1663" t="str">
        <f>IF(SeismicData[[#This Row],[shift]]="W","Production","Non-Production")</f>
        <v>Production</v>
      </c>
      <c r="W1663" t="str">
        <f>IF(SeismicData[[#This Row],[genergy]]=0,"0","10^"&amp;INT(LOG10(SeismicData[[#This Row],[genergy]])))</f>
        <v>10^4</v>
      </c>
      <c r="X1663" t="str">
        <f>IF(OR(SeismicData[[#This Row],[genergy]]&lt;$AA$6,SeismicData[[#This Row],[genergy]]&gt;$AA$5),"Outlier","Normal")</f>
        <v>Normal</v>
      </c>
    </row>
    <row r="1664" spans="1:24" x14ac:dyDescent="0.15">
      <c r="A1664">
        <v>1663</v>
      </c>
      <c r="B1664" t="s">
        <v>20</v>
      </c>
      <c r="C1664" t="s">
        <v>20</v>
      </c>
      <c r="D1664" t="s">
        <v>22</v>
      </c>
      <c r="E1664">
        <v>31590</v>
      </c>
      <c r="F1664">
        <v>377</v>
      </c>
      <c r="G1664">
        <v>175</v>
      </c>
      <c r="H1664">
        <v>74</v>
      </c>
      <c r="I1664" t="s">
        <v>20</v>
      </c>
      <c r="J1664">
        <v>0</v>
      </c>
      <c r="K1664">
        <v>0</v>
      </c>
      <c r="L1664">
        <v>0</v>
      </c>
      <c r="M1664">
        <v>0</v>
      </c>
      <c r="N1664">
        <v>0</v>
      </c>
      <c r="O1664">
        <v>0</v>
      </c>
      <c r="P1664">
        <v>0</v>
      </c>
      <c r="Q1664">
        <v>0</v>
      </c>
      <c r="R1664">
        <v>0</v>
      </c>
      <c r="S1664">
        <v>0</v>
      </c>
      <c r="T1664">
        <v>0</v>
      </c>
      <c r="U1664" t="str">
        <f>IF(SeismicData[[#This Row],[class]]=1,"Dangerous","Safe")</f>
        <v>Safe</v>
      </c>
      <c r="V1664" t="str">
        <f>IF(SeismicData[[#This Row],[shift]]="W","Production","Non-Production")</f>
        <v>Production</v>
      </c>
      <c r="W1664" t="str">
        <f>IF(SeismicData[[#This Row],[genergy]]=0,"0","10^"&amp;INT(LOG10(SeismicData[[#This Row],[genergy]])))</f>
        <v>10^4</v>
      </c>
      <c r="X1664" t="str">
        <f>IF(OR(SeismicData[[#This Row],[genergy]]&lt;$AA$6,SeismicData[[#This Row],[genergy]]&gt;$AA$5),"Outlier","Normal")</f>
        <v>Normal</v>
      </c>
    </row>
    <row r="1665" spans="1:24" x14ac:dyDescent="0.15">
      <c r="A1665">
        <v>1664</v>
      </c>
      <c r="B1665" t="s">
        <v>20</v>
      </c>
      <c r="C1665" t="s">
        <v>20</v>
      </c>
      <c r="D1665" t="s">
        <v>22</v>
      </c>
      <c r="E1665">
        <v>24650</v>
      </c>
      <c r="F1665">
        <v>332</v>
      </c>
      <c r="G1665">
        <v>-29</v>
      </c>
      <c r="H1665">
        <v>-41</v>
      </c>
      <c r="I1665" t="s">
        <v>20</v>
      </c>
      <c r="J1665">
        <v>0</v>
      </c>
      <c r="K1665">
        <v>0</v>
      </c>
      <c r="L1665">
        <v>0</v>
      </c>
      <c r="M1665">
        <v>0</v>
      </c>
      <c r="N1665">
        <v>0</v>
      </c>
      <c r="O1665">
        <v>0</v>
      </c>
      <c r="P1665">
        <v>0</v>
      </c>
      <c r="Q1665">
        <v>0</v>
      </c>
      <c r="R1665">
        <v>0</v>
      </c>
      <c r="S1665">
        <v>0</v>
      </c>
      <c r="T1665">
        <v>0</v>
      </c>
      <c r="U1665" t="str">
        <f>IF(SeismicData[[#This Row],[class]]=1,"Dangerous","Safe")</f>
        <v>Safe</v>
      </c>
      <c r="V1665" t="str">
        <f>IF(SeismicData[[#This Row],[shift]]="W","Production","Non-Production")</f>
        <v>Production</v>
      </c>
      <c r="W1665" t="str">
        <f>IF(SeismicData[[#This Row],[genergy]]=0,"0","10^"&amp;INT(LOG10(SeismicData[[#This Row],[genergy]])))</f>
        <v>10^4</v>
      </c>
      <c r="X1665" t="str">
        <f>IF(OR(SeismicData[[#This Row],[genergy]]&lt;$AA$6,SeismicData[[#This Row],[genergy]]&gt;$AA$5),"Outlier","Normal")</f>
        <v>Normal</v>
      </c>
    </row>
    <row r="1666" spans="1:24" x14ac:dyDescent="0.15">
      <c r="A1666">
        <v>1665</v>
      </c>
      <c r="B1666" t="s">
        <v>20</v>
      </c>
      <c r="C1666" t="s">
        <v>20</v>
      </c>
      <c r="D1666" t="s">
        <v>22</v>
      </c>
      <c r="E1666">
        <v>19370</v>
      </c>
      <c r="F1666">
        <v>351</v>
      </c>
      <c r="G1666">
        <v>-44</v>
      </c>
      <c r="H1666">
        <v>-38</v>
      </c>
      <c r="I1666" t="s">
        <v>20</v>
      </c>
      <c r="J1666">
        <v>0</v>
      </c>
      <c r="K1666">
        <v>0</v>
      </c>
      <c r="L1666">
        <v>0</v>
      </c>
      <c r="M1666">
        <v>0</v>
      </c>
      <c r="N1666">
        <v>0</v>
      </c>
      <c r="O1666">
        <v>0</v>
      </c>
      <c r="P1666">
        <v>0</v>
      </c>
      <c r="Q1666">
        <v>0</v>
      </c>
      <c r="R1666">
        <v>0</v>
      </c>
      <c r="S1666">
        <v>0</v>
      </c>
      <c r="T1666">
        <v>0</v>
      </c>
      <c r="U1666" t="str">
        <f>IF(SeismicData[[#This Row],[class]]=1,"Dangerous","Safe")</f>
        <v>Safe</v>
      </c>
      <c r="V1666" t="str">
        <f>IF(SeismicData[[#This Row],[shift]]="W","Production","Non-Production")</f>
        <v>Production</v>
      </c>
      <c r="W1666" t="str">
        <f>IF(SeismicData[[#This Row],[genergy]]=0,"0","10^"&amp;INT(LOG10(SeismicData[[#This Row],[genergy]])))</f>
        <v>10^4</v>
      </c>
      <c r="X1666" t="str">
        <f>IF(OR(SeismicData[[#This Row],[genergy]]&lt;$AA$6,SeismicData[[#This Row],[genergy]]&gt;$AA$5),"Outlier","Normal")</f>
        <v>Normal</v>
      </c>
    </row>
    <row r="1667" spans="1:24" x14ac:dyDescent="0.15">
      <c r="A1667">
        <v>1666</v>
      </c>
      <c r="B1667" t="s">
        <v>20</v>
      </c>
      <c r="C1667" t="s">
        <v>20</v>
      </c>
      <c r="D1667" t="s">
        <v>22</v>
      </c>
      <c r="E1667">
        <v>48710</v>
      </c>
      <c r="F1667">
        <v>547</v>
      </c>
      <c r="G1667">
        <v>41</v>
      </c>
      <c r="H1667">
        <v>-3</v>
      </c>
      <c r="I1667" t="s">
        <v>20</v>
      </c>
      <c r="J1667">
        <v>0</v>
      </c>
      <c r="K1667">
        <v>0</v>
      </c>
      <c r="L1667">
        <v>0</v>
      </c>
      <c r="M1667">
        <v>0</v>
      </c>
      <c r="N1667">
        <v>0</v>
      </c>
      <c r="O1667">
        <v>0</v>
      </c>
      <c r="P1667">
        <v>0</v>
      </c>
      <c r="Q1667">
        <v>0</v>
      </c>
      <c r="R1667">
        <v>0</v>
      </c>
      <c r="S1667">
        <v>0</v>
      </c>
      <c r="T1667">
        <v>0</v>
      </c>
      <c r="U1667" t="str">
        <f>IF(SeismicData[[#This Row],[class]]=1,"Dangerous","Safe")</f>
        <v>Safe</v>
      </c>
      <c r="V1667" t="str">
        <f>IF(SeismicData[[#This Row],[shift]]="W","Production","Non-Production")</f>
        <v>Production</v>
      </c>
      <c r="W1667" t="str">
        <f>IF(SeismicData[[#This Row],[genergy]]=0,"0","10^"&amp;INT(LOG10(SeismicData[[#This Row],[genergy]])))</f>
        <v>10^4</v>
      </c>
      <c r="X1667" t="str">
        <f>IF(OR(SeismicData[[#This Row],[genergy]]&lt;$AA$6,SeismicData[[#This Row],[genergy]]&gt;$AA$5),"Outlier","Normal")</f>
        <v>Normal</v>
      </c>
    </row>
    <row r="1668" spans="1:24" x14ac:dyDescent="0.15">
      <c r="A1668">
        <v>1667</v>
      </c>
      <c r="B1668" t="s">
        <v>20</v>
      </c>
      <c r="C1668" t="s">
        <v>20</v>
      </c>
      <c r="D1668" t="s">
        <v>22</v>
      </c>
      <c r="E1668">
        <v>42860</v>
      </c>
      <c r="F1668">
        <v>588</v>
      </c>
      <c r="G1668">
        <v>24</v>
      </c>
      <c r="H1668">
        <v>5</v>
      </c>
      <c r="I1668" t="s">
        <v>20</v>
      </c>
      <c r="J1668">
        <v>0</v>
      </c>
      <c r="K1668">
        <v>0</v>
      </c>
      <c r="L1668">
        <v>0</v>
      </c>
      <c r="M1668">
        <v>0</v>
      </c>
      <c r="N1668">
        <v>0</v>
      </c>
      <c r="O1668">
        <v>0</v>
      </c>
      <c r="P1668">
        <v>0</v>
      </c>
      <c r="Q1668">
        <v>0</v>
      </c>
      <c r="R1668">
        <v>0</v>
      </c>
      <c r="S1668">
        <v>0</v>
      </c>
      <c r="T1668">
        <v>0</v>
      </c>
      <c r="U1668" t="str">
        <f>IF(SeismicData[[#This Row],[class]]=1,"Dangerous","Safe")</f>
        <v>Safe</v>
      </c>
      <c r="V1668" t="str">
        <f>IF(SeismicData[[#This Row],[shift]]="W","Production","Non-Production")</f>
        <v>Production</v>
      </c>
      <c r="W1668" t="str">
        <f>IF(SeismicData[[#This Row],[genergy]]=0,"0","10^"&amp;INT(LOG10(SeismicData[[#This Row],[genergy]])))</f>
        <v>10^4</v>
      </c>
      <c r="X1668" t="str">
        <f>IF(OR(SeismicData[[#This Row],[genergy]]&lt;$AA$6,SeismicData[[#This Row],[genergy]]&gt;$AA$5),"Outlier","Normal")</f>
        <v>Normal</v>
      </c>
    </row>
    <row r="1669" spans="1:24" x14ac:dyDescent="0.15">
      <c r="A1669">
        <v>1668</v>
      </c>
      <c r="B1669" t="s">
        <v>20</v>
      </c>
      <c r="C1669" t="s">
        <v>20</v>
      </c>
      <c r="D1669" t="s">
        <v>22</v>
      </c>
      <c r="E1669">
        <v>33930</v>
      </c>
      <c r="F1669">
        <v>486</v>
      </c>
      <c r="G1669">
        <v>-2</v>
      </c>
      <c r="H1669">
        <v>-14</v>
      </c>
      <c r="I1669" t="s">
        <v>20</v>
      </c>
      <c r="J1669">
        <v>1</v>
      </c>
      <c r="K1669">
        <v>0</v>
      </c>
      <c r="L1669">
        <v>1</v>
      </c>
      <c r="M1669">
        <v>0</v>
      </c>
      <c r="N1669">
        <v>0</v>
      </c>
      <c r="O1669">
        <v>0</v>
      </c>
      <c r="P1669">
        <v>0</v>
      </c>
      <c r="Q1669">
        <v>0</v>
      </c>
      <c r="R1669">
        <v>4000</v>
      </c>
      <c r="S1669">
        <v>4000</v>
      </c>
      <c r="T1669">
        <v>0</v>
      </c>
      <c r="U1669" t="str">
        <f>IF(SeismicData[[#This Row],[class]]=1,"Dangerous","Safe")</f>
        <v>Safe</v>
      </c>
      <c r="V1669" t="str">
        <f>IF(SeismicData[[#This Row],[shift]]="W","Production","Non-Production")</f>
        <v>Production</v>
      </c>
      <c r="W1669" t="str">
        <f>IF(SeismicData[[#This Row],[genergy]]=0,"0","10^"&amp;INT(LOG10(SeismicData[[#This Row],[genergy]])))</f>
        <v>10^4</v>
      </c>
      <c r="X1669" t="str">
        <f>IF(OR(SeismicData[[#This Row],[genergy]]&lt;$AA$6,SeismicData[[#This Row],[genergy]]&gt;$AA$5),"Outlier","Normal")</f>
        <v>Normal</v>
      </c>
    </row>
    <row r="1670" spans="1:24" x14ac:dyDescent="0.15">
      <c r="A1670">
        <v>1669</v>
      </c>
      <c r="B1670" t="s">
        <v>20</v>
      </c>
      <c r="C1670" t="s">
        <v>20</v>
      </c>
      <c r="D1670" t="s">
        <v>22</v>
      </c>
      <c r="E1670">
        <v>40070</v>
      </c>
      <c r="F1670">
        <v>501</v>
      </c>
      <c r="G1670">
        <v>16</v>
      </c>
      <c r="H1670">
        <v>-11</v>
      </c>
      <c r="I1670" t="s">
        <v>20</v>
      </c>
      <c r="J1670">
        <v>0</v>
      </c>
      <c r="K1670">
        <v>0</v>
      </c>
      <c r="L1670">
        <v>0</v>
      </c>
      <c r="M1670">
        <v>0</v>
      </c>
      <c r="N1670">
        <v>0</v>
      </c>
      <c r="O1670">
        <v>0</v>
      </c>
      <c r="P1670">
        <v>0</v>
      </c>
      <c r="Q1670">
        <v>0</v>
      </c>
      <c r="R1670">
        <v>0</v>
      </c>
      <c r="S1670">
        <v>0</v>
      </c>
      <c r="T1670">
        <v>1</v>
      </c>
      <c r="U1670" t="str">
        <f>IF(SeismicData[[#This Row],[class]]=1,"Dangerous","Safe")</f>
        <v>Dangerous</v>
      </c>
      <c r="V1670" t="str">
        <f>IF(SeismicData[[#This Row],[shift]]="W","Production","Non-Production")</f>
        <v>Production</v>
      </c>
      <c r="W1670" t="str">
        <f>IF(SeismicData[[#This Row],[genergy]]=0,"0","10^"&amp;INT(LOG10(SeismicData[[#This Row],[genergy]])))</f>
        <v>10^4</v>
      </c>
      <c r="X1670" t="str">
        <f>IF(OR(SeismicData[[#This Row],[genergy]]&lt;$AA$6,SeismicData[[#This Row],[genergy]]&gt;$AA$5),"Outlier","Normal")</f>
        <v>Normal</v>
      </c>
    </row>
    <row r="1671" spans="1:24" x14ac:dyDescent="0.15">
      <c r="A1671">
        <v>1670</v>
      </c>
      <c r="B1671" t="s">
        <v>20</v>
      </c>
      <c r="C1671" t="s">
        <v>20</v>
      </c>
      <c r="D1671" t="s">
        <v>22</v>
      </c>
      <c r="E1671">
        <v>56650</v>
      </c>
      <c r="F1671">
        <v>693</v>
      </c>
      <c r="G1671">
        <v>64</v>
      </c>
      <c r="H1671">
        <v>23</v>
      </c>
      <c r="I1671" t="s">
        <v>20</v>
      </c>
      <c r="J1671">
        <v>1</v>
      </c>
      <c r="K1671">
        <v>0</v>
      </c>
      <c r="L1671">
        <v>0</v>
      </c>
      <c r="M1671">
        <v>1</v>
      </c>
      <c r="N1671">
        <v>0</v>
      </c>
      <c r="O1671">
        <v>0</v>
      </c>
      <c r="P1671">
        <v>0</v>
      </c>
      <c r="Q1671">
        <v>0</v>
      </c>
      <c r="R1671">
        <v>10000</v>
      </c>
      <c r="S1671">
        <v>10000</v>
      </c>
      <c r="T1671">
        <v>0</v>
      </c>
      <c r="U1671" t="str">
        <f>IF(SeismicData[[#This Row],[class]]=1,"Dangerous","Safe")</f>
        <v>Safe</v>
      </c>
      <c r="V1671" t="str">
        <f>IF(SeismicData[[#This Row],[shift]]="W","Production","Non-Production")</f>
        <v>Production</v>
      </c>
      <c r="W1671" t="str">
        <f>IF(SeismicData[[#This Row],[genergy]]=0,"0","10^"&amp;INT(LOG10(SeismicData[[#This Row],[genergy]])))</f>
        <v>10^4</v>
      </c>
      <c r="X1671" t="str">
        <f>IF(OR(SeismicData[[#This Row],[genergy]]&lt;$AA$6,SeismicData[[#This Row],[genergy]]&gt;$AA$5),"Outlier","Normal")</f>
        <v>Normal</v>
      </c>
    </row>
    <row r="1672" spans="1:24" x14ac:dyDescent="0.15">
      <c r="A1672">
        <v>1671</v>
      </c>
      <c r="B1672" t="s">
        <v>20</v>
      </c>
      <c r="C1672" t="s">
        <v>23</v>
      </c>
      <c r="D1672" t="s">
        <v>22</v>
      </c>
      <c r="E1672">
        <v>45530</v>
      </c>
      <c r="F1672">
        <v>736</v>
      </c>
      <c r="G1672">
        <v>37</v>
      </c>
      <c r="H1672">
        <v>37</v>
      </c>
      <c r="I1672" t="s">
        <v>20</v>
      </c>
      <c r="J1672">
        <v>0</v>
      </c>
      <c r="K1672">
        <v>0</v>
      </c>
      <c r="L1672">
        <v>0</v>
      </c>
      <c r="M1672">
        <v>0</v>
      </c>
      <c r="N1672">
        <v>0</v>
      </c>
      <c r="O1672">
        <v>0</v>
      </c>
      <c r="P1672">
        <v>0</v>
      </c>
      <c r="Q1672">
        <v>0</v>
      </c>
      <c r="R1672">
        <v>0</v>
      </c>
      <c r="S1672">
        <v>0</v>
      </c>
      <c r="T1672">
        <v>0</v>
      </c>
      <c r="U1672" t="str">
        <f>IF(SeismicData[[#This Row],[class]]=1,"Dangerous","Safe")</f>
        <v>Safe</v>
      </c>
      <c r="V1672" t="str">
        <f>IF(SeismicData[[#This Row],[shift]]="W","Production","Non-Production")</f>
        <v>Production</v>
      </c>
      <c r="W1672" t="str">
        <f>IF(SeismicData[[#This Row],[genergy]]=0,"0","10^"&amp;INT(LOG10(SeismicData[[#This Row],[genergy]])))</f>
        <v>10^4</v>
      </c>
      <c r="X1672" t="str">
        <f>IF(OR(SeismicData[[#This Row],[genergy]]&lt;$AA$6,SeismicData[[#This Row],[genergy]]&gt;$AA$5),"Outlier","Normal")</f>
        <v>Normal</v>
      </c>
    </row>
    <row r="1673" spans="1:24" x14ac:dyDescent="0.15">
      <c r="A1673">
        <v>1672</v>
      </c>
      <c r="B1673" t="s">
        <v>20</v>
      </c>
      <c r="C1673" t="s">
        <v>23</v>
      </c>
      <c r="D1673" t="s">
        <v>22</v>
      </c>
      <c r="E1673">
        <v>37520</v>
      </c>
      <c r="F1673">
        <v>843</v>
      </c>
      <c r="G1673">
        <v>13</v>
      </c>
      <c r="H1673">
        <v>57</v>
      </c>
      <c r="I1673" t="s">
        <v>20</v>
      </c>
      <c r="J1673">
        <v>0</v>
      </c>
      <c r="K1673">
        <v>0</v>
      </c>
      <c r="L1673">
        <v>0</v>
      </c>
      <c r="M1673">
        <v>0</v>
      </c>
      <c r="N1673">
        <v>0</v>
      </c>
      <c r="O1673">
        <v>0</v>
      </c>
      <c r="P1673">
        <v>0</v>
      </c>
      <c r="Q1673">
        <v>0</v>
      </c>
      <c r="R1673">
        <v>0</v>
      </c>
      <c r="S1673">
        <v>0</v>
      </c>
      <c r="T1673">
        <v>0</v>
      </c>
      <c r="U1673" t="str">
        <f>IF(SeismicData[[#This Row],[class]]=1,"Dangerous","Safe")</f>
        <v>Safe</v>
      </c>
      <c r="V1673" t="str">
        <f>IF(SeismicData[[#This Row],[shift]]="W","Production","Non-Production")</f>
        <v>Production</v>
      </c>
      <c r="W1673" t="str">
        <f>IF(SeismicData[[#This Row],[genergy]]=0,"0","10^"&amp;INT(LOG10(SeismicData[[#This Row],[genergy]])))</f>
        <v>10^4</v>
      </c>
      <c r="X1673" t="str">
        <f>IF(OR(SeismicData[[#This Row],[genergy]]&lt;$AA$6,SeismicData[[#This Row],[genergy]]&gt;$AA$5),"Outlier","Normal")</f>
        <v>Normal</v>
      </c>
    </row>
    <row r="1674" spans="1:24" x14ac:dyDescent="0.15">
      <c r="A1674">
        <v>1673</v>
      </c>
      <c r="B1674" t="s">
        <v>20</v>
      </c>
      <c r="C1674" t="s">
        <v>23</v>
      </c>
      <c r="D1674" t="s">
        <v>22</v>
      </c>
      <c r="E1674">
        <v>64380</v>
      </c>
      <c r="F1674">
        <v>844</v>
      </c>
      <c r="G1674">
        <v>94</v>
      </c>
      <c r="H1674">
        <v>57</v>
      </c>
      <c r="I1674" t="s">
        <v>20</v>
      </c>
      <c r="J1674">
        <v>4</v>
      </c>
      <c r="K1674">
        <v>3</v>
      </c>
      <c r="L1674">
        <v>1</v>
      </c>
      <c r="M1674">
        <v>0</v>
      </c>
      <c r="N1674">
        <v>0</v>
      </c>
      <c r="O1674">
        <v>0</v>
      </c>
      <c r="P1674">
        <v>0</v>
      </c>
      <c r="Q1674">
        <v>0</v>
      </c>
      <c r="R1674">
        <v>4200</v>
      </c>
      <c r="S1674">
        <v>3000</v>
      </c>
      <c r="T1674">
        <v>1</v>
      </c>
      <c r="U1674" t="str">
        <f>IF(SeismicData[[#This Row],[class]]=1,"Dangerous","Safe")</f>
        <v>Dangerous</v>
      </c>
      <c r="V1674" t="str">
        <f>IF(SeismicData[[#This Row],[shift]]="W","Production","Non-Production")</f>
        <v>Production</v>
      </c>
      <c r="W1674" t="str">
        <f>IF(SeismicData[[#This Row],[genergy]]=0,"0","10^"&amp;INT(LOG10(SeismicData[[#This Row],[genergy]])))</f>
        <v>10^4</v>
      </c>
      <c r="X1674" t="str">
        <f>IF(OR(SeismicData[[#This Row],[genergy]]&lt;$AA$6,SeismicData[[#This Row],[genergy]]&gt;$AA$5),"Outlier","Normal")</f>
        <v>Normal</v>
      </c>
    </row>
    <row r="1675" spans="1:24" x14ac:dyDescent="0.15">
      <c r="A1675">
        <v>1674</v>
      </c>
      <c r="B1675" t="s">
        <v>20</v>
      </c>
      <c r="C1675" t="s">
        <v>23</v>
      </c>
      <c r="D1675" t="s">
        <v>22</v>
      </c>
      <c r="E1675">
        <v>67200</v>
      </c>
      <c r="F1675">
        <v>945</v>
      </c>
      <c r="G1675">
        <v>102</v>
      </c>
      <c r="H1675">
        <v>76</v>
      </c>
      <c r="I1675" t="s">
        <v>20</v>
      </c>
      <c r="J1675">
        <v>2</v>
      </c>
      <c r="K1675">
        <v>0</v>
      </c>
      <c r="L1675">
        <v>1</v>
      </c>
      <c r="M1675">
        <v>1</v>
      </c>
      <c r="N1675">
        <v>0</v>
      </c>
      <c r="O1675">
        <v>0</v>
      </c>
      <c r="P1675">
        <v>0</v>
      </c>
      <c r="Q1675">
        <v>0</v>
      </c>
      <c r="R1675">
        <v>12000</v>
      </c>
      <c r="S1675">
        <v>10000</v>
      </c>
      <c r="T1675">
        <v>0</v>
      </c>
      <c r="U1675" t="str">
        <f>IF(SeismicData[[#This Row],[class]]=1,"Dangerous","Safe")</f>
        <v>Safe</v>
      </c>
      <c r="V1675" t="str">
        <f>IF(SeismicData[[#This Row],[shift]]="W","Production","Non-Production")</f>
        <v>Production</v>
      </c>
      <c r="W1675" t="str">
        <f>IF(SeismicData[[#This Row],[genergy]]=0,"0","10^"&amp;INT(LOG10(SeismicData[[#This Row],[genergy]])))</f>
        <v>10^4</v>
      </c>
      <c r="X1675" t="str">
        <f>IF(OR(SeismicData[[#This Row],[genergy]]&lt;$AA$6,SeismicData[[#This Row],[genergy]]&gt;$AA$5),"Outlier","Normal")</f>
        <v>Normal</v>
      </c>
    </row>
    <row r="1676" spans="1:24" x14ac:dyDescent="0.15">
      <c r="A1676">
        <v>1675</v>
      </c>
      <c r="B1676" t="s">
        <v>20</v>
      </c>
      <c r="C1676" t="s">
        <v>23</v>
      </c>
      <c r="D1676" t="s">
        <v>22</v>
      </c>
      <c r="E1676">
        <v>35910</v>
      </c>
      <c r="F1676">
        <v>636</v>
      </c>
      <c r="G1676">
        <v>8</v>
      </c>
      <c r="H1676">
        <v>19</v>
      </c>
      <c r="I1676" t="s">
        <v>20</v>
      </c>
      <c r="J1676">
        <v>0</v>
      </c>
      <c r="K1676">
        <v>0</v>
      </c>
      <c r="L1676">
        <v>0</v>
      </c>
      <c r="M1676">
        <v>0</v>
      </c>
      <c r="N1676">
        <v>0</v>
      </c>
      <c r="O1676">
        <v>0</v>
      </c>
      <c r="P1676">
        <v>0</v>
      </c>
      <c r="Q1676">
        <v>0</v>
      </c>
      <c r="R1676">
        <v>0</v>
      </c>
      <c r="S1676">
        <v>0</v>
      </c>
      <c r="T1676">
        <v>0</v>
      </c>
      <c r="U1676" t="str">
        <f>IF(SeismicData[[#This Row],[class]]=1,"Dangerous","Safe")</f>
        <v>Safe</v>
      </c>
      <c r="V1676" t="str">
        <f>IF(SeismicData[[#This Row],[shift]]="W","Production","Non-Production")</f>
        <v>Production</v>
      </c>
      <c r="W1676" t="str">
        <f>IF(SeismicData[[#This Row],[genergy]]=0,"0","10^"&amp;INT(LOG10(SeismicData[[#This Row],[genergy]])))</f>
        <v>10^4</v>
      </c>
      <c r="X1676" t="str">
        <f>IF(OR(SeismicData[[#This Row],[genergy]]&lt;$AA$6,SeismicData[[#This Row],[genergy]]&gt;$AA$5),"Outlier","Normal")</f>
        <v>Normal</v>
      </c>
    </row>
    <row r="1677" spans="1:24" x14ac:dyDescent="0.15">
      <c r="A1677">
        <v>1676</v>
      </c>
      <c r="B1677" t="s">
        <v>20</v>
      </c>
      <c r="C1677" t="s">
        <v>23</v>
      </c>
      <c r="D1677" t="s">
        <v>22</v>
      </c>
      <c r="E1677">
        <v>40610</v>
      </c>
      <c r="F1677">
        <v>672</v>
      </c>
      <c r="G1677">
        <v>22</v>
      </c>
      <c r="H1677">
        <v>25</v>
      </c>
      <c r="I1677" t="s">
        <v>20</v>
      </c>
      <c r="J1677">
        <v>0</v>
      </c>
      <c r="K1677">
        <v>0</v>
      </c>
      <c r="L1677">
        <v>0</v>
      </c>
      <c r="M1677">
        <v>0</v>
      </c>
      <c r="N1677">
        <v>0</v>
      </c>
      <c r="O1677">
        <v>0</v>
      </c>
      <c r="P1677">
        <v>0</v>
      </c>
      <c r="Q1677">
        <v>0</v>
      </c>
      <c r="R1677">
        <v>0</v>
      </c>
      <c r="S1677">
        <v>0</v>
      </c>
      <c r="T1677">
        <v>0</v>
      </c>
      <c r="U1677" t="str">
        <f>IF(SeismicData[[#This Row],[class]]=1,"Dangerous","Safe")</f>
        <v>Safe</v>
      </c>
      <c r="V1677" t="str">
        <f>IF(SeismicData[[#This Row],[shift]]="W","Production","Non-Production")</f>
        <v>Production</v>
      </c>
      <c r="W1677" t="str">
        <f>IF(SeismicData[[#This Row],[genergy]]=0,"0","10^"&amp;INT(LOG10(SeismicData[[#This Row],[genergy]])))</f>
        <v>10^4</v>
      </c>
      <c r="X1677" t="str">
        <f>IF(OR(SeismicData[[#This Row],[genergy]]&lt;$AA$6,SeismicData[[#This Row],[genergy]]&gt;$AA$5),"Outlier","Normal")</f>
        <v>Normal</v>
      </c>
    </row>
    <row r="1678" spans="1:24" x14ac:dyDescent="0.15">
      <c r="A1678">
        <v>1677</v>
      </c>
      <c r="B1678" t="s">
        <v>20</v>
      </c>
      <c r="C1678" t="s">
        <v>23</v>
      </c>
      <c r="D1678" t="s">
        <v>22</v>
      </c>
      <c r="E1678">
        <v>13330</v>
      </c>
      <c r="F1678">
        <v>671</v>
      </c>
      <c r="G1678">
        <v>-64</v>
      </c>
      <c r="H1678">
        <v>-39</v>
      </c>
      <c r="I1678" t="s">
        <v>20</v>
      </c>
      <c r="J1678">
        <v>0</v>
      </c>
      <c r="K1678">
        <v>0</v>
      </c>
      <c r="L1678">
        <v>0</v>
      </c>
      <c r="M1678">
        <v>0</v>
      </c>
      <c r="N1678">
        <v>0</v>
      </c>
      <c r="O1678">
        <v>0</v>
      </c>
      <c r="P1678">
        <v>0</v>
      </c>
      <c r="Q1678">
        <v>0</v>
      </c>
      <c r="R1678">
        <v>0</v>
      </c>
      <c r="S1678">
        <v>0</v>
      </c>
      <c r="T1678">
        <v>0</v>
      </c>
      <c r="U1678" t="str">
        <f>IF(SeismicData[[#This Row],[class]]=1,"Dangerous","Safe")</f>
        <v>Safe</v>
      </c>
      <c r="V1678" t="str">
        <f>IF(SeismicData[[#This Row],[shift]]="W","Production","Non-Production")</f>
        <v>Production</v>
      </c>
      <c r="W1678" t="str">
        <f>IF(SeismicData[[#This Row],[genergy]]=0,"0","10^"&amp;INT(LOG10(SeismicData[[#This Row],[genergy]])))</f>
        <v>10^4</v>
      </c>
      <c r="X1678" t="str">
        <f>IF(OR(SeismicData[[#This Row],[genergy]]&lt;$AA$6,SeismicData[[#This Row],[genergy]]&gt;$AA$5),"Outlier","Normal")</f>
        <v>Normal</v>
      </c>
    </row>
    <row r="1679" spans="1:24" x14ac:dyDescent="0.15">
      <c r="A1679">
        <v>1678</v>
      </c>
      <c r="B1679" t="s">
        <v>20</v>
      </c>
      <c r="C1679" t="s">
        <v>23</v>
      </c>
      <c r="D1679" t="s">
        <v>22</v>
      </c>
      <c r="E1679">
        <v>12440</v>
      </c>
      <c r="F1679">
        <v>333</v>
      </c>
      <c r="G1679">
        <v>-63</v>
      </c>
      <c r="H1679">
        <v>-38</v>
      </c>
      <c r="I1679" t="s">
        <v>20</v>
      </c>
      <c r="J1679">
        <v>0</v>
      </c>
      <c r="K1679">
        <v>0</v>
      </c>
      <c r="L1679">
        <v>0</v>
      </c>
      <c r="M1679">
        <v>0</v>
      </c>
      <c r="N1679">
        <v>0</v>
      </c>
      <c r="O1679">
        <v>0</v>
      </c>
      <c r="P1679">
        <v>0</v>
      </c>
      <c r="Q1679">
        <v>0</v>
      </c>
      <c r="R1679">
        <v>0</v>
      </c>
      <c r="S1679">
        <v>0</v>
      </c>
      <c r="T1679">
        <v>0</v>
      </c>
      <c r="U1679" t="str">
        <f>IF(SeismicData[[#This Row],[class]]=1,"Dangerous","Safe")</f>
        <v>Safe</v>
      </c>
      <c r="V1679" t="str">
        <f>IF(SeismicData[[#This Row],[shift]]="W","Production","Non-Production")</f>
        <v>Production</v>
      </c>
      <c r="W1679" t="str">
        <f>IF(SeismicData[[#This Row],[genergy]]=0,"0","10^"&amp;INT(LOG10(SeismicData[[#This Row],[genergy]])))</f>
        <v>10^4</v>
      </c>
      <c r="X1679" t="str">
        <f>IF(OR(SeismicData[[#This Row],[genergy]]&lt;$AA$6,SeismicData[[#This Row],[genergy]]&gt;$AA$5),"Outlier","Normal")</f>
        <v>Normal</v>
      </c>
    </row>
    <row r="1680" spans="1:24" x14ac:dyDescent="0.15">
      <c r="A1680">
        <v>1679</v>
      </c>
      <c r="B1680" t="s">
        <v>20</v>
      </c>
      <c r="C1680" t="s">
        <v>23</v>
      </c>
      <c r="D1680" t="s">
        <v>22</v>
      </c>
      <c r="E1680">
        <v>12600</v>
      </c>
      <c r="F1680">
        <v>266</v>
      </c>
      <c r="G1680">
        <v>-60</v>
      </c>
      <c r="H1680">
        <v>-47</v>
      </c>
      <c r="I1680" t="s">
        <v>20</v>
      </c>
      <c r="J1680">
        <v>0</v>
      </c>
      <c r="K1680">
        <v>0</v>
      </c>
      <c r="L1680">
        <v>0</v>
      </c>
      <c r="M1680">
        <v>0</v>
      </c>
      <c r="N1680">
        <v>0</v>
      </c>
      <c r="O1680">
        <v>0</v>
      </c>
      <c r="P1680">
        <v>0</v>
      </c>
      <c r="Q1680">
        <v>0</v>
      </c>
      <c r="R1680">
        <v>0</v>
      </c>
      <c r="S1680">
        <v>0</v>
      </c>
      <c r="T1680">
        <v>0</v>
      </c>
      <c r="U1680" t="str">
        <f>IF(SeismicData[[#This Row],[class]]=1,"Dangerous","Safe")</f>
        <v>Safe</v>
      </c>
      <c r="V1680" t="str">
        <f>IF(SeismicData[[#This Row],[shift]]="W","Production","Non-Production")</f>
        <v>Production</v>
      </c>
      <c r="W1680" t="str">
        <f>IF(SeismicData[[#This Row],[genergy]]=0,"0","10^"&amp;INT(LOG10(SeismicData[[#This Row],[genergy]])))</f>
        <v>10^4</v>
      </c>
      <c r="X1680" t="str">
        <f>IF(OR(SeismicData[[#This Row],[genergy]]&lt;$AA$6,SeismicData[[#This Row],[genergy]]&gt;$AA$5),"Outlier","Normal")</f>
        <v>Normal</v>
      </c>
    </row>
    <row r="1681" spans="1:24" x14ac:dyDescent="0.15">
      <c r="A1681">
        <v>1680</v>
      </c>
      <c r="B1681" t="s">
        <v>20</v>
      </c>
      <c r="C1681" t="s">
        <v>23</v>
      </c>
      <c r="D1681" t="s">
        <v>22</v>
      </c>
      <c r="E1681">
        <v>44800</v>
      </c>
      <c r="F1681">
        <v>350</v>
      </c>
      <c r="G1681">
        <v>253</v>
      </c>
      <c r="H1681">
        <v>52</v>
      </c>
      <c r="I1681" t="s">
        <v>23</v>
      </c>
      <c r="J1681">
        <v>0</v>
      </c>
      <c r="K1681">
        <v>0</v>
      </c>
      <c r="L1681">
        <v>0</v>
      </c>
      <c r="M1681">
        <v>0</v>
      </c>
      <c r="N1681">
        <v>0</v>
      </c>
      <c r="O1681">
        <v>0</v>
      </c>
      <c r="P1681">
        <v>0</v>
      </c>
      <c r="Q1681">
        <v>0</v>
      </c>
      <c r="R1681">
        <v>0</v>
      </c>
      <c r="S1681">
        <v>0</v>
      </c>
      <c r="T1681">
        <v>0</v>
      </c>
      <c r="U1681" t="str">
        <f>IF(SeismicData[[#This Row],[class]]=1,"Dangerous","Safe")</f>
        <v>Safe</v>
      </c>
      <c r="V1681" t="str">
        <f>IF(SeismicData[[#This Row],[shift]]="W","Production","Non-Production")</f>
        <v>Production</v>
      </c>
      <c r="W1681" t="str">
        <f>IF(SeismicData[[#This Row],[genergy]]=0,"0","10^"&amp;INT(LOG10(SeismicData[[#This Row],[genergy]])))</f>
        <v>10^4</v>
      </c>
      <c r="X1681" t="str">
        <f>IF(OR(SeismicData[[#This Row],[genergy]]&lt;$AA$6,SeismicData[[#This Row],[genergy]]&gt;$AA$5),"Outlier","Normal")</f>
        <v>Normal</v>
      </c>
    </row>
    <row r="1682" spans="1:24" x14ac:dyDescent="0.15">
      <c r="A1682">
        <v>1681</v>
      </c>
      <c r="B1682" t="s">
        <v>20</v>
      </c>
      <c r="C1682" t="s">
        <v>23</v>
      </c>
      <c r="D1682" t="s">
        <v>22</v>
      </c>
      <c r="E1682">
        <v>12000</v>
      </c>
      <c r="F1682">
        <v>379</v>
      </c>
      <c r="G1682">
        <v>-5</v>
      </c>
      <c r="H1682">
        <v>64</v>
      </c>
      <c r="I1682" t="s">
        <v>23</v>
      </c>
      <c r="J1682">
        <v>0</v>
      </c>
      <c r="K1682">
        <v>0</v>
      </c>
      <c r="L1682">
        <v>0</v>
      </c>
      <c r="M1682">
        <v>0</v>
      </c>
      <c r="N1682">
        <v>0</v>
      </c>
      <c r="O1682">
        <v>0</v>
      </c>
      <c r="P1682">
        <v>0</v>
      </c>
      <c r="Q1682">
        <v>0</v>
      </c>
      <c r="R1682">
        <v>0</v>
      </c>
      <c r="S1682">
        <v>0</v>
      </c>
      <c r="T1682">
        <v>0</v>
      </c>
      <c r="U1682" t="str">
        <f>IF(SeismicData[[#This Row],[class]]=1,"Dangerous","Safe")</f>
        <v>Safe</v>
      </c>
      <c r="V1682" t="str">
        <f>IF(SeismicData[[#This Row],[shift]]="W","Production","Non-Production")</f>
        <v>Production</v>
      </c>
      <c r="W1682" t="str">
        <f>IF(SeismicData[[#This Row],[genergy]]=0,"0","10^"&amp;INT(LOG10(SeismicData[[#This Row],[genergy]])))</f>
        <v>10^4</v>
      </c>
      <c r="X1682" t="str">
        <f>IF(OR(SeismicData[[#This Row],[genergy]]&lt;$AA$6,SeismicData[[#This Row],[genergy]]&gt;$AA$5),"Outlier","Normal")</f>
        <v>Normal</v>
      </c>
    </row>
    <row r="1683" spans="1:24" x14ac:dyDescent="0.15">
      <c r="A1683">
        <v>1682</v>
      </c>
      <c r="B1683" t="s">
        <v>20</v>
      </c>
      <c r="C1683" t="s">
        <v>23</v>
      </c>
      <c r="D1683" t="s">
        <v>22</v>
      </c>
      <c r="E1683">
        <v>18510</v>
      </c>
      <c r="F1683">
        <v>289</v>
      </c>
      <c r="G1683">
        <v>-42</v>
      </c>
      <c r="H1683">
        <v>-42</v>
      </c>
      <c r="I1683" t="s">
        <v>20</v>
      </c>
      <c r="J1683">
        <v>0</v>
      </c>
      <c r="K1683">
        <v>0</v>
      </c>
      <c r="L1683">
        <v>0</v>
      </c>
      <c r="M1683">
        <v>0</v>
      </c>
      <c r="N1683">
        <v>0</v>
      </c>
      <c r="O1683">
        <v>0</v>
      </c>
      <c r="P1683">
        <v>0</v>
      </c>
      <c r="Q1683">
        <v>0</v>
      </c>
      <c r="R1683">
        <v>0</v>
      </c>
      <c r="S1683">
        <v>0</v>
      </c>
      <c r="T1683">
        <v>0</v>
      </c>
      <c r="U1683" t="str">
        <f>IF(SeismicData[[#This Row],[class]]=1,"Dangerous","Safe")</f>
        <v>Safe</v>
      </c>
      <c r="V1683" t="str">
        <f>IF(SeismicData[[#This Row],[shift]]="W","Production","Non-Production")</f>
        <v>Production</v>
      </c>
      <c r="W1683" t="str">
        <f>IF(SeismicData[[#This Row],[genergy]]=0,"0","10^"&amp;INT(LOG10(SeismicData[[#This Row],[genergy]])))</f>
        <v>10^4</v>
      </c>
      <c r="X1683" t="str">
        <f>IF(OR(SeismicData[[#This Row],[genergy]]&lt;$AA$6,SeismicData[[#This Row],[genergy]]&gt;$AA$5),"Outlier","Normal")</f>
        <v>Normal</v>
      </c>
    </row>
    <row r="1684" spans="1:24" x14ac:dyDescent="0.15">
      <c r="A1684">
        <v>1683</v>
      </c>
      <c r="B1684" t="s">
        <v>20</v>
      </c>
      <c r="C1684" t="s">
        <v>23</v>
      </c>
      <c r="D1684" t="s">
        <v>22</v>
      </c>
      <c r="E1684">
        <v>37110</v>
      </c>
      <c r="F1684">
        <v>484</v>
      </c>
      <c r="G1684">
        <v>17</v>
      </c>
      <c r="H1684">
        <v>-3</v>
      </c>
      <c r="I1684" t="s">
        <v>20</v>
      </c>
      <c r="J1684">
        <v>1</v>
      </c>
      <c r="K1684">
        <v>0</v>
      </c>
      <c r="L1684">
        <v>1</v>
      </c>
      <c r="M1684">
        <v>0</v>
      </c>
      <c r="N1684">
        <v>0</v>
      </c>
      <c r="O1684">
        <v>0</v>
      </c>
      <c r="P1684">
        <v>0</v>
      </c>
      <c r="Q1684">
        <v>0</v>
      </c>
      <c r="R1684">
        <v>1000</v>
      </c>
      <c r="S1684">
        <v>1000</v>
      </c>
      <c r="T1684">
        <v>0</v>
      </c>
      <c r="U1684" t="str">
        <f>IF(SeismicData[[#This Row],[class]]=1,"Dangerous","Safe")</f>
        <v>Safe</v>
      </c>
      <c r="V1684" t="str">
        <f>IF(SeismicData[[#This Row],[shift]]="W","Production","Non-Production")</f>
        <v>Production</v>
      </c>
      <c r="W1684" t="str">
        <f>IF(SeismicData[[#This Row],[genergy]]=0,"0","10^"&amp;INT(LOG10(SeismicData[[#This Row],[genergy]])))</f>
        <v>10^4</v>
      </c>
      <c r="X1684" t="str">
        <f>IF(OR(SeismicData[[#This Row],[genergy]]&lt;$AA$6,SeismicData[[#This Row],[genergy]]&gt;$AA$5),"Outlier","Normal")</f>
        <v>Normal</v>
      </c>
    </row>
    <row r="1685" spans="1:24" x14ac:dyDescent="0.15">
      <c r="A1685">
        <v>1684</v>
      </c>
      <c r="B1685" t="s">
        <v>20</v>
      </c>
      <c r="C1685" t="s">
        <v>23</v>
      </c>
      <c r="D1685" t="s">
        <v>22</v>
      </c>
      <c r="E1685">
        <v>65790</v>
      </c>
      <c r="F1685">
        <v>822</v>
      </c>
      <c r="G1685">
        <v>107</v>
      </c>
      <c r="H1685">
        <v>64</v>
      </c>
      <c r="I1685" t="s">
        <v>20</v>
      </c>
      <c r="J1685">
        <v>1</v>
      </c>
      <c r="K1685">
        <v>0</v>
      </c>
      <c r="L1685">
        <v>1</v>
      </c>
      <c r="M1685">
        <v>0</v>
      </c>
      <c r="N1685">
        <v>0</v>
      </c>
      <c r="O1685">
        <v>0</v>
      </c>
      <c r="P1685">
        <v>0</v>
      </c>
      <c r="Q1685">
        <v>0</v>
      </c>
      <c r="R1685">
        <v>7000</v>
      </c>
      <c r="S1685">
        <v>7000</v>
      </c>
      <c r="T1685">
        <v>0</v>
      </c>
      <c r="U1685" t="str">
        <f>IF(SeismicData[[#This Row],[class]]=1,"Dangerous","Safe")</f>
        <v>Safe</v>
      </c>
      <c r="V1685" t="str">
        <f>IF(SeismicData[[#This Row],[shift]]="W","Production","Non-Production")</f>
        <v>Production</v>
      </c>
      <c r="W1685" t="str">
        <f>IF(SeismicData[[#This Row],[genergy]]=0,"0","10^"&amp;INT(LOG10(SeismicData[[#This Row],[genergy]])))</f>
        <v>10^4</v>
      </c>
      <c r="X1685" t="str">
        <f>IF(OR(SeismicData[[#This Row],[genergy]]&lt;$AA$6,SeismicData[[#This Row],[genergy]]&gt;$AA$5),"Outlier","Normal")</f>
        <v>Normal</v>
      </c>
    </row>
    <row r="1686" spans="1:24" x14ac:dyDescent="0.15">
      <c r="A1686">
        <v>1685</v>
      </c>
      <c r="B1686" t="s">
        <v>20</v>
      </c>
      <c r="C1686" t="s">
        <v>23</v>
      </c>
      <c r="D1686" t="s">
        <v>22</v>
      </c>
      <c r="E1686">
        <v>28230</v>
      </c>
      <c r="F1686">
        <v>513</v>
      </c>
      <c r="G1686">
        <v>-11</v>
      </c>
      <c r="H1686">
        <v>3</v>
      </c>
      <c r="I1686" t="s">
        <v>20</v>
      </c>
      <c r="J1686">
        <v>0</v>
      </c>
      <c r="K1686">
        <v>0</v>
      </c>
      <c r="L1686">
        <v>0</v>
      </c>
      <c r="M1686">
        <v>0</v>
      </c>
      <c r="N1686">
        <v>0</v>
      </c>
      <c r="O1686">
        <v>0</v>
      </c>
      <c r="P1686">
        <v>0</v>
      </c>
      <c r="Q1686">
        <v>0</v>
      </c>
      <c r="R1686">
        <v>0</v>
      </c>
      <c r="S1686">
        <v>0</v>
      </c>
      <c r="T1686">
        <v>0</v>
      </c>
      <c r="U1686" t="str">
        <f>IF(SeismicData[[#This Row],[class]]=1,"Dangerous","Safe")</f>
        <v>Safe</v>
      </c>
      <c r="V1686" t="str">
        <f>IF(SeismicData[[#This Row],[shift]]="W","Production","Non-Production")</f>
        <v>Production</v>
      </c>
      <c r="W1686" t="str">
        <f>IF(SeismicData[[#This Row],[genergy]]=0,"0","10^"&amp;INT(LOG10(SeismicData[[#This Row],[genergy]])))</f>
        <v>10^4</v>
      </c>
      <c r="X1686" t="str">
        <f>IF(OR(SeismicData[[#This Row],[genergy]]&lt;$AA$6,SeismicData[[#This Row],[genergy]]&gt;$AA$5),"Outlier","Normal")</f>
        <v>Normal</v>
      </c>
    </row>
    <row r="1687" spans="1:24" x14ac:dyDescent="0.15">
      <c r="A1687">
        <v>1686</v>
      </c>
      <c r="B1687" t="s">
        <v>20</v>
      </c>
      <c r="C1687" t="s">
        <v>23</v>
      </c>
      <c r="D1687" t="s">
        <v>22</v>
      </c>
      <c r="E1687">
        <v>21520</v>
      </c>
      <c r="F1687">
        <v>477</v>
      </c>
      <c r="G1687">
        <v>-32</v>
      </c>
      <c r="H1687">
        <v>-5</v>
      </c>
      <c r="I1687" t="s">
        <v>20</v>
      </c>
      <c r="J1687">
        <v>0</v>
      </c>
      <c r="K1687">
        <v>0</v>
      </c>
      <c r="L1687">
        <v>0</v>
      </c>
      <c r="M1687">
        <v>0</v>
      </c>
      <c r="N1687">
        <v>0</v>
      </c>
      <c r="O1687">
        <v>0</v>
      </c>
      <c r="P1687">
        <v>0</v>
      </c>
      <c r="Q1687">
        <v>0</v>
      </c>
      <c r="R1687">
        <v>0</v>
      </c>
      <c r="S1687">
        <v>0</v>
      </c>
      <c r="T1687">
        <v>0</v>
      </c>
      <c r="U1687" t="str">
        <f>IF(SeismicData[[#This Row],[class]]=1,"Dangerous","Safe")</f>
        <v>Safe</v>
      </c>
      <c r="V1687" t="str">
        <f>IF(SeismicData[[#This Row],[shift]]="W","Production","Non-Production")</f>
        <v>Production</v>
      </c>
      <c r="W1687" t="str">
        <f>IF(SeismicData[[#This Row],[genergy]]=0,"0","10^"&amp;INT(LOG10(SeismicData[[#This Row],[genergy]])))</f>
        <v>10^4</v>
      </c>
      <c r="X1687" t="str">
        <f>IF(OR(SeismicData[[#This Row],[genergy]]&lt;$AA$6,SeismicData[[#This Row],[genergy]]&gt;$AA$5),"Outlier","Normal")</f>
        <v>Normal</v>
      </c>
    </row>
    <row r="1688" spans="1:24" x14ac:dyDescent="0.15">
      <c r="A1688">
        <v>1687</v>
      </c>
      <c r="B1688" t="s">
        <v>20</v>
      </c>
      <c r="C1688" t="s">
        <v>23</v>
      </c>
      <c r="D1688" t="s">
        <v>22</v>
      </c>
      <c r="E1688">
        <v>35450</v>
      </c>
      <c r="F1688">
        <v>567</v>
      </c>
      <c r="G1688">
        <v>6</v>
      </c>
      <c r="H1688">
        <v>8</v>
      </c>
      <c r="I1688" t="s">
        <v>20</v>
      </c>
      <c r="J1688">
        <v>2</v>
      </c>
      <c r="K1688">
        <v>2</v>
      </c>
      <c r="L1688">
        <v>0</v>
      </c>
      <c r="M1688">
        <v>0</v>
      </c>
      <c r="N1688">
        <v>0</v>
      </c>
      <c r="O1688">
        <v>0</v>
      </c>
      <c r="P1688">
        <v>0</v>
      </c>
      <c r="Q1688">
        <v>0</v>
      </c>
      <c r="R1688">
        <v>600</v>
      </c>
      <c r="S1688">
        <v>500</v>
      </c>
      <c r="T1688">
        <v>1</v>
      </c>
      <c r="U1688" t="str">
        <f>IF(SeismicData[[#This Row],[class]]=1,"Dangerous","Safe")</f>
        <v>Dangerous</v>
      </c>
      <c r="V1688" t="str">
        <f>IF(SeismicData[[#This Row],[shift]]="W","Production","Non-Production")</f>
        <v>Production</v>
      </c>
      <c r="W1688" t="str">
        <f>IF(SeismicData[[#This Row],[genergy]]=0,"0","10^"&amp;INT(LOG10(SeismicData[[#This Row],[genergy]])))</f>
        <v>10^4</v>
      </c>
      <c r="X1688" t="str">
        <f>IF(OR(SeismicData[[#This Row],[genergy]]&lt;$AA$6,SeismicData[[#This Row],[genergy]]&gt;$AA$5),"Outlier","Normal")</f>
        <v>Normal</v>
      </c>
    </row>
    <row r="1689" spans="1:24" x14ac:dyDescent="0.15">
      <c r="A1689">
        <v>1688</v>
      </c>
      <c r="B1689" t="s">
        <v>20</v>
      </c>
      <c r="C1689" t="s">
        <v>23</v>
      </c>
      <c r="D1689" t="s">
        <v>22</v>
      </c>
      <c r="E1689">
        <v>49930</v>
      </c>
      <c r="F1689">
        <v>1525</v>
      </c>
      <c r="G1689">
        <v>43</v>
      </c>
      <c r="H1689">
        <v>49</v>
      </c>
      <c r="I1689" t="s">
        <v>20</v>
      </c>
      <c r="J1689">
        <v>2</v>
      </c>
      <c r="K1689">
        <v>1</v>
      </c>
      <c r="L1689">
        <v>0</v>
      </c>
      <c r="M1689">
        <v>1</v>
      </c>
      <c r="N1689">
        <v>0</v>
      </c>
      <c r="O1689">
        <v>0</v>
      </c>
      <c r="P1689">
        <v>0</v>
      </c>
      <c r="Q1689">
        <v>0</v>
      </c>
      <c r="R1689">
        <v>10200</v>
      </c>
      <c r="S1689">
        <v>10000</v>
      </c>
      <c r="T1689">
        <v>0</v>
      </c>
      <c r="U1689" t="str">
        <f>IF(SeismicData[[#This Row],[class]]=1,"Dangerous","Safe")</f>
        <v>Safe</v>
      </c>
      <c r="V1689" t="str">
        <f>IF(SeismicData[[#This Row],[shift]]="W","Production","Non-Production")</f>
        <v>Production</v>
      </c>
      <c r="W1689" t="str">
        <f>IF(SeismicData[[#This Row],[genergy]]=0,"0","10^"&amp;INT(LOG10(SeismicData[[#This Row],[genergy]])))</f>
        <v>10^4</v>
      </c>
      <c r="X1689" t="str">
        <f>IF(OR(SeismicData[[#This Row],[genergy]]&lt;$AA$6,SeismicData[[#This Row],[genergy]]&gt;$AA$5),"Outlier","Normal")</f>
        <v>Normal</v>
      </c>
    </row>
    <row r="1690" spans="1:24" x14ac:dyDescent="0.15">
      <c r="A1690">
        <v>1689</v>
      </c>
      <c r="B1690" t="s">
        <v>20</v>
      </c>
      <c r="C1690" t="s">
        <v>23</v>
      </c>
      <c r="D1690" t="s">
        <v>22</v>
      </c>
      <c r="E1690">
        <v>28780</v>
      </c>
      <c r="F1690">
        <v>1294</v>
      </c>
      <c r="G1690">
        <v>-18</v>
      </c>
      <c r="H1690">
        <v>26</v>
      </c>
      <c r="I1690" t="s">
        <v>20</v>
      </c>
      <c r="J1690">
        <v>0</v>
      </c>
      <c r="K1690">
        <v>0</v>
      </c>
      <c r="L1690">
        <v>0</v>
      </c>
      <c r="M1690">
        <v>0</v>
      </c>
      <c r="N1690">
        <v>0</v>
      </c>
      <c r="O1690">
        <v>0</v>
      </c>
      <c r="P1690">
        <v>0</v>
      </c>
      <c r="Q1690">
        <v>0</v>
      </c>
      <c r="R1690">
        <v>0</v>
      </c>
      <c r="S1690">
        <v>0</v>
      </c>
      <c r="T1690">
        <v>0</v>
      </c>
      <c r="U1690" t="str">
        <f>IF(SeismicData[[#This Row],[class]]=1,"Dangerous","Safe")</f>
        <v>Safe</v>
      </c>
      <c r="V1690" t="str">
        <f>IF(SeismicData[[#This Row],[shift]]="W","Production","Non-Production")</f>
        <v>Production</v>
      </c>
      <c r="W1690" t="str">
        <f>IF(SeismicData[[#This Row],[genergy]]=0,"0","10^"&amp;INT(LOG10(SeismicData[[#This Row],[genergy]])))</f>
        <v>10^4</v>
      </c>
      <c r="X1690" t="str">
        <f>IF(OR(SeismicData[[#This Row],[genergy]]&lt;$AA$6,SeismicData[[#This Row],[genergy]]&gt;$AA$5),"Outlier","Normal")</f>
        <v>Normal</v>
      </c>
    </row>
    <row r="1691" spans="1:24" x14ac:dyDescent="0.15">
      <c r="A1691">
        <v>1690</v>
      </c>
      <c r="B1691" t="s">
        <v>20</v>
      </c>
      <c r="C1691" t="s">
        <v>23</v>
      </c>
      <c r="D1691" t="s">
        <v>22</v>
      </c>
      <c r="E1691">
        <v>22900</v>
      </c>
      <c r="F1691">
        <v>481</v>
      </c>
      <c r="G1691">
        <v>-32</v>
      </c>
      <c r="H1691">
        <v>-8</v>
      </c>
      <c r="I1691" t="s">
        <v>20</v>
      </c>
      <c r="J1691">
        <v>0</v>
      </c>
      <c r="K1691">
        <v>0</v>
      </c>
      <c r="L1691">
        <v>0</v>
      </c>
      <c r="M1691">
        <v>0</v>
      </c>
      <c r="N1691">
        <v>0</v>
      </c>
      <c r="O1691">
        <v>0</v>
      </c>
      <c r="P1691">
        <v>0</v>
      </c>
      <c r="Q1691">
        <v>0</v>
      </c>
      <c r="R1691">
        <v>0</v>
      </c>
      <c r="S1691">
        <v>0</v>
      </c>
      <c r="T1691">
        <v>0</v>
      </c>
      <c r="U1691" t="str">
        <f>IF(SeismicData[[#This Row],[class]]=1,"Dangerous","Safe")</f>
        <v>Safe</v>
      </c>
      <c r="V1691" t="str">
        <f>IF(SeismicData[[#This Row],[shift]]="W","Production","Non-Production")</f>
        <v>Production</v>
      </c>
      <c r="W1691" t="str">
        <f>IF(SeismicData[[#This Row],[genergy]]=0,"0","10^"&amp;INT(LOG10(SeismicData[[#This Row],[genergy]])))</f>
        <v>10^4</v>
      </c>
      <c r="X1691" t="str">
        <f>IF(OR(SeismicData[[#This Row],[genergy]]&lt;$AA$6,SeismicData[[#This Row],[genergy]]&gt;$AA$5),"Outlier","Normal")</f>
        <v>Normal</v>
      </c>
    </row>
    <row r="1692" spans="1:24" x14ac:dyDescent="0.15">
      <c r="A1692">
        <v>1691</v>
      </c>
      <c r="B1692" t="s">
        <v>20</v>
      </c>
      <c r="C1692" t="s">
        <v>23</v>
      </c>
      <c r="D1692" t="s">
        <v>22</v>
      </c>
      <c r="E1692">
        <v>43270</v>
      </c>
      <c r="F1692">
        <v>673</v>
      </c>
      <c r="G1692">
        <v>29</v>
      </c>
      <c r="H1692">
        <v>28</v>
      </c>
      <c r="I1692" t="s">
        <v>20</v>
      </c>
      <c r="J1692">
        <v>0</v>
      </c>
      <c r="K1692">
        <v>0</v>
      </c>
      <c r="L1692">
        <v>0</v>
      </c>
      <c r="M1692">
        <v>0</v>
      </c>
      <c r="N1692">
        <v>0</v>
      </c>
      <c r="O1692">
        <v>0</v>
      </c>
      <c r="P1692">
        <v>0</v>
      </c>
      <c r="Q1692">
        <v>0</v>
      </c>
      <c r="R1692">
        <v>0</v>
      </c>
      <c r="S1692">
        <v>0</v>
      </c>
      <c r="T1692">
        <v>1</v>
      </c>
      <c r="U1692" t="str">
        <f>IF(SeismicData[[#This Row],[class]]=1,"Dangerous","Safe")</f>
        <v>Dangerous</v>
      </c>
      <c r="V1692" t="str">
        <f>IF(SeismicData[[#This Row],[shift]]="W","Production","Non-Production")</f>
        <v>Production</v>
      </c>
      <c r="W1692" t="str">
        <f>IF(SeismicData[[#This Row],[genergy]]=0,"0","10^"&amp;INT(LOG10(SeismicData[[#This Row],[genergy]])))</f>
        <v>10^4</v>
      </c>
      <c r="X1692" t="str">
        <f>IF(OR(SeismicData[[#This Row],[genergy]]&lt;$AA$6,SeismicData[[#This Row],[genergy]]&gt;$AA$5),"Outlier","Normal")</f>
        <v>Normal</v>
      </c>
    </row>
    <row r="1693" spans="1:24" x14ac:dyDescent="0.15">
      <c r="A1693">
        <v>1692</v>
      </c>
      <c r="B1693" t="s">
        <v>20</v>
      </c>
      <c r="C1693" t="s">
        <v>23</v>
      </c>
      <c r="D1693" t="s">
        <v>21</v>
      </c>
      <c r="E1693">
        <v>135210</v>
      </c>
      <c r="F1693">
        <v>3261</v>
      </c>
      <c r="G1693">
        <v>1245</v>
      </c>
      <c r="H1693">
        <v>838</v>
      </c>
      <c r="I1693" t="s">
        <v>23</v>
      </c>
      <c r="J1693">
        <v>2</v>
      </c>
      <c r="K1693">
        <v>0</v>
      </c>
      <c r="L1693">
        <v>1</v>
      </c>
      <c r="M1693">
        <v>0</v>
      </c>
      <c r="N1693">
        <v>1</v>
      </c>
      <c r="O1693">
        <v>0</v>
      </c>
      <c r="P1693">
        <v>0</v>
      </c>
      <c r="Q1693">
        <v>0</v>
      </c>
      <c r="R1693">
        <v>208000</v>
      </c>
      <c r="S1693">
        <v>200000</v>
      </c>
      <c r="T1693">
        <v>0</v>
      </c>
      <c r="U1693" t="str">
        <f>IF(SeismicData[[#This Row],[class]]=1,"Dangerous","Safe")</f>
        <v>Safe</v>
      </c>
      <c r="V1693" t="str">
        <f>IF(SeismicData[[#This Row],[shift]]="W","Production","Non-Production")</f>
        <v>Non-Production</v>
      </c>
      <c r="W1693" t="str">
        <f>IF(SeismicData[[#This Row],[genergy]]=0,"0","10^"&amp;INT(LOG10(SeismicData[[#This Row],[genergy]])))</f>
        <v>10^5</v>
      </c>
      <c r="X1693" t="str">
        <f>IF(OR(SeismicData[[#This Row],[genergy]]&lt;$AA$6,SeismicData[[#This Row],[genergy]]&gt;$AA$5),"Outlier","Normal")</f>
        <v>Outlier</v>
      </c>
    </row>
    <row r="1694" spans="1:24" x14ac:dyDescent="0.15">
      <c r="A1694">
        <v>1693</v>
      </c>
      <c r="B1694" t="s">
        <v>20</v>
      </c>
      <c r="C1694" t="s">
        <v>23</v>
      </c>
      <c r="D1694" t="s">
        <v>21</v>
      </c>
      <c r="E1694">
        <v>54770</v>
      </c>
      <c r="F1694">
        <v>1913</v>
      </c>
      <c r="G1694">
        <v>445</v>
      </c>
      <c r="H1694">
        <v>450</v>
      </c>
      <c r="I1694" t="s">
        <v>24</v>
      </c>
      <c r="J1694">
        <v>0</v>
      </c>
      <c r="K1694">
        <v>0</v>
      </c>
      <c r="L1694">
        <v>0</v>
      </c>
      <c r="M1694">
        <v>0</v>
      </c>
      <c r="N1694">
        <v>0</v>
      </c>
      <c r="O1694">
        <v>0</v>
      </c>
      <c r="P1694">
        <v>0</v>
      </c>
      <c r="Q1694">
        <v>0</v>
      </c>
      <c r="R1694">
        <v>0</v>
      </c>
      <c r="S1694">
        <v>0</v>
      </c>
      <c r="T1694">
        <v>0</v>
      </c>
      <c r="U1694" t="str">
        <f>IF(SeismicData[[#This Row],[class]]=1,"Dangerous","Safe")</f>
        <v>Safe</v>
      </c>
      <c r="V1694" t="str">
        <f>IF(SeismicData[[#This Row],[shift]]="W","Production","Non-Production")</f>
        <v>Non-Production</v>
      </c>
      <c r="W1694" t="str">
        <f>IF(SeismicData[[#This Row],[genergy]]=0,"0","10^"&amp;INT(LOG10(SeismicData[[#This Row],[genergy]])))</f>
        <v>10^4</v>
      </c>
      <c r="X1694" t="str">
        <f>IF(OR(SeismicData[[#This Row],[genergy]]&lt;$AA$6,SeismicData[[#This Row],[genergy]]&gt;$AA$5),"Outlier","Normal")</f>
        <v>Normal</v>
      </c>
    </row>
    <row r="1695" spans="1:24" x14ac:dyDescent="0.15">
      <c r="A1695">
        <v>1694</v>
      </c>
      <c r="B1695" t="s">
        <v>20</v>
      </c>
      <c r="C1695" t="s">
        <v>23</v>
      </c>
      <c r="D1695" t="s">
        <v>21</v>
      </c>
      <c r="E1695">
        <v>30110</v>
      </c>
      <c r="F1695">
        <v>1068</v>
      </c>
      <c r="G1695">
        <v>199</v>
      </c>
      <c r="H1695">
        <v>207</v>
      </c>
      <c r="I1695" t="s">
        <v>23</v>
      </c>
      <c r="J1695">
        <v>1</v>
      </c>
      <c r="K1695">
        <v>0</v>
      </c>
      <c r="L1695">
        <v>1</v>
      </c>
      <c r="M1695">
        <v>0</v>
      </c>
      <c r="N1695">
        <v>0</v>
      </c>
      <c r="O1695">
        <v>0</v>
      </c>
      <c r="P1695">
        <v>0</v>
      </c>
      <c r="Q1695">
        <v>0</v>
      </c>
      <c r="R1695">
        <v>2000</v>
      </c>
      <c r="S1695">
        <v>2000</v>
      </c>
      <c r="T1695">
        <v>0</v>
      </c>
      <c r="U1695" t="str">
        <f>IF(SeismicData[[#This Row],[class]]=1,"Dangerous","Safe")</f>
        <v>Safe</v>
      </c>
      <c r="V1695" t="str">
        <f>IF(SeismicData[[#This Row],[shift]]="W","Production","Non-Production")</f>
        <v>Non-Production</v>
      </c>
      <c r="W1695" t="str">
        <f>IF(SeismicData[[#This Row],[genergy]]=0,"0","10^"&amp;INT(LOG10(SeismicData[[#This Row],[genergy]])))</f>
        <v>10^4</v>
      </c>
      <c r="X1695" t="str">
        <f>IF(OR(SeismicData[[#This Row],[genergy]]&lt;$AA$6,SeismicData[[#This Row],[genergy]]&gt;$AA$5),"Outlier","Normal")</f>
        <v>Normal</v>
      </c>
    </row>
    <row r="1696" spans="1:24" x14ac:dyDescent="0.15">
      <c r="A1696">
        <v>1695</v>
      </c>
      <c r="B1696" t="s">
        <v>23</v>
      </c>
      <c r="C1696" t="s">
        <v>23</v>
      </c>
      <c r="D1696" t="s">
        <v>22</v>
      </c>
      <c r="E1696">
        <v>26990</v>
      </c>
      <c r="F1696">
        <v>769</v>
      </c>
      <c r="G1696">
        <v>-20</v>
      </c>
      <c r="H1696">
        <v>-24</v>
      </c>
      <c r="I1696" t="s">
        <v>20</v>
      </c>
      <c r="J1696">
        <v>0</v>
      </c>
      <c r="K1696">
        <v>0</v>
      </c>
      <c r="L1696">
        <v>0</v>
      </c>
      <c r="M1696">
        <v>0</v>
      </c>
      <c r="N1696">
        <v>0</v>
      </c>
      <c r="O1696">
        <v>0</v>
      </c>
      <c r="P1696">
        <v>0</v>
      </c>
      <c r="Q1696">
        <v>0</v>
      </c>
      <c r="R1696">
        <v>0</v>
      </c>
      <c r="S1696">
        <v>0</v>
      </c>
      <c r="T1696">
        <v>0</v>
      </c>
      <c r="U1696" t="str">
        <f>IF(SeismicData[[#This Row],[class]]=1,"Dangerous","Safe")</f>
        <v>Safe</v>
      </c>
      <c r="V1696" t="str">
        <f>IF(SeismicData[[#This Row],[shift]]="W","Production","Non-Production")</f>
        <v>Production</v>
      </c>
      <c r="W1696" t="str">
        <f>IF(SeismicData[[#This Row],[genergy]]=0,"0","10^"&amp;INT(LOG10(SeismicData[[#This Row],[genergy]])))</f>
        <v>10^4</v>
      </c>
      <c r="X1696" t="str">
        <f>IF(OR(SeismicData[[#This Row],[genergy]]&lt;$AA$6,SeismicData[[#This Row],[genergy]]&gt;$AA$5),"Outlier","Normal")</f>
        <v>Normal</v>
      </c>
    </row>
    <row r="1697" spans="1:24" x14ac:dyDescent="0.15">
      <c r="A1697">
        <v>1696</v>
      </c>
      <c r="B1697" t="s">
        <v>23</v>
      </c>
      <c r="C1697" t="s">
        <v>23</v>
      </c>
      <c r="D1697" t="s">
        <v>22</v>
      </c>
      <c r="E1697">
        <v>36970</v>
      </c>
      <c r="F1697">
        <v>1033</v>
      </c>
      <c r="G1697">
        <v>9</v>
      </c>
      <c r="H1697">
        <v>3</v>
      </c>
      <c r="I1697" t="s">
        <v>20</v>
      </c>
      <c r="J1697">
        <v>0</v>
      </c>
      <c r="K1697">
        <v>0</v>
      </c>
      <c r="L1697">
        <v>0</v>
      </c>
      <c r="M1697">
        <v>0</v>
      </c>
      <c r="N1697">
        <v>0</v>
      </c>
      <c r="O1697">
        <v>0</v>
      </c>
      <c r="P1697">
        <v>0</v>
      </c>
      <c r="Q1697">
        <v>0</v>
      </c>
      <c r="R1697">
        <v>0</v>
      </c>
      <c r="S1697">
        <v>0</v>
      </c>
      <c r="T1697">
        <v>0</v>
      </c>
      <c r="U1697" t="str">
        <f>IF(SeismicData[[#This Row],[class]]=1,"Dangerous","Safe")</f>
        <v>Safe</v>
      </c>
      <c r="V1697" t="str">
        <f>IF(SeismicData[[#This Row],[shift]]="W","Production","Non-Production")</f>
        <v>Production</v>
      </c>
      <c r="W1697" t="str">
        <f>IF(SeismicData[[#This Row],[genergy]]=0,"0","10^"&amp;INT(LOG10(SeismicData[[#This Row],[genergy]])))</f>
        <v>10^4</v>
      </c>
      <c r="X1697" t="str">
        <f>IF(OR(SeismicData[[#This Row],[genergy]]&lt;$AA$6,SeismicData[[#This Row],[genergy]]&gt;$AA$5),"Outlier","Normal")</f>
        <v>Normal</v>
      </c>
    </row>
    <row r="1698" spans="1:24" x14ac:dyDescent="0.15">
      <c r="A1698">
        <v>1697</v>
      </c>
      <c r="B1698" t="s">
        <v>23</v>
      </c>
      <c r="C1698" t="s">
        <v>23</v>
      </c>
      <c r="D1698" t="s">
        <v>22</v>
      </c>
      <c r="E1698">
        <v>31160</v>
      </c>
      <c r="F1698">
        <v>623</v>
      </c>
      <c r="G1698">
        <v>-6</v>
      </c>
      <c r="H1698">
        <v>20</v>
      </c>
      <c r="I1698" t="s">
        <v>20</v>
      </c>
      <c r="J1698">
        <v>1</v>
      </c>
      <c r="K1698">
        <v>1</v>
      </c>
      <c r="L1698">
        <v>0</v>
      </c>
      <c r="M1698">
        <v>0</v>
      </c>
      <c r="N1698">
        <v>0</v>
      </c>
      <c r="O1698">
        <v>0</v>
      </c>
      <c r="P1698">
        <v>0</v>
      </c>
      <c r="Q1698">
        <v>0</v>
      </c>
      <c r="R1698">
        <v>400</v>
      </c>
      <c r="S1698">
        <v>400</v>
      </c>
      <c r="T1698">
        <v>0</v>
      </c>
      <c r="U1698" t="str">
        <f>IF(SeismicData[[#This Row],[class]]=1,"Dangerous","Safe")</f>
        <v>Safe</v>
      </c>
      <c r="V1698" t="str">
        <f>IF(SeismicData[[#This Row],[shift]]="W","Production","Non-Production")</f>
        <v>Production</v>
      </c>
      <c r="W1698" t="str">
        <f>IF(SeismicData[[#This Row],[genergy]]=0,"0","10^"&amp;INT(LOG10(SeismicData[[#This Row],[genergy]])))</f>
        <v>10^4</v>
      </c>
      <c r="X1698" t="str">
        <f>IF(OR(SeismicData[[#This Row],[genergy]]&lt;$AA$6,SeismicData[[#This Row],[genergy]]&gt;$AA$5),"Outlier","Normal")</f>
        <v>Normal</v>
      </c>
    </row>
    <row r="1699" spans="1:24" x14ac:dyDescent="0.15">
      <c r="A1699">
        <v>1698</v>
      </c>
      <c r="B1699" t="s">
        <v>23</v>
      </c>
      <c r="C1699" t="s">
        <v>23</v>
      </c>
      <c r="D1699" t="s">
        <v>22</v>
      </c>
      <c r="E1699">
        <v>40770</v>
      </c>
      <c r="F1699">
        <v>910</v>
      </c>
      <c r="G1699">
        <v>20</v>
      </c>
      <c r="H1699">
        <v>-10</v>
      </c>
      <c r="I1699" t="s">
        <v>20</v>
      </c>
      <c r="J1699">
        <v>0</v>
      </c>
      <c r="K1699">
        <v>0</v>
      </c>
      <c r="L1699">
        <v>0</v>
      </c>
      <c r="M1699">
        <v>0</v>
      </c>
      <c r="N1699">
        <v>0</v>
      </c>
      <c r="O1699">
        <v>0</v>
      </c>
      <c r="P1699">
        <v>0</v>
      </c>
      <c r="Q1699">
        <v>0</v>
      </c>
      <c r="R1699">
        <v>0</v>
      </c>
      <c r="S1699">
        <v>0</v>
      </c>
      <c r="T1699">
        <v>0</v>
      </c>
      <c r="U1699" t="str">
        <f>IF(SeismicData[[#This Row],[class]]=1,"Dangerous","Safe")</f>
        <v>Safe</v>
      </c>
      <c r="V1699" t="str">
        <f>IF(SeismicData[[#This Row],[shift]]="W","Production","Non-Production")</f>
        <v>Production</v>
      </c>
      <c r="W1699" t="str">
        <f>IF(SeismicData[[#This Row],[genergy]]=0,"0","10^"&amp;INT(LOG10(SeismicData[[#This Row],[genergy]])))</f>
        <v>10^4</v>
      </c>
      <c r="X1699" t="str">
        <f>IF(OR(SeismicData[[#This Row],[genergy]]&lt;$AA$6,SeismicData[[#This Row],[genergy]]&gt;$AA$5),"Outlier","Normal")</f>
        <v>Normal</v>
      </c>
    </row>
    <row r="1700" spans="1:24" x14ac:dyDescent="0.15">
      <c r="A1700">
        <v>1699</v>
      </c>
      <c r="B1700" t="s">
        <v>23</v>
      </c>
      <c r="C1700" t="s">
        <v>23</v>
      </c>
      <c r="D1700" t="s">
        <v>22</v>
      </c>
      <c r="E1700">
        <v>51560</v>
      </c>
      <c r="F1700">
        <v>1088</v>
      </c>
      <c r="G1700">
        <v>52</v>
      </c>
      <c r="H1700">
        <v>8</v>
      </c>
      <c r="I1700" t="s">
        <v>20</v>
      </c>
      <c r="J1700">
        <v>0</v>
      </c>
      <c r="K1700">
        <v>0</v>
      </c>
      <c r="L1700">
        <v>0</v>
      </c>
      <c r="M1700">
        <v>0</v>
      </c>
      <c r="N1700">
        <v>0</v>
      </c>
      <c r="O1700">
        <v>0</v>
      </c>
      <c r="P1700">
        <v>0</v>
      </c>
      <c r="Q1700">
        <v>0</v>
      </c>
      <c r="R1700">
        <v>0</v>
      </c>
      <c r="S1700">
        <v>0</v>
      </c>
      <c r="T1700">
        <v>0</v>
      </c>
      <c r="U1700" t="str">
        <f>IF(SeismicData[[#This Row],[class]]=1,"Dangerous","Safe")</f>
        <v>Safe</v>
      </c>
      <c r="V1700" t="str">
        <f>IF(SeismicData[[#This Row],[shift]]="W","Production","Non-Production")</f>
        <v>Production</v>
      </c>
      <c r="W1700" t="str">
        <f>IF(SeismicData[[#This Row],[genergy]]=0,"0","10^"&amp;INT(LOG10(SeismicData[[#This Row],[genergy]])))</f>
        <v>10^4</v>
      </c>
      <c r="X1700" t="str">
        <f>IF(OR(SeismicData[[#This Row],[genergy]]&lt;$AA$6,SeismicData[[#This Row],[genergy]]&gt;$AA$5),"Outlier","Normal")</f>
        <v>Normal</v>
      </c>
    </row>
    <row r="1701" spans="1:24" x14ac:dyDescent="0.15">
      <c r="A1701">
        <v>1700</v>
      </c>
      <c r="B1701" t="s">
        <v>23</v>
      </c>
      <c r="C1701" t="s">
        <v>23</v>
      </c>
      <c r="D1701" t="s">
        <v>22</v>
      </c>
      <c r="E1701">
        <v>37610</v>
      </c>
      <c r="F1701">
        <v>1004</v>
      </c>
      <c r="G1701">
        <v>11</v>
      </c>
      <c r="H1701">
        <v>0</v>
      </c>
      <c r="I1701" t="s">
        <v>20</v>
      </c>
      <c r="J1701">
        <v>0</v>
      </c>
      <c r="K1701">
        <v>0</v>
      </c>
      <c r="L1701">
        <v>0</v>
      </c>
      <c r="M1701">
        <v>0</v>
      </c>
      <c r="N1701">
        <v>0</v>
      </c>
      <c r="O1701">
        <v>0</v>
      </c>
      <c r="P1701">
        <v>0</v>
      </c>
      <c r="Q1701">
        <v>0</v>
      </c>
      <c r="R1701">
        <v>0</v>
      </c>
      <c r="S1701">
        <v>0</v>
      </c>
      <c r="T1701">
        <v>0</v>
      </c>
      <c r="U1701" t="str">
        <f>IF(SeismicData[[#This Row],[class]]=1,"Dangerous","Safe")</f>
        <v>Safe</v>
      </c>
      <c r="V1701" t="str">
        <f>IF(SeismicData[[#This Row],[shift]]="W","Production","Non-Production")</f>
        <v>Production</v>
      </c>
      <c r="W1701" t="str">
        <f>IF(SeismicData[[#This Row],[genergy]]=0,"0","10^"&amp;INT(LOG10(SeismicData[[#This Row],[genergy]])))</f>
        <v>10^4</v>
      </c>
      <c r="X1701" t="str">
        <f>IF(OR(SeismicData[[#This Row],[genergy]]&lt;$AA$6,SeismicData[[#This Row],[genergy]]&gt;$AA$5),"Outlier","Normal")</f>
        <v>Normal</v>
      </c>
    </row>
    <row r="1702" spans="1:24" x14ac:dyDescent="0.15">
      <c r="A1702">
        <v>1701</v>
      </c>
      <c r="B1702" t="s">
        <v>23</v>
      </c>
      <c r="C1702" t="s">
        <v>23</v>
      </c>
      <c r="D1702" t="s">
        <v>22</v>
      </c>
      <c r="E1702">
        <v>36100</v>
      </c>
      <c r="F1702">
        <v>608</v>
      </c>
      <c r="G1702">
        <v>8</v>
      </c>
      <c r="H1702">
        <v>17</v>
      </c>
      <c r="I1702" t="s">
        <v>20</v>
      </c>
      <c r="J1702">
        <v>0</v>
      </c>
      <c r="K1702">
        <v>0</v>
      </c>
      <c r="L1702">
        <v>0</v>
      </c>
      <c r="M1702">
        <v>0</v>
      </c>
      <c r="N1702">
        <v>0</v>
      </c>
      <c r="O1702">
        <v>0</v>
      </c>
      <c r="P1702">
        <v>0</v>
      </c>
      <c r="Q1702">
        <v>0</v>
      </c>
      <c r="R1702">
        <v>0</v>
      </c>
      <c r="S1702">
        <v>0</v>
      </c>
      <c r="T1702">
        <v>1</v>
      </c>
      <c r="U1702" t="str">
        <f>IF(SeismicData[[#This Row],[class]]=1,"Dangerous","Safe")</f>
        <v>Dangerous</v>
      </c>
      <c r="V1702" t="str">
        <f>IF(SeismicData[[#This Row],[shift]]="W","Production","Non-Production")</f>
        <v>Production</v>
      </c>
      <c r="W1702" t="str">
        <f>IF(SeismicData[[#This Row],[genergy]]=0,"0","10^"&amp;INT(LOG10(SeismicData[[#This Row],[genergy]])))</f>
        <v>10^4</v>
      </c>
      <c r="X1702" t="str">
        <f>IF(OR(SeismicData[[#This Row],[genergy]]&lt;$AA$6,SeismicData[[#This Row],[genergy]]&gt;$AA$5),"Outlier","Normal")</f>
        <v>Normal</v>
      </c>
    </row>
    <row r="1703" spans="1:24" x14ac:dyDescent="0.15">
      <c r="A1703">
        <v>1702</v>
      </c>
      <c r="B1703" t="s">
        <v>23</v>
      </c>
      <c r="C1703" t="s">
        <v>23</v>
      </c>
      <c r="D1703" t="s">
        <v>21</v>
      </c>
      <c r="E1703">
        <v>32600</v>
      </c>
      <c r="F1703">
        <v>880</v>
      </c>
      <c r="G1703">
        <v>224</v>
      </c>
      <c r="H1703">
        <v>153</v>
      </c>
      <c r="I1703" t="s">
        <v>20</v>
      </c>
      <c r="J1703">
        <v>2</v>
      </c>
      <c r="K1703">
        <v>1</v>
      </c>
      <c r="L1703">
        <v>0</v>
      </c>
      <c r="M1703">
        <v>1</v>
      </c>
      <c r="N1703">
        <v>0</v>
      </c>
      <c r="O1703">
        <v>0</v>
      </c>
      <c r="P1703">
        <v>0</v>
      </c>
      <c r="Q1703">
        <v>0</v>
      </c>
      <c r="R1703">
        <v>60500</v>
      </c>
      <c r="S1703">
        <v>60000</v>
      </c>
      <c r="T1703">
        <v>0</v>
      </c>
      <c r="U1703" t="str">
        <f>IF(SeismicData[[#This Row],[class]]=1,"Dangerous","Safe")</f>
        <v>Safe</v>
      </c>
      <c r="V1703" t="str">
        <f>IF(SeismicData[[#This Row],[shift]]="W","Production","Non-Production")</f>
        <v>Non-Production</v>
      </c>
      <c r="W1703" t="str">
        <f>IF(SeismicData[[#This Row],[genergy]]=0,"0","10^"&amp;INT(LOG10(SeismicData[[#This Row],[genergy]])))</f>
        <v>10^4</v>
      </c>
      <c r="X1703" t="str">
        <f>IF(OR(SeismicData[[#This Row],[genergy]]&lt;$AA$6,SeismicData[[#This Row],[genergy]]&gt;$AA$5),"Outlier","Normal")</f>
        <v>Normal</v>
      </c>
    </row>
    <row r="1704" spans="1:24" x14ac:dyDescent="0.15">
      <c r="A1704">
        <v>1703</v>
      </c>
      <c r="B1704" t="s">
        <v>20</v>
      </c>
      <c r="C1704" t="s">
        <v>23</v>
      </c>
      <c r="D1704" t="s">
        <v>22</v>
      </c>
      <c r="E1704">
        <v>18820</v>
      </c>
      <c r="F1704">
        <v>396</v>
      </c>
      <c r="G1704">
        <v>-45</v>
      </c>
      <c r="H1704">
        <v>-28</v>
      </c>
      <c r="I1704" t="s">
        <v>20</v>
      </c>
      <c r="J1704">
        <v>0</v>
      </c>
      <c r="K1704">
        <v>0</v>
      </c>
      <c r="L1704">
        <v>0</v>
      </c>
      <c r="M1704">
        <v>0</v>
      </c>
      <c r="N1704">
        <v>0</v>
      </c>
      <c r="O1704">
        <v>0</v>
      </c>
      <c r="P1704">
        <v>0</v>
      </c>
      <c r="Q1704">
        <v>0</v>
      </c>
      <c r="R1704">
        <v>0</v>
      </c>
      <c r="S1704">
        <v>0</v>
      </c>
      <c r="T1704">
        <v>1</v>
      </c>
      <c r="U1704" t="str">
        <f>IF(SeismicData[[#This Row],[class]]=1,"Dangerous","Safe")</f>
        <v>Dangerous</v>
      </c>
      <c r="V1704" t="str">
        <f>IF(SeismicData[[#This Row],[shift]]="W","Production","Non-Production")</f>
        <v>Production</v>
      </c>
      <c r="W1704" t="str">
        <f>IF(SeismicData[[#This Row],[genergy]]=0,"0","10^"&amp;INT(LOG10(SeismicData[[#This Row],[genergy]])))</f>
        <v>10^4</v>
      </c>
      <c r="X1704" t="str">
        <f>IF(OR(SeismicData[[#This Row],[genergy]]&lt;$AA$6,SeismicData[[#This Row],[genergy]]&gt;$AA$5),"Outlier","Normal")</f>
        <v>Normal</v>
      </c>
    </row>
    <row r="1705" spans="1:24" x14ac:dyDescent="0.15">
      <c r="A1705">
        <v>1704</v>
      </c>
      <c r="B1705" t="s">
        <v>20</v>
      </c>
      <c r="C1705" t="s">
        <v>23</v>
      </c>
      <c r="D1705" t="s">
        <v>22</v>
      </c>
      <c r="E1705">
        <v>25710</v>
      </c>
      <c r="F1705">
        <v>365</v>
      </c>
      <c r="G1705">
        <v>-25</v>
      </c>
      <c r="H1705">
        <v>-33</v>
      </c>
      <c r="I1705" t="s">
        <v>20</v>
      </c>
      <c r="J1705">
        <v>1</v>
      </c>
      <c r="K1705">
        <v>0</v>
      </c>
      <c r="L1705">
        <v>0</v>
      </c>
      <c r="M1705">
        <v>1</v>
      </c>
      <c r="N1705">
        <v>0</v>
      </c>
      <c r="O1705">
        <v>0</v>
      </c>
      <c r="P1705">
        <v>0</v>
      </c>
      <c r="Q1705">
        <v>0</v>
      </c>
      <c r="R1705">
        <v>10000</v>
      </c>
      <c r="S1705">
        <v>10000</v>
      </c>
      <c r="T1705">
        <v>0</v>
      </c>
      <c r="U1705" t="str">
        <f>IF(SeismicData[[#This Row],[class]]=1,"Dangerous","Safe")</f>
        <v>Safe</v>
      </c>
      <c r="V1705" t="str">
        <f>IF(SeismicData[[#This Row],[shift]]="W","Production","Non-Production")</f>
        <v>Production</v>
      </c>
      <c r="W1705" t="str">
        <f>IF(SeismicData[[#This Row],[genergy]]=0,"0","10^"&amp;INT(LOG10(SeismicData[[#This Row],[genergy]])))</f>
        <v>10^4</v>
      </c>
      <c r="X1705" t="str">
        <f>IF(OR(SeismicData[[#This Row],[genergy]]&lt;$AA$6,SeismicData[[#This Row],[genergy]]&gt;$AA$5),"Outlier","Normal")</f>
        <v>Normal</v>
      </c>
    </row>
    <row r="1706" spans="1:24" x14ac:dyDescent="0.15">
      <c r="A1706">
        <v>1705</v>
      </c>
      <c r="B1706" t="s">
        <v>20</v>
      </c>
      <c r="C1706" t="s">
        <v>23</v>
      </c>
      <c r="D1706" t="s">
        <v>22</v>
      </c>
      <c r="E1706">
        <v>14000</v>
      </c>
      <c r="F1706">
        <v>286</v>
      </c>
      <c r="G1706">
        <v>-59</v>
      </c>
      <c r="H1706">
        <v>-48</v>
      </c>
      <c r="I1706" t="s">
        <v>20</v>
      </c>
      <c r="J1706">
        <v>0</v>
      </c>
      <c r="K1706">
        <v>0</v>
      </c>
      <c r="L1706">
        <v>0</v>
      </c>
      <c r="M1706">
        <v>0</v>
      </c>
      <c r="N1706">
        <v>0</v>
      </c>
      <c r="O1706">
        <v>0</v>
      </c>
      <c r="P1706">
        <v>0</v>
      </c>
      <c r="Q1706">
        <v>0</v>
      </c>
      <c r="R1706">
        <v>0</v>
      </c>
      <c r="S1706">
        <v>0</v>
      </c>
      <c r="T1706">
        <v>0</v>
      </c>
      <c r="U1706" t="str">
        <f>IF(SeismicData[[#This Row],[class]]=1,"Dangerous","Safe")</f>
        <v>Safe</v>
      </c>
      <c r="V1706" t="str">
        <f>IF(SeismicData[[#This Row],[shift]]="W","Production","Non-Production")</f>
        <v>Production</v>
      </c>
      <c r="W1706" t="str">
        <f>IF(SeismicData[[#This Row],[genergy]]=0,"0","10^"&amp;INT(LOG10(SeismicData[[#This Row],[genergy]])))</f>
        <v>10^4</v>
      </c>
      <c r="X1706" t="str">
        <f>IF(OR(SeismicData[[#This Row],[genergy]]&lt;$AA$6,SeismicData[[#This Row],[genergy]]&gt;$AA$5),"Outlier","Normal")</f>
        <v>Normal</v>
      </c>
    </row>
    <row r="1707" spans="1:24" x14ac:dyDescent="0.15">
      <c r="A1707">
        <v>1706</v>
      </c>
      <c r="B1707" t="s">
        <v>20</v>
      </c>
      <c r="C1707" t="s">
        <v>23</v>
      </c>
      <c r="D1707" t="s">
        <v>22</v>
      </c>
      <c r="E1707">
        <v>18680</v>
      </c>
      <c r="F1707">
        <v>586</v>
      </c>
      <c r="G1707">
        <v>-47</v>
      </c>
      <c r="H1707">
        <v>-44</v>
      </c>
      <c r="I1707" t="s">
        <v>20</v>
      </c>
      <c r="J1707">
        <v>2</v>
      </c>
      <c r="K1707">
        <v>1</v>
      </c>
      <c r="L1707">
        <v>1</v>
      </c>
      <c r="M1707">
        <v>0</v>
      </c>
      <c r="N1707">
        <v>0</v>
      </c>
      <c r="O1707">
        <v>0</v>
      </c>
      <c r="P1707">
        <v>0</v>
      </c>
      <c r="Q1707">
        <v>0</v>
      </c>
      <c r="R1707">
        <v>2500</v>
      </c>
      <c r="S1707">
        <v>2000</v>
      </c>
      <c r="T1707">
        <v>0</v>
      </c>
      <c r="U1707" t="str">
        <f>IF(SeismicData[[#This Row],[class]]=1,"Dangerous","Safe")</f>
        <v>Safe</v>
      </c>
      <c r="V1707" t="str">
        <f>IF(SeismicData[[#This Row],[shift]]="W","Production","Non-Production")</f>
        <v>Production</v>
      </c>
      <c r="W1707" t="str">
        <f>IF(SeismicData[[#This Row],[genergy]]=0,"0","10^"&amp;INT(LOG10(SeismicData[[#This Row],[genergy]])))</f>
        <v>10^4</v>
      </c>
      <c r="X1707" t="str">
        <f>IF(OR(SeismicData[[#This Row],[genergy]]&lt;$AA$6,SeismicData[[#This Row],[genergy]]&gt;$AA$5),"Outlier","Normal")</f>
        <v>Normal</v>
      </c>
    </row>
    <row r="1708" spans="1:24" x14ac:dyDescent="0.15">
      <c r="A1708">
        <v>1707</v>
      </c>
      <c r="B1708" t="s">
        <v>20</v>
      </c>
      <c r="C1708" t="s">
        <v>23</v>
      </c>
      <c r="D1708" t="s">
        <v>22</v>
      </c>
      <c r="E1708">
        <v>37440</v>
      </c>
      <c r="F1708">
        <v>686</v>
      </c>
      <c r="G1708">
        <v>7</v>
      </c>
      <c r="H1708">
        <v>-35</v>
      </c>
      <c r="I1708" t="s">
        <v>20</v>
      </c>
      <c r="J1708">
        <v>0</v>
      </c>
      <c r="K1708">
        <v>0</v>
      </c>
      <c r="L1708">
        <v>0</v>
      </c>
      <c r="M1708">
        <v>0</v>
      </c>
      <c r="N1708">
        <v>0</v>
      </c>
      <c r="O1708">
        <v>0</v>
      </c>
      <c r="P1708">
        <v>0</v>
      </c>
      <c r="Q1708">
        <v>0</v>
      </c>
      <c r="R1708">
        <v>0</v>
      </c>
      <c r="S1708">
        <v>0</v>
      </c>
      <c r="T1708">
        <v>0</v>
      </c>
      <c r="U1708" t="str">
        <f>IF(SeismicData[[#This Row],[class]]=1,"Dangerous","Safe")</f>
        <v>Safe</v>
      </c>
      <c r="V1708" t="str">
        <f>IF(SeismicData[[#This Row],[shift]]="W","Production","Non-Production")</f>
        <v>Production</v>
      </c>
      <c r="W1708" t="str">
        <f>IF(SeismicData[[#This Row],[genergy]]=0,"0","10^"&amp;INT(LOG10(SeismicData[[#This Row],[genergy]])))</f>
        <v>10^4</v>
      </c>
      <c r="X1708" t="str">
        <f>IF(OR(SeismicData[[#This Row],[genergy]]&lt;$AA$6,SeismicData[[#This Row],[genergy]]&gt;$AA$5),"Outlier","Normal")</f>
        <v>Normal</v>
      </c>
    </row>
    <row r="1709" spans="1:24" x14ac:dyDescent="0.15">
      <c r="A1709">
        <v>1708</v>
      </c>
      <c r="B1709" t="s">
        <v>20</v>
      </c>
      <c r="C1709" t="s">
        <v>23</v>
      </c>
      <c r="D1709" t="s">
        <v>22</v>
      </c>
      <c r="E1709">
        <v>36460</v>
      </c>
      <c r="F1709">
        <v>902</v>
      </c>
      <c r="G1709">
        <v>4</v>
      </c>
      <c r="H1709">
        <v>-14</v>
      </c>
      <c r="I1709" t="s">
        <v>20</v>
      </c>
      <c r="J1709">
        <v>0</v>
      </c>
      <c r="K1709">
        <v>0</v>
      </c>
      <c r="L1709">
        <v>0</v>
      </c>
      <c r="M1709">
        <v>0</v>
      </c>
      <c r="N1709">
        <v>0</v>
      </c>
      <c r="O1709">
        <v>0</v>
      </c>
      <c r="P1709">
        <v>0</v>
      </c>
      <c r="Q1709">
        <v>0</v>
      </c>
      <c r="R1709">
        <v>0</v>
      </c>
      <c r="S1709">
        <v>0</v>
      </c>
      <c r="T1709">
        <v>0</v>
      </c>
      <c r="U1709" t="str">
        <f>IF(SeismicData[[#This Row],[class]]=1,"Dangerous","Safe")</f>
        <v>Safe</v>
      </c>
      <c r="V1709" t="str">
        <f>IF(SeismicData[[#This Row],[shift]]="W","Production","Non-Production")</f>
        <v>Production</v>
      </c>
      <c r="W1709" t="str">
        <f>IF(SeismicData[[#This Row],[genergy]]=0,"0","10^"&amp;INT(LOG10(SeismicData[[#This Row],[genergy]])))</f>
        <v>10^4</v>
      </c>
      <c r="X1709" t="str">
        <f>IF(OR(SeismicData[[#This Row],[genergy]]&lt;$AA$6,SeismicData[[#This Row],[genergy]]&gt;$AA$5),"Outlier","Normal")</f>
        <v>Normal</v>
      </c>
    </row>
    <row r="1710" spans="1:24" x14ac:dyDescent="0.15">
      <c r="A1710">
        <v>1709</v>
      </c>
      <c r="B1710" t="s">
        <v>20</v>
      </c>
      <c r="C1710" t="s">
        <v>23</v>
      </c>
      <c r="D1710" t="s">
        <v>22</v>
      </c>
      <c r="E1710">
        <v>20610</v>
      </c>
      <c r="F1710">
        <v>670</v>
      </c>
      <c r="G1710">
        <v>-41</v>
      </c>
      <c r="H1710">
        <v>-36</v>
      </c>
      <c r="I1710" t="s">
        <v>20</v>
      </c>
      <c r="J1710">
        <v>0</v>
      </c>
      <c r="K1710">
        <v>0</v>
      </c>
      <c r="L1710">
        <v>0</v>
      </c>
      <c r="M1710">
        <v>0</v>
      </c>
      <c r="N1710">
        <v>0</v>
      </c>
      <c r="O1710">
        <v>0</v>
      </c>
      <c r="P1710">
        <v>0</v>
      </c>
      <c r="Q1710">
        <v>0</v>
      </c>
      <c r="R1710">
        <v>0</v>
      </c>
      <c r="S1710">
        <v>0</v>
      </c>
      <c r="T1710">
        <v>0</v>
      </c>
      <c r="U1710" t="str">
        <f>IF(SeismicData[[#This Row],[class]]=1,"Dangerous","Safe")</f>
        <v>Safe</v>
      </c>
      <c r="V1710" t="str">
        <f>IF(SeismicData[[#This Row],[shift]]="W","Production","Non-Production")</f>
        <v>Production</v>
      </c>
      <c r="W1710" t="str">
        <f>IF(SeismicData[[#This Row],[genergy]]=0,"0","10^"&amp;INT(LOG10(SeismicData[[#This Row],[genergy]])))</f>
        <v>10^4</v>
      </c>
      <c r="X1710" t="str">
        <f>IF(OR(SeismicData[[#This Row],[genergy]]&lt;$AA$6,SeismicData[[#This Row],[genergy]]&gt;$AA$5),"Outlier","Normal")</f>
        <v>Normal</v>
      </c>
    </row>
    <row r="1711" spans="1:24" x14ac:dyDescent="0.15">
      <c r="A1711">
        <v>1710</v>
      </c>
      <c r="B1711" t="s">
        <v>20</v>
      </c>
      <c r="C1711" t="s">
        <v>23</v>
      </c>
      <c r="D1711" t="s">
        <v>22</v>
      </c>
      <c r="E1711">
        <v>21350</v>
      </c>
      <c r="F1711">
        <v>376</v>
      </c>
      <c r="G1711">
        <v>-38</v>
      </c>
      <c r="H1711">
        <v>-31</v>
      </c>
      <c r="I1711" t="s">
        <v>20</v>
      </c>
      <c r="J1711">
        <v>0</v>
      </c>
      <c r="K1711">
        <v>0</v>
      </c>
      <c r="L1711">
        <v>0</v>
      </c>
      <c r="M1711">
        <v>0</v>
      </c>
      <c r="N1711">
        <v>0</v>
      </c>
      <c r="O1711">
        <v>0</v>
      </c>
      <c r="P1711">
        <v>0</v>
      </c>
      <c r="Q1711">
        <v>0</v>
      </c>
      <c r="R1711">
        <v>0</v>
      </c>
      <c r="S1711">
        <v>0</v>
      </c>
      <c r="T1711">
        <v>0</v>
      </c>
      <c r="U1711" t="str">
        <f>IF(SeismicData[[#This Row],[class]]=1,"Dangerous","Safe")</f>
        <v>Safe</v>
      </c>
      <c r="V1711" t="str">
        <f>IF(SeismicData[[#This Row],[shift]]="W","Production","Non-Production")</f>
        <v>Production</v>
      </c>
      <c r="W1711" t="str">
        <f>IF(SeismicData[[#This Row],[genergy]]=0,"0","10^"&amp;INT(LOG10(SeismicData[[#This Row],[genergy]])))</f>
        <v>10^4</v>
      </c>
      <c r="X1711" t="str">
        <f>IF(OR(SeismicData[[#This Row],[genergy]]&lt;$AA$6,SeismicData[[#This Row],[genergy]]&gt;$AA$5),"Outlier","Normal")</f>
        <v>Normal</v>
      </c>
    </row>
    <row r="1712" spans="1:24" x14ac:dyDescent="0.15">
      <c r="A1712">
        <v>1711</v>
      </c>
      <c r="B1712" t="s">
        <v>20</v>
      </c>
      <c r="C1712" t="s">
        <v>23</v>
      </c>
      <c r="D1712" t="s">
        <v>22</v>
      </c>
      <c r="E1712">
        <v>39850</v>
      </c>
      <c r="F1712">
        <v>714</v>
      </c>
      <c r="G1712">
        <v>13</v>
      </c>
      <c r="H1712">
        <v>-32</v>
      </c>
      <c r="I1712" t="s">
        <v>20</v>
      </c>
      <c r="J1712">
        <v>1</v>
      </c>
      <c r="K1712">
        <v>1</v>
      </c>
      <c r="L1712">
        <v>0</v>
      </c>
      <c r="M1712">
        <v>0</v>
      </c>
      <c r="N1712">
        <v>0</v>
      </c>
      <c r="O1712">
        <v>0</v>
      </c>
      <c r="P1712">
        <v>0</v>
      </c>
      <c r="Q1712">
        <v>0</v>
      </c>
      <c r="R1712">
        <v>300</v>
      </c>
      <c r="S1712">
        <v>300</v>
      </c>
      <c r="T1712">
        <v>0</v>
      </c>
      <c r="U1712" t="str">
        <f>IF(SeismicData[[#This Row],[class]]=1,"Dangerous","Safe")</f>
        <v>Safe</v>
      </c>
      <c r="V1712" t="str">
        <f>IF(SeismicData[[#This Row],[shift]]="W","Production","Non-Production")</f>
        <v>Production</v>
      </c>
      <c r="W1712" t="str">
        <f>IF(SeismicData[[#This Row],[genergy]]=0,"0","10^"&amp;INT(LOG10(SeismicData[[#This Row],[genergy]])))</f>
        <v>10^4</v>
      </c>
      <c r="X1712" t="str">
        <f>IF(OR(SeismicData[[#This Row],[genergy]]&lt;$AA$6,SeismicData[[#This Row],[genergy]]&gt;$AA$5),"Outlier","Normal")</f>
        <v>Normal</v>
      </c>
    </row>
    <row r="1713" spans="1:24" x14ac:dyDescent="0.15">
      <c r="A1713">
        <v>1712</v>
      </c>
      <c r="B1713" t="s">
        <v>20</v>
      </c>
      <c r="C1713" t="s">
        <v>23</v>
      </c>
      <c r="D1713" t="s">
        <v>22</v>
      </c>
      <c r="E1713">
        <v>39410</v>
      </c>
      <c r="F1713">
        <v>1146</v>
      </c>
      <c r="G1713">
        <v>12</v>
      </c>
      <c r="H1713">
        <v>9</v>
      </c>
      <c r="I1713" t="s">
        <v>20</v>
      </c>
      <c r="J1713">
        <v>1</v>
      </c>
      <c r="K1713">
        <v>0</v>
      </c>
      <c r="L1713">
        <v>1</v>
      </c>
      <c r="M1713">
        <v>0</v>
      </c>
      <c r="N1713">
        <v>0</v>
      </c>
      <c r="O1713">
        <v>0</v>
      </c>
      <c r="P1713">
        <v>0</v>
      </c>
      <c r="Q1713">
        <v>0</v>
      </c>
      <c r="R1713">
        <v>3000</v>
      </c>
      <c r="S1713">
        <v>3000</v>
      </c>
      <c r="T1713">
        <v>0</v>
      </c>
      <c r="U1713" t="str">
        <f>IF(SeismicData[[#This Row],[class]]=1,"Dangerous","Safe")</f>
        <v>Safe</v>
      </c>
      <c r="V1713" t="str">
        <f>IF(SeismicData[[#This Row],[shift]]="W","Production","Non-Production")</f>
        <v>Production</v>
      </c>
      <c r="W1713" t="str">
        <f>IF(SeismicData[[#This Row],[genergy]]=0,"0","10^"&amp;INT(LOG10(SeismicData[[#This Row],[genergy]])))</f>
        <v>10^4</v>
      </c>
      <c r="X1713" t="str">
        <f>IF(OR(SeismicData[[#This Row],[genergy]]&lt;$AA$6,SeismicData[[#This Row],[genergy]]&gt;$AA$5),"Outlier","Normal")</f>
        <v>Normal</v>
      </c>
    </row>
    <row r="1714" spans="1:24" x14ac:dyDescent="0.15">
      <c r="A1714">
        <v>1713</v>
      </c>
      <c r="B1714" t="s">
        <v>20</v>
      </c>
      <c r="C1714" t="s">
        <v>23</v>
      </c>
      <c r="D1714" t="s">
        <v>22</v>
      </c>
      <c r="E1714">
        <v>28440</v>
      </c>
      <c r="F1714">
        <v>405</v>
      </c>
      <c r="G1714">
        <v>-19</v>
      </c>
      <c r="H1714">
        <v>-27</v>
      </c>
      <c r="I1714" t="s">
        <v>20</v>
      </c>
      <c r="J1714">
        <v>0</v>
      </c>
      <c r="K1714">
        <v>0</v>
      </c>
      <c r="L1714">
        <v>0</v>
      </c>
      <c r="M1714">
        <v>0</v>
      </c>
      <c r="N1714">
        <v>0</v>
      </c>
      <c r="O1714">
        <v>0</v>
      </c>
      <c r="P1714">
        <v>0</v>
      </c>
      <c r="Q1714">
        <v>0</v>
      </c>
      <c r="R1714">
        <v>0</v>
      </c>
      <c r="S1714">
        <v>0</v>
      </c>
      <c r="T1714">
        <v>0</v>
      </c>
      <c r="U1714" t="str">
        <f>IF(SeismicData[[#This Row],[class]]=1,"Dangerous","Safe")</f>
        <v>Safe</v>
      </c>
      <c r="V1714" t="str">
        <f>IF(SeismicData[[#This Row],[shift]]="W","Production","Non-Production")</f>
        <v>Production</v>
      </c>
      <c r="W1714" t="str">
        <f>IF(SeismicData[[#This Row],[genergy]]=0,"0","10^"&amp;INT(LOG10(SeismicData[[#This Row],[genergy]])))</f>
        <v>10^4</v>
      </c>
      <c r="X1714" t="str">
        <f>IF(OR(SeismicData[[#This Row],[genergy]]&lt;$AA$6,SeismicData[[#This Row],[genergy]]&gt;$AA$5),"Outlier","Normal")</f>
        <v>Normal</v>
      </c>
    </row>
    <row r="1715" spans="1:24" x14ac:dyDescent="0.15">
      <c r="A1715">
        <v>1714</v>
      </c>
      <c r="B1715" t="s">
        <v>20</v>
      </c>
      <c r="C1715" t="s">
        <v>23</v>
      </c>
      <c r="D1715" t="s">
        <v>22</v>
      </c>
      <c r="E1715">
        <v>21750</v>
      </c>
      <c r="F1715">
        <v>635</v>
      </c>
      <c r="G1715">
        <v>-38</v>
      </c>
      <c r="H1715">
        <v>-40</v>
      </c>
      <c r="I1715" t="s">
        <v>20</v>
      </c>
      <c r="J1715">
        <v>0</v>
      </c>
      <c r="K1715">
        <v>0</v>
      </c>
      <c r="L1715">
        <v>0</v>
      </c>
      <c r="M1715">
        <v>0</v>
      </c>
      <c r="N1715">
        <v>0</v>
      </c>
      <c r="O1715">
        <v>0</v>
      </c>
      <c r="P1715">
        <v>0</v>
      </c>
      <c r="Q1715">
        <v>0</v>
      </c>
      <c r="R1715">
        <v>0</v>
      </c>
      <c r="S1715">
        <v>0</v>
      </c>
      <c r="T1715">
        <v>0</v>
      </c>
      <c r="U1715" t="str">
        <f>IF(SeismicData[[#This Row],[class]]=1,"Dangerous","Safe")</f>
        <v>Safe</v>
      </c>
      <c r="V1715" t="str">
        <f>IF(SeismicData[[#This Row],[shift]]="W","Production","Non-Production")</f>
        <v>Production</v>
      </c>
      <c r="W1715" t="str">
        <f>IF(SeismicData[[#This Row],[genergy]]=0,"0","10^"&amp;INT(LOG10(SeismicData[[#This Row],[genergy]])))</f>
        <v>10^4</v>
      </c>
      <c r="X1715" t="str">
        <f>IF(OR(SeismicData[[#This Row],[genergy]]&lt;$AA$6,SeismicData[[#This Row],[genergy]]&gt;$AA$5),"Outlier","Normal")</f>
        <v>Normal</v>
      </c>
    </row>
    <row r="1716" spans="1:24" x14ac:dyDescent="0.15">
      <c r="A1716">
        <v>1715</v>
      </c>
      <c r="B1716" t="s">
        <v>20</v>
      </c>
      <c r="C1716" t="s">
        <v>23</v>
      </c>
      <c r="D1716" t="s">
        <v>22</v>
      </c>
      <c r="E1716">
        <v>68830</v>
      </c>
      <c r="F1716">
        <v>633</v>
      </c>
      <c r="G1716">
        <v>96</v>
      </c>
      <c r="H1716">
        <v>13</v>
      </c>
      <c r="I1716" t="s">
        <v>20</v>
      </c>
      <c r="J1716">
        <v>2</v>
      </c>
      <c r="K1716">
        <v>0</v>
      </c>
      <c r="L1716">
        <v>2</v>
      </c>
      <c r="M1716">
        <v>0</v>
      </c>
      <c r="N1716">
        <v>0</v>
      </c>
      <c r="O1716">
        <v>0</v>
      </c>
      <c r="P1716">
        <v>0</v>
      </c>
      <c r="Q1716">
        <v>0</v>
      </c>
      <c r="R1716">
        <v>5000</v>
      </c>
      <c r="S1716">
        <v>3000</v>
      </c>
      <c r="T1716">
        <v>0</v>
      </c>
      <c r="U1716" t="str">
        <f>IF(SeismicData[[#This Row],[class]]=1,"Dangerous","Safe")</f>
        <v>Safe</v>
      </c>
      <c r="V1716" t="str">
        <f>IF(SeismicData[[#This Row],[shift]]="W","Production","Non-Production")</f>
        <v>Production</v>
      </c>
      <c r="W1716" t="str">
        <f>IF(SeismicData[[#This Row],[genergy]]=0,"0","10^"&amp;INT(LOG10(SeismicData[[#This Row],[genergy]])))</f>
        <v>10^4</v>
      </c>
      <c r="X1716" t="str">
        <f>IF(OR(SeismicData[[#This Row],[genergy]]&lt;$AA$6,SeismicData[[#This Row],[genergy]]&gt;$AA$5),"Outlier","Normal")</f>
        <v>Normal</v>
      </c>
    </row>
    <row r="1717" spans="1:24" x14ac:dyDescent="0.15">
      <c r="A1717">
        <v>1716</v>
      </c>
      <c r="B1717" t="s">
        <v>20</v>
      </c>
      <c r="C1717" t="s">
        <v>23</v>
      </c>
      <c r="D1717" t="s">
        <v>22</v>
      </c>
      <c r="E1717">
        <v>29550</v>
      </c>
      <c r="F1717">
        <v>486</v>
      </c>
      <c r="G1717">
        <v>-16</v>
      </c>
      <c r="H1717">
        <v>-13</v>
      </c>
      <c r="I1717" t="s">
        <v>20</v>
      </c>
      <c r="J1717">
        <v>0</v>
      </c>
      <c r="K1717">
        <v>0</v>
      </c>
      <c r="L1717">
        <v>0</v>
      </c>
      <c r="M1717">
        <v>0</v>
      </c>
      <c r="N1717">
        <v>0</v>
      </c>
      <c r="O1717">
        <v>0</v>
      </c>
      <c r="P1717">
        <v>0</v>
      </c>
      <c r="Q1717">
        <v>0</v>
      </c>
      <c r="R1717">
        <v>0</v>
      </c>
      <c r="S1717">
        <v>0</v>
      </c>
      <c r="T1717">
        <v>0</v>
      </c>
      <c r="U1717" t="str">
        <f>IF(SeismicData[[#This Row],[class]]=1,"Dangerous","Safe")</f>
        <v>Safe</v>
      </c>
      <c r="V1717" t="str">
        <f>IF(SeismicData[[#This Row],[shift]]="W","Production","Non-Production")</f>
        <v>Production</v>
      </c>
      <c r="W1717" t="str">
        <f>IF(SeismicData[[#This Row],[genergy]]=0,"0","10^"&amp;INT(LOG10(SeismicData[[#This Row],[genergy]])))</f>
        <v>10^4</v>
      </c>
      <c r="X1717" t="str">
        <f>IF(OR(SeismicData[[#This Row],[genergy]]&lt;$AA$6,SeismicData[[#This Row],[genergy]]&gt;$AA$5),"Outlier","Normal")</f>
        <v>Normal</v>
      </c>
    </row>
    <row r="1718" spans="1:24" x14ac:dyDescent="0.15">
      <c r="A1718">
        <v>1717</v>
      </c>
      <c r="B1718" t="s">
        <v>20</v>
      </c>
      <c r="C1718" t="s">
        <v>23</v>
      </c>
      <c r="D1718" t="s">
        <v>22</v>
      </c>
      <c r="E1718">
        <v>23710</v>
      </c>
      <c r="F1718">
        <v>387</v>
      </c>
      <c r="G1718">
        <v>-32</v>
      </c>
      <c r="H1718">
        <v>-31</v>
      </c>
      <c r="I1718" t="s">
        <v>20</v>
      </c>
      <c r="J1718">
        <v>1</v>
      </c>
      <c r="K1718">
        <v>0</v>
      </c>
      <c r="L1718">
        <v>1</v>
      </c>
      <c r="M1718">
        <v>0</v>
      </c>
      <c r="N1718">
        <v>0</v>
      </c>
      <c r="O1718">
        <v>0</v>
      </c>
      <c r="P1718">
        <v>0</v>
      </c>
      <c r="Q1718">
        <v>0</v>
      </c>
      <c r="R1718">
        <v>1000</v>
      </c>
      <c r="S1718">
        <v>1000</v>
      </c>
      <c r="T1718">
        <v>0</v>
      </c>
      <c r="U1718" t="str">
        <f>IF(SeismicData[[#This Row],[class]]=1,"Dangerous","Safe")</f>
        <v>Safe</v>
      </c>
      <c r="V1718" t="str">
        <f>IF(SeismicData[[#This Row],[shift]]="W","Production","Non-Production")</f>
        <v>Production</v>
      </c>
      <c r="W1718" t="str">
        <f>IF(SeismicData[[#This Row],[genergy]]=0,"0","10^"&amp;INT(LOG10(SeismicData[[#This Row],[genergy]])))</f>
        <v>10^4</v>
      </c>
      <c r="X1718" t="str">
        <f>IF(OR(SeismicData[[#This Row],[genergy]]&lt;$AA$6,SeismicData[[#This Row],[genergy]]&gt;$AA$5),"Outlier","Normal")</f>
        <v>Normal</v>
      </c>
    </row>
    <row r="1719" spans="1:24" x14ac:dyDescent="0.15">
      <c r="A1719">
        <v>1718</v>
      </c>
      <c r="B1719" t="s">
        <v>20</v>
      </c>
      <c r="C1719" t="s">
        <v>23</v>
      </c>
      <c r="D1719" t="s">
        <v>22</v>
      </c>
      <c r="E1719">
        <v>24650</v>
      </c>
      <c r="F1719">
        <v>391</v>
      </c>
      <c r="G1719">
        <v>-30</v>
      </c>
      <c r="H1719">
        <v>-30</v>
      </c>
      <c r="I1719" t="s">
        <v>20</v>
      </c>
      <c r="J1719">
        <v>0</v>
      </c>
      <c r="K1719">
        <v>0</v>
      </c>
      <c r="L1719">
        <v>0</v>
      </c>
      <c r="M1719">
        <v>0</v>
      </c>
      <c r="N1719">
        <v>0</v>
      </c>
      <c r="O1719">
        <v>0</v>
      </c>
      <c r="P1719">
        <v>0</v>
      </c>
      <c r="Q1719">
        <v>0</v>
      </c>
      <c r="R1719">
        <v>0</v>
      </c>
      <c r="S1719">
        <v>0</v>
      </c>
      <c r="T1719">
        <v>0</v>
      </c>
      <c r="U1719" t="str">
        <f>IF(SeismicData[[#This Row],[class]]=1,"Dangerous","Safe")</f>
        <v>Safe</v>
      </c>
      <c r="V1719" t="str">
        <f>IF(SeismicData[[#This Row],[shift]]="W","Production","Non-Production")</f>
        <v>Production</v>
      </c>
      <c r="W1719" t="str">
        <f>IF(SeismicData[[#This Row],[genergy]]=0,"0","10^"&amp;INT(LOG10(SeismicData[[#This Row],[genergy]])))</f>
        <v>10^4</v>
      </c>
      <c r="X1719" t="str">
        <f>IF(OR(SeismicData[[#This Row],[genergy]]&lt;$AA$6,SeismicData[[#This Row],[genergy]]&gt;$AA$5),"Outlier","Normal")</f>
        <v>Normal</v>
      </c>
    </row>
    <row r="1720" spans="1:24" x14ac:dyDescent="0.15">
      <c r="A1720">
        <v>1719</v>
      </c>
      <c r="B1720" t="s">
        <v>23</v>
      </c>
      <c r="C1720" t="s">
        <v>23</v>
      </c>
      <c r="D1720" t="s">
        <v>22</v>
      </c>
      <c r="E1720">
        <v>31030</v>
      </c>
      <c r="F1720">
        <v>534</v>
      </c>
      <c r="G1720">
        <v>-8</v>
      </c>
      <c r="H1720">
        <v>0</v>
      </c>
      <c r="I1720" t="s">
        <v>20</v>
      </c>
      <c r="J1720">
        <v>1</v>
      </c>
      <c r="K1720">
        <v>1</v>
      </c>
      <c r="L1720">
        <v>0</v>
      </c>
      <c r="M1720">
        <v>0</v>
      </c>
      <c r="N1720">
        <v>0</v>
      </c>
      <c r="O1720">
        <v>0</v>
      </c>
      <c r="P1720">
        <v>0</v>
      </c>
      <c r="Q1720">
        <v>0</v>
      </c>
      <c r="R1720">
        <v>600</v>
      </c>
      <c r="S1720">
        <v>600</v>
      </c>
      <c r="T1720">
        <v>0</v>
      </c>
      <c r="U1720" t="str">
        <f>IF(SeismicData[[#This Row],[class]]=1,"Dangerous","Safe")</f>
        <v>Safe</v>
      </c>
      <c r="V1720" t="str">
        <f>IF(SeismicData[[#This Row],[shift]]="W","Production","Non-Production")</f>
        <v>Production</v>
      </c>
      <c r="W1720" t="str">
        <f>IF(SeismicData[[#This Row],[genergy]]=0,"0","10^"&amp;INT(LOG10(SeismicData[[#This Row],[genergy]])))</f>
        <v>10^4</v>
      </c>
      <c r="X1720" t="str">
        <f>IF(OR(SeismicData[[#This Row],[genergy]]&lt;$AA$6,SeismicData[[#This Row],[genergy]]&gt;$AA$5),"Outlier","Normal")</f>
        <v>Normal</v>
      </c>
    </row>
    <row r="1721" spans="1:24" x14ac:dyDescent="0.15">
      <c r="A1721">
        <v>1720</v>
      </c>
      <c r="B1721" t="s">
        <v>23</v>
      </c>
      <c r="C1721" t="s">
        <v>23</v>
      </c>
      <c r="D1721" t="s">
        <v>21</v>
      </c>
      <c r="E1721">
        <v>19200</v>
      </c>
      <c r="F1721">
        <v>418</v>
      </c>
      <c r="G1721">
        <v>131</v>
      </c>
      <c r="H1721">
        <v>149</v>
      </c>
      <c r="I1721" t="s">
        <v>20</v>
      </c>
      <c r="J1721">
        <v>0</v>
      </c>
      <c r="K1721">
        <v>0</v>
      </c>
      <c r="L1721">
        <v>0</v>
      </c>
      <c r="M1721">
        <v>0</v>
      </c>
      <c r="N1721">
        <v>0</v>
      </c>
      <c r="O1721">
        <v>0</v>
      </c>
      <c r="P1721">
        <v>0</v>
      </c>
      <c r="Q1721">
        <v>0</v>
      </c>
      <c r="R1721">
        <v>0</v>
      </c>
      <c r="S1721">
        <v>0</v>
      </c>
      <c r="T1721">
        <v>0</v>
      </c>
      <c r="U1721" t="str">
        <f>IF(SeismicData[[#This Row],[class]]=1,"Dangerous","Safe")</f>
        <v>Safe</v>
      </c>
      <c r="V1721" t="str">
        <f>IF(SeismicData[[#This Row],[shift]]="W","Production","Non-Production")</f>
        <v>Non-Production</v>
      </c>
      <c r="W1721" t="str">
        <f>IF(SeismicData[[#This Row],[genergy]]=0,"0","10^"&amp;INT(LOG10(SeismicData[[#This Row],[genergy]])))</f>
        <v>10^4</v>
      </c>
      <c r="X1721" t="str">
        <f>IF(OR(SeismicData[[#This Row],[genergy]]&lt;$AA$6,SeismicData[[#This Row],[genergy]]&gt;$AA$5),"Outlier","Normal")</f>
        <v>Normal</v>
      </c>
    </row>
    <row r="1722" spans="1:24" x14ac:dyDescent="0.15">
      <c r="A1722">
        <v>1721</v>
      </c>
      <c r="B1722" t="s">
        <v>23</v>
      </c>
      <c r="C1722" t="s">
        <v>23</v>
      </c>
      <c r="D1722" t="s">
        <v>21</v>
      </c>
      <c r="E1722">
        <v>23200</v>
      </c>
      <c r="F1722">
        <v>366</v>
      </c>
      <c r="G1722">
        <v>179</v>
      </c>
      <c r="H1722">
        <v>118</v>
      </c>
      <c r="I1722" t="s">
        <v>20</v>
      </c>
      <c r="J1722">
        <v>0</v>
      </c>
      <c r="K1722">
        <v>0</v>
      </c>
      <c r="L1722">
        <v>0</v>
      </c>
      <c r="M1722">
        <v>0</v>
      </c>
      <c r="N1722">
        <v>0</v>
      </c>
      <c r="O1722">
        <v>0</v>
      </c>
      <c r="P1722">
        <v>0</v>
      </c>
      <c r="Q1722">
        <v>0</v>
      </c>
      <c r="R1722">
        <v>0</v>
      </c>
      <c r="S1722">
        <v>0</v>
      </c>
      <c r="T1722">
        <v>0</v>
      </c>
      <c r="U1722" t="str">
        <f>IF(SeismicData[[#This Row],[class]]=1,"Dangerous","Safe")</f>
        <v>Safe</v>
      </c>
      <c r="V1722" t="str">
        <f>IF(SeismicData[[#This Row],[shift]]="W","Production","Non-Production")</f>
        <v>Non-Production</v>
      </c>
      <c r="W1722" t="str">
        <f>IF(SeismicData[[#This Row],[genergy]]=0,"0","10^"&amp;INT(LOG10(SeismicData[[#This Row],[genergy]])))</f>
        <v>10^4</v>
      </c>
      <c r="X1722" t="str">
        <f>IF(OR(SeismicData[[#This Row],[genergy]]&lt;$AA$6,SeismicData[[#This Row],[genergy]]&gt;$AA$5),"Outlier","Normal")</f>
        <v>Normal</v>
      </c>
    </row>
    <row r="1723" spans="1:24" x14ac:dyDescent="0.15">
      <c r="A1723">
        <v>1722</v>
      </c>
      <c r="B1723" t="s">
        <v>23</v>
      </c>
      <c r="C1723" t="s">
        <v>23</v>
      </c>
      <c r="D1723" t="s">
        <v>21</v>
      </c>
      <c r="E1723">
        <v>10820</v>
      </c>
      <c r="F1723">
        <v>426</v>
      </c>
      <c r="G1723">
        <v>8</v>
      </c>
      <c r="H1723">
        <v>22</v>
      </c>
      <c r="I1723" t="s">
        <v>20</v>
      </c>
      <c r="J1723">
        <v>1</v>
      </c>
      <c r="K1723">
        <v>0</v>
      </c>
      <c r="L1723">
        <v>1</v>
      </c>
      <c r="M1723">
        <v>0</v>
      </c>
      <c r="N1723">
        <v>0</v>
      </c>
      <c r="O1723">
        <v>0</v>
      </c>
      <c r="P1723">
        <v>0</v>
      </c>
      <c r="Q1723">
        <v>0</v>
      </c>
      <c r="R1723">
        <v>3000</v>
      </c>
      <c r="S1723">
        <v>3000</v>
      </c>
      <c r="T1723">
        <v>0</v>
      </c>
      <c r="U1723" t="str">
        <f>IF(SeismicData[[#This Row],[class]]=1,"Dangerous","Safe")</f>
        <v>Safe</v>
      </c>
      <c r="V1723" t="str">
        <f>IF(SeismicData[[#This Row],[shift]]="W","Production","Non-Production")</f>
        <v>Non-Production</v>
      </c>
      <c r="W1723" t="str">
        <f>IF(SeismicData[[#This Row],[genergy]]=0,"0","10^"&amp;INT(LOG10(SeismicData[[#This Row],[genergy]])))</f>
        <v>10^4</v>
      </c>
      <c r="X1723" t="str">
        <f>IF(OR(SeismicData[[#This Row],[genergy]]&lt;$AA$6,SeismicData[[#This Row],[genergy]]&gt;$AA$5),"Outlier","Normal")</f>
        <v>Normal</v>
      </c>
    </row>
    <row r="1724" spans="1:24" x14ac:dyDescent="0.15">
      <c r="A1724">
        <v>1723</v>
      </c>
      <c r="B1724" t="s">
        <v>23</v>
      </c>
      <c r="C1724" t="s">
        <v>23</v>
      </c>
      <c r="D1724" t="s">
        <v>22</v>
      </c>
      <c r="E1724">
        <v>13360</v>
      </c>
      <c r="F1724">
        <v>383</v>
      </c>
      <c r="G1724">
        <v>-59</v>
      </c>
      <c r="H1724">
        <v>-61</v>
      </c>
      <c r="I1724" t="s">
        <v>20</v>
      </c>
      <c r="J1724">
        <v>0</v>
      </c>
      <c r="K1724">
        <v>0</v>
      </c>
      <c r="L1724">
        <v>0</v>
      </c>
      <c r="M1724">
        <v>0</v>
      </c>
      <c r="N1724">
        <v>0</v>
      </c>
      <c r="O1724">
        <v>0</v>
      </c>
      <c r="P1724">
        <v>0</v>
      </c>
      <c r="Q1724">
        <v>0</v>
      </c>
      <c r="R1724">
        <v>0</v>
      </c>
      <c r="S1724">
        <v>0</v>
      </c>
      <c r="T1724">
        <v>0</v>
      </c>
      <c r="U1724" t="str">
        <f>IF(SeismicData[[#This Row],[class]]=1,"Dangerous","Safe")</f>
        <v>Safe</v>
      </c>
      <c r="V1724" t="str">
        <f>IF(SeismicData[[#This Row],[shift]]="W","Production","Non-Production")</f>
        <v>Production</v>
      </c>
      <c r="W1724" t="str">
        <f>IF(SeismicData[[#This Row],[genergy]]=0,"0","10^"&amp;INT(LOG10(SeismicData[[#This Row],[genergy]])))</f>
        <v>10^4</v>
      </c>
      <c r="X1724" t="str">
        <f>IF(OR(SeismicData[[#This Row],[genergy]]&lt;$AA$6,SeismicData[[#This Row],[genergy]]&gt;$AA$5),"Outlier","Normal")</f>
        <v>Normal</v>
      </c>
    </row>
    <row r="1725" spans="1:24" x14ac:dyDescent="0.15">
      <c r="A1725">
        <v>1724</v>
      </c>
      <c r="B1725" t="s">
        <v>23</v>
      </c>
      <c r="C1725" t="s">
        <v>23</v>
      </c>
      <c r="D1725" t="s">
        <v>22</v>
      </c>
      <c r="E1725">
        <v>58460</v>
      </c>
      <c r="F1725">
        <v>540</v>
      </c>
      <c r="G1725">
        <v>73</v>
      </c>
      <c r="H1725">
        <v>1</v>
      </c>
      <c r="I1725" t="s">
        <v>20</v>
      </c>
      <c r="J1725">
        <v>2</v>
      </c>
      <c r="K1725">
        <v>1</v>
      </c>
      <c r="L1725">
        <v>1</v>
      </c>
      <c r="M1725">
        <v>0</v>
      </c>
      <c r="N1725">
        <v>0</v>
      </c>
      <c r="O1725">
        <v>0</v>
      </c>
      <c r="P1725">
        <v>0</v>
      </c>
      <c r="Q1725">
        <v>0</v>
      </c>
      <c r="R1725">
        <v>3900</v>
      </c>
      <c r="S1725">
        <v>3000</v>
      </c>
      <c r="T1725">
        <v>1</v>
      </c>
      <c r="U1725" t="str">
        <f>IF(SeismicData[[#This Row],[class]]=1,"Dangerous","Safe")</f>
        <v>Dangerous</v>
      </c>
      <c r="V1725" t="str">
        <f>IF(SeismicData[[#This Row],[shift]]="W","Production","Non-Production")</f>
        <v>Production</v>
      </c>
      <c r="W1725" t="str">
        <f>IF(SeismicData[[#This Row],[genergy]]=0,"0","10^"&amp;INT(LOG10(SeismicData[[#This Row],[genergy]])))</f>
        <v>10^4</v>
      </c>
      <c r="X1725" t="str">
        <f>IF(OR(SeismicData[[#This Row],[genergy]]&lt;$AA$6,SeismicData[[#This Row],[genergy]]&gt;$AA$5),"Outlier","Normal")</f>
        <v>Normal</v>
      </c>
    </row>
    <row r="1726" spans="1:24" x14ac:dyDescent="0.15">
      <c r="A1726">
        <v>1725</v>
      </c>
      <c r="B1726" t="s">
        <v>23</v>
      </c>
      <c r="C1726" t="s">
        <v>23</v>
      </c>
      <c r="D1726" t="s">
        <v>22</v>
      </c>
      <c r="E1726">
        <v>26370</v>
      </c>
      <c r="F1726">
        <v>524</v>
      </c>
      <c r="G1726">
        <v>73</v>
      </c>
      <c r="H1726">
        <v>119</v>
      </c>
      <c r="I1726" t="s">
        <v>20</v>
      </c>
      <c r="J1726">
        <v>1</v>
      </c>
      <c r="K1726">
        <v>0</v>
      </c>
      <c r="L1726">
        <v>0</v>
      </c>
      <c r="M1726">
        <v>1</v>
      </c>
      <c r="N1726">
        <v>0</v>
      </c>
      <c r="O1726">
        <v>0</v>
      </c>
      <c r="P1726">
        <v>0</v>
      </c>
      <c r="Q1726">
        <v>0</v>
      </c>
      <c r="R1726">
        <v>30000</v>
      </c>
      <c r="S1726">
        <v>30000</v>
      </c>
      <c r="T1726">
        <v>0</v>
      </c>
      <c r="U1726" t="str">
        <f>IF(SeismicData[[#This Row],[class]]=1,"Dangerous","Safe")</f>
        <v>Safe</v>
      </c>
      <c r="V1726" t="str">
        <f>IF(SeismicData[[#This Row],[shift]]="W","Production","Non-Production")</f>
        <v>Production</v>
      </c>
      <c r="W1726" t="str">
        <f>IF(SeismicData[[#This Row],[genergy]]=0,"0","10^"&amp;INT(LOG10(SeismicData[[#This Row],[genergy]])))</f>
        <v>10^4</v>
      </c>
      <c r="X1726" t="str">
        <f>IF(OR(SeismicData[[#This Row],[genergy]]&lt;$AA$6,SeismicData[[#This Row],[genergy]]&gt;$AA$5),"Outlier","Normal")</f>
        <v>Normal</v>
      </c>
    </row>
    <row r="1727" spans="1:24" x14ac:dyDescent="0.15">
      <c r="A1727">
        <v>1726</v>
      </c>
      <c r="B1727" t="s">
        <v>23</v>
      </c>
      <c r="C1727" t="s">
        <v>23</v>
      </c>
      <c r="D1727" t="s">
        <v>21</v>
      </c>
      <c r="E1727">
        <v>13110</v>
      </c>
      <c r="F1727">
        <v>417</v>
      </c>
      <c r="G1727">
        <v>57</v>
      </c>
      <c r="H1727">
        <v>148</v>
      </c>
      <c r="I1727" t="s">
        <v>20</v>
      </c>
      <c r="J1727">
        <v>0</v>
      </c>
      <c r="K1727">
        <v>0</v>
      </c>
      <c r="L1727">
        <v>0</v>
      </c>
      <c r="M1727">
        <v>0</v>
      </c>
      <c r="N1727">
        <v>0</v>
      </c>
      <c r="O1727">
        <v>0</v>
      </c>
      <c r="P1727">
        <v>0</v>
      </c>
      <c r="Q1727">
        <v>0</v>
      </c>
      <c r="R1727">
        <v>0</v>
      </c>
      <c r="S1727">
        <v>0</v>
      </c>
      <c r="T1727">
        <v>0</v>
      </c>
      <c r="U1727" t="str">
        <f>IF(SeismicData[[#This Row],[class]]=1,"Dangerous","Safe")</f>
        <v>Safe</v>
      </c>
      <c r="V1727" t="str">
        <f>IF(SeismicData[[#This Row],[shift]]="W","Production","Non-Production")</f>
        <v>Non-Production</v>
      </c>
      <c r="W1727" t="str">
        <f>IF(SeismicData[[#This Row],[genergy]]=0,"0","10^"&amp;INT(LOG10(SeismicData[[#This Row],[genergy]])))</f>
        <v>10^4</v>
      </c>
      <c r="X1727" t="str">
        <f>IF(OR(SeismicData[[#This Row],[genergy]]&lt;$AA$6,SeismicData[[#This Row],[genergy]]&gt;$AA$5),"Outlier","Normal")</f>
        <v>Normal</v>
      </c>
    </row>
    <row r="1728" spans="1:24" x14ac:dyDescent="0.15">
      <c r="A1728">
        <v>1727</v>
      </c>
      <c r="B1728" t="s">
        <v>23</v>
      </c>
      <c r="C1728" t="s">
        <v>20</v>
      </c>
      <c r="D1728" t="s">
        <v>21</v>
      </c>
      <c r="E1728">
        <v>11010</v>
      </c>
      <c r="F1728">
        <v>319</v>
      </c>
      <c r="G1728">
        <v>32</v>
      </c>
      <c r="H1728">
        <v>90</v>
      </c>
      <c r="I1728" t="s">
        <v>20</v>
      </c>
      <c r="J1728">
        <v>0</v>
      </c>
      <c r="K1728">
        <v>0</v>
      </c>
      <c r="L1728">
        <v>0</v>
      </c>
      <c r="M1728">
        <v>0</v>
      </c>
      <c r="N1728">
        <v>0</v>
      </c>
      <c r="O1728">
        <v>0</v>
      </c>
      <c r="P1728">
        <v>0</v>
      </c>
      <c r="Q1728">
        <v>0</v>
      </c>
      <c r="R1728">
        <v>0</v>
      </c>
      <c r="S1728">
        <v>0</v>
      </c>
      <c r="T1728">
        <v>0</v>
      </c>
      <c r="U1728" t="str">
        <f>IF(SeismicData[[#This Row],[class]]=1,"Dangerous","Safe")</f>
        <v>Safe</v>
      </c>
      <c r="V1728" t="str">
        <f>IF(SeismicData[[#This Row],[shift]]="W","Production","Non-Production")</f>
        <v>Non-Production</v>
      </c>
      <c r="W1728" t="str">
        <f>IF(SeismicData[[#This Row],[genergy]]=0,"0","10^"&amp;INT(LOG10(SeismicData[[#This Row],[genergy]])))</f>
        <v>10^4</v>
      </c>
      <c r="X1728" t="str">
        <f>IF(OR(SeismicData[[#This Row],[genergy]]&lt;$AA$6,SeismicData[[#This Row],[genergy]]&gt;$AA$5),"Outlier","Normal")</f>
        <v>Normal</v>
      </c>
    </row>
    <row r="1729" spans="1:24" x14ac:dyDescent="0.15">
      <c r="A1729">
        <v>1728</v>
      </c>
      <c r="B1729" t="s">
        <v>23</v>
      </c>
      <c r="C1729" t="s">
        <v>20</v>
      </c>
      <c r="D1729" t="s">
        <v>21</v>
      </c>
      <c r="E1729">
        <v>15840</v>
      </c>
      <c r="F1729">
        <v>275</v>
      </c>
      <c r="G1729">
        <v>90</v>
      </c>
      <c r="H1729">
        <v>64</v>
      </c>
      <c r="I1729" t="s">
        <v>20</v>
      </c>
      <c r="J1729">
        <v>1</v>
      </c>
      <c r="K1729">
        <v>0</v>
      </c>
      <c r="L1729">
        <v>1</v>
      </c>
      <c r="M1729">
        <v>0</v>
      </c>
      <c r="N1729">
        <v>0</v>
      </c>
      <c r="O1729">
        <v>0</v>
      </c>
      <c r="P1729">
        <v>0</v>
      </c>
      <c r="Q1729">
        <v>0</v>
      </c>
      <c r="R1729">
        <v>4000</v>
      </c>
      <c r="S1729">
        <v>4000</v>
      </c>
      <c r="T1729">
        <v>0</v>
      </c>
      <c r="U1729" t="str">
        <f>IF(SeismicData[[#This Row],[class]]=1,"Dangerous","Safe")</f>
        <v>Safe</v>
      </c>
      <c r="V1729" t="str">
        <f>IF(SeismicData[[#This Row],[shift]]="W","Production","Non-Production")</f>
        <v>Non-Production</v>
      </c>
      <c r="W1729" t="str">
        <f>IF(SeismicData[[#This Row],[genergy]]=0,"0","10^"&amp;INT(LOG10(SeismicData[[#This Row],[genergy]])))</f>
        <v>10^4</v>
      </c>
      <c r="X1729" t="str">
        <f>IF(OR(SeismicData[[#This Row],[genergy]]&lt;$AA$6,SeismicData[[#This Row],[genergy]]&gt;$AA$5),"Outlier","Normal")</f>
        <v>Normal</v>
      </c>
    </row>
    <row r="1730" spans="1:24" x14ac:dyDescent="0.15">
      <c r="A1730">
        <v>1729</v>
      </c>
      <c r="B1730" t="s">
        <v>23</v>
      </c>
      <c r="C1730" t="s">
        <v>20</v>
      </c>
      <c r="D1730" t="s">
        <v>21</v>
      </c>
      <c r="E1730">
        <v>12650</v>
      </c>
      <c r="F1730">
        <v>214</v>
      </c>
      <c r="G1730">
        <v>52</v>
      </c>
      <c r="H1730">
        <v>27</v>
      </c>
      <c r="I1730" t="s">
        <v>20</v>
      </c>
      <c r="J1730">
        <v>0</v>
      </c>
      <c r="K1730">
        <v>0</v>
      </c>
      <c r="L1730">
        <v>0</v>
      </c>
      <c r="M1730">
        <v>0</v>
      </c>
      <c r="N1730">
        <v>0</v>
      </c>
      <c r="O1730">
        <v>0</v>
      </c>
      <c r="P1730">
        <v>0</v>
      </c>
      <c r="Q1730">
        <v>0</v>
      </c>
      <c r="R1730">
        <v>0</v>
      </c>
      <c r="S1730">
        <v>0</v>
      </c>
      <c r="T1730">
        <v>0</v>
      </c>
      <c r="U1730" t="str">
        <f>IF(SeismicData[[#This Row],[class]]=1,"Dangerous","Safe")</f>
        <v>Safe</v>
      </c>
      <c r="V1730" t="str">
        <f>IF(SeismicData[[#This Row],[shift]]="W","Production","Non-Production")</f>
        <v>Non-Production</v>
      </c>
      <c r="W1730" t="str">
        <f>IF(SeismicData[[#This Row],[genergy]]=0,"0","10^"&amp;INT(LOG10(SeismicData[[#This Row],[genergy]])))</f>
        <v>10^4</v>
      </c>
      <c r="X1730" t="str">
        <f>IF(OR(SeismicData[[#This Row],[genergy]]&lt;$AA$6,SeismicData[[#This Row],[genergy]]&gt;$AA$5),"Outlier","Normal")</f>
        <v>Normal</v>
      </c>
    </row>
    <row r="1731" spans="1:24" x14ac:dyDescent="0.15">
      <c r="A1731">
        <v>1730</v>
      </c>
      <c r="B1731" t="s">
        <v>23</v>
      </c>
      <c r="C1731" t="s">
        <v>20</v>
      </c>
      <c r="D1731" t="s">
        <v>21</v>
      </c>
      <c r="E1731">
        <v>10020</v>
      </c>
      <c r="F1731">
        <v>370</v>
      </c>
      <c r="G1731">
        <v>0</v>
      </c>
      <c r="H1731">
        <v>6</v>
      </c>
      <c r="I1731" t="s">
        <v>20</v>
      </c>
      <c r="J1731">
        <v>0</v>
      </c>
      <c r="K1731">
        <v>0</v>
      </c>
      <c r="L1731">
        <v>0</v>
      </c>
      <c r="M1731">
        <v>0</v>
      </c>
      <c r="N1731">
        <v>0</v>
      </c>
      <c r="O1731">
        <v>0</v>
      </c>
      <c r="P1731">
        <v>0</v>
      </c>
      <c r="Q1731">
        <v>0</v>
      </c>
      <c r="R1731">
        <v>0</v>
      </c>
      <c r="S1731">
        <v>0</v>
      </c>
      <c r="T1731">
        <v>0</v>
      </c>
      <c r="U1731" t="str">
        <f>IF(SeismicData[[#This Row],[class]]=1,"Dangerous","Safe")</f>
        <v>Safe</v>
      </c>
      <c r="V1731" t="str">
        <f>IF(SeismicData[[#This Row],[shift]]="W","Production","Non-Production")</f>
        <v>Non-Production</v>
      </c>
      <c r="W1731" t="str">
        <f>IF(SeismicData[[#This Row],[genergy]]=0,"0","10^"&amp;INT(LOG10(SeismicData[[#This Row],[genergy]])))</f>
        <v>10^4</v>
      </c>
      <c r="X1731" t="str">
        <f>IF(OR(SeismicData[[#This Row],[genergy]]&lt;$AA$6,SeismicData[[#This Row],[genergy]]&gt;$AA$5),"Outlier","Normal")</f>
        <v>Normal</v>
      </c>
    </row>
    <row r="1732" spans="1:24" x14ac:dyDescent="0.15">
      <c r="A1732">
        <v>1731</v>
      </c>
      <c r="B1732" t="s">
        <v>23</v>
      </c>
      <c r="C1732" t="s">
        <v>20</v>
      </c>
      <c r="D1732" t="s">
        <v>22</v>
      </c>
      <c r="E1732">
        <v>11390</v>
      </c>
      <c r="F1732">
        <v>233</v>
      </c>
      <c r="G1732">
        <v>-66</v>
      </c>
      <c r="H1732">
        <v>-55</v>
      </c>
      <c r="I1732" t="s">
        <v>20</v>
      </c>
      <c r="J1732">
        <v>0</v>
      </c>
      <c r="K1732">
        <v>0</v>
      </c>
      <c r="L1732">
        <v>0</v>
      </c>
      <c r="M1732">
        <v>0</v>
      </c>
      <c r="N1732">
        <v>0</v>
      </c>
      <c r="O1732">
        <v>0</v>
      </c>
      <c r="P1732">
        <v>0</v>
      </c>
      <c r="Q1732">
        <v>0</v>
      </c>
      <c r="R1732">
        <v>0</v>
      </c>
      <c r="S1732">
        <v>0</v>
      </c>
      <c r="T1732">
        <v>0</v>
      </c>
      <c r="U1732" t="str">
        <f>IF(SeismicData[[#This Row],[class]]=1,"Dangerous","Safe")</f>
        <v>Safe</v>
      </c>
      <c r="V1732" t="str">
        <f>IF(SeismicData[[#This Row],[shift]]="W","Production","Non-Production")</f>
        <v>Production</v>
      </c>
      <c r="W1732" t="str">
        <f>IF(SeismicData[[#This Row],[genergy]]=0,"0","10^"&amp;INT(LOG10(SeismicData[[#This Row],[genergy]])))</f>
        <v>10^4</v>
      </c>
      <c r="X1732" t="str">
        <f>IF(OR(SeismicData[[#This Row],[genergy]]&lt;$AA$6,SeismicData[[#This Row],[genergy]]&gt;$AA$5),"Outlier","Normal")</f>
        <v>Normal</v>
      </c>
    </row>
    <row r="1733" spans="1:24" x14ac:dyDescent="0.15">
      <c r="A1733">
        <v>1732</v>
      </c>
      <c r="B1733" t="s">
        <v>23</v>
      </c>
      <c r="C1733" t="s">
        <v>20</v>
      </c>
      <c r="D1733" t="s">
        <v>22</v>
      </c>
      <c r="E1733">
        <v>19890</v>
      </c>
      <c r="F1733">
        <v>236</v>
      </c>
      <c r="G1733">
        <v>-40</v>
      </c>
      <c r="H1733">
        <v>-55</v>
      </c>
      <c r="I1733" t="s">
        <v>20</v>
      </c>
      <c r="J1733">
        <v>1</v>
      </c>
      <c r="K1733">
        <v>0</v>
      </c>
      <c r="L1733">
        <v>1</v>
      </c>
      <c r="M1733">
        <v>0</v>
      </c>
      <c r="N1733">
        <v>0</v>
      </c>
      <c r="O1733">
        <v>0</v>
      </c>
      <c r="P1733">
        <v>0</v>
      </c>
      <c r="Q1733">
        <v>0</v>
      </c>
      <c r="R1733">
        <v>8000</v>
      </c>
      <c r="S1733">
        <v>8000</v>
      </c>
      <c r="T1733">
        <v>1</v>
      </c>
      <c r="U1733" t="str">
        <f>IF(SeismicData[[#This Row],[class]]=1,"Dangerous","Safe")</f>
        <v>Dangerous</v>
      </c>
      <c r="V1733" t="str">
        <f>IF(SeismicData[[#This Row],[shift]]="W","Production","Non-Production")</f>
        <v>Production</v>
      </c>
      <c r="W1733" t="str">
        <f>IF(SeismicData[[#This Row],[genergy]]=0,"0","10^"&amp;INT(LOG10(SeismicData[[#This Row],[genergy]])))</f>
        <v>10^4</v>
      </c>
      <c r="X1733" t="str">
        <f>IF(OR(SeismicData[[#This Row],[genergy]]&lt;$AA$6,SeismicData[[#This Row],[genergy]]&gt;$AA$5),"Outlier","Normal")</f>
        <v>Normal</v>
      </c>
    </row>
    <row r="1734" spans="1:24" x14ac:dyDescent="0.15">
      <c r="A1734">
        <v>1733</v>
      </c>
      <c r="B1734" t="s">
        <v>23</v>
      </c>
      <c r="C1734" t="s">
        <v>20</v>
      </c>
      <c r="D1734" t="s">
        <v>22</v>
      </c>
      <c r="E1734">
        <v>56940</v>
      </c>
      <c r="F1734">
        <v>769</v>
      </c>
      <c r="G1734">
        <v>72</v>
      </c>
      <c r="H1734">
        <v>48</v>
      </c>
      <c r="I1734" t="s">
        <v>20</v>
      </c>
      <c r="J1734">
        <v>1</v>
      </c>
      <c r="K1734">
        <v>0</v>
      </c>
      <c r="L1734">
        <v>0</v>
      </c>
      <c r="M1734">
        <v>1</v>
      </c>
      <c r="N1734">
        <v>0</v>
      </c>
      <c r="O1734">
        <v>0</v>
      </c>
      <c r="P1734">
        <v>0</v>
      </c>
      <c r="Q1734">
        <v>0</v>
      </c>
      <c r="R1734">
        <v>40000</v>
      </c>
      <c r="S1734">
        <v>40000</v>
      </c>
      <c r="T1734">
        <v>0</v>
      </c>
      <c r="U1734" t="str">
        <f>IF(SeismicData[[#This Row],[class]]=1,"Dangerous","Safe")</f>
        <v>Safe</v>
      </c>
      <c r="V1734" t="str">
        <f>IF(SeismicData[[#This Row],[shift]]="W","Production","Non-Production")</f>
        <v>Production</v>
      </c>
      <c r="W1734" t="str">
        <f>IF(SeismicData[[#This Row],[genergy]]=0,"0","10^"&amp;INT(LOG10(SeismicData[[#This Row],[genergy]])))</f>
        <v>10^4</v>
      </c>
      <c r="X1734" t="str">
        <f>IF(OR(SeismicData[[#This Row],[genergy]]&lt;$AA$6,SeismicData[[#This Row],[genergy]]&gt;$AA$5),"Outlier","Normal")</f>
        <v>Normal</v>
      </c>
    </row>
    <row r="1735" spans="1:24" x14ac:dyDescent="0.15">
      <c r="A1735">
        <v>1734</v>
      </c>
      <c r="B1735" t="s">
        <v>23</v>
      </c>
      <c r="C1735" t="s">
        <v>20</v>
      </c>
      <c r="D1735" t="s">
        <v>22</v>
      </c>
      <c r="E1735">
        <v>27390</v>
      </c>
      <c r="F1735">
        <v>674</v>
      </c>
      <c r="G1735">
        <v>-17</v>
      </c>
      <c r="H1735">
        <v>30</v>
      </c>
      <c r="I1735" t="s">
        <v>20</v>
      </c>
      <c r="J1735">
        <v>0</v>
      </c>
      <c r="K1735">
        <v>0</v>
      </c>
      <c r="L1735">
        <v>0</v>
      </c>
      <c r="M1735">
        <v>0</v>
      </c>
      <c r="N1735">
        <v>0</v>
      </c>
      <c r="O1735">
        <v>0</v>
      </c>
      <c r="P1735">
        <v>0</v>
      </c>
      <c r="Q1735">
        <v>0</v>
      </c>
      <c r="R1735">
        <v>0</v>
      </c>
      <c r="S1735">
        <v>0</v>
      </c>
      <c r="T1735">
        <v>0</v>
      </c>
      <c r="U1735" t="str">
        <f>IF(SeismicData[[#This Row],[class]]=1,"Dangerous","Safe")</f>
        <v>Safe</v>
      </c>
      <c r="V1735" t="str">
        <f>IF(SeismicData[[#This Row],[shift]]="W","Production","Non-Production")</f>
        <v>Production</v>
      </c>
      <c r="W1735" t="str">
        <f>IF(SeismicData[[#This Row],[genergy]]=0,"0","10^"&amp;INT(LOG10(SeismicData[[#This Row],[genergy]])))</f>
        <v>10^4</v>
      </c>
      <c r="X1735" t="str">
        <f>IF(OR(SeismicData[[#This Row],[genergy]]&lt;$AA$6,SeismicData[[#This Row],[genergy]]&gt;$AA$5),"Outlier","Normal")</f>
        <v>Normal</v>
      </c>
    </row>
    <row r="1736" spans="1:24" x14ac:dyDescent="0.15">
      <c r="A1736">
        <v>1735</v>
      </c>
      <c r="B1736" t="s">
        <v>23</v>
      </c>
      <c r="C1736" t="s">
        <v>20</v>
      </c>
      <c r="D1736" t="s">
        <v>22</v>
      </c>
      <c r="E1736">
        <v>26940</v>
      </c>
      <c r="F1736">
        <v>429</v>
      </c>
      <c r="G1736">
        <v>-18</v>
      </c>
      <c r="H1736">
        <v>-17</v>
      </c>
      <c r="I1736" t="s">
        <v>20</v>
      </c>
      <c r="J1736">
        <v>0</v>
      </c>
      <c r="K1736">
        <v>0</v>
      </c>
      <c r="L1736">
        <v>0</v>
      </c>
      <c r="M1736">
        <v>0</v>
      </c>
      <c r="N1736">
        <v>0</v>
      </c>
      <c r="O1736">
        <v>0</v>
      </c>
      <c r="P1736">
        <v>0</v>
      </c>
      <c r="Q1736">
        <v>0</v>
      </c>
      <c r="R1736">
        <v>0</v>
      </c>
      <c r="S1736">
        <v>0</v>
      </c>
      <c r="T1736">
        <v>0</v>
      </c>
      <c r="U1736" t="str">
        <f>IF(SeismicData[[#This Row],[class]]=1,"Dangerous","Safe")</f>
        <v>Safe</v>
      </c>
      <c r="V1736" t="str">
        <f>IF(SeismicData[[#This Row],[shift]]="W","Production","Non-Production")</f>
        <v>Production</v>
      </c>
      <c r="W1736" t="str">
        <f>IF(SeismicData[[#This Row],[genergy]]=0,"0","10^"&amp;INT(LOG10(SeismicData[[#This Row],[genergy]])))</f>
        <v>10^4</v>
      </c>
      <c r="X1736" t="str">
        <f>IF(OR(SeismicData[[#This Row],[genergy]]&lt;$AA$6,SeismicData[[#This Row],[genergy]]&gt;$AA$5),"Outlier","Normal")</f>
        <v>Normal</v>
      </c>
    </row>
    <row r="1737" spans="1:24" x14ac:dyDescent="0.15">
      <c r="A1737">
        <v>1736</v>
      </c>
      <c r="B1737" t="s">
        <v>23</v>
      </c>
      <c r="C1737" t="s">
        <v>20</v>
      </c>
      <c r="D1737" t="s">
        <v>21</v>
      </c>
      <c r="E1737">
        <v>15760</v>
      </c>
      <c r="F1737">
        <v>318</v>
      </c>
      <c r="G1737">
        <v>89</v>
      </c>
      <c r="H1737">
        <v>89</v>
      </c>
      <c r="I1737" t="s">
        <v>20</v>
      </c>
      <c r="J1737">
        <v>0</v>
      </c>
      <c r="K1737">
        <v>0</v>
      </c>
      <c r="L1737">
        <v>0</v>
      </c>
      <c r="M1737">
        <v>0</v>
      </c>
      <c r="N1737">
        <v>0</v>
      </c>
      <c r="O1737">
        <v>0</v>
      </c>
      <c r="P1737">
        <v>0</v>
      </c>
      <c r="Q1737">
        <v>0</v>
      </c>
      <c r="R1737">
        <v>0</v>
      </c>
      <c r="S1737">
        <v>0</v>
      </c>
      <c r="T1737">
        <v>0</v>
      </c>
      <c r="U1737" t="str">
        <f>IF(SeismicData[[#This Row],[class]]=1,"Dangerous","Safe")</f>
        <v>Safe</v>
      </c>
      <c r="V1737" t="str">
        <f>IF(SeismicData[[#This Row],[shift]]="W","Production","Non-Production")</f>
        <v>Non-Production</v>
      </c>
      <c r="W1737" t="str">
        <f>IF(SeismicData[[#This Row],[genergy]]=0,"0","10^"&amp;INT(LOG10(SeismicData[[#This Row],[genergy]])))</f>
        <v>10^4</v>
      </c>
      <c r="X1737" t="str">
        <f>IF(OR(SeismicData[[#This Row],[genergy]]&lt;$AA$6,SeismicData[[#This Row],[genergy]]&gt;$AA$5),"Outlier","Normal")</f>
        <v>Normal</v>
      </c>
    </row>
    <row r="1738" spans="1:24" x14ac:dyDescent="0.15">
      <c r="A1738">
        <v>1737</v>
      </c>
      <c r="B1738" t="s">
        <v>23</v>
      </c>
      <c r="C1738" t="s">
        <v>20</v>
      </c>
      <c r="D1738" t="s">
        <v>21</v>
      </c>
      <c r="E1738">
        <v>13160</v>
      </c>
      <c r="F1738">
        <v>271</v>
      </c>
      <c r="G1738">
        <v>58</v>
      </c>
      <c r="H1738">
        <v>61</v>
      </c>
      <c r="I1738" t="s">
        <v>20</v>
      </c>
      <c r="J1738">
        <v>0</v>
      </c>
      <c r="K1738">
        <v>0</v>
      </c>
      <c r="L1738">
        <v>0</v>
      </c>
      <c r="M1738">
        <v>0</v>
      </c>
      <c r="N1738">
        <v>0</v>
      </c>
      <c r="O1738">
        <v>0</v>
      </c>
      <c r="P1738">
        <v>0</v>
      </c>
      <c r="Q1738">
        <v>0</v>
      </c>
      <c r="R1738">
        <v>0</v>
      </c>
      <c r="S1738">
        <v>0</v>
      </c>
      <c r="T1738">
        <v>0</v>
      </c>
      <c r="U1738" t="str">
        <f>IF(SeismicData[[#This Row],[class]]=1,"Dangerous","Safe")</f>
        <v>Safe</v>
      </c>
      <c r="V1738" t="str">
        <f>IF(SeismicData[[#This Row],[shift]]="W","Production","Non-Production")</f>
        <v>Non-Production</v>
      </c>
      <c r="W1738" t="str">
        <f>IF(SeismicData[[#This Row],[genergy]]=0,"0","10^"&amp;INT(LOG10(SeismicData[[#This Row],[genergy]])))</f>
        <v>10^4</v>
      </c>
      <c r="X1738" t="str">
        <f>IF(OR(SeismicData[[#This Row],[genergy]]&lt;$AA$6,SeismicData[[#This Row],[genergy]]&gt;$AA$5),"Outlier","Normal")</f>
        <v>Normal</v>
      </c>
    </row>
    <row r="1739" spans="1:24" x14ac:dyDescent="0.15">
      <c r="A1739">
        <v>1738</v>
      </c>
      <c r="B1739" t="s">
        <v>23</v>
      </c>
      <c r="C1739" t="s">
        <v>20</v>
      </c>
      <c r="D1739" t="s">
        <v>22</v>
      </c>
      <c r="E1739">
        <v>20550</v>
      </c>
      <c r="F1739">
        <v>381</v>
      </c>
      <c r="G1739">
        <v>-37</v>
      </c>
      <c r="H1739">
        <v>-26</v>
      </c>
      <c r="I1739" t="s">
        <v>20</v>
      </c>
      <c r="J1739">
        <v>0</v>
      </c>
      <c r="K1739">
        <v>0</v>
      </c>
      <c r="L1739">
        <v>0</v>
      </c>
      <c r="M1739">
        <v>0</v>
      </c>
      <c r="N1739">
        <v>0</v>
      </c>
      <c r="O1739">
        <v>0</v>
      </c>
      <c r="P1739">
        <v>0</v>
      </c>
      <c r="Q1739">
        <v>0</v>
      </c>
      <c r="R1739">
        <v>0</v>
      </c>
      <c r="S1739">
        <v>0</v>
      </c>
      <c r="T1739">
        <v>1</v>
      </c>
      <c r="U1739" t="str">
        <f>IF(SeismicData[[#This Row],[class]]=1,"Dangerous","Safe")</f>
        <v>Dangerous</v>
      </c>
      <c r="V1739" t="str">
        <f>IF(SeismicData[[#This Row],[shift]]="W","Production","Non-Production")</f>
        <v>Production</v>
      </c>
      <c r="W1739" t="str">
        <f>IF(SeismicData[[#This Row],[genergy]]=0,"0","10^"&amp;INT(LOG10(SeismicData[[#This Row],[genergy]])))</f>
        <v>10^4</v>
      </c>
      <c r="X1739" t="str">
        <f>IF(OR(SeismicData[[#This Row],[genergy]]&lt;$AA$6,SeismicData[[#This Row],[genergy]]&gt;$AA$5),"Outlier","Normal")</f>
        <v>Normal</v>
      </c>
    </row>
    <row r="1740" spans="1:24" x14ac:dyDescent="0.15">
      <c r="A1740">
        <v>1739</v>
      </c>
      <c r="B1740" t="s">
        <v>23</v>
      </c>
      <c r="C1740" t="s">
        <v>20</v>
      </c>
      <c r="D1740" t="s">
        <v>22</v>
      </c>
      <c r="E1740">
        <v>28510</v>
      </c>
      <c r="F1740">
        <v>805</v>
      </c>
      <c r="G1740">
        <v>-7</v>
      </c>
      <c r="H1740">
        <v>-13</v>
      </c>
      <c r="I1740" t="s">
        <v>20</v>
      </c>
      <c r="J1740">
        <v>1</v>
      </c>
      <c r="K1740">
        <v>0</v>
      </c>
      <c r="L1740">
        <v>0</v>
      </c>
      <c r="M1740">
        <v>1</v>
      </c>
      <c r="N1740">
        <v>0</v>
      </c>
      <c r="O1740">
        <v>0</v>
      </c>
      <c r="P1740">
        <v>0</v>
      </c>
      <c r="Q1740">
        <v>0</v>
      </c>
      <c r="R1740">
        <v>10000</v>
      </c>
      <c r="S1740">
        <v>10000</v>
      </c>
      <c r="T1740">
        <v>0</v>
      </c>
      <c r="U1740" t="str">
        <f>IF(SeismicData[[#This Row],[class]]=1,"Dangerous","Safe")</f>
        <v>Safe</v>
      </c>
      <c r="V1740" t="str">
        <f>IF(SeismicData[[#This Row],[shift]]="W","Production","Non-Production")</f>
        <v>Production</v>
      </c>
      <c r="W1740" t="str">
        <f>IF(SeismicData[[#This Row],[genergy]]=0,"0","10^"&amp;INT(LOG10(SeismicData[[#This Row],[genergy]])))</f>
        <v>10^4</v>
      </c>
      <c r="X1740" t="str">
        <f>IF(OR(SeismicData[[#This Row],[genergy]]&lt;$AA$6,SeismicData[[#This Row],[genergy]]&gt;$AA$5),"Outlier","Normal")</f>
        <v>Normal</v>
      </c>
    </row>
    <row r="1741" spans="1:24" x14ac:dyDescent="0.15">
      <c r="A1741">
        <v>1740</v>
      </c>
      <c r="B1741" t="s">
        <v>23</v>
      </c>
      <c r="C1741" t="s">
        <v>20</v>
      </c>
      <c r="D1741" t="s">
        <v>22</v>
      </c>
      <c r="E1741">
        <v>26210</v>
      </c>
      <c r="F1741">
        <v>619</v>
      </c>
      <c r="G1741">
        <v>-20</v>
      </c>
      <c r="H1741">
        <v>20</v>
      </c>
      <c r="I1741" t="s">
        <v>20</v>
      </c>
      <c r="J1741">
        <v>0</v>
      </c>
      <c r="K1741">
        <v>0</v>
      </c>
      <c r="L1741">
        <v>0</v>
      </c>
      <c r="M1741">
        <v>0</v>
      </c>
      <c r="N1741">
        <v>0</v>
      </c>
      <c r="O1741">
        <v>0</v>
      </c>
      <c r="P1741">
        <v>0</v>
      </c>
      <c r="Q1741">
        <v>0</v>
      </c>
      <c r="R1741">
        <v>0</v>
      </c>
      <c r="S1741">
        <v>0</v>
      </c>
      <c r="T1741">
        <v>1</v>
      </c>
      <c r="U1741" t="str">
        <f>IF(SeismicData[[#This Row],[class]]=1,"Dangerous","Safe")</f>
        <v>Dangerous</v>
      </c>
      <c r="V1741" t="str">
        <f>IF(SeismicData[[#This Row],[shift]]="W","Production","Non-Production")</f>
        <v>Production</v>
      </c>
      <c r="W1741" t="str">
        <f>IF(SeismicData[[#This Row],[genergy]]=0,"0","10^"&amp;INT(LOG10(SeismicData[[#This Row],[genergy]])))</f>
        <v>10^4</v>
      </c>
      <c r="X1741" t="str">
        <f>IF(OR(SeismicData[[#This Row],[genergy]]&lt;$AA$6,SeismicData[[#This Row],[genergy]]&gt;$AA$5),"Outlier","Normal")</f>
        <v>Normal</v>
      </c>
    </row>
    <row r="1742" spans="1:24" x14ac:dyDescent="0.15">
      <c r="A1742">
        <v>1741</v>
      </c>
      <c r="B1742" t="s">
        <v>23</v>
      </c>
      <c r="C1742" t="s">
        <v>20</v>
      </c>
      <c r="D1742" t="s">
        <v>21</v>
      </c>
      <c r="E1742">
        <v>18840</v>
      </c>
      <c r="F1742">
        <v>434</v>
      </c>
      <c r="G1742">
        <v>126</v>
      </c>
      <c r="H1742">
        <v>158</v>
      </c>
      <c r="I1742" t="s">
        <v>20</v>
      </c>
      <c r="J1742">
        <v>1</v>
      </c>
      <c r="K1742">
        <v>0</v>
      </c>
      <c r="L1742">
        <v>0</v>
      </c>
      <c r="M1742">
        <v>0</v>
      </c>
      <c r="N1742">
        <v>1</v>
      </c>
      <c r="O1742">
        <v>0</v>
      </c>
      <c r="P1742">
        <v>0</v>
      </c>
      <c r="Q1742">
        <v>0</v>
      </c>
      <c r="R1742">
        <v>300000</v>
      </c>
      <c r="S1742">
        <v>300000</v>
      </c>
      <c r="T1742">
        <v>0</v>
      </c>
      <c r="U1742" t="str">
        <f>IF(SeismicData[[#This Row],[class]]=1,"Dangerous","Safe")</f>
        <v>Safe</v>
      </c>
      <c r="V1742" t="str">
        <f>IF(SeismicData[[#This Row],[shift]]="W","Production","Non-Production")</f>
        <v>Non-Production</v>
      </c>
      <c r="W1742" t="str">
        <f>IF(SeismicData[[#This Row],[genergy]]=0,"0","10^"&amp;INT(LOG10(SeismicData[[#This Row],[genergy]])))</f>
        <v>10^4</v>
      </c>
      <c r="X1742" t="str">
        <f>IF(OR(SeismicData[[#This Row],[genergy]]&lt;$AA$6,SeismicData[[#This Row],[genergy]]&gt;$AA$5),"Outlier","Normal")</f>
        <v>Normal</v>
      </c>
    </row>
    <row r="1743" spans="1:24" x14ac:dyDescent="0.15">
      <c r="A1743">
        <v>1742</v>
      </c>
      <c r="B1743" t="s">
        <v>23</v>
      </c>
      <c r="C1743" t="s">
        <v>20</v>
      </c>
      <c r="D1743" t="s">
        <v>21</v>
      </c>
      <c r="E1743">
        <v>18440</v>
      </c>
      <c r="F1743">
        <v>398</v>
      </c>
      <c r="G1743">
        <v>122</v>
      </c>
      <c r="H1743">
        <v>137</v>
      </c>
      <c r="I1743" t="s">
        <v>20</v>
      </c>
      <c r="J1743">
        <v>1</v>
      </c>
      <c r="K1743">
        <v>1</v>
      </c>
      <c r="L1743">
        <v>0</v>
      </c>
      <c r="M1743">
        <v>0</v>
      </c>
      <c r="N1743">
        <v>0</v>
      </c>
      <c r="O1743">
        <v>0</v>
      </c>
      <c r="P1743">
        <v>0</v>
      </c>
      <c r="Q1743">
        <v>0</v>
      </c>
      <c r="R1743">
        <v>200</v>
      </c>
      <c r="S1743">
        <v>200</v>
      </c>
      <c r="T1743">
        <v>0</v>
      </c>
      <c r="U1743" t="str">
        <f>IF(SeismicData[[#This Row],[class]]=1,"Dangerous","Safe")</f>
        <v>Safe</v>
      </c>
      <c r="V1743" t="str">
        <f>IF(SeismicData[[#This Row],[shift]]="W","Production","Non-Production")</f>
        <v>Non-Production</v>
      </c>
      <c r="W1743" t="str">
        <f>IF(SeismicData[[#This Row],[genergy]]=0,"0","10^"&amp;INT(LOG10(SeismicData[[#This Row],[genergy]])))</f>
        <v>10^4</v>
      </c>
      <c r="X1743" t="str">
        <f>IF(OR(SeismicData[[#This Row],[genergy]]&lt;$AA$6,SeismicData[[#This Row],[genergy]]&gt;$AA$5),"Outlier","Normal")</f>
        <v>Normal</v>
      </c>
    </row>
    <row r="1744" spans="1:24" x14ac:dyDescent="0.15">
      <c r="A1744">
        <v>1743</v>
      </c>
      <c r="B1744" t="s">
        <v>23</v>
      </c>
      <c r="C1744" t="s">
        <v>20</v>
      </c>
      <c r="D1744" t="s">
        <v>21</v>
      </c>
      <c r="E1744">
        <v>11080</v>
      </c>
      <c r="F1744">
        <v>343</v>
      </c>
      <c r="G1744">
        <v>33</v>
      </c>
      <c r="H1744">
        <v>104</v>
      </c>
      <c r="I1744" t="s">
        <v>20</v>
      </c>
      <c r="J1744">
        <v>0</v>
      </c>
      <c r="K1744">
        <v>0</v>
      </c>
      <c r="L1744">
        <v>0</v>
      </c>
      <c r="M1744">
        <v>0</v>
      </c>
      <c r="N1744">
        <v>0</v>
      </c>
      <c r="O1744">
        <v>0</v>
      </c>
      <c r="P1744">
        <v>0</v>
      </c>
      <c r="Q1744">
        <v>0</v>
      </c>
      <c r="R1744">
        <v>0</v>
      </c>
      <c r="S1744">
        <v>0</v>
      </c>
      <c r="T1744">
        <v>0</v>
      </c>
      <c r="U1744" t="str">
        <f>IF(SeismicData[[#This Row],[class]]=1,"Dangerous","Safe")</f>
        <v>Safe</v>
      </c>
      <c r="V1744" t="str">
        <f>IF(SeismicData[[#This Row],[shift]]="W","Production","Non-Production")</f>
        <v>Non-Production</v>
      </c>
      <c r="W1744" t="str">
        <f>IF(SeismicData[[#This Row],[genergy]]=0,"0","10^"&amp;INT(LOG10(SeismicData[[#This Row],[genergy]])))</f>
        <v>10^4</v>
      </c>
      <c r="X1744" t="str">
        <f>IF(OR(SeismicData[[#This Row],[genergy]]&lt;$AA$6,SeismicData[[#This Row],[genergy]]&gt;$AA$5),"Outlier","Normal")</f>
        <v>Normal</v>
      </c>
    </row>
    <row r="1745" spans="1:24" x14ac:dyDescent="0.15">
      <c r="A1745">
        <v>1744</v>
      </c>
      <c r="B1745" t="s">
        <v>23</v>
      </c>
      <c r="C1745" t="s">
        <v>20</v>
      </c>
      <c r="D1745" t="s">
        <v>21</v>
      </c>
      <c r="E1745">
        <v>16380</v>
      </c>
      <c r="F1745">
        <v>736</v>
      </c>
      <c r="G1745">
        <v>63</v>
      </c>
      <c r="H1745">
        <v>112</v>
      </c>
      <c r="I1745" t="s">
        <v>20</v>
      </c>
      <c r="J1745">
        <v>0</v>
      </c>
      <c r="K1745">
        <v>0</v>
      </c>
      <c r="L1745">
        <v>0</v>
      </c>
      <c r="M1745">
        <v>0</v>
      </c>
      <c r="N1745">
        <v>0</v>
      </c>
      <c r="O1745">
        <v>0</v>
      </c>
      <c r="P1745">
        <v>0</v>
      </c>
      <c r="Q1745">
        <v>0</v>
      </c>
      <c r="R1745">
        <v>0</v>
      </c>
      <c r="S1745">
        <v>0</v>
      </c>
      <c r="T1745">
        <v>0</v>
      </c>
      <c r="U1745" t="str">
        <f>IF(SeismicData[[#This Row],[class]]=1,"Dangerous","Safe")</f>
        <v>Safe</v>
      </c>
      <c r="V1745" t="str">
        <f>IF(SeismicData[[#This Row],[shift]]="W","Production","Non-Production")</f>
        <v>Non-Production</v>
      </c>
      <c r="W1745" t="str">
        <f>IF(SeismicData[[#This Row],[genergy]]=0,"0","10^"&amp;INT(LOG10(SeismicData[[#This Row],[genergy]])))</f>
        <v>10^4</v>
      </c>
      <c r="X1745" t="str">
        <f>IF(OR(SeismicData[[#This Row],[genergy]]&lt;$AA$6,SeismicData[[#This Row],[genergy]]&gt;$AA$5),"Outlier","Normal")</f>
        <v>Normal</v>
      </c>
    </row>
    <row r="1746" spans="1:24" x14ac:dyDescent="0.15">
      <c r="A1746">
        <v>1745</v>
      </c>
      <c r="B1746" t="s">
        <v>23</v>
      </c>
      <c r="C1746" t="s">
        <v>20</v>
      </c>
      <c r="D1746" t="s">
        <v>22</v>
      </c>
      <c r="E1746">
        <v>27440</v>
      </c>
      <c r="F1746">
        <v>635</v>
      </c>
      <c r="G1746">
        <v>-5</v>
      </c>
      <c r="H1746">
        <v>-28</v>
      </c>
      <c r="I1746" t="s">
        <v>20</v>
      </c>
      <c r="J1746">
        <v>1</v>
      </c>
      <c r="K1746">
        <v>1</v>
      </c>
      <c r="L1746">
        <v>0</v>
      </c>
      <c r="M1746">
        <v>0</v>
      </c>
      <c r="N1746">
        <v>0</v>
      </c>
      <c r="O1746">
        <v>0</v>
      </c>
      <c r="P1746">
        <v>0</v>
      </c>
      <c r="Q1746">
        <v>0</v>
      </c>
      <c r="R1746">
        <v>400</v>
      </c>
      <c r="S1746">
        <v>400</v>
      </c>
      <c r="T1746">
        <v>0</v>
      </c>
      <c r="U1746" t="str">
        <f>IF(SeismicData[[#This Row],[class]]=1,"Dangerous","Safe")</f>
        <v>Safe</v>
      </c>
      <c r="V1746" t="str">
        <f>IF(SeismicData[[#This Row],[shift]]="W","Production","Non-Production")</f>
        <v>Production</v>
      </c>
      <c r="W1746" t="str">
        <f>IF(SeismicData[[#This Row],[genergy]]=0,"0","10^"&amp;INT(LOG10(SeismicData[[#This Row],[genergy]])))</f>
        <v>10^4</v>
      </c>
      <c r="X1746" t="str">
        <f>IF(OR(SeismicData[[#This Row],[genergy]]&lt;$AA$6,SeismicData[[#This Row],[genergy]]&gt;$AA$5),"Outlier","Normal")</f>
        <v>Normal</v>
      </c>
    </row>
    <row r="1747" spans="1:24" x14ac:dyDescent="0.15">
      <c r="A1747">
        <v>1746</v>
      </c>
      <c r="B1747" t="s">
        <v>23</v>
      </c>
      <c r="C1747" t="s">
        <v>20</v>
      </c>
      <c r="D1747" t="s">
        <v>22</v>
      </c>
      <c r="E1747">
        <v>44980</v>
      </c>
      <c r="F1747">
        <v>597</v>
      </c>
      <c r="G1747">
        <v>45</v>
      </c>
      <c r="H1747">
        <v>19</v>
      </c>
      <c r="I1747" t="s">
        <v>20</v>
      </c>
      <c r="J1747">
        <v>0</v>
      </c>
      <c r="K1747">
        <v>0</v>
      </c>
      <c r="L1747">
        <v>0</v>
      </c>
      <c r="M1747">
        <v>0</v>
      </c>
      <c r="N1747">
        <v>0</v>
      </c>
      <c r="O1747">
        <v>0</v>
      </c>
      <c r="P1747">
        <v>0</v>
      </c>
      <c r="Q1747">
        <v>0</v>
      </c>
      <c r="R1747">
        <v>0</v>
      </c>
      <c r="S1747">
        <v>0</v>
      </c>
      <c r="T1747">
        <v>0</v>
      </c>
      <c r="U1747" t="str">
        <f>IF(SeismicData[[#This Row],[class]]=1,"Dangerous","Safe")</f>
        <v>Safe</v>
      </c>
      <c r="V1747" t="str">
        <f>IF(SeismicData[[#This Row],[shift]]="W","Production","Non-Production")</f>
        <v>Production</v>
      </c>
      <c r="W1747" t="str">
        <f>IF(SeismicData[[#This Row],[genergy]]=0,"0","10^"&amp;INT(LOG10(SeismicData[[#This Row],[genergy]])))</f>
        <v>10^4</v>
      </c>
      <c r="X1747" t="str">
        <f>IF(OR(SeismicData[[#This Row],[genergy]]&lt;$AA$6,SeismicData[[#This Row],[genergy]]&gt;$AA$5),"Outlier","Normal")</f>
        <v>Normal</v>
      </c>
    </row>
    <row r="1748" spans="1:24" x14ac:dyDescent="0.15">
      <c r="A1748">
        <v>1747</v>
      </c>
      <c r="B1748" t="s">
        <v>23</v>
      </c>
      <c r="C1748" t="s">
        <v>20</v>
      </c>
      <c r="D1748" t="s">
        <v>22</v>
      </c>
      <c r="E1748">
        <v>31430</v>
      </c>
      <c r="F1748">
        <v>553</v>
      </c>
      <c r="G1748">
        <v>1</v>
      </c>
      <c r="H1748">
        <v>10</v>
      </c>
      <c r="I1748" t="s">
        <v>20</v>
      </c>
      <c r="J1748">
        <v>1</v>
      </c>
      <c r="K1748">
        <v>1</v>
      </c>
      <c r="L1748">
        <v>0</v>
      </c>
      <c r="M1748">
        <v>0</v>
      </c>
      <c r="N1748">
        <v>0</v>
      </c>
      <c r="O1748">
        <v>0</v>
      </c>
      <c r="P1748">
        <v>0</v>
      </c>
      <c r="Q1748">
        <v>0</v>
      </c>
      <c r="R1748">
        <v>600</v>
      </c>
      <c r="S1748">
        <v>600</v>
      </c>
      <c r="T1748">
        <v>0</v>
      </c>
      <c r="U1748" t="str">
        <f>IF(SeismicData[[#This Row],[class]]=1,"Dangerous","Safe")</f>
        <v>Safe</v>
      </c>
      <c r="V1748" t="str">
        <f>IF(SeismicData[[#This Row],[shift]]="W","Production","Non-Production")</f>
        <v>Production</v>
      </c>
      <c r="W1748" t="str">
        <f>IF(SeismicData[[#This Row],[genergy]]=0,"0","10^"&amp;INT(LOG10(SeismicData[[#This Row],[genergy]])))</f>
        <v>10^4</v>
      </c>
      <c r="X1748" t="str">
        <f>IF(OR(SeismicData[[#This Row],[genergy]]&lt;$AA$6,SeismicData[[#This Row],[genergy]]&gt;$AA$5),"Outlier","Normal")</f>
        <v>Normal</v>
      </c>
    </row>
    <row r="1749" spans="1:24" x14ac:dyDescent="0.15">
      <c r="A1749">
        <v>1748</v>
      </c>
      <c r="B1749" t="s">
        <v>23</v>
      </c>
      <c r="C1749" t="s">
        <v>20</v>
      </c>
      <c r="D1749" t="s">
        <v>22</v>
      </c>
      <c r="E1749">
        <v>21660</v>
      </c>
      <c r="F1749">
        <v>433</v>
      </c>
      <c r="G1749">
        <v>-30</v>
      </c>
      <c r="H1749">
        <v>-14</v>
      </c>
      <c r="I1749" t="s">
        <v>20</v>
      </c>
      <c r="J1749">
        <v>0</v>
      </c>
      <c r="K1749">
        <v>0</v>
      </c>
      <c r="L1749">
        <v>0</v>
      </c>
      <c r="M1749">
        <v>0</v>
      </c>
      <c r="N1749">
        <v>0</v>
      </c>
      <c r="O1749">
        <v>0</v>
      </c>
      <c r="P1749">
        <v>0</v>
      </c>
      <c r="Q1749">
        <v>0</v>
      </c>
      <c r="R1749">
        <v>0</v>
      </c>
      <c r="S1749">
        <v>0</v>
      </c>
      <c r="T1749">
        <v>0</v>
      </c>
      <c r="U1749" t="str">
        <f>IF(SeismicData[[#This Row],[class]]=1,"Dangerous","Safe")</f>
        <v>Safe</v>
      </c>
      <c r="V1749" t="str">
        <f>IF(SeismicData[[#This Row],[shift]]="W","Production","Non-Production")</f>
        <v>Production</v>
      </c>
      <c r="W1749" t="str">
        <f>IF(SeismicData[[#This Row],[genergy]]=0,"0","10^"&amp;INT(LOG10(SeismicData[[#This Row],[genergy]])))</f>
        <v>10^4</v>
      </c>
      <c r="X1749" t="str">
        <f>IF(OR(SeismicData[[#This Row],[genergy]]&lt;$AA$6,SeismicData[[#This Row],[genergy]]&gt;$AA$5),"Outlier","Normal")</f>
        <v>Normal</v>
      </c>
    </row>
    <row r="1750" spans="1:24" x14ac:dyDescent="0.15">
      <c r="A1750">
        <v>1749</v>
      </c>
      <c r="B1750" t="s">
        <v>23</v>
      </c>
      <c r="C1750" t="s">
        <v>20</v>
      </c>
      <c r="D1750" t="s">
        <v>22</v>
      </c>
      <c r="E1750">
        <v>38220</v>
      </c>
      <c r="F1750">
        <v>1192</v>
      </c>
      <c r="G1750">
        <v>33</v>
      </c>
      <c r="H1750">
        <v>35</v>
      </c>
      <c r="I1750" t="s">
        <v>20</v>
      </c>
      <c r="J1750">
        <v>1</v>
      </c>
      <c r="K1750">
        <v>0</v>
      </c>
      <c r="L1750">
        <v>1</v>
      </c>
      <c r="M1750">
        <v>0</v>
      </c>
      <c r="N1750">
        <v>0</v>
      </c>
      <c r="O1750">
        <v>0</v>
      </c>
      <c r="P1750">
        <v>0</v>
      </c>
      <c r="Q1750">
        <v>0</v>
      </c>
      <c r="R1750">
        <v>6000</v>
      </c>
      <c r="S1750">
        <v>6000</v>
      </c>
      <c r="T1750">
        <v>0</v>
      </c>
      <c r="U1750" t="str">
        <f>IF(SeismicData[[#This Row],[class]]=1,"Dangerous","Safe")</f>
        <v>Safe</v>
      </c>
      <c r="V1750" t="str">
        <f>IF(SeismicData[[#This Row],[shift]]="W","Production","Non-Production")</f>
        <v>Production</v>
      </c>
      <c r="W1750" t="str">
        <f>IF(SeismicData[[#This Row],[genergy]]=0,"0","10^"&amp;INT(LOG10(SeismicData[[#This Row],[genergy]])))</f>
        <v>10^4</v>
      </c>
      <c r="X1750" t="str">
        <f>IF(OR(SeismicData[[#This Row],[genergy]]&lt;$AA$6,SeismicData[[#This Row],[genergy]]&gt;$AA$5),"Outlier","Normal")</f>
        <v>Normal</v>
      </c>
    </row>
    <row r="1751" spans="1:24" x14ac:dyDescent="0.15">
      <c r="A1751">
        <v>1750</v>
      </c>
      <c r="B1751" t="s">
        <v>23</v>
      </c>
      <c r="C1751" t="s">
        <v>20</v>
      </c>
      <c r="D1751" t="s">
        <v>21</v>
      </c>
      <c r="E1751">
        <v>20040</v>
      </c>
      <c r="F1751">
        <v>777</v>
      </c>
      <c r="G1751">
        <v>99</v>
      </c>
      <c r="H1751">
        <v>123</v>
      </c>
      <c r="I1751" t="s">
        <v>20</v>
      </c>
      <c r="J1751">
        <v>0</v>
      </c>
      <c r="K1751">
        <v>0</v>
      </c>
      <c r="L1751">
        <v>0</v>
      </c>
      <c r="M1751">
        <v>0</v>
      </c>
      <c r="N1751">
        <v>0</v>
      </c>
      <c r="O1751">
        <v>0</v>
      </c>
      <c r="P1751">
        <v>0</v>
      </c>
      <c r="Q1751">
        <v>0</v>
      </c>
      <c r="R1751">
        <v>0</v>
      </c>
      <c r="S1751">
        <v>0</v>
      </c>
      <c r="T1751">
        <v>0</v>
      </c>
      <c r="U1751" t="str">
        <f>IF(SeismicData[[#This Row],[class]]=1,"Dangerous","Safe")</f>
        <v>Safe</v>
      </c>
      <c r="V1751" t="str">
        <f>IF(SeismicData[[#This Row],[shift]]="W","Production","Non-Production")</f>
        <v>Non-Production</v>
      </c>
      <c r="W1751" t="str">
        <f>IF(SeismicData[[#This Row],[genergy]]=0,"0","10^"&amp;INT(LOG10(SeismicData[[#This Row],[genergy]])))</f>
        <v>10^4</v>
      </c>
      <c r="X1751" t="str">
        <f>IF(OR(SeismicData[[#This Row],[genergy]]&lt;$AA$6,SeismicData[[#This Row],[genergy]]&gt;$AA$5),"Outlier","Normal")</f>
        <v>Normal</v>
      </c>
    </row>
    <row r="1752" spans="1:24" x14ac:dyDescent="0.15">
      <c r="A1752">
        <v>1751</v>
      </c>
      <c r="B1752" t="s">
        <v>20</v>
      </c>
      <c r="C1752" t="s">
        <v>20</v>
      </c>
      <c r="D1752" t="s">
        <v>21</v>
      </c>
      <c r="E1752">
        <v>9660</v>
      </c>
      <c r="F1752">
        <v>511</v>
      </c>
      <c r="G1752">
        <v>-4</v>
      </c>
      <c r="H1752">
        <v>47</v>
      </c>
      <c r="I1752" t="s">
        <v>20</v>
      </c>
      <c r="J1752">
        <v>0</v>
      </c>
      <c r="K1752">
        <v>0</v>
      </c>
      <c r="L1752">
        <v>0</v>
      </c>
      <c r="M1752">
        <v>0</v>
      </c>
      <c r="N1752">
        <v>0</v>
      </c>
      <c r="O1752">
        <v>0</v>
      </c>
      <c r="P1752">
        <v>0</v>
      </c>
      <c r="Q1752">
        <v>0</v>
      </c>
      <c r="R1752">
        <v>0</v>
      </c>
      <c r="S1752">
        <v>0</v>
      </c>
      <c r="T1752">
        <v>0</v>
      </c>
      <c r="U1752" t="str">
        <f>IF(SeismicData[[#This Row],[class]]=1,"Dangerous","Safe")</f>
        <v>Safe</v>
      </c>
      <c r="V1752" t="str">
        <f>IF(SeismicData[[#This Row],[shift]]="W","Production","Non-Production")</f>
        <v>Non-Production</v>
      </c>
      <c r="W1752" t="str">
        <f>IF(SeismicData[[#This Row],[genergy]]=0,"0","10^"&amp;INT(LOG10(SeismicData[[#This Row],[genergy]])))</f>
        <v>10^3</v>
      </c>
      <c r="X1752" t="str">
        <f>IF(OR(SeismicData[[#This Row],[genergy]]&lt;$AA$6,SeismicData[[#This Row],[genergy]]&gt;$AA$5),"Outlier","Normal")</f>
        <v>Normal</v>
      </c>
    </row>
    <row r="1753" spans="1:24" x14ac:dyDescent="0.15">
      <c r="A1753">
        <v>1752</v>
      </c>
      <c r="B1753" t="s">
        <v>20</v>
      </c>
      <c r="C1753" t="s">
        <v>20</v>
      </c>
      <c r="D1753" t="s">
        <v>21</v>
      </c>
      <c r="E1753">
        <v>11020</v>
      </c>
      <c r="F1753">
        <v>589</v>
      </c>
      <c r="G1753">
        <v>10</v>
      </c>
      <c r="H1753">
        <v>69</v>
      </c>
      <c r="I1753" t="s">
        <v>20</v>
      </c>
      <c r="J1753">
        <v>0</v>
      </c>
      <c r="K1753">
        <v>0</v>
      </c>
      <c r="L1753">
        <v>0</v>
      </c>
      <c r="M1753">
        <v>0</v>
      </c>
      <c r="N1753">
        <v>0</v>
      </c>
      <c r="O1753">
        <v>0</v>
      </c>
      <c r="P1753">
        <v>0</v>
      </c>
      <c r="Q1753">
        <v>0</v>
      </c>
      <c r="R1753">
        <v>0</v>
      </c>
      <c r="S1753">
        <v>0</v>
      </c>
      <c r="T1753">
        <v>0</v>
      </c>
      <c r="U1753" t="str">
        <f>IF(SeismicData[[#This Row],[class]]=1,"Dangerous","Safe")</f>
        <v>Safe</v>
      </c>
      <c r="V1753" t="str">
        <f>IF(SeismicData[[#This Row],[shift]]="W","Production","Non-Production")</f>
        <v>Non-Production</v>
      </c>
      <c r="W1753" t="str">
        <f>IF(SeismicData[[#This Row],[genergy]]=0,"0","10^"&amp;INT(LOG10(SeismicData[[#This Row],[genergy]])))</f>
        <v>10^4</v>
      </c>
      <c r="X1753" t="str">
        <f>IF(OR(SeismicData[[#This Row],[genergy]]&lt;$AA$6,SeismicData[[#This Row],[genergy]]&gt;$AA$5),"Outlier","Normal")</f>
        <v>Normal</v>
      </c>
    </row>
    <row r="1754" spans="1:24" x14ac:dyDescent="0.15">
      <c r="A1754">
        <v>1753</v>
      </c>
      <c r="B1754" t="s">
        <v>20</v>
      </c>
      <c r="C1754" t="s">
        <v>20</v>
      </c>
      <c r="D1754" t="s">
        <v>21</v>
      </c>
      <c r="E1754">
        <v>10410</v>
      </c>
      <c r="F1754">
        <v>422</v>
      </c>
      <c r="G1754">
        <v>4</v>
      </c>
      <c r="H1754">
        <v>21</v>
      </c>
      <c r="I1754" t="s">
        <v>20</v>
      </c>
      <c r="J1754">
        <v>0</v>
      </c>
      <c r="K1754">
        <v>0</v>
      </c>
      <c r="L1754">
        <v>0</v>
      </c>
      <c r="M1754">
        <v>0</v>
      </c>
      <c r="N1754">
        <v>0</v>
      </c>
      <c r="O1754">
        <v>0</v>
      </c>
      <c r="P1754">
        <v>0</v>
      </c>
      <c r="Q1754">
        <v>0</v>
      </c>
      <c r="R1754">
        <v>0</v>
      </c>
      <c r="S1754">
        <v>0</v>
      </c>
      <c r="T1754">
        <v>0</v>
      </c>
      <c r="U1754" t="str">
        <f>IF(SeismicData[[#This Row],[class]]=1,"Dangerous","Safe")</f>
        <v>Safe</v>
      </c>
      <c r="V1754" t="str">
        <f>IF(SeismicData[[#This Row],[shift]]="W","Production","Non-Production")</f>
        <v>Non-Production</v>
      </c>
      <c r="W1754" t="str">
        <f>IF(SeismicData[[#This Row],[genergy]]=0,"0","10^"&amp;INT(LOG10(SeismicData[[#This Row],[genergy]])))</f>
        <v>10^4</v>
      </c>
      <c r="X1754" t="str">
        <f>IF(OR(SeismicData[[#This Row],[genergy]]&lt;$AA$6,SeismicData[[#This Row],[genergy]]&gt;$AA$5),"Outlier","Normal")</f>
        <v>Normal</v>
      </c>
    </row>
    <row r="1755" spans="1:24" x14ac:dyDescent="0.15">
      <c r="A1755">
        <v>1754</v>
      </c>
      <c r="B1755" t="s">
        <v>20</v>
      </c>
      <c r="C1755" t="s">
        <v>20</v>
      </c>
      <c r="D1755" t="s">
        <v>21</v>
      </c>
      <c r="E1755">
        <v>15040</v>
      </c>
      <c r="F1755">
        <v>458</v>
      </c>
      <c r="G1755">
        <v>50</v>
      </c>
      <c r="H1755">
        <v>32</v>
      </c>
      <c r="I1755" t="s">
        <v>20</v>
      </c>
      <c r="J1755">
        <v>1</v>
      </c>
      <c r="K1755">
        <v>1</v>
      </c>
      <c r="L1755">
        <v>0</v>
      </c>
      <c r="M1755">
        <v>0</v>
      </c>
      <c r="N1755">
        <v>0</v>
      </c>
      <c r="O1755">
        <v>0</v>
      </c>
      <c r="P1755">
        <v>0</v>
      </c>
      <c r="Q1755">
        <v>0</v>
      </c>
      <c r="R1755">
        <v>400</v>
      </c>
      <c r="S1755">
        <v>400</v>
      </c>
      <c r="T1755">
        <v>0</v>
      </c>
      <c r="U1755" t="str">
        <f>IF(SeismicData[[#This Row],[class]]=1,"Dangerous","Safe")</f>
        <v>Safe</v>
      </c>
      <c r="V1755" t="str">
        <f>IF(SeismicData[[#This Row],[shift]]="W","Production","Non-Production")</f>
        <v>Non-Production</v>
      </c>
      <c r="W1755" t="str">
        <f>IF(SeismicData[[#This Row],[genergy]]=0,"0","10^"&amp;INT(LOG10(SeismicData[[#This Row],[genergy]])))</f>
        <v>10^4</v>
      </c>
      <c r="X1755" t="str">
        <f>IF(OR(SeismicData[[#This Row],[genergy]]&lt;$AA$6,SeismicData[[#This Row],[genergy]]&gt;$AA$5),"Outlier","Normal")</f>
        <v>Normal</v>
      </c>
    </row>
    <row r="1756" spans="1:24" x14ac:dyDescent="0.15">
      <c r="A1756">
        <v>1755</v>
      </c>
      <c r="B1756" t="s">
        <v>20</v>
      </c>
      <c r="C1756" t="s">
        <v>20</v>
      </c>
      <c r="D1756" t="s">
        <v>21</v>
      </c>
      <c r="E1756">
        <v>5600</v>
      </c>
      <c r="F1756">
        <v>344</v>
      </c>
      <c r="G1756">
        <v>-44</v>
      </c>
      <c r="H1756">
        <v>-1</v>
      </c>
      <c r="I1756" t="s">
        <v>20</v>
      </c>
      <c r="J1756">
        <v>0</v>
      </c>
      <c r="K1756">
        <v>0</v>
      </c>
      <c r="L1756">
        <v>0</v>
      </c>
      <c r="M1756">
        <v>0</v>
      </c>
      <c r="N1756">
        <v>0</v>
      </c>
      <c r="O1756">
        <v>0</v>
      </c>
      <c r="P1756">
        <v>0</v>
      </c>
      <c r="Q1756">
        <v>0</v>
      </c>
      <c r="R1756">
        <v>0</v>
      </c>
      <c r="S1756">
        <v>0</v>
      </c>
      <c r="T1756">
        <v>0</v>
      </c>
      <c r="U1756" t="str">
        <f>IF(SeismicData[[#This Row],[class]]=1,"Dangerous","Safe")</f>
        <v>Safe</v>
      </c>
      <c r="V1756" t="str">
        <f>IF(SeismicData[[#This Row],[shift]]="W","Production","Non-Production")</f>
        <v>Non-Production</v>
      </c>
      <c r="W1756" t="str">
        <f>IF(SeismicData[[#This Row],[genergy]]=0,"0","10^"&amp;INT(LOG10(SeismicData[[#This Row],[genergy]])))</f>
        <v>10^3</v>
      </c>
      <c r="X1756" t="str">
        <f>IF(OR(SeismicData[[#This Row],[genergy]]&lt;$AA$6,SeismicData[[#This Row],[genergy]]&gt;$AA$5),"Outlier","Normal")</f>
        <v>Normal</v>
      </c>
    </row>
    <row r="1757" spans="1:24" x14ac:dyDescent="0.15">
      <c r="A1757">
        <v>1756</v>
      </c>
      <c r="B1757" t="s">
        <v>20</v>
      </c>
      <c r="C1757" t="s">
        <v>20</v>
      </c>
      <c r="D1757" t="s">
        <v>21</v>
      </c>
      <c r="E1757">
        <v>7560</v>
      </c>
      <c r="F1757">
        <v>513</v>
      </c>
      <c r="G1757">
        <v>-25</v>
      </c>
      <c r="H1757">
        <v>47</v>
      </c>
      <c r="I1757" t="s">
        <v>20</v>
      </c>
      <c r="J1757">
        <v>1</v>
      </c>
      <c r="K1757">
        <v>1</v>
      </c>
      <c r="L1757">
        <v>0</v>
      </c>
      <c r="M1757">
        <v>0</v>
      </c>
      <c r="N1757">
        <v>0</v>
      </c>
      <c r="O1757">
        <v>0</v>
      </c>
      <c r="P1757">
        <v>0</v>
      </c>
      <c r="Q1757">
        <v>0</v>
      </c>
      <c r="R1757">
        <v>300</v>
      </c>
      <c r="S1757">
        <v>300</v>
      </c>
      <c r="T1757">
        <v>0</v>
      </c>
      <c r="U1757" t="str">
        <f>IF(SeismicData[[#This Row],[class]]=1,"Dangerous","Safe")</f>
        <v>Safe</v>
      </c>
      <c r="V1757" t="str">
        <f>IF(SeismicData[[#This Row],[shift]]="W","Production","Non-Production")</f>
        <v>Non-Production</v>
      </c>
      <c r="W1757" t="str">
        <f>IF(SeismicData[[#This Row],[genergy]]=0,"0","10^"&amp;INT(LOG10(SeismicData[[#This Row],[genergy]])))</f>
        <v>10^3</v>
      </c>
      <c r="X1757" t="str">
        <f>IF(OR(SeismicData[[#This Row],[genergy]]&lt;$AA$6,SeismicData[[#This Row],[genergy]]&gt;$AA$5),"Outlier","Normal")</f>
        <v>Normal</v>
      </c>
    </row>
    <row r="1758" spans="1:24" x14ac:dyDescent="0.15">
      <c r="A1758">
        <v>1757</v>
      </c>
      <c r="B1758" t="s">
        <v>20</v>
      </c>
      <c r="C1758" t="s">
        <v>20</v>
      </c>
      <c r="D1758" t="s">
        <v>21</v>
      </c>
      <c r="E1758">
        <v>10370</v>
      </c>
      <c r="F1758">
        <v>402</v>
      </c>
      <c r="G1758">
        <v>3</v>
      </c>
      <c r="H1758">
        <v>16</v>
      </c>
      <c r="I1758" t="s">
        <v>20</v>
      </c>
      <c r="J1758">
        <v>0</v>
      </c>
      <c r="K1758">
        <v>0</v>
      </c>
      <c r="L1758">
        <v>0</v>
      </c>
      <c r="M1758">
        <v>0</v>
      </c>
      <c r="N1758">
        <v>0</v>
      </c>
      <c r="O1758">
        <v>0</v>
      </c>
      <c r="P1758">
        <v>0</v>
      </c>
      <c r="Q1758">
        <v>0</v>
      </c>
      <c r="R1758">
        <v>0</v>
      </c>
      <c r="S1758">
        <v>0</v>
      </c>
      <c r="T1758">
        <v>0</v>
      </c>
      <c r="U1758" t="str">
        <f>IF(SeismicData[[#This Row],[class]]=1,"Dangerous","Safe")</f>
        <v>Safe</v>
      </c>
      <c r="V1758" t="str">
        <f>IF(SeismicData[[#This Row],[shift]]="W","Production","Non-Production")</f>
        <v>Non-Production</v>
      </c>
      <c r="W1758" t="str">
        <f>IF(SeismicData[[#This Row],[genergy]]=0,"0","10^"&amp;INT(LOG10(SeismicData[[#This Row],[genergy]])))</f>
        <v>10^4</v>
      </c>
      <c r="X1758" t="str">
        <f>IF(OR(SeismicData[[#This Row],[genergy]]&lt;$AA$6,SeismicData[[#This Row],[genergy]]&gt;$AA$5),"Outlier","Normal")</f>
        <v>Normal</v>
      </c>
    </row>
    <row r="1759" spans="1:24" x14ac:dyDescent="0.15">
      <c r="A1759">
        <v>1758</v>
      </c>
      <c r="B1759" t="s">
        <v>20</v>
      </c>
      <c r="C1759" t="s">
        <v>20</v>
      </c>
      <c r="D1759" t="s">
        <v>21</v>
      </c>
      <c r="E1759">
        <v>8850</v>
      </c>
      <c r="F1759">
        <v>361</v>
      </c>
      <c r="G1759">
        <v>-12</v>
      </c>
      <c r="H1759">
        <v>4</v>
      </c>
      <c r="I1759" t="s">
        <v>20</v>
      </c>
      <c r="J1759">
        <v>0</v>
      </c>
      <c r="K1759">
        <v>0</v>
      </c>
      <c r="L1759">
        <v>0</v>
      </c>
      <c r="M1759">
        <v>0</v>
      </c>
      <c r="N1759">
        <v>0</v>
      </c>
      <c r="O1759">
        <v>0</v>
      </c>
      <c r="P1759">
        <v>0</v>
      </c>
      <c r="Q1759">
        <v>0</v>
      </c>
      <c r="R1759">
        <v>0</v>
      </c>
      <c r="S1759">
        <v>0</v>
      </c>
      <c r="T1759">
        <v>0</v>
      </c>
      <c r="U1759" t="str">
        <f>IF(SeismicData[[#This Row],[class]]=1,"Dangerous","Safe")</f>
        <v>Safe</v>
      </c>
      <c r="V1759" t="str">
        <f>IF(SeismicData[[#This Row],[shift]]="W","Production","Non-Production")</f>
        <v>Non-Production</v>
      </c>
      <c r="W1759" t="str">
        <f>IF(SeismicData[[#This Row],[genergy]]=0,"0","10^"&amp;INT(LOG10(SeismicData[[#This Row],[genergy]])))</f>
        <v>10^3</v>
      </c>
      <c r="X1759" t="str">
        <f>IF(OR(SeismicData[[#This Row],[genergy]]&lt;$AA$6,SeismicData[[#This Row],[genergy]]&gt;$AA$5),"Outlier","Normal")</f>
        <v>Normal</v>
      </c>
    </row>
    <row r="1760" spans="1:24" x14ac:dyDescent="0.15">
      <c r="A1760">
        <v>1759</v>
      </c>
      <c r="B1760" t="s">
        <v>20</v>
      </c>
      <c r="C1760" t="s">
        <v>20</v>
      </c>
      <c r="D1760" t="s">
        <v>21</v>
      </c>
      <c r="E1760">
        <v>5640</v>
      </c>
      <c r="F1760">
        <v>296</v>
      </c>
      <c r="G1760">
        <v>-47</v>
      </c>
      <c r="H1760">
        <v>-21</v>
      </c>
      <c r="I1760" t="s">
        <v>20</v>
      </c>
      <c r="J1760">
        <v>0</v>
      </c>
      <c r="K1760">
        <v>0</v>
      </c>
      <c r="L1760">
        <v>0</v>
      </c>
      <c r="M1760">
        <v>0</v>
      </c>
      <c r="N1760">
        <v>0</v>
      </c>
      <c r="O1760">
        <v>0</v>
      </c>
      <c r="P1760">
        <v>0</v>
      </c>
      <c r="Q1760">
        <v>0</v>
      </c>
      <c r="R1760">
        <v>0</v>
      </c>
      <c r="S1760">
        <v>0</v>
      </c>
      <c r="T1760">
        <v>0</v>
      </c>
      <c r="U1760" t="str">
        <f>IF(SeismicData[[#This Row],[class]]=1,"Dangerous","Safe")</f>
        <v>Safe</v>
      </c>
      <c r="V1760" t="str">
        <f>IF(SeismicData[[#This Row],[shift]]="W","Production","Non-Production")</f>
        <v>Non-Production</v>
      </c>
      <c r="W1760" t="str">
        <f>IF(SeismicData[[#This Row],[genergy]]=0,"0","10^"&amp;INT(LOG10(SeismicData[[#This Row],[genergy]])))</f>
        <v>10^3</v>
      </c>
      <c r="X1760" t="str">
        <f>IF(OR(SeismicData[[#This Row],[genergy]]&lt;$AA$6,SeismicData[[#This Row],[genergy]]&gt;$AA$5),"Outlier","Normal")</f>
        <v>Normal</v>
      </c>
    </row>
    <row r="1761" spans="1:24" x14ac:dyDescent="0.15">
      <c r="A1761">
        <v>1760</v>
      </c>
      <c r="B1761" t="s">
        <v>20</v>
      </c>
      <c r="C1761" t="s">
        <v>20</v>
      </c>
      <c r="D1761" t="s">
        <v>21</v>
      </c>
      <c r="E1761">
        <v>6700</v>
      </c>
      <c r="F1761">
        <v>347</v>
      </c>
      <c r="G1761">
        <v>-36</v>
      </c>
      <c r="H1761">
        <v>-7</v>
      </c>
      <c r="I1761" t="s">
        <v>20</v>
      </c>
      <c r="J1761">
        <v>0</v>
      </c>
      <c r="K1761">
        <v>0</v>
      </c>
      <c r="L1761">
        <v>0</v>
      </c>
      <c r="M1761">
        <v>0</v>
      </c>
      <c r="N1761">
        <v>0</v>
      </c>
      <c r="O1761">
        <v>0</v>
      </c>
      <c r="P1761">
        <v>0</v>
      </c>
      <c r="Q1761">
        <v>0</v>
      </c>
      <c r="R1761">
        <v>0</v>
      </c>
      <c r="S1761">
        <v>0</v>
      </c>
      <c r="T1761">
        <v>0</v>
      </c>
      <c r="U1761" t="str">
        <f>IF(SeismicData[[#This Row],[class]]=1,"Dangerous","Safe")</f>
        <v>Safe</v>
      </c>
      <c r="V1761" t="str">
        <f>IF(SeismicData[[#This Row],[shift]]="W","Production","Non-Production")</f>
        <v>Non-Production</v>
      </c>
      <c r="W1761" t="str">
        <f>IF(SeismicData[[#This Row],[genergy]]=0,"0","10^"&amp;INT(LOG10(SeismicData[[#This Row],[genergy]])))</f>
        <v>10^3</v>
      </c>
      <c r="X1761" t="str">
        <f>IF(OR(SeismicData[[#This Row],[genergy]]&lt;$AA$6,SeismicData[[#This Row],[genergy]]&gt;$AA$5),"Outlier","Normal")</f>
        <v>Normal</v>
      </c>
    </row>
    <row r="1762" spans="1:24" x14ac:dyDescent="0.15">
      <c r="A1762">
        <v>1761</v>
      </c>
      <c r="B1762" t="s">
        <v>20</v>
      </c>
      <c r="C1762" t="s">
        <v>20</v>
      </c>
      <c r="D1762" t="s">
        <v>21</v>
      </c>
      <c r="E1762">
        <v>10140</v>
      </c>
      <c r="F1762">
        <v>176</v>
      </c>
      <c r="G1762">
        <v>12</v>
      </c>
      <c r="H1762">
        <v>-5</v>
      </c>
      <c r="I1762" t="s">
        <v>20</v>
      </c>
      <c r="J1762">
        <v>0</v>
      </c>
      <c r="K1762">
        <v>0</v>
      </c>
      <c r="L1762">
        <v>0</v>
      </c>
      <c r="M1762">
        <v>0</v>
      </c>
      <c r="N1762">
        <v>0</v>
      </c>
      <c r="O1762">
        <v>0</v>
      </c>
      <c r="P1762">
        <v>0</v>
      </c>
      <c r="Q1762">
        <v>0</v>
      </c>
      <c r="R1762">
        <v>0</v>
      </c>
      <c r="S1762">
        <v>0</v>
      </c>
      <c r="T1762">
        <v>0</v>
      </c>
      <c r="U1762" t="str">
        <f>IF(SeismicData[[#This Row],[class]]=1,"Dangerous","Safe")</f>
        <v>Safe</v>
      </c>
      <c r="V1762" t="str">
        <f>IF(SeismicData[[#This Row],[shift]]="W","Production","Non-Production")</f>
        <v>Non-Production</v>
      </c>
      <c r="W1762" t="str">
        <f>IF(SeismicData[[#This Row],[genergy]]=0,"0","10^"&amp;INT(LOG10(SeismicData[[#This Row],[genergy]])))</f>
        <v>10^4</v>
      </c>
      <c r="X1762" t="str">
        <f>IF(OR(SeismicData[[#This Row],[genergy]]&lt;$AA$6,SeismicData[[#This Row],[genergy]]&gt;$AA$5),"Outlier","Normal")</f>
        <v>Normal</v>
      </c>
    </row>
    <row r="1763" spans="1:24" x14ac:dyDescent="0.15">
      <c r="A1763">
        <v>1762</v>
      </c>
      <c r="B1763" t="s">
        <v>20</v>
      </c>
      <c r="C1763" t="s">
        <v>20</v>
      </c>
      <c r="D1763" t="s">
        <v>21</v>
      </c>
      <c r="E1763">
        <v>7290</v>
      </c>
      <c r="F1763">
        <v>185</v>
      </c>
      <c r="G1763">
        <v>-20</v>
      </c>
      <c r="H1763">
        <v>0</v>
      </c>
      <c r="I1763" t="s">
        <v>20</v>
      </c>
      <c r="J1763">
        <v>0</v>
      </c>
      <c r="K1763">
        <v>0</v>
      </c>
      <c r="L1763">
        <v>0</v>
      </c>
      <c r="M1763">
        <v>0</v>
      </c>
      <c r="N1763">
        <v>0</v>
      </c>
      <c r="O1763">
        <v>0</v>
      </c>
      <c r="P1763">
        <v>0</v>
      </c>
      <c r="Q1763">
        <v>0</v>
      </c>
      <c r="R1763">
        <v>0</v>
      </c>
      <c r="S1763">
        <v>0</v>
      </c>
      <c r="T1763">
        <v>1</v>
      </c>
      <c r="U1763" t="str">
        <f>IF(SeismicData[[#This Row],[class]]=1,"Dangerous","Safe")</f>
        <v>Dangerous</v>
      </c>
      <c r="V1763" t="str">
        <f>IF(SeismicData[[#This Row],[shift]]="W","Production","Non-Production")</f>
        <v>Non-Production</v>
      </c>
      <c r="W1763" t="str">
        <f>IF(SeismicData[[#This Row],[genergy]]=0,"0","10^"&amp;INT(LOG10(SeismicData[[#This Row],[genergy]])))</f>
        <v>10^3</v>
      </c>
      <c r="X1763" t="str">
        <f>IF(OR(SeismicData[[#This Row],[genergy]]&lt;$AA$6,SeismicData[[#This Row],[genergy]]&gt;$AA$5),"Outlier","Normal")</f>
        <v>Normal</v>
      </c>
    </row>
    <row r="1764" spans="1:24" x14ac:dyDescent="0.15">
      <c r="A1764">
        <v>1763</v>
      </c>
      <c r="B1764" t="s">
        <v>20</v>
      </c>
      <c r="C1764" t="s">
        <v>20</v>
      </c>
      <c r="D1764" t="s">
        <v>21</v>
      </c>
      <c r="E1764">
        <v>9030</v>
      </c>
      <c r="F1764">
        <v>342</v>
      </c>
      <c r="G1764">
        <v>-14</v>
      </c>
      <c r="H1764">
        <v>-8</v>
      </c>
      <c r="I1764" t="s">
        <v>20</v>
      </c>
      <c r="J1764">
        <v>1</v>
      </c>
      <c r="K1764">
        <v>0</v>
      </c>
      <c r="L1764">
        <v>0</v>
      </c>
      <c r="M1764">
        <v>1</v>
      </c>
      <c r="N1764">
        <v>0</v>
      </c>
      <c r="O1764">
        <v>0</v>
      </c>
      <c r="P1764">
        <v>0</v>
      </c>
      <c r="Q1764">
        <v>0</v>
      </c>
      <c r="R1764">
        <v>80000</v>
      </c>
      <c r="S1764">
        <v>80000</v>
      </c>
      <c r="T1764">
        <v>0</v>
      </c>
      <c r="U1764" t="str">
        <f>IF(SeismicData[[#This Row],[class]]=1,"Dangerous","Safe")</f>
        <v>Safe</v>
      </c>
      <c r="V1764" t="str">
        <f>IF(SeismicData[[#This Row],[shift]]="W","Production","Non-Production")</f>
        <v>Non-Production</v>
      </c>
      <c r="W1764" t="str">
        <f>IF(SeismicData[[#This Row],[genergy]]=0,"0","10^"&amp;INT(LOG10(SeismicData[[#This Row],[genergy]])))</f>
        <v>10^3</v>
      </c>
      <c r="X1764" t="str">
        <f>IF(OR(SeismicData[[#This Row],[genergy]]&lt;$AA$6,SeismicData[[#This Row],[genergy]]&gt;$AA$5),"Outlier","Normal")</f>
        <v>Normal</v>
      </c>
    </row>
    <row r="1765" spans="1:24" x14ac:dyDescent="0.15">
      <c r="A1765">
        <v>1764</v>
      </c>
      <c r="B1765" t="s">
        <v>20</v>
      </c>
      <c r="C1765" t="s">
        <v>20</v>
      </c>
      <c r="D1765" t="s">
        <v>21</v>
      </c>
      <c r="E1765">
        <v>3380</v>
      </c>
      <c r="F1765">
        <v>262</v>
      </c>
      <c r="G1765">
        <v>-68</v>
      </c>
      <c r="H1765">
        <v>-30</v>
      </c>
      <c r="I1765" t="s">
        <v>20</v>
      </c>
      <c r="J1765">
        <v>0</v>
      </c>
      <c r="K1765">
        <v>0</v>
      </c>
      <c r="L1765">
        <v>0</v>
      </c>
      <c r="M1765">
        <v>0</v>
      </c>
      <c r="N1765">
        <v>0</v>
      </c>
      <c r="O1765">
        <v>0</v>
      </c>
      <c r="P1765">
        <v>0</v>
      </c>
      <c r="Q1765">
        <v>0</v>
      </c>
      <c r="R1765">
        <v>0</v>
      </c>
      <c r="S1765">
        <v>0</v>
      </c>
      <c r="T1765">
        <v>0</v>
      </c>
      <c r="U1765" t="str">
        <f>IF(SeismicData[[#This Row],[class]]=1,"Dangerous","Safe")</f>
        <v>Safe</v>
      </c>
      <c r="V1765" t="str">
        <f>IF(SeismicData[[#This Row],[shift]]="W","Production","Non-Production")</f>
        <v>Non-Production</v>
      </c>
      <c r="W1765" t="str">
        <f>IF(SeismicData[[#This Row],[genergy]]=0,"0","10^"&amp;INT(LOG10(SeismicData[[#This Row],[genergy]])))</f>
        <v>10^3</v>
      </c>
      <c r="X1765" t="str">
        <f>IF(OR(SeismicData[[#This Row],[genergy]]&lt;$AA$6,SeismicData[[#This Row],[genergy]]&gt;$AA$5),"Outlier","Normal")</f>
        <v>Normal</v>
      </c>
    </row>
    <row r="1766" spans="1:24" x14ac:dyDescent="0.15">
      <c r="A1766">
        <v>1765</v>
      </c>
      <c r="B1766" t="s">
        <v>20</v>
      </c>
      <c r="C1766" t="s">
        <v>20</v>
      </c>
      <c r="D1766" t="s">
        <v>21</v>
      </c>
      <c r="E1766">
        <v>5180</v>
      </c>
      <c r="F1766">
        <v>167</v>
      </c>
      <c r="G1766">
        <v>-43</v>
      </c>
      <c r="H1766">
        <v>-10</v>
      </c>
      <c r="I1766" t="s">
        <v>20</v>
      </c>
      <c r="J1766">
        <v>0</v>
      </c>
      <c r="K1766">
        <v>0</v>
      </c>
      <c r="L1766">
        <v>0</v>
      </c>
      <c r="M1766">
        <v>0</v>
      </c>
      <c r="N1766">
        <v>0</v>
      </c>
      <c r="O1766">
        <v>0</v>
      </c>
      <c r="P1766">
        <v>0</v>
      </c>
      <c r="Q1766">
        <v>0</v>
      </c>
      <c r="R1766">
        <v>0</v>
      </c>
      <c r="S1766">
        <v>0</v>
      </c>
      <c r="T1766">
        <v>0</v>
      </c>
      <c r="U1766" t="str">
        <f>IF(SeismicData[[#This Row],[class]]=1,"Dangerous","Safe")</f>
        <v>Safe</v>
      </c>
      <c r="V1766" t="str">
        <f>IF(SeismicData[[#This Row],[shift]]="W","Production","Non-Production")</f>
        <v>Non-Production</v>
      </c>
      <c r="W1766" t="str">
        <f>IF(SeismicData[[#This Row],[genergy]]=0,"0","10^"&amp;INT(LOG10(SeismicData[[#This Row],[genergy]])))</f>
        <v>10^3</v>
      </c>
      <c r="X1766" t="str">
        <f>IF(OR(SeismicData[[#This Row],[genergy]]&lt;$AA$6,SeismicData[[#This Row],[genergy]]&gt;$AA$5),"Outlier","Normal")</f>
        <v>Normal</v>
      </c>
    </row>
    <row r="1767" spans="1:24" x14ac:dyDescent="0.15">
      <c r="A1767">
        <v>1766</v>
      </c>
      <c r="B1767" t="s">
        <v>20</v>
      </c>
      <c r="C1767" t="s">
        <v>20</v>
      </c>
      <c r="D1767" t="s">
        <v>21</v>
      </c>
      <c r="E1767">
        <v>10300</v>
      </c>
      <c r="F1767">
        <v>144</v>
      </c>
      <c r="G1767">
        <v>13</v>
      </c>
      <c r="H1767">
        <v>-22</v>
      </c>
      <c r="I1767" t="s">
        <v>20</v>
      </c>
      <c r="J1767">
        <v>0</v>
      </c>
      <c r="K1767">
        <v>0</v>
      </c>
      <c r="L1767">
        <v>0</v>
      </c>
      <c r="M1767">
        <v>0</v>
      </c>
      <c r="N1767">
        <v>0</v>
      </c>
      <c r="O1767">
        <v>0</v>
      </c>
      <c r="P1767">
        <v>0</v>
      </c>
      <c r="Q1767">
        <v>0</v>
      </c>
      <c r="R1767">
        <v>0</v>
      </c>
      <c r="S1767">
        <v>0</v>
      </c>
      <c r="T1767">
        <v>0</v>
      </c>
      <c r="U1767" t="str">
        <f>IF(SeismicData[[#This Row],[class]]=1,"Dangerous","Safe")</f>
        <v>Safe</v>
      </c>
      <c r="V1767" t="str">
        <f>IF(SeismicData[[#This Row],[shift]]="W","Production","Non-Production")</f>
        <v>Non-Production</v>
      </c>
      <c r="W1767" t="str">
        <f>IF(SeismicData[[#This Row],[genergy]]=0,"0","10^"&amp;INT(LOG10(SeismicData[[#This Row],[genergy]])))</f>
        <v>10^4</v>
      </c>
      <c r="X1767" t="str">
        <f>IF(OR(SeismicData[[#This Row],[genergy]]&lt;$AA$6,SeismicData[[#This Row],[genergy]]&gt;$AA$5),"Outlier","Normal")</f>
        <v>Normal</v>
      </c>
    </row>
    <row r="1768" spans="1:24" x14ac:dyDescent="0.15">
      <c r="A1768">
        <v>1767</v>
      </c>
      <c r="B1768" t="s">
        <v>23</v>
      </c>
      <c r="C1768" t="s">
        <v>20</v>
      </c>
      <c r="D1768" t="s">
        <v>21</v>
      </c>
      <c r="E1768">
        <v>5350</v>
      </c>
      <c r="F1768">
        <v>162</v>
      </c>
      <c r="G1768">
        <v>-49</v>
      </c>
      <c r="H1768">
        <v>-57</v>
      </c>
      <c r="I1768" t="s">
        <v>20</v>
      </c>
      <c r="J1768">
        <v>0</v>
      </c>
      <c r="K1768">
        <v>0</v>
      </c>
      <c r="L1768">
        <v>0</v>
      </c>
      <c r="M1768">
        <v>0</v>
      </c>
      <c r="N1768">
        <v>0</v>
      </c>
      <c r="O1768">
        <v>0</v>
      </c>
      <c r="P1768">
        <v>0</v>
      </c>
      <c r="Q1768">
        <v>0</v>
      </c>
      <c r="R1768">
        <v>0</v>
      </c>
      <c r="S1768">
        <v>0</v>
      </c>
      <c r="T1768">
        <v>0</v>
      </c>
      <c r="U1768" t="str">
        <f>IF(SeismicData[[#This Row],[class]]=1,"Dangerous","Safe")</f>
        <v>Safe</v>
      </c>
      <c r="V1768" t="str">
        <f>IF(SeismicData[[#This Row],[shift]]="W","Production","Non-Production")</f>
        <v>Non-Production</v>
      </c>
      <c r="W1768" t="str">
        <f>IF(SeismicData[[#This Row],[genergy]]=0,"0","10^"&amp;INT(LOG10(SeismicData[[#This Row],[genergy]])))</f>
        <v>10^3</v>
      </c>
      <c r="X1768" t="str">
        <f>IF(OR(SeismicData[[#This Row],[genergy]]&lt;$AA$6,SeismicData[[#This Row],[genergy]]&gt;$AA$5),"Outlier","Normal")</f>
        <v>Normal</v>
      </c>
    </row>
    <row r="1769" spans="1:24" x14ac:dyDescent="0.15">
      <c r="A1769">
        <v>1768</v>
      </c>
      <c r="B1769" t="s">
        <v>23</v>
      </c>
      <c r="C1769" t="s">
        <v>20</v>
      </c>
      <c r="D1769" t="s">
        <v>21</v>
      </c>
      <c r="E1769">
        <v>5520</v>
      </c>
      <c r="F1769">
        <v>171</v>
      </c>
      <c r="G1769">
        <v>-38</v>
      </c>
      <c r="H1769">
        <v>-8</v>
      </c>
      <c r="I1769" t="s">
        <v>20</v>
      </c>
      <c r="J1769">
        <v>0</v>
      </c>
      <c r="K1769">
        <v>0</v>
      </c>
      <c r="L1769">
        <v>0</v>
      </c>
      <c r="M1769">
        <v>0</v>
      </c>
      <c r="N1769">
        <v>0</v>
      </c>
      <c r="O1769">
        <v>0</v>
      </c>
      <c r="P1769">
        <v>0</v>
      </c>
      <c r="Q1769">
        <v>0</v>
      </c>
      <c r="R1769">
        <v>0</v>
      </c>
      <c r="S1769">
        <v>0</v>
      </c>
      <c r="T1769">
        <v>0</v>
      </c>
      <c r="U1769" t="str">
        <f>IF(SeismicData[[#This Row],[class]]=1,"Dangerous","Safe")</f>
        <v>Safe</v>
      </c>
      <c r="V1769" t="str">
        <f>IF(SeismicData[[#This Row],[shift]]="W","Production","Non-Production")</f>
        <v>Non-Production</v>
      </c>
      <c r="W1769" t="str">
        <f>IF(SeismicData[[#This Row],[genergy]]=0,"0","10^"&amp;INT(LOG10(SeismicData[[#This Row],[genergy]])))</f>
        <v>10^3</v>
      </c>
      <c r="X1769" t="str">
        <f>IF(OR(SeismicData[[#This Row],[genergy]]&lt;$AA$6,SeismicData[[#This Row],[genergy]]&gt;$AA$5),"Outlier","Normal")</f>
        <v>Normal</v>
      </c>
    </row>
    <row r="1770" spans="1:24" x14ac:dyDescent="0.15">
      <c r="A1770">
        <v>1769</v>
      </c>
      <c r="B1770" t="s">
        <v>23</v>
      </c>
      <c r="C1770" t="s">
        <v>20</v>
      </c>
      <c r="D1770" t="s">
        <v>21</v>
      </c>
      <c r="E1770">
        <v>7300</v>
      </c>
      <c r="F1770">
        <v>159</v>
      </c>
      <c r="G1770">
        <v>210</v>
      </c>
      <c r="H1770">
        <v>83</v>
      </c>
      <c r="I1770" t="s">
        <v>20</v>
      </c>
      <c r="J1770">
        <v>0</v>
      </c>
      <c r="K1770">
        <v>0</v>
      </c>
      <c r="L1770">
        <v>0</v>
      </c>
      <c r="M1770">
        <v>0</v>
      </c>
      <c r="N1770">
        <v>0</v>
      </c>
      <c r="O1770">
        <v>0</v>
      </c>
      <c r="P1770">
        <v>0</v>
      </c>
      <c r="Q1770">
        <v>0</v>
      </c>
      <c r="R1770">
        <v>0</v>
      </c>
      <c r="S1770">
        <v>0</v>
      </c>
      <c r="T1770">
        <v>0</v>
      </c>
      <c r="U1770" t="str">
        <f>IF(SeismicData[[#This Row],[class]]=1,"Dangerous","Safe")</f>
        <v>Safe</v>
      </c>
      <c r="V1770" t="str">
        <f>IF(SeismicData[[#This Row],[shift]]="W","Production","Non-Production")</f>
        <v>Non-Production</v>
      </c>
      <c r="W1770" t="str">
        <f>IF(SeismicData[[#This Row],[genergy]]=0,"0","10^"&amp;INT(LOG10(SeismicData[[#This Row],[genergy]])))</f>
        <v>10^3</v>
      </c>
      <c r="X1770" t="str">
        <f>IF(OR(SeismicData[[#This Row],[genergy]]&lt;$AA$6,SeismicData[[#This Row],[genergy]]&gt;$AA$5),"Outlier","Normal")</f>
        <v>Normal</v>
      </c>
    </row>
    <row r="1771" spans="1:24" x14ac:dyDescent="0.15">
      <c r="A1771">
        <v>1770</v>
      </c>
      <c r="B1771" t="s">
        <v>23</v>
      </c>
      <c r="C1771" t="s">
        <v>20</v>
      </c>
      <c r="D1771" t="s">
        <v>21</v>
      </c>
      <c r="E1771">
        <v>7510</v>
      </c>
      <c r="F1771">
        <v>141</v>
      </c>
      <c r="G1771">
        <v>-15</v>
      </c>
      <c r="H1771">
        <v>-24</v>
      </c>
      <c r="I1771" t="s">
        <v>20</v>
      </c>
      <c r="J1771">
        <v>0</v>
      </c>
      <c r="K1771">
        <v>0</v>
      </c>
      <c r="L1771">
        <v>0</v>
      </c>
      <c r="M1771">
        <v>0</v>
      </c>
      <c r="N1771">
        <v>0</v>
      </c>
      <c r="O1771">
        <v>0</v>
      </c>
      <c r="P1771">
        <v>0</v>
      </c>
      <c r="Q1771">
        <v>0</v>
      </c>
      <c r="R1771">
        <v>0</v>
      </c>
      <c r="S1771">
        <v>0</v>
      </c>
      <c r="T1771">
        <v>0</v>
      </c>
      <c r="U1771" t="str">
        <f>IF(SeismicData[[#This Row],[class]]=1,"Dangerous","Safe")</f>
        <v>Safe</v>
      </c>
      <c r="V1771" t="str">
        <f>IF(SeismicData[[#This Row],[shift]]="W","Production","Non-Production")</f>
        <v>Non-Production</v>
      </c>
      <c r="W1771" t="str">
        <f>IF(SeismicData[[#This Row],[genergy]]=0,"0","10^"&amp;INT(LOG10(SeismicData[[#This Row],[genergy]])))</f>
        <v>10^3</v>
      </c>
      <c r="X1771" t="str">
        <f>IF(OR(SeismicData[[#This Row],[genergy]]&lt;$AA$6,SeismicData[[#This Row],[genergy]]&gt;$AA$5),"Outlier","Normal")</f>
        <v>Normal</v>
      </c>
    </row>
    <row r="1772" spans="1:24" x14ac:dyDescent="0.15">
      <c r="A1772">
        <v>1771</v>
      </c>
      <c r="B1772" t="s">
        <v>23</v>
      </c>
      <c r="C1772" t="s">
        <v>20</v>
      </c>
      <c r="D1772" t="s">
        <v>21</v>
      </c>
      <c r="E1772">
        <v>4340</v>
      </c>
      <c r="F1772">
        <v>129</v>
      </c>
      <c r="G1772">
        <v>-51</v>
      </c>
      <c r="H1772">
        <v>-31</v>
      </c>
      <c r="I1772" t="s">
        <v>20</v>
      </c>
      <c r="J1772">
        <v>0</v>
      </c>
      <c r="K1772">
        <v>0</v>
      </c>
      <c r="L1772">
        <v>0</v>
      </c>
      <c r="M1772">
        <v>0</v>
      </c>
      <c r="N1772">
        <v>0</v>
      </c>
      <c r="O1772">
        <v>0</v>
      </c>
      <c r="P1772">
        <v>0</v>
      </c>
      <c r="Q1772">
        <v>0</v>
      </c>
      <c r="R1772">
        <v>0</v>
      </c>
      <c r="S1772">
        <v>0</v>
      </c>
      <c r="T1772">
        <v>0</v>
      </c>
      <c r="U1772" t="str">
        <f>IF(SeismicData[[#This Row],[class]]=1,"Dangerous","Safe")</f>
        <v>Safe</v>
      </c>
      <c r="V1772" t="str">
        <f>IF(SeismicData[[#This Row],[shift]]="W","Production","Non-Production")</f>
        <v>Non-Production</v>
      </c>
      <c r="W1772" t="str">
        <f>IF(SeismicData[[#This Row],[genergy]]=0,"0","10^"&amp;INT(LOG10(SeismicData[[#This Row],[genergy]])))</f>
        <v>10^3</v>
      </c>
      <c r="X1772" t="str">
        <f>IF(OR(SeismicData[[#This Row],[genergy]]&lt;$AA$6,SeismicData[[#This Row],[genergy]]&gt;$AA$5),"Outlier","Normal")</f>
        <v>Normal</v>
      </c>
    </row>
    <row r="1773" spans="1:24" x14ac:dyDescent="0.15">
      <c r="A1773">
        <v>1772</v>
      </c>
      <c r="B1773" t="s">
        <v>23</v>
      </c>
      <c r="C1773" t="s">
        <v>20</v>
      </c>
      <c r="D1773" t="s">
        <v>21</v>
      </c>
      <c r="E1773">
        <v>6850</v>
      </c>
      <c r="F1773">
        <v>355</v>
      </c>
      <c r="G1773">
        <v>191</v>
      </c>
      <c r="H1773">
        <v>309</v>
      </c>
      <c r="I1773" t="s">
        <v>23</v>
      </c>
      <c r="J1773">
        <v>0</v>
      </c>
      <c r="K1773">
        <v>0</v>
      </c>
      <c r="L1773">
        <v>0</v>
      </c>
      <c r="M1773">
        <v>0</v>
      </c>
      <c r="N1773">
        <v>0</v>
      </c>
      <c r="O1773">
        <v>0</v>
      </c>
      <c r="P1773">
        <v>0</v>
      </c>
      <c r="Q1773">
        <v>0</v>
      </c>
      <c r="R1773">
        <v>0</v>
      </c>
      <c r="S1773">
        <v>0</v>
      </c>
      <c r="T1773">
        <v>0</v>
      </c>
      <c r="U1773" t="str">
        <f>IF(SeismicData[[#This Row],[class]]=1,"Dangerous","Safe")</f>
        <v>Safe</v>
      </c>
      <c r="V1773" t="str">
        <f>IF(SeismicData[[#This Row],[shift]]="W","Production","Non-Production")</f>
        <v>Non-Production</v>
      </c>
      <c r="W1773" t="str">
        <f>IF(SeismicData[[#This Row],[genergy]]=0,"0","10^"&amp;INT(LOG10(SeismicData[[#This Row],[genergy]])))</f>
        <v>10^3</v>
      </c>
      <c r="X1773" t="str">
        <f>IF(OR(SeismicData[[#This Row],[genergy]]&lt;$AA$6,SeismicData[[#This Row],[genergy]]&gt;$AA$5),"Outlier","Normal")</f>
        <v>Normal</v>
      </c>
    </row>
    <row r="1774" spans="1:24" x14ac:dyDescent="0.15">
      <c r="A1774">
        <v>1773</v>
      </c>
      <c r="B1774" t="s">
        <v>23</v>
      </c>
      <c r="C1774" t="s">
        <v>20</v>
      </c>
      <c r="D1774" t="s">
        <v>21</v>
      </c>
      <c r="E1774">
        <v>8880</v>
      </c>
      <c r="F1774">
        <v>112</v>
      </c>
      <c r="G1774">
        <v>-15</v>
      </c>
      <c r="H1774">
        <v>-71</v>
      </c>
      <c r="I1774" t="s">
        <v>20</v>
      </c>
      <c r="J1774">
        <v>1</v>
      </c>
      <c r="K1774">
        <v>0</v>
      </c>
      <c r="L1774">
        <v>1</v>
      </c>
      <c r="M1774">
        <v>0</v>
      </c>
      <c r="N1774">
        <v>0</v>
      </c>
      <c r="O1774">
        <v>0</v>
      </c>
      <c r="P1774">
        <v>0</v>
      </c>
      <c r="Q1774">
        <v>0</v>
      </c>
      <c r="R1774">
        <v>7000</v>
      </c>
      <c r="S1774">
        <v>7000</v>
      </c>
      <c r="T1774">
        <v>0</v>
      </c>
      <c r="U1774" t="str">
        <f>IF(SeismicData[[#This Row],[class]]=1,"Dangerous","Safe")</f>
        <v>Safe</v>
      </c>
      <c r="V1774" t="str">
        <f>IF(SeismicData[[#This Row],[shift]]="W","Production","Non-Production")</f>
        <v>Non-Production</v>
      </c>
      <c r="W1774" t="str">
        <f>IF(SeismicData[[#This Row],[genergy]]=0,"0","10^"&amp;INT(LOG10(SeismicData[[#This Row],[genergy]])))</f>
        <v>10^3</v>
      </c>
      <c r="X1774" t="str">
        <f>IF(OR(SeismicData[[#This Row],[genergy]]&lt;$AA$6,SeismicData[[#This Row],[genergy]]&gt;$AA$5),"Outlier","Normal")</f>
        <v>Normal</v>
      </c>
    </row>
    <row r="1775" spans="1:24" x14ac:dyDescent="0.15">
      <c r="A1775">
        <v>1774</v>
      </c>
      <c r="B1775" t="s">
        <v>23</v>
      </c>
      <c r="C1775" t="s">
        <v>20</v>
      </c>
      <c r="D1775" t="s">
        <v>21</v>
      </c>
      <c r="E1775">
        <v>3270</v>
      </c>
      <c r="F1775">
        <v>118</v>
      </c>
      <c r="G1775">
        <v>-69</v>
      </c>
      <c r="H1775">
        <v>-69</v>
      </c>
      <c r="I1775" t="s">
        <v>20</v>
      </c>
      <c r="J1775">
        <v>0</v>
      </c>
      <c r="K1775">
        <v>0</v>
      </c>
      <c r="L1775">
        <v>0</v>
      </c>
      <c r="M1775">
        <v>0</v>
      </c>
      <c r="N1775">
        <v>0</v>
      </c>
      <c r="O1775">
        <v>0</v>
      </c>
      <c r="P1775">
        <v>0</v>
      </c>
      <c r="Q1775">
        <v>0</v>
      </c>
      <c r="R1775">
        <v>0</v>
      </c>
      <c r="S1775">
        <v>0</v>
      </c>
      <c r="T1775">
        <v>0</v>
      </c>
      <c r="U1775" t="str">
        <f>IF(SeismicData[[#This Row],[class]]=1,"Dangerous","Safe")</f>
        <v>Safe</v>
      </c>
      <c r="V1775" t="str">
        <f>IF(SeismicData[[#This Row],[shift]]="W","Production","Non-Production")</f>
        <v>Non-Production</v>
      </c>
      <c r="W1775" t="str">
        <f>IF(SeismicData[[#This Row],[genergy]]=0,"0","10^"&amp;INT(LOG10(SeismicData[[#This Row],[genergy]])))</f>
        <v>10^3</v>
      </c>
      <c r="X1775" t="str">
        <f>IF(OR(SeismicData[[#This Row],[genergy]]&lt;$AA$6,SeismicData[[#This Row],[genergy]]&gt;$AA$5),"Outlier","Normal")</f>
        <v>Normal</v>
      </c>
    </row>
    <row r="1776" spans="1:24" x14ac:dyDescent="0.15">
      <c r="A1776">
        <v>1775</v>
      </c>
      <c r="B1776" t="s">
        <v>23</v>
      </c>
      <c r="C1776" t="s">
        <v>20</v>
      </c>
      <c r="D1776" t="s">
        <v>21</v>
      </c>
      <c r="E1776">
        <v>2940</v>
      </c>
      <c r="F1776">
        <v>123</v>
      </c>
      <c r="G1776">
        <v>-72</v>
      </c>
      <c r="H1776">
        <v>-68</v>
      </c>
      <c r="I1776" t="s">
        <v>20</v>
      </c>
      <c r="J1776">
        <v>0</v>
      </c>
      <c r="K1776">
        <v>0</v>
      </c>
      <c r="L1776">
        <v>0</v>
      </c>
      <c r="M1776">
        <v>0</v>
      </c>
      <c r="N1776">
        <v>0</v>
      </c>
      <c r="O1776">
        <v>0</v>
      </c>
      <c r="P1776">
        <v>0</v>
      </c>
      <c r="Q1776">
        <v>0</v>
      </c>
      <c r="R1776">
        <v>0</v>
      </c>
      <c r="S1776">
        <v>0</v>
      </c>
      <c r="T1776">
        <v>0</v>
      </c>
      <c r="U1776" t="str">
        <f>IF(SeismicData[[#This Row],[class]]=1,"Dangerous","Safe")</f>
        <v>Safe</v>
      </c>
      <c r="V1776" t="str">
        <f>IF(SeismicData[[#This Row],[shift]]="W","Production","Non-Production")</f>
        <v>Non-Production</v>
      </c>
      <c r="W1776" t="str">
        <f>IF(SeismicData[[#This Row],[genergy]]=0,"0","10^"&amp;INT(LOG10(SeismicData[[#This Row],[genergy]])))</f>
        <v>10^3</v>
      </c>
      <c r="X1776" t="str">
        <f>IF(OR(SeismicData[[#This Row],[genergy]]&lt;$AA$6,SeismicData[[#This Row],[genergy]]&gt;$AA$5),"Outlier","Normal")</f>
        <v>Normal</v>
      </c>
    </row>
    <row r="1777" spans="1:24" x14ac:dyDescent="0.15">
      <c r="A1777">
        <v>1776</v>
      </c>
      <c r="B1777" t="s">
        <v>23</v>
      </c>
      <c r="C1777" t="s">
        <v>20</v>
      </c>
      <c r="D1777" t="s">
        <v>21</v>
      </c>
      <c r="E1777">
        <v>3610</v>
      </c>
      <c r="F1777">
        <v>107</v>
      </c>
      <c r="G1777">
        <v>-65</v>
      </c>
      <c r="H1777">
        <v>-72</v>
      </c>
      <c r="I1777" t="s">
        <v>20</v>
      </c>
      <c r="J1777">
        <v>0</v>
      </c>
      <c r="K1777">
        <v>0</v>
      </c>
      <c r="L1777">
        <v>0</v>
      </c>
      <c r="M1777">
        <v>0</v>
      </c>
      <c r="N1777">
        <v>0</v>
      </c>
      <c r="O1777">
        <v>0</v>
      </c>
      <c r="P1777">
        <v>0</v>
      </c>
      <c r="Q1777">
        <v>0</v>
      </c>
      <c r="R1777">
        <v>0</v>
      </c>
      <c r="S1777">
        <v>0</v>
      </c>
      <c r="T1777">
        <v>0</v>
      </c>
      <c r="U1777" t="str">
        <f>IF(SeismicData[[#This Row],[class]]=1,"Dangerous","Safe")</f>
        <v>Safe</v>
      </c>
      <c r="V1777" t="str">
        <f>IF(SeismicData[[#This Row],[shift]]="W","Production","Non-Production")</f>
        <v>Non-Production</v>
      </c>
      <c r="W1777" t="str">
        <f>IF(SeismicData[[#This Row],[genergy]]=0,"0","10^"&amp;INT(LOG10(SeismicData[[#This Row],[genergy]])))</f>
        <v>10^3</v>
      </c>
      <c r="X1777" t="str">
        <f>IF(OR(SeismicData[[#This Row],[genergy]]&lt;$AA$6,SeismicData[[#This Row],[genergy]]&gt;$AA$5),"Outlier","Normal")</f>
        <v>Normal</v>
      </c>
    </row>
    <row r="1778" spans="1:24" x14ac:dyDescent="0.15">
      <c r="A1778">
        <v>1777</v>
      </c>
      <c r="B1778" t="s">
        <v>23</v>
      </c>
      <c r="C1778" t="s">
        <v>20</v>
      </c>
      <c r="D1778" t="s">
        <v>21</v>
      </c>
      <c r="E1778">
        <v>6450</v>
      </c>
      <c r="F1778">
        <v>112</v>
      </c>
      <c r="G1778">
        <v>-38</v>
      </c>
      <c r="H1778">
        <v>-71</v>
      </c>
      <c r="I1778" t="s">
        <v>20</v>
      </c>
      <c r="J1778">
        <v>0</v>
      </c>
      <c r="K1778">
        <v>0</v>
      </c>
      <c r="L1778">
        <v>0</v>
      </c>
      <c r="M1778">
        <v>0</v>
      </c>
      <c r="N1778">
        <v>0</v>
      </c>
      <c r="O1778">
        <v>0</v>
      </c>
      <c r="P1778">
        <v>0</v>
      </c>
      <c r="Q1778">
        <v>0</v>
      </c>
      <c r="R1778">
        <v>0</v>
      </c>
      <c r="S1778">
        <v>0</v>
      </c>
      <c r="T1778">
        <v>0</v>
      </c>
      <c r="U1778" t="str">
        <f>IF(SeismicData[[#This Row],[class]]=1,"Dangerous","Safe")</f>
        <v>Safe</v>
      </c>
      <c r="V1778" t="str">
        <f>IF(SeismicData[[#This Row],[shift]]="W","Production","Non-Production")</f>
        <v>Non-Production</v>
      </c>
      <c r="W1778" t="str">
        <f>IF(SeismicData[[#This Row],[genergy]]=0,"0","10^"&amp;INT(LOG10(SeismicData[[#This Row],[genergy]])))</f>
        <v>10^3</v>
      </c>
      <c r="X1778" t="str">
        <f>IF(OR(SeismicData[[#This Row],[genergy]]&lt;$AA$6,SeismicData[[#This Row],[genergy]]&gt;$AA$5),"Outlier","Normal")</f>
        <v>Normal</v>
      </c>
    </row>
    <row r="1779" spans="1:24" x14ac:dyDescent="0.15">
      <c r="A1779">
        <v>1778</v>
      </c>
      <c r="B1779" t="s">
        <v>23</v>
      </c>
      <c r="C1779" t="s">
        <v>20</v>
      </c>
      <c r="D1779" t="s">
        <v>22</v>
      </c>
      <c r="E1779">
        <v>9360</v>
      </c>
      <c r="F1779">
        <v>157</v>
      </c>
      <c r="G1779">
        <v>-69</v>
      </c>
      <c r="H1779">
        <v>-68</v>
      </c>
      <c r="I1779" t="s">
        <v>20</v>
      </c>
      <c r="J1779">
        <v>0</v>
      </c>
      <c r="K1779">
        <v>0</v>
      </c>
      <c r="L1779">
        <v>0</v>
      </c>
      <c r="M1779">
        <v>0</v>
      </c>
      <c r="N1779">
        <v>0</v>
      </c>
      <c r="O1779">
        <v>0</v>
      </c>
      <c r="P1779">
        <v>0</v>
      </c>
      <c r="Q1779">
        <v>0</v>
      </c>
      <c r="R1779">
        <v>0</v>
      </c>
      <c r="S1779">
        <v>0</v>
      </c>
      <c r="T1779">
        <v>0</v>
      </c>
      <c r="U1779" t="str">
        <f>IF(SeismicData[[#This Row],[class]]=1,"Dangerous","Safe")</f>
        <v>Safe</v>
      </c>
      <c r="V1779" t="str">
        <f>IF(SeismicData[[#This Row],[shift]]="W","Production","Non-Production")</f>
        <v>Production</v>
      </c>
      <c r="W1779" t="str">
        <f>IF(SeismicData[[#This Row],[genergy]]=0,"0","10^"&amp;INT(LOG10(SeismicData[[#This Row],[genergy]])))</f>
        <v>10^3</v>
      </c>
      <c r="X1779" t="str">
        <f>IF(OR(SeismicData[[#This Row],[genergy]]&lt;$AA$6,SeismicData[[#This Row],[genergy]]&gt;$AA$5),"Outlier","Normal")</f>
        <v>Normal</v>
      </c>
    </row>
    <row r="1780" spans="1:24" x14ac:dyDescent="0.15">
      <c r="A1780">
        <v>1779</v>
      </c>
      <c r="B1780" t="s">
        <v>23</v>
      </c>
      <c r="C1780" t="s">
        <v>20</v>
      </c>
      <c r="D1780" t="s">
        <v>21</v>
      </c>
      <c r="E1780">
        <v>8980</v>
      </c>
      <c r="F1780">
        <v>189</v>
      </c>
      <c r="G1780">
        <v>-14</v>
      </c>
      <c r="H1780">
        <v>-50</v>
      </c>
      <c r="I1780" t="s">
        <v>20</v>
      </c>
      <c r="J1780">
        <v>0</v>
      </c>
      <c r="K1780">
        <v>0</v>
      </c>
      <c r="L1780">
        <v>0</v>
      </c>
      <c r="M1780">
        <v>0</v>
      </c>
      <c r="N1780">
        <v>0</v>
      </c>
      <c r="O1780">
        <v>0</v>
      </c>
      <c r="P1780">
        <v>0</v>
      </c>
      <c r="Q1780">
        <v>0</v>
      </c>
      <c r="R1780">
        <v>0</v>
      </c>
      <c r="S1780">
        <v>0</v>
      </c>
      <c r="T1780">
        <v>0</v>
      </c>
      <c r="U1780" t="str">
        <f>IF(SeismicData[[#This Row],[class]]=1,"Dangerous","Safe")</f>
        <v>Safe</v>
      </c>
      <c r="V1780" t="str">
        <f>IF(SeismicData[[#This Row],[shift]]="W","Production","Non-Production")</f>
        <v>Non-Production</v>
      </c>
      <c r="W1780" t="str">
        <f>IF(SeismicData[[#This Row],[genergy]]=0,"0","10^"&amp;INT(LOG10(SeismicData[[#This Row],[genergy]])))</f>
        <v>10^3</v>
      </c>
      <c r="X1780" t="str">
        <f>IF(OR(SeismicData[[#This Row],[genergy]]&lt;$AA$6,SeismicData[[#This Row],[genergy]]&gt;$AA$5),"Outlier","Normal")</f>
        <v>Normal</v>
      </c>
    </row>
    <row r="1781" spans="1:24" x14ac:dyDescent="0.15">
      <c r="A1781">
        <v>1780</v>
      </c>
      <c r="B1781" t="s">
        <v>23</v>
      </c>
      <c r="C1781" t="s">
        <v>20</v>
      </c>
      <c r="D1781" t="s">
        <v>21</v>
      </c>
      <c r="E1781">
        <v>9340</v>
      </c>
      <c r="F1781">
        <v>153</v>
      </c>
      <c r="G1781">
        <v>-10</v>
      </c>
      <c r="H1781">
        <v>-60</v>
      </c>
      <c r="I1781" t="s">
        <v>20</v>
      </c>
      <c r="J1781">
        <v>0</v>
      </c>
      <c r="K1781">
        <v>0</v>
      </c>
      <c r="L1781">
        <v>0</v>
      </c>
      <c r="M1781">
        <v>0</v>
      </c>
      <c r="N1781">
        <v>0</v>
      </c>
      <c r="O1781">
        <v>0</v>
      </c>
      <c r="P1781">
        <v>0</v>
      </c>
      <c r="Q1781">
        <v>0</v>
      </c>
      <c r="R1781">
        <v>0</v>
      </c>
      <c r="S1781">
        <v>0</v>
      </c>
      <c r="T1781">
        <v>0</v>
      </c>
      <c r="U1781" t="str">
        <f>IF(SeismicData[[#This Row],[class]]=1,"Dangerous","Safe")</f>
        <v>Safe</v>
      </c>
      <c r="V1781" t="str">
        <f>IF(SeismicData[[#This Row],[shift]]="W","Production","Non-Production")</f>
        <v>Non-Production</v>
      </c>
      <c r="W1781" t="str">
        <f>IF(SeismicData[[#This Row],[genergy]]=0,"0","10^"&amp;INT(LOG10(SeismicData[[#This Row],[genergy]])))</f>
        <v>10^3</v>
      </c>
      <c r="X1781" t="str">
        <f>IF(OR(SeismicData[[#This Row],[genergy]]&lt;$AA$6,SeismicData[[#This Row],[genergy]]&gt;$AA$5),"Outlier","Normal")</f>
        <v>Normal</v>
      </c>
    </row>
    <row r="1782" spans="1:24" x14ac:dyDescent="0.15">
      <c r="A1782">
        <v>1781</v>
      </c>
      <c r="B1782" t="s">
        <v>23</v>
      </c>
      <c r="C1782" t="s">
        <v>20</v>
      </c>
      <c r="D1782" t="s">
        <v>21</v>
      </c>
      <c r="E1782">
        <v>9680</v>
      </c>
      <c r="F1782">
        <v>210</v>
      </c>
      <c r="G1782">
        <v>-7</v>
      </c>
      <c r="H1782">
        <v>-45</v>
      </c>
      <c r="I1782" t="s">
        <v>20</v>
      </c>
      <c r="J1782">
        <v>0</v>
      </c>
      <c r="K1782">
        <v>0</v>
      </c>
      <c r="L1782">
        <v>0</v>
      </c>
      <c r="M1782">
        <v>0</v>
      </c>
      <c r="N1782">
        <v>0</v>
      </c>
      <c r="O1782">
        <v>0</v>
      </c>
      <c r="P1782">
        <v>0</v>
      </c>
      <c r="Q1782">
        <v>0</v>
      </c>
      <c r="R1782">
        <v>0</v>
      </c>
      <c r="S1782">
        <v>0</v>
      </c>
      <c r="T1782">
        <v>0</v>
      </c>
      <c r="U1782" t="str">
        <f>IF(SeismicData[[#This Row],[class]]=1,"Dangerous","Safe")</f>
        <v>Safe</v>
      </c>
      <c r="V1782" t="str">
        <f>IF(SeismicData[[#This Row],[shift]]="W","Production","Non-Production")</f>
        <v>Non-Production</v>
      </c>
      <c r="W1782" t="str">
        <f>IF(SeismicData[[#This Row],[genergy]]=0,"0","10^"&amp;INT(LOG10(SeismicData[[#This Row],[genergy]])))</f>
        <v>10^3</v>
      </c>
      <c r="X1782" t="str">
        <f>IF(OR(SeismicData[[#This Row],[genergy]]&lt;$AA$6,SeismicData[[#This Row],[genergy]]&gt;$AA$5),"Outlier","Normal")</f>
        <v>Normal</v>
      </c>
    </row>
    <row r="1783" spans="1:24" x14ac:dyDescent="0.15">
      <c r="A1783">
        <v>1782</v>
      </c>
      <c r="B1783" t="s">
        <v>23</v>
      </c>
      <c r="C1783" t="s">
        <v>20</v>
      </c>
      <c r="D1783" t="s">
        <v>21</v>
      </c>
      <c r="E1783">
        <v>26510</v>
      </c>
      <c r="F1783">
        <v>445</v>
      </c>
      <c r="G1783">
        <v>155</v>
      </c>
      <c r="H1783">
        <v>17</v>
      </c>
      <c r="I1783" t="s">
        <v>20</v>
      </c>
      <c r="J1783">
        <v>1</v>
      </c>
      <c r="K1783">
        <v>1</v>
      </c>
      <c r="L1783">
        <v>0</v>
      </c>
      <c r="M1783">
        <v>0</v>
      </c>
      <c r="N1783">
        <v>0</v>
      </c>
      <c r="O1783">
        <v>0</v>
      </c>
      <c r="P1783">
        <v>0</v>
      </c>
      <c r="Q1783">
        <v>0</v>
      </c>
      <c r="R1783">
        <v>900</v>
      </c>
      <c r="S1783">
        <v>900</v>
      </c>
      <c r="T1783">
        <v>0</v>
      </c>
      <c r="U1783" t="str">
        <f>IF(SeismicData[[#This Row],[class]]=1,"Dangerous","Safe")</f>
        <v>Safe</v>
      </c>
      <c r="V1783" t="str">
        <f>IF(SeismicData[[#This Row],[shift]]="W","Production","Non-Production")</f>
        <v>Non-Production</v>
      </c>
      <c r="W1783" t="str">
        <f>IF(SeismicData[[#This Row],[genergy]]=0,"0","10^"&amp;INT(LOG10(SeismicData[[#This Row],[genergy]])))</f>
        <v>10^4</v>
      </c>
      <c r="X1783" t="str">
        <f>IF(OR(SeismicData[[#This Row],[genergy]]&lt;$AA$6,SeismicData[[#This Row],[genergy]]&gt;$AA$5),"Outlier","Normal")</f>
        <v>Normal</v>
      </c>
    </row>
    <row r="1784" spans="1:24" x14ac:dyDescent="0.15">
      <c r="A1784">
        <v>1783</v>
      </c>
      <c r="B1784" t="s">
        <v>23</v>
      </c>
      <c r="C1784" t="s">
        <v>20</v>
      </c>
      <c r="D1784" t="s">
        <v>22</v>
      </c>
      <c r="E1784">
        <v>34120</v>
      </c>
      <c r="F1784">
        <v>519</v>
      </c>
      <c r="G1784">
        <v>14</v>
      </c>
      <c r="H1784">
        <v>5</v>
      </c>
      <c r="I1784" t="s">
        <v>20</v>
      </c>
      <c r="J1784">
        <v>1</v>
      </c>
      <c r="K1784">
        <v>1</v>
      </c>
      <c r="L1784">
        <v>0</v>
      </c>
      <c r="M1784">
        <v>0</v>
      </c>
      <c r="N1784">
        <v>0</v>
      </c>
      <c r="O1784">
        <v>0</v>
      </c>
      <c r="P1784">
        <v>0</v>
      </c>
      <c r="Q1784">
        <v>0</v>
      </c>
      <c r="R1784">
        <v>400</v>
      </c>
      <c r="S1784">
        <v>400</v>
      </c>
      <c r="T1784">
        <v>0</v>
      </c>
      <c r="U1784" t="str">
        <f>IF(SeismicData[[#This Row],[class]]=1,"Dangerous","Safe")</f>
        <v>Safe</v>
      </c>
      <c r="V1784" t="str">
        <f>IF(SeismicData[[#This Row],[shift]]="W","Production","Non-Production")</f>
        <v>Production</v>
      </c>
      <c r="W1784" t="str">
        <f>IF(SeismicData[[#This Row],[genergy]]=0,"0","10^"&amp;INT(LOG10(SeismicData[[#This Row],[genergy]])))</f>
        <v>10^4</v>
      </c>
      <c r="X1784" t="str">
        <f>IF(OR(SeismicData[[#This Row],[genergy]]&lt;$AA$6,SeismicData[[#This Row],[genergy]]&gt;$AA$5),"Outlier","Normal")</f>
        <v>Normal</v>
      </c>
    </row>
    <row r="1785" spans="1:24" x14ac:dyDescent="0.15">
      <c r="A1785">
        <v>1784</v>
      </c>
      <c r="B1785" t="s">
        <v>23</v>
      </c>
      <c r="C1785" t="s">
        <v>20</v>
      </c>
      <c r="D1785" t="s">
        <v>22</v>
      </c>
      <c r="E1785">
        <v>37340</v>
      </c>
      <c r="F1785">
        <v>683</v>
      </c>
      <c r="G1785">
        <v>25</v>
      </c>
      <c r="H1785">
        <v>38</v>
      </c>
      <c r="I1785" t="s">
        <v>20</v>
      </c>
      <c r="J1785">
        <v>0</v>
      </c>
      <c r="K1785">
        <v>0</v>
      </c>
      <c r="L1785">
        <v>0</v>
      </c>
      <c r="M1785">
        <v>0</v>
      </c>
      <c r="N1785">
        <v>0</v>
      </c>
      <c r="O1785">
        <v>0</v>
      </c>
      <c r="P1785">
        <v>0</v>
      </c>
      <c r="Q1785">
        <v>0</v>
      </c>
      <c r="R1785">
        <v>0</v>
      </c>
      <c r="S1785">
        <v>0</v>
      </c>
      <c r="T1785">
        <v>0</v>
      </c>
      <c r="U1785" t="str">
        <f>IF(SeismicData[[#This Row],[class]]=1,"Dangerous","Safe")</f>
        <v>Safe</v>
      </c>
      <c r="V1785" t="str">
        <f>IF(SeismicData[[#This Row],[shift]]="W","Production","Non-Production")</f>
        <v>Production</v>
      </c>
      <c r="W1785" t="str">
        <f>IF(SeismicData[[#This Row],[genergy]]=0,"0","10^"&amp;INT(LOG10(SeismicData[[#This Row],[genergy]])))</f>
        <v>10^4</v>
      </c>
      <c r="X1785" t="str">
        <f>IF(OR(SeismicData[[#This Row],[genergy]]&lt;$AA$6,SeismicData[[#This Row],[genergy]]&gt;$AA$5),"Outlier","Normal")</f>
        <v>Normal</v>
      </c>
    </row>
    <row r="1786" spans="1:24" x14ac:dyDescent="0.15">
      <c r="A1786">
        <v>1785</v>
      </c>
      <c r="B1786" t="s">
        <v>23</v>
      </c>
      <c r="C1786" t="s">
        <v>20</v>
      </c>
      <c r="D1786" t="s">
        <v>22</v>
      </c>
      <c r="E1786">
        <v>25550</v>
      </c>
      <c r="F1786">
        <v>451</v>
      </c>
      <c r="G1786">
        <v>-8</v>
      </c>
      <c r="H1786">
        <v>-47</v>
      </c>
      <c r="I1786" t="s">
        <v>20</v>
      </c>
      <c r="J1786">
        <v>0</v>
      </c>
      <c r="K1786">
        <v>0</v>
      </c>
      <c r="L1786">
        <v>0</v>
      </c>
      <c r="M1786">
        <v>0</v>
      </c>
      <c r="N1786">
        <v>0</v>
      </c>
      <c r="O1786">
        <v>0</v>
      </c>
      <c r="P1786">
        <v>0</v>
      </c>
      <c r="Q1786">
        <v>0</v>
      </c>
      <c r="R1786">
        <v>0</v>
      </c>
      <c r="S1786">
        <v>0</v>
      </c>
      <c r="T1786">
        <v>0</v>
      </c>
      <c r="U1786" t="str">
        <f>IF(SeismicData[[#This Row],[class]]=1,"Dangerous","Safe")</f>
        <v>Safe</v>
      </c>
      <c r="V1786" t="str">
        <f>IF(SeismicData[[#This Row],[shift]]="W","Production","Non-Production")</f>
        <v>Production</v>
      </c>
      <c r="W1786" t="str">
        <f>IF(SeismicData[[#This Row],[genergy]]=0,"0","10^"&amp;INT(LOG10(SeismicData[[#This Row],[genergy]])))</f>
        <v>10^4</v>
      </c>
      <c r="X1786" t="str">
        <f>IF(OR(SeismicData[[#This Row],[genergy]]&lt;$AA$6,SeismicData[[#This Row],[genergy]]&gt;$AA$5),"Outlier","Normal")</f>
        <v>Normal</v>
      </c>
    </row>
    <row r="1787" spans="1:24" x14ac:dyDescent="0.15">
      <c r="A1787">
        <v>1786</v>
      </c>
      <c r="B1787" t="s">
        <v>23</v>
      </c>
      <c r="C1787" t="s">
        <v>20</v>
      </c>
      <c r="D1787" t="s">
        <v>22</v>
      </c>
      <c r="E1787">
        <v>58850</v>
      </c>
      <c r="F1787">
        <v>679</v>
      </c>
      <c r="G1787">
        <v>113</v>
      </c>
      <c r="H1787">
        <v>-20</v>
      </c>
      <c r="I1787" t="s">
        <v>20</v>
      </c>
      <c r="J1787">
        <v>3</v>
      </c>
      <c r="K1787">
        <v>3</v>
      </c>
      <c r="L1787">
        <v>0</v>
      </c>
      <c r="M1787">
        <v>0</v>
      </c>
      <c r="N1787">
        <v>0</v>
      </c>
      <c r="O1787">
        <v>0</v>
      </c>
      <c r="P1787">
        <v>0</v>
      </c>
      <c r="Q1787">
        <v>0</v>
      </c>
      <c r="R1787">
        <v>1300</v>
      </c>
      <c r="S1787">
        <v>800</v>
      </c>
      <c r="T1787">
        <v>1</v>
      </c>
      <c r="U1787" t="str">
        <f>IF(SeismicData[[#This Row],[class]]=1,"Dangerous","Safe")</f>
        <v>Dangerous</v>
      </c>
      <c r="V1787" t="str">
        <f>IF(SeismicData[[#This Row],[shift]]="W","Production","Non-Production")</f>
        <v>Production</v>
      </c>
      <c r="W1787" t="str">
        <f>IF(SeismicData[[#This Row],[genergy]]=0,"0","10^"&amp;INT(LOG10(SeismicData[[#This Row],[genergy]])))</f>
        <v>10^4</v>
      </c>
      <c r="X1787" t="str">
        <f>IF(OR(SeismicData[[#This Row],[genergy]]&lt;$AA$6,SeismicData[[#This Row],[genergy]]&gt;$AA$5),"Outlier","Normal")</f>
        <v>Normal</v>
      </c>
    </row>
    <row r="1788" spans="1:24" x14ac:dyDescent="0.15">
      <c r="A1788">
        <v>1787</v>
      </c>
      <c r="B1788" t="s">
        <v>23</v>
      </c>
      <c r="C1788" t="s">
        <v>20</v>
      </c>
      <c r="D1788" t="s">
        <v>22</v>
      </c>
      <c r="E1788">
        <v>42330</v>
      </c>
      <c r="F1788">
        <v>661</v>
      </c>
      <c r="G1788">
        <v>53</v>
      </c>
      <c r="H1788">
        <v>-22</v>
      </c>
      <c r="I1788" t="s">
        <v>20</v>
      </c>
      <c r="J1788">
        <v>1</v>
      </c>
      <c r="K1788">
        <v>0</v>
      </c>
      <c r="L1788">
        <v>0</v>
      </c>
      <c r="M1788">
        <v>1</v>
      </c>
      <c r="N1788">
        <v>0</v>
      </c>
      <c r="O1788">
        <v>0</v>
      </c>
      <c r="P1788">
        <v>0</v>
      </c>
      <c r="Q1788">
        <v>0</v>
      </c>
      <c r="R1788">
        <v>20000</v>
      </c>
      <c r="S1788">
        <v>20000</v>
      </c>
      <c r="T1788">
        <v>0</v>
      </c>
      <c r="U1788" t="str">
        <f>IF(SeismicData[[#This Row],[class]]=1,"Dangerous","Safe")</f>
        <v>Safe</v>
      </c>
      <c r="V1788" t="str">
        <f>IF(SeismicData[[#This Row],[shift]]="W","Production","Non-Production")</f>
        <v>Production</v>
      </c>
      <c r="W1788" t="str">
        <f>IF(SeismicData[[#This Row],[genergy]]=0,"0","10^"&amp;INT(LOG10(SeismicData[[#This Row],[genergy]])))</f>
        <v>10^4</v>
      </c>
      <c r="X1788" t="str">
        <f>IF(OR(SeismicData[[#This Row],[genergy]]&lt;$AA$6,SeismicData[[#This Row],[genergy]]&gt;$AA$5),"Outlier","Normal")</f>
        <v>Normal</v>
      </c>
    </row>
    <row r="1789" spans="1:24" x14ac:dyDescent="0.15">
      <c r="A1789">
        <v>1788</v>
      </c>
      <c r="B1789" t="s">
        <v>23</v>
      </c>
      <c r="C1789" t="s">
        <v>20</v>
      </c>
      <c r="D1789" t="s">
        <v>22</v>
      </c>
      <c r="E1789">
        <v>53990</v>
      </c>
      <c r="F1789">
        <v>718</v>
      </c>
      <c r="G1789">
        <v>80</v>
      </c>
      <c r="H1789">
        <v>45</v>
      </c>
      <c r="I1789" t="s">
        <v>20</v>
      </c>
      <c r="J1789">
        <v>1</v>
      </c>
      <c r="K1789">
        <v>0</v>
      </c>
      <c r="L1789">
        <v>1</v>
      </c>
      <c r="M1789">
        <v>0</v>
      </c>
      <c r="N1789">
        <v>0</v>
      </c>
      <c r="O1789">
        <v>0</v>
      </c>
      <c r="P1789">
        <v>0</v>
      </c>
      <c r="Q1789">
        <v>0</v>
      </c>
      <c r="R1789">
        <v>4000</v>
      </c>
      <c r="S1789">
        <v>4000</v>
      </c>
      <c r="T1789">
        <v>0</v>
      </c>
      <c r="U1789" t="str">
        <f>IF(SeismicData[[#This Row],[class]]=1,"Dangerous","Safe")</f>
        <v>Safe</v>
      </c>
      <c r="V1789" t="str">
        <f>IF(SeismicData[[#This Row],[shift]]="W","Production","Non-Production")</f>
        <v>Production</v>
      </c>
      <c r="W1789" t="str">
        <f>IF(SeismicData[[#This Row],[genergy]]=0,"0","10^"&amp;INT(LOG10(SeismicData[[#This Row],[genergy]])))</f>
        <v>10^4</v>
      </c>
      <c r="X1789" t="str">
        <f>IF(OR(SeismicData[[#This Row],[genergy]]&lt;$AA$6,SeismicData[[#This Row],[genergy]]&gt;$AA$5),"Outlier","Normal")</f>
        <v>Normal</v>
      </c>
    </row>
    <row r="1790" spans="1:24" x14ac:dyDescent="0.15">
      <c r="A1790">
        <v>1789</v>
      </c>
      <c r="B1790" t="s">
        <v>23</v>
      </c>
      <c r="C1790" t="s">
        <v>20</v>
      </c>
      <c r="D1790" t="s">
        <v>22</v>
      </c>
      <c r="E1790">
        <v>18470</v>
      </c>
      <c r="F1790">
        <v>505</v>
      </c>
      <c r="G1790">
        <v>-38</v>
      </c>
      <c r="H1790">
        <v>2</v>
      </c>
      <c r="I1790" t="s">
        <v>20</v>
      </c>
      <c r="J1790">
        <v>0</v>
      </c>
      <c r="K1790">
        <v>0</v>
      </c>
      <c r="L1790">
        <v>0</v>
      </c>
      <c r="M1790">
        <v>0</v>
      </c>
      <c r="N1790">
        <v>0</v>
      </c>
      <c r="O1790">
        <v>0</v>
      </c>
      <c r="P1790">
        <v>0</v>
      </c>
      <c r="Q1790">
        <v>0</v>
      </c>
      <c r="R1790">
        <v>0</v>
      </c>
      <c r="S1790">
        <v>0</v>
      </c>
      <c r="T1790">
        <v>0</v>
      </c>
      <c r="U1790" t="str">
        <f>IF(SeismicData[[#This Row],[class]]=1,"Dangerous","Safe")</f>
        <v>Safe</v>
      </c>
      <c r="V1790" t="str">
        <f>IF(SeismicData[[#This Row],[shift]]="W","Production","Non-Production")</f>
        <v>Production</v>
      </c>
      <c r="W1790" t="str">
        <f>IF(SeismicData[[#This Row],[genergy]]=0,"0","10^"&amp;INT(LOG10(SeismicData[[#This Row],[genergy]])))</f>
        <v>10^4</v>
      </c>
      <c r="X1790" t="str">
        <f>IF(OR(SeismicData[[#This Row],[genergy]]&lt;$AA$6,SeismicData[[#This Row],[genergy]]&gt;$AA$5),"Outlier","Normal")</f>
        <v>Normal</v>
      </c>
    </row>
    <row r="1791" spans="1:24" x14ac:dyDescent="0.15">
      <c r="A1791">
        <v>1790</v>
      </c>
      <c r="B1791" t="s">
        <v>23</v>
      </c>
      <c r="C1791" t="s">
        <v>20</v>
      </c>
      <c r="D1791" t="s">
        <v>22</v>
      </c>
      <c r="E1791">
        <v>12870</v>
      </c>
      <c r="F1791">
        <v>364</v>
      </c>
      <c r="G1791">
        <v>-57</v>
      </c>
      <c r="H1791">
        <v>-26</v>
      </c>
      <c r="I1791" t="s">
        <v>20</v>
      </c>
      <c r="J1791">
        <v>0</v>
      </c>
      <c r="K1791">
        <v>0</v>
      </c>
      <c r="L1791">
        <v>0</v>
      </c>
      <c r="M1791">
        <v>0</v>
      </c>
      <c r="N1791">
        <v>0</v>
      </c>
      <c r="O1791">
        <v>0</v>
      </c>
      <c r="P1791">
        <v>0</v>
      </c>
      <c r="Q1791">
        <v>0</v>
      </c>
      <c r="R1791">
        <v>0</v>
      </c>
      <c r="S1791">
        <v>0</v>
      </c>
      <c r="T1791">
        <v>0</v>
      </c>
      <c r="U1791" t="str">
        <f>IF(SeismicData[[#This Row],[class]]=1,"Dangerous","Safe")</f>
        <v>Safe</v>
      </c>
      <c r="V1791" t="str">
        <f>IF(SeismicData[[#This Row],[shift]]="W","Production","Non-Production")</f>
        <v>Production</v>
      </c>
      <c r="W1791" t="str">
        <f>IF(SeismicData[[#This Row],[genergy]]=0,"0","10^"&amp;INT(LOG10(SeismicData[[#This Row],[genergy]])))</f>
        <v>10^4</v>
      </c>
      <c r="X1791" t="str">
        <f>IF(OR(SeismicData[[#This Row],[genergy]]&lt;$AA$6,SeismicData[[#This Row],[genergy]]&gt;$AA$5),"Outlier","Normal")</f>
        <v>Normal</v>
      </c>
    </row>
    <row r="1792" spans="1:24" x14ac:dyDescent="0.15">
      <c r="A1792">
        <v>1791</v>
      </c>
      <c r="B1792" t="s">
        <v>23</v>
      </c>
      <c r="C1792" t="s">
        <v>20</v>
      </c>
      <c r="D1792" t="s">
        <v>22</v>
      </c>
      <c r="E1792">
        <v>26300</v>
      </c>
      <c r="F1792">
        <v>520</v>
      </c>
      <c r="G1792">
        <v>-9</v>
      </c>
      <c r="H1792">
        <v>6</v>
      </c>
      <c r="I1792" t="s">
        <v>20</v>
      </c>
      <c r="J1792">
        <v>1</v>
      </c>
      <c r="K1792">
        <v>0</v>
      </c>
      <c r="L1792">
        <v>1</v>
      </c>
      <c r="M1792">
        <v>0</v>
      </c>
      <c r="N1792">
        <v>0</v>
      </c>
      <c r="O1792">
        <v>0</v>
      </c>
      <c r="P1792">
        <v>0</v>
      </c>
      <c r="Q1792">
        <v>0</v>
      </c>
      <c r="R1792">
        <v>7000</v>
      </c>
      <c r="S1792">
        <v>7000</v>
      </c>
      <c r="T1792">
        <v>0</v>
      </c>
      <c r="U1792" t="str">
        <f>IF(SeismicData[[#This Row],[class]]=1,"Dangerous","Safe")</f>
        <v>Safe</v>
      </c>
      <c r="V1792" t="str">
        <f>IF(SeismicData[[#This Row],[shift]]="W","Production","Non-Production")</f>
        <v>Production</v>
      </c>
      <c r="W1792" t="str">
        <f>IF(SeismicData[[#This Row],[genergy]]=0,"0","10^"&amp;INT(LOG10(SeismicData[[#This Row],[genergy]])))</f>
        <v>10^4</v>
      </c>
      <c r="X1792" t="str">
        <f>IF(OR(SeismicData[[#This Row],[genergy]]&lt;$AA$6,SeismicData[[#This Row],[genergy]]&gt;$AA$5),"Outlier","Normal")</f>
        <v>Normal</v>
      </c>
    </row>
    <row r="1793" spans="1:24" x14ac:dyDescent="0.15">
      <c r="A1793">
        <v>1792</v>
      </c>
      <c r="B1793" t="s">
        <v>23</v>
      </c>
      <c r="C1793" t="s">
        <v>20</v>
      </c>
      <c r="D1793" t="s">
        <v>22</v>
      </c>
      <c r="E1793">
        <v>36530</v>
      </c>
      <c r="F1793">
        <v>700</v>
      </c>
      <c r="G1793">
        <v>27</v>
      </c>
      <c r="H1793">
        <v>42</v>
      </c>
      <c r="I1793" t="s">
        <v>20</v>
      </c>
      <c r="J1793">
        <v>0</v>
      </c>
      <c r="K1793">
        <v>0</v>
      </c>
      <c r="L1793">
        <v>0</v>
      </c>
      <c r="M1793">
        <v>0</v>
      </c>
      <c r="N1793">
        <v>0</v>
      </c>
      <c r="O1793">
        <v>0</v>
      </c>
      <c r="P1793">
        <v>0</v>
      </c>
      <c r="Q1793">
        <v>0</v>
      </c>
      <c r="R1793">
        <v>0</v>
      </c>
      <c r="S1793">
        <v>0</v>
      </c>
      <c r="T1793">
        <v>0</v>
      </c>
      <c r="U1793" t="str">
        <f>IF(SeismicData[[#This Row],[class]]=1,"Dangerous","Safe")</f>
        <v>Safe</v>
      </c>
      <c r="V1793" t="str">
        <f>IF(SeismicData[[#This Row],[shift]]="W","Production","Non-Production")</f>
        <v>Production</v>
      </c>
      <c r="W1793" t="str">
        <f>IF(SeismicData[[#This Row],[genergy]]=0,"0","10^"&amp;INT(LOG10(SeismicData[[#This Row],[genergy]])))</f>
        <v>10^4</v>
      </c>
      <c r="X1793" t="str">
        <f>IF(OR(SeismicData[[#This Row],[genergy]]&lt;$AA$6,SeismicData[[#This Row],[genergy]]&gt;$AA$5),"Outlier","Normal")</f>
        <v>Normal</v>
      </c>
    </row>
    <row r="1794" spans="1:24" x14ac:dyDescent="0.15">
      <c r="A1794">
        <v>1793</v>
      </c>
      <c r="B1794" t="s">
        <v>23</v>
      </c>
      <c r="C1794" t="s">
        <v>20</v>
      </c>
      <c r="D1794" t="s">
        <v>22</v>
      </c>
      <c r="E1794">
        <v>71730</v>
      </c>
      <c r="F1794">
        <v>1093</v>
      </c>
      <c r="G1794">
        <v>149</v>
      </c>
      <c r="H1794">
        <v>122</v>
      </c>
      <c r="I1794" t="s">
        <v>20</v>
      </c>
      <c r="J1794">
        <v>0</v>
      </c>
      <c r="K1794">
        <v>0</v>
      </c>
      <c r="L1794">
        <v>0</v>
      </c>
      <c r="M1794">
        <v>0</v>
      </c>
      <c r="N1794">
        <v>0</v>
      </c>
      <c r="O1794">
        <v>0</v>
      </c>
      <c r="P1794">
        <v>0</v>
      </c>
      <c r="Q1794">
        <v>0</v>
      </c>
      <c r="R1794">
        <v>0</v>
      </c>
      <c r="S1794">
        <v>0</v>
      </c>
      <c r="T1794">
        <v>0</v>
      </c>
      <c r="U1794" t="str">
        <f>IF(SeismicData[[#This Row],[class]]=1,"Dangerous","Safe")</f>
        <v>Safe</v>
      </c>
      <c r="V1794" t="str">
        <f>IF(SeismicData[[#This Row],[shift]]="W","Production","Non-Production")</f>
        <v>Production</v>
      </c>
      <c r="W1794" t="str">
        <f>IF(SeismicData[[#This Row],[genergy]]=0,"0","10^"&amp;INT(LOG10(SeismicData[[#This Row],[genergy]])))</f>
        <v>10^4</v>
      </c>
      <c r="X1794" t="str">
        <f>IF(OR(SeismicData[[#This Row],[genergy]]&lt;$AA$6,SeismicData[[#This Row],[genergy]]&gt;$AA$5),"Outlier","Normal")</f>
        <v>Normal</v>
      </c>
    </row>
    <row r="1795" spans="1:24" x14ac:dyDescent="0.15">
      <c r="A1795">
        <v>1794</v>
      </c>
      <c r="B1795" t="s">
        <v>23</v>
      </c>
      <c r="C1795" t="s">
        <v>20</v>
      </c>
      <c r="D1795" t="s">
        <v>22</v>
      </c>
      <c r="E1795">
        <v>34490</v>
      </c>
      <c r="F1795">
        <v>594</v>
      </c>
      <c r="G1795">
        <v>20</v>
      </c>
      <c r="H1795">
        <v>21</v>
      </c>
      <c r="I1795" t="s">
        <v>20</v>
      </c>
      <c r="J1795">
        <v>0</v>
      </c>
      <c r="K1795">
        <v>0</v>
      </c>
      <c r="L1795">
        <v>0</v>
      </c>
      <c r="M1795">
        <v>0</v>
      </c>
      <c r="N1795">
        <v>0</v>
      </c>
      <c r="O1795">
        <v>0</v>
      </c>
      <c r="P1795">
        <v>0</v>
      </c>
      <c r="Q1795">
        <v>0</v>
      </c>
      <c r="R1795">
        <v>0</v>
      </c>
      <c r="S1795">
        <v>0</v>
      </c>
      <c r="T1795">
        <v>0</v>
      </c>
      <c r="U1795" t="str">
        <f>IF(SeismicData[[#This Row],[class]]=1,"Dangerous","Safe")</f>
        <v>Safe</v>
      </c>
      <c r="V1795" t="str">
        <f>IF(SeismicData[[#This Row],[shift]]="W","Production","Non-Production")</f>
        <v>Production</v>
      </c>
      <c r="W1795" t="str">
        <f>IF(SeismicData[[#This Row],[genergy]]=0,"0","10^"&amp;INT(LOG10(SeismicData[[#This Row],[genergy]])))</f>
        <v>10^4</v>
      </c>
      <c r="X1795" t="str">
        <f>IF(OR(SeismicData[[#This Row],[genergy]]&lt;$AA$6,SeismicData[[#This Row],[genergy]]&gt;$AA$5),"Outlier","Normal")</f>
        <v>Normal</v>
      </c>
    </row>
    <row r="1796" spans="1:24" x14ac:dyDescent="0.15">
      <c r="A1796">
        <v>1795</v>
      </c>
      <c r="B1796" t="s">
        <v>23</v>
      </c>
      <c r="C1796" t="s">
        <v>20</v>
      </c>
      <c r="D1796" t="s">
        <v>22</v>
      </c>
      <c r="E1796">
        <v>14390</v>
      </c>
      <c r="F1796">
        <v>455</v>
      </c>
      <c r="G1796">
        <v>-50</v>
      </c>
      <c r="H1796">
        <v>-8</v>
      </c>
      <c r="I1796" t="s">
        <v>20</v>
      </c>
      <c r="J1796">
        <v>1</v>
      </c>
      <c r="K1796">
        <v>0</v>
      </c>
      <c r="L1796">
        <v>1</v>
      </c>
      <c r="M1796">
        <v>0</v>
      </c>
      <c r="N1796">
        <v>0</v>
      </c>
      <c r="O1796">
        <v>0</v>
      </c>
      <c r="P1796">
        <v>0</v>
      </c>
      <c r="Q1796">
        <v>0</v>
      </c>
      <c r="R1796">
        <v>1000</v>
      </c>
      <c r="S1796">
        <v>1000</v>
      </c>
      <c r="T1796">
        <v>0</v>
      </c>
      <c r="U1796" t="str">
        <f>IF(SeismicData[[#This Row],[class]]=1,"Dangerous","Safe")</f>
        <v>Safe</v>
      </c>
      <c r="V1796" t="str">
        <f>IF(SeismicData[[#This Row],[shift]]="W","Production","Non-Production")</f>
        <v>Production</v>
      </c>
      <c r="W1796" t="str">
        <f>IF(SeismicData[[#This Row],[genergy]]=0,"0","10^"&amp;INT(LOG10(SeismicData[[#This Row],[genergy]])))</f>
        <v>10^4</v>
      </c>
      <c r="X1796" t="str">
        <f>IF(OR(SeismicData[[#This Row],[genergy]]&lt;$AA$6,SeismicData[[#This Row],[genergy]]&gt;$AA$5),"Outlier","Normal")</f>
        <v>Normal</v>
      </c>
    </row>
    <row r="1797" spans="1:24" x14ac:dyDescent="0.15">
      <c r="A1797">
        <v>1796</v>
      </c>
      <c r="B1797" t="s">
        <v>23</v>
      </c>
      <c r="C1797" t="s">
        <v>20</v>
      </c>
      <c r="D1797" t="s">
        <v>22</v>
      </c>
      <c r="E1797">
        <v>53700</v>
      </c>
      <c r="F1797">
        <v>573</v>
      </c>
      <c r="G1797">
        <v>87</v>
      </c>
      <c r="H1797">
        <v>16</v>
      </c>
      <c r="I1797" t="s">
        <v>20</v>
      </c>
      <c r="J1797">
        <v>0</v>
      </c>
      <c r="K1797">
        <v>0</v>
      </c>
      <c r="L1797">
        <v>0</v>
      </c>
      <c r="M1797">
        <v>0</v>
      </c>
      <c r="N1797">
        <v>0</v>
      </c>
      <c r="O1797">
        <v>0</v>
      </c>
      <c r="P1797">
        <v>0</v>
      </c>
      <c r="Q1797">
        <v>0</v>
      </c>
      <c r="R1797">
        <v>0</v>
      </c>
      <c r="S1797">
        <v>0</v>
      </c>
      <c r="T1797">
        <v>0</v>
      </c>
      <c r="U1797" t="str">
        <f>IF(SeismicData[[#This Row],[class]]=1,"Dangerous","Safe")</f>
        <v>Safe</v>
      </c>
      <c r="V1797" t="str">
        <f>IF(SeismicData[[#This Row],[shift]]="W","Production","Non-Production")</f>
        <v>Production</v>
      </c>
      <c r="W1797" t="str">
        <f>IF(SeismicData[[#This Row],[genergy]]=0,"0","10^"&amp;INT(LOG10(SeismicData[[#This Row],[genergy]])))</f>
        <v>10^4</v>
      </c>
      <c r="X1797" t="str">
        <f>IF(OR(SeismicData[[#This Row],[genergy]]&lt;$AA$6,SeismicData[[#This Row],[genergy]]&gt;$AA$5),"Outlier","Normal")</f>
        <v>Normal</v>
      </c>
    </row>
    <row r="1798" spans="1:24" x14ac:dyDescent="0.15">
      <c r="A1798">
        <v>1797</v>
      </c>
      <c r="B1798" t="s">
        <v>23</v>
      </c>
      <c r="C1798" t="s">
        <v>20</v>
      </c>
      <c r="D1798" t="s">
        <v>22</v>
      </c>
      <c r="E1798">
        <v>70980</v>
      </c>
      <c r="F1798">
        <v>1157</v>
      </c>
      <c r="G1798">
        <v>161</v>
      </c>
      <c r="H1798">
        <v>37</v>
      </c>
      <c r="I1798" t="s">
        <v>20</v>
      </c>
      <c r="J1798">
        <v>2</v>
      </c>
      <c r="K1798">
        <v>0</v>
      </c>
      <c r="L1798">
        <v>2</v>
      </c>
      <c r="M1798">
        <v>0</v>
      </c>
      <c r="N1798">
        <v>0</v>
      </c>
      <c r="O1798">
        <v>0</v>
      </c>
      <c r="P1798">
        <v>0</v>
      </c>
      <c r="Q1798">
        <v>0</v>
      </c>
      <c r="R1798">
        <v>10000</v>
      </c>
      <c r="S1798">
        <v>6000</v>
      </c>
      <c r="T1798">
        <v>0</v>
      </c>
      <c r="U1798" t="str">
        <f>IF(SeismicData[[#This Row],[class]]=1,"Dangerous","Safe")</f>
        <v>Safe</v>
      </c>
      <c r="V1798" t="str">
        <f>IF(SeismicData[[#This Row],[shift]]="W","Production","Non-Production")</f>
        <v>Production</v>
      </c>
      <c r="W1798" t="str">
        <f>IF(SeismicData[[#This Row],[genergy]]=0,"0","10^"&amp;INT(LOG10(SeismicData[[#This Row],[genergy]])))</f>
        <v>10^4</v>
      </c>
      <c r="X1798" t="str">
        <f>IF(OR(SeismicData[[#This Row],[genergy]]&lt;$AA$6,SeismicData[[#This Row],[genergy]]&gt;$AA$5),"Outlier","Normal")</f>
        <v>Normal</v>
      </c>
    </row>
    <row r="1799" spans="1:24" x14ac:dyDescent="0.15">
      <c r="A1799">
        <v>1798</v>
      </c>
      <c r="B1799" t="s">
        <v>23</v>
      </c>
      <c r="C1799" t="s">
        <v>20</v>
      </c>
      <c r="D1799" t="s">
        <v>21</v>
      </c>
      <c r="E1799">
        <v>35440</v>
      </c>
      <c r="F1799">
        <v>930</v>
      </c>
      <c r="G1799">
        <v>304</v>
      </c>
      <c r="H1799">
        <v>384</v>
      </c>
      <c r="I1799" t="s">
        <v>23</v>
      </c>
      <c r="J1799">
        <v>0</v>
      </c>
      <c r="K1799">
        <v>0</v>
      </c>
      <c r="L1799">
        <v>0</v>
      </c>
      <c r="M1799">
        <v>0</v>
      </c>
      <c r="N1799">
        <v>0</v>
      </c>
      <c r="O1799">
        <v>0</v>
      </c>
      <c r="P1799">
        <v>0</v>
      </c>
      <c r="Q1799">
        <v>0</v>
      </c>
      <c r="R1799">
        <v>0</v>
      </c>
      <c r="S1799">
        <v>0</v>
      </c>
      <c r="T1799">
        <v>0</v>
      </c>
      <c r="U1799" t="str">
        <f>IF(SeismicData[[#This Row],[class]]=1,"Dangerous","Safe")</f>
        <v>Safe</v>
      </c>
      <c r="V1799" t="str">
        <f>IF(SeismicData[[#This Row],[shift]]="W","Production","Non-Production")</f>
        <v>Non-Production</v>
      </c>
      <c r="W1799" t="str">
        <f>IF(SeismicData[[#This Row],[genergy]]=0,"0","10^"&amp;INT(LOG10(SeismicData[[#This Row],[genergy]])))</f>
        <v>10^4</v>
      </c>
      <c r="X1799" t="str">
        <f>IF(OR(SeismicData[[#This Row],[genergy]]&lt;$AA$6,SeismicData[[#This Row],[genergy]]&gt;$AA$5),"Outlier","Normal")</f>
        <v>Normal</v>
      </c>
    </row>
    <row r="1800" spans="1:24" x14ac:dyDescent="0.15">
      <c r="A1800">
        <v>1799</v>
      </c>
      <c r="B1800" t="s">
        <v>23</v>
      </c>
      <c r="C1800" t="s">
        <v>23</v>
      </c>
      <c r="D1800" t="s">
        <v>21</v>
      </c>
      <c r="E1800">
        <v>37600</v>
      </c>
      <c r="F1800">
        <v>833</v>
      </c>
      <c r="G1800">
        <v>329</v>
      </c>
      <c r="H1800">
        <v>334</v>
      </c>
      <c r="I1800" t="s">
        <v>23</v>
      </c>
      <c r="J1800">
        <v>0</v>
      </c>
      <c r="K1800">
        <v>0</v>
      </c>
      <c r="L1800">
        <v>0</v>
      </c>
      <c r="M1800">
        <v>0</v>
      </c>
      <c r="N1800">
        <v>0</v>
      </c>
      <c r="O1800">
        <v>0</v>
      </c>
      <c r="P1800">
        <v>0</v>
      </c>
      <c r="Q1800">
        <v>0</v>
      </c>
      <c r="R1800">
        <v>0</v>
      </c>
      <c r="S1800">
        <v>0</v>
      </c>
      <c r="T1800">
        <v>0</v>
      </c>
      <c r="U1800" t="str">
        <f>IF(SeismicData[[#This Row],[class]]=1,"Dangerous","Safe")</f>
        <v>Safe</v>
      </c>
      <c r="V1800" t="str">
        <f>IF(SeismicData[[#This Row],[shift]]="W","Production","Non-Production")</f>
        <v>Non-Production</v>
      </c>
      <c r="W1800" t="str">
        <f>IF(SeismicData[[#This Row],[genergy]]=0,"0","10^"&amp;INT(LOG10(SeismicData[[#This Row],[genergy]])))</f>
        <v>10^4</v>
      </c>
      <c r="X1800" t="str">
        <f>IF(OR(SeismicData[[#This Row],[genergy]]&lt;$AA$6,SeismicData[[#This Row],[genergy]]&gt;$AA$5),"Outlier","Normal")</f>
        <v>Normal</v>
      </c>
    </row>
    <row r="1801" spans="1:24" x14ac:dyDescent="0.15">
      <c r="A1801">
        <v>1800</v>
      </c>
      <c r="B1801" t="s">
        <v>23</v>
      </c>
      <c r="C1801" t="s">
        <v>23</v>
      </c>
      <c r="D1801" t="s">
        <v>21</v>
      </c>
      <c r="E1801">
        <v>21780</v>
      </c>
      <c r="F1801">
        <v>428</v>
      </c>
      <c r="G1801">
        <v>110</v>
      </c>
      <c r="H1801">
        <v>13</v>
      </c>
      <c r="I1801" t="s">
        <v>20</v>
      </c>
      <c r="J1801">
        <v>1</v>
      </c>
      <c r="K1801">
        <v>0</v>
      </c>
      <c r="L1801">
        <v>1</v>
      </c>
      <c r="M1801">
        <v>0</v>
      </c>
      <c r="N1801">
        <v>0</v>
      </c>
      <c r="O1801">
        <v>0</v>
      </c>
      <c r="P1801">
        <v>0</v>
      </c>
      <c r="Q1801">
        <v>0</v>
      </c>
      <c r="R1801">
        <v>8000</v>
      </c>
      <c r="S1801">
        <v>8000</v>
      </c>
      <c r="T1801">
        <v>0</v>
      </c>
      <c r="U1801" t="str">
        <f>IF(SeismicData[[#This Row],[class]]=1,"Dangerous","Safe")</f>
        <v>Safe</v>
      </c>
      <c r="V1801" t="str">
        <f>IF(SeismicData[[#This Row],[shift]]="W","Production","Non-Production")</f>
        <v>Non-Production</v>
      </c>
      <c r="W1801" t="str">
        <f>IF(SeismicData[[#This Row],[genergy]]=0,"0","10^"&amp;INT(LOG10(SeismicData[[#This Row],[genergy]])))</f>
        <v>10^4</v>
      </c>
      <c r="X1801" t="str">
        <f>IF(OR(SeismicData[[#This Row],[genergy]]&lt;$AA$6,SeismicData[[#This Row],[genergy]]&gt;$AA$5),"Outlier","Normal")</f>
        <v>Normal</v>
      </c>
    </row>
    <row r="1802" spans="1:24" x14ac:dyDescent="0.15">
      <c r="A1802">
        <v>1801</v>
      </c>
      <c r="B1802" t="s">
        <v>23</v>
      </c>
      <c r="C1802" t="s">
        <v>23</v>
      </c>
      <c r="D1802" t="s">
        <v>22</v>
      </c>
      <c r="E1802">
        <v>17370</v>
      </c>
      <c r="F1802">
        <v>365</v>
      </c>
      <c r="G1802">
        <v>-37</v>
      </c>
      <c r="H1802">
        <v>-54</v>
      </c>
      <c r="I1802" t="s">
        <v>20</v>
      </c>
      <c r="J1802">
        <v>0</v>
      </c>
      <c r="K1802">
        <v>0</v>
      </c>
      <c r="L1802">
        <v>0</v>
      </c>
      <c r="M1802">
        <v>0</v>
      </c>
      <c r="N1802">
        <v>0</v>
      </c>
      <c r="O1802">
        <v>0</v>
      </c>
      <c r="P1802">
        <v>0</v>
      </c>
      <c r="Q1802">
        <v>0</v>
      </c>
      <c r="R1802">
        <v>0</v>
      </c>
      <c r="S1802">
        <v>0</v>
      </c>
      <c r="T1802">
        <v>0</v>
      </c>
      <c r="U1802" t="str">
        <f>IF(SeismicData[[#This Row],[class]]=1,"Dangerous","Safe")</f>
        <v>Safe</v>
      </c>
      <c r="V1802" t="str">
        <f>IF(SeismicData[[#This Row],[shift]]="W","Production","Non-Production")</f>
        <v>Production</v>
      </c>
      <c r="W1802" t="str">
        <f>IF(SeismicData[[#This Row],[genergy]]=0,"0","10^"&amp;INT(LOG10(SeismicData[[#This Row],[genergy]])))</f>
        <v>10^4</v>
      </c>
      <c r="X1802" t="str">
        <f>IF(OR(SeismicData[[#This Row],[genergy]]&lt;$AA$6,SeismicData[[#This Row],[genergy]]&gt;$AA$5),"Outlier","Normal")</f>
        <v>Normal</v>
      </c>
    </row>
    <row r="1803" spans="1:24" x14ac:dyDescent="0.15">
      <c r="A1803">
        <v>1802</v>
      </c>
      <c r="B1803" t="s">
        <v>23</v>
      </c>
      <c r="C1803" t="s">
        <v>23</v>
      </c>
      <c r="D1803" t="s">
        <v>22</v>
      </c>
      <c r="E1803">
        <v>17580</v>
      </c>
      <c r="F1803">
        <v>406</v>
      </c>
      <c r="G1803">
        <v>-38</v>
      </c>
      <c r="H1803">
        <v>-16</v>
      </c>
      <c r="I1803" t="s">
        <v>20</v>
      </c>
      <c r="J1803">
        <v>0</v>
      </c>
      <c r="K1803">
        <v>0</v>
      </c>
      <c r="L1803">
        <v>0</v>
      </c>
      <c r="M1803">
        <v>0</v>
      </c>
      <c r="N1803">
        <v>0</v>
      </c>
      <c r="O1803">
        <v>0</v>
      </c>
      <c r="P1803">
        <v>0</v>
      </c>
      <c r="Q1803">
        <v>0</v>
      </c>
      <c r="R1803">
        <v>0</v>
      </c>
      <c r="S1803">
        <v>0</v>
      </c>
      <c r="T1803">
        <v>0</v>
      </c>
      <c r="U1803" t="str">
        <f>IF(SeismicData[[#This Row],[class]]=1,"Dangerous","Safe")</f>
        <v>Safe</v>
      </c>
      <c r="V1803" t="str">
        <f>IF(SeismicData[[#This Row],[shift]]="W","Production","Non-Production")</f>
        <v>Production</v>
      </c>
      <c r="W1803" t="str">
        <f>IF(SeismicData[[#This Row],[genergy]]=0,"0","10^"&amp;INT(LOG10(SeismicData[[#This Row],[genergy]])))</f>
        <v>10^4</v>
      </c>
      <c r="X1803" t="str">
        <f>IF(OR(SeismicData[[#This Row],[genergy]]&lt;$AA$6,SeismicData[[#This Row],[genergy]]&gt;$AA$5),"Outlier","Normal")</f>
        <v>Normal</v>
      </c>
    </row>
    <row r="1804" spans="1:24" x14ac:dyDescent="0.15">
      <c r="A1804">
        <v>1803</v>
      </c>
      <c r="B1804" t="s">
        <v>23</v>
      </c>
      <c r="C1804" t="s">
        <v>23</v>
      </c>
      <c r="D1804" t="s">
        <v>22</v>
      </c>
      <c r="E1804">
        <v>21900</v>
      </c>
      <c r="F1804">
        <v>276</v>
      </c>
      <c r="G1804">
        <v>128</v>
      </c>
      <c r="H1804">
        <v>71</v>
      </c>
      <c r="I1804" t="s">
        <v>20</v>
      </c>
      <c r="J1804">
        <v>1</v>
      </c>
      <c r="K1804">
        <v>1</v>
      </c>
      <c r="L1804">
        <v>0</v>
      </c>
      <c r="M1804">
        <v>0</v>
      </c>
      <c r="N1804">
        <v>0</v>
      </c>
      <c r="O1804">
        <v>0</v>
      </c>
      <c r="P1804">
        <v>0</v>
      </c>
      <c r="Q1804">
        <v>0</v>
      </c>
      <c r="R1804">
        <v>600</v>
      </c>
      <c r="S1804">
        <v>600</v>
      </c>
      <c r="T1804">
        <v>0</v>
      </c>
      <c r="U1804" t="str">
        <f>IF(SeismicData[[#This Row],[class]]=1,"Dangerous","Safe")</f>
        <v>Safe</v>
      </c>
      <c r="V1804" t="str">
        <f>IF(SeismicData[[#This Row],[shift]]="W","Production","Non-Production")</f>
        <v>Production</v>
      </c>
      <c r="W1804" t="str">
        <f>IF(SeismicData[[#This Row],[genergy]]=0,"0","10^"&amp;INT(LOG10(SeismicData[[#This Row],[genergy]])))</f>
        <v>10^4</v>
      </c>
      <c r="X1804" t="str">
        <f>IF(OR(SeismicData[[#This Row],[genergy]]&lt;$AA$6,SeismicData[[#This Row],[genergy]]&gt;$AA$5),"Outlier","Normal")</f>
        <v>Normal</v>
      </c>
    </row>
    <row r="1805" spans="1:24" x14ac:dyDescent="0.15">
      <c r="A1805">
        <v>1804</v>
      </c>
      <c r="B1805" t="s">
        <v>23</v>
      </c>
      <c r="C1805" t="s">
        <v>23</v>
      </c>
      <c r="D1805" t="s">
        <v>22</v>
      </c>
      <c r="E1805">
        <v>38350</v>
      </c>
      <c r="F1805">
        <v>532</v>
      </c>
      <c r="G1805">
        <v>36</v>
      </c>
      <c r="H1805">
        <v>10</v>
      </c>
      <c r="I1805" t="s">
        <v>20</v>
      </c>
      <c r="J1805">
        <v>0</v>
      </c>
      <c r="K1805">
        <v>0</v>
      </c>
      <c r="L1805">
        <v>0</v>
      </c>
      <c r="M1805">
        <v>0</v>
      </c>
      <c r="N1805">
        <v>0</v>
      </c>
      <c r="O1805">
        <v>0</v>
      </c>
      <c r="P1805">
        <v>0</v>
      </c>
      <c r="Q1805">
        <v>0</v>
      </c>
      <c r="R1805">
        <v>0</v>
      </c>
      <c r="S1805">
        <v>0</v>
      </c>
      <c r="T1805">
        <v>0</v>
      </c>
      <c r="U1805" t="str">
        <f>IF(SeismicData[[#This Row],[class]]=1,"Dangerous","Safe")</f>
        <v>Safe</v>
      </c>
      <c r="V1805" t="str">
        <f>IF(SeismicData[[#This Row],[shift]]="W","Production","Non-Production")</f>
        <v>Production</v>
      </c>
      <c r="W1805" t="str">
        <f>IF(SeismicData[[#This Row],[genergy]]=0,"0","10^"&amp;INT(LOG10(SeismicData[[#This Row],[genergy]])))</f>
        <v>10^4</v>
      </c>
      <c r="X1805" t="str">
        <f>IF(OR(SeismicData[[#This Row],[genergy]]&lt;$AA$6,SeismicData[[#This Row],[genergy]]&gt;$AA$5),"Outlier","Normal")</f>
        <v>Normal</v>
      </c>
    </row>
    <row r="1806" spans="1:24" x14ac:dyDescent="0.15">
      <c r="A1806">
        <v>1805</v>
      </c>
      <c r="B1806" t="s">
        <v>23</v>
      </c>
      <c r="C1806" t="s">
        <v>23</v>
      </c>
      <c r="D1806" t="s">
        <v>22</v>
      </c>
      <c r="E1806">
        <v>44640</v>
      </c>
      <c r="F1806">
        <v>743</v>
      </c>
      <c r="G1806">
        <v>58</v>
      </c>
      <c r="H1806">
        <v>54</v>
      </c>
      <c r="I1806" t="s">
        <v>20</v>
      </c>
      <c r="J1806">
        <v>0</v>
      </c>
      <c r="K1806">
        <v>0</v>
      </c>
      <c r="L1806">
        <v>0</v>
      </c>
      <c r="M1806">
        <v>0</v>
      </c>
      <c r="N1806">
        <v>0</v>
      </c>
      <c r="O1806">
        <v>0</v>
      </c>
      <c r="P1806">
        <v>0</v>
      </c>
      <c r="Q1806">
        <v>0</v>
      </c>
      <c r="R1806">
        <v>0</v>
      </c>
      <c r="S1806">
        <v>0</v>
      </c>
      <c r="T1806">
        <v>0</v>
      </c>
      <c r="U1806" t="str">
        <f>IF(SeismicData[[#This Row],[class]]=1,"Dangerous","Safe")</f>
        <v>Safe</v>
      </c>
      <c r="V1806" t="str">
        <f>IF(SeismicData[[#This Row],[shift]]="W","Production","Non-Production")</f>
        <v>Production</v>
      </c>
      <c r="W1806" t="str">
        <f>IF(SeismicData[[#This Row],[genergy]]=0,"0","10^"&amp;INT(LOG10(SeismicData[[#This Row],[genergy]])))</f>
        <v>10^4</v>
      </c>
      <c r="X1806" t="str">
        <f>IF(OR(SeismicData[[#This Row],[genergy]]&lt;$AA$6,SeismicData[[#This Row],[genergy]]&gt;$AA$5),"Outlier","Normal")</f>
        <v>Normal</v>
      </c>
    </row>
    <row r="1807" spans="1:24" x14ac:dyDescent="0.15">
      <c r="A1807">
        <v>1806</v>
      </c>
      <c r="B1807" t="s">
        <v>23</v>
      </c>
      <c r="C1807" t="s">
        <v>23</v>
      </c>
      <c r="D1807" t="s">
        <v>22</v>
      </c>
      <c r="E1807">
        <v>27960</v>
      </c>
      <c r="F1807">
        <v>591</v>
      </c>
      <c r="G1807">
        <v>-1</v>
      </c>
      <c r="H1807">
        <v>23</v>
      </c>
      <c r="I1807" t="s">
        <v>20</v>
      </c>
      <c r="J1807">
        <v>1</v>
      </c>
      <c r="K1807">
        <v>0</v>
      </c>
      <c r="L1807">
        <v>1</v>
      </c>
      <c r="M1807">
        <v>0</v>
      </c>
      <c r="N1807">
        <v>0</v>
      </c>
      <c r="O1807">
        <v>0</v>
      </c>
      <c r="P1807">
        <v>0</v>
      </c>
      <c r="Q1807">
        <v>0</v>
      </c>
      <c r="R1807">
        <v>2000</v>
      </c>
      <c r="S1807">
        <v>2000</v>
      </c>
      <c r="T1807">
        <v>0</v>
      </c>
      <c r="U1807" t="str">
        <f>IF(SeismicData[[#This Row],[class]]=1,"Dangerous","Safe")</f>
        <v>Safe</v>
      </c>
      <c r="V1807" t="str">
        <f>IF(SeismicData[[#This Row],[shift]]="W","Production","Non-Production")</f>
        <v>Production</v>
      </c>
      <c r="W1807" t="str">
        <f>IF(SeismicData[[#This Row],[genergy]]=0,"0","10^"&amp;INT(LOG10(SeismicData[[#This Row],[genergy]])))</f>
        <v>10^4</v>
      </c>
      <c r="X1807" t="str">
        <f>IF(OR(SeismicData[[#This Row],[genergy]]&lt;$AA$6,SeismicData[[#This Row],[genergy]]&gt;$AA$5),"Outlier","Normal")</f>
        <v>Normal</v>
      </c>
    </row>
    <row r="1808" spans="1:24" x14ac:dyDescent="0.15">
      <c r="A1808">
        <v>1807</v>
      </c>
      <c r="B1808" t="s">
        <v>23</v>
      </c>
      <c r="C1808" t="s">
        <v>23</v>
      </c>
      <c r="D1808" t="s">
        <v>22</v>
      </c>
      <c r="E1808">
        <v>23770</v>
      </c>
      <c r="F1808">
        <v>519</v>
      </c>
      <c r="G1808">
        <v>-21</v>
      </c>
      <c r="H1808">
        <v>0</v>
      </c>
      <c r="I1808" t="s">
        <v>20</v>
      </c>
      <c r="J1808">
        <v>1</v>
      </c>
      <c r="K1808">
        <v>1</v>
      </c>
      <c r="L1808">
        <v>0</v>
      </c>
      <c r="M1808">
        <v>0</v>
      </c>
      <c r="N1808">
        <v>0</v>
      </c>
      <c r="O1808">
        <v>0</v>
      </c>
      <c r="P1808">
        <v>0</v>
      </c>
      <c r="Q1808">
        <v>0</v>
      </c>
      <c r="R1808">
        <v>500</v>
      </c>
      <c r="S1808">
        <v>500</v>
      </c>
      <c r="T1808">
        <v>0</v>
      </c>
      <c r="U1808" t="str">
        <f>IF(SeismicData[[#This Row],[class]]=1,"Dangerous","Safe")</f>
        <v>Safe</v>
      </c>
      <c r="V1808" t="str">
        <f>IF(SeismicData[[#This Row],[shift]]="W","Production","Non-Production")</f>
        <v>Production</v>
      </c>
      <c r="W1808" t="str">
        <f>IF(SeismicData[[#This Row],[genergy]]=0,"0","10^"&amp;INT(LOG10(SeismicData[[#This Row],[genergy]])))</f>
        <v>10^4</v>
      </c>
      <c r="X1808" t="str">
        <f>IF(OR(SeismicData[[#This Row],[genergy]]&lt;$AA$6,SeismicData[[#This Row],[genergy]]&gt;$AA$5),"Outlier","Normal")</f>
        <v>Normal</v>
      </c>
    </row>
    <row r="1809" spans="1:24" x14ac:dyDescent="0.15">
      <c r="A1809">
        <v>1808</v>
      </c>
      <c r="B1809" t="s">
        <v>23</v>
      </c>
      <c r="C1809" t="s">
        <v>23</v>
      </c>
      <c r="D1809" t="s">
        <v>22</v>
      </c>
      <c r="E1809">
        <v>59820</v>
      </c>
      <c r="F1809">
        <v>855</v>
      </c>
      <c r="G1809">
        <v>100</v>
      </c>
      <c r="H1809">
        <v>65</v>
      </c>
      <c r="I1809" t="s">
        <v>20</v>
      </c>
      <c r="J1809">
        <v>2</v>
      </c>
      <c r="K1809">
        <v>2</v>
      </c>
      <c r="L1809">
        <v>0</v>
      </c>
      <c r="M1809">
        <v>0</v>
      </c>
      <c r="N1809">
        <v>0</v>
      </c>
      <c r="O1809">
        <v>0</v>
      </c>
      <c r="P1809">
        <v>0</v>
      </c>
      <c r="Q1809">
        <v>0</v>
      </c>
      <c r="R1809">
        <v>600</v>
      </c>
      <c r="S1809">
        <v>300</v>
      </c>
      <c r="T1809">
        <v>0</v>
      </c>
      <c r="U1809" t="str">
        <f>IF(SeismicData[[#This Row],[class]]=1,"Dangerous","Safe")</f>
        <v>Safe</v>
      </c>
      <c r="V1809" t="str">
        <f>IF(SeismicData[[#This Row],[shift]]="W","Production","Non-Production")</f>
        <v>Production</v>
      </c>
      <c r="W1809" t="str">
        <f>IF(SeismicData[[#This Row],[genergy]]=0,"0","10^"&amp;INT(LOG10(SeismicData[[#This Row],[genergy]])))</f>
        <v>10^4</v>
      </c>
      <c r="X1809" t="str">
        <f>IF(OR(SeismicData[[#This Row],[genergy]]&lt;$AA$6,SeismicData[[#This Row],[genergy]]&gt;$AA$5),"Outlier","Normal")</f>
        <v>Normal</v>
      </c>
    </row>
    <row r="1810" spans="1:24" x14ac:dyDescent="0.15">
      <c r="A1810">
        <v>1809</v>
      </c>
      <c r="B1810" t="s">
        <v>23</v>
      </c>
      <c r="C1810" t="s">
        <v>23</v>
      </c>
      <c r="D1810" t="s">
        <v>22</v>
      </c>
      <c r="E1810">
        <v>48020</v>
      </c>
      <c r="F1810">
        <v>688</v>
      </c>
      <c r="G1810">
        <v>61</v>
      </c>
      <c r="H1810">
        <v>33</v>
      </c>
      <c r="I1810" t="s">
        <v>20</v>
      </c>
      <c r="J1810">
        <v>0</v>
      </c>
      <c r="K1810">
        <v>0</v>
      </c>
      <c r="L1810">
        <v>0</v>
      </c>
      <c r="M1810">
        <v>0</v>
      </c>
      <c r="N1810">
        <v>0</v>
      </c>
      <c r="O1810">
        <v>0</v>
      </c>
      <c r="P1810">
        <v>0</v>
      </c>
      <c r="Q1810">
        <v>0</v>
      </c>
      <c r="R1810">
        <v>0</v>
      </c>
      <c r="S1810">
        <v>0</v>
      </c>
      <c r="T1810">
        <v>0</v>
      </c>
      <c r="U1810" t="str">
        <f>IF(SeismicData[[#This Row],[class]]=1,"Dangerous","Safe")</f>
        <v>Safe</v>
      </c>
      <c r="V1810" t="str">
        <f>IF(SeismicData[[#This Row],[shift]]="W","Production","Non-Production")</f>
        <v>Production</v>
      </c>
      <c r="W1810" t="str">
        <f>IF(SeismicData[[#This Row],[genergy]]=0,"0","10^"&amp;INT(LOG10(SeismicData[[#This Row],[genergy]])))</f>
        <v>10^4</v>
      </c>
      <c r="X1810" t="str">
        <f>IF(OR(SeismicData[[#This Row],[genergy]]&lt;$AA$6,SeismicData[[#This Row],[genergy]]&gt;$AA$5),"Outlier","Normal")</f>
        <v>Normal</v>
      </c>
    </row>
    <row r="1811" spans="1:24" x14ac:dyDescent="0.15">
      <c r="A1811">
        <v>1810</v>
      </c>
      <c r="B1811" t="s">
        <v>23</v>
      </c>
      <c r="C1811" t="s">
        <v>23</v>
      </c>
      <c r="D1811" t="s">
        <v>22</v>
      </c>
      <c r="E1811">
        <v>25450</v>
      </c>
      <c r="F1811">
        <v>504</v>
      </c>
      <c r="G1811">
        <v>-15</v>
      </c>
      <c r="H1811">
        <v>-3</v>
      </c>
      <c r="I1811" t="s">
        <v>20</v>
      </c>
      <c r="J1811">
        <v>0</v>
      </c>
      <c r="K1811">
        <v>0</v>
      </c>
      <c r="L1811">
        <v>0</v>
      </c>
      <c r="M1811">
        <v>0</v>
      </c>
      <c r="N1811">
        <v>0</v>
      </c>
      <c r="O1811">
        <v>0</v>
      </c>
      <c r="P1811">
        <v>0</v>
      </c>
      <c r="Q1811">
        <v>0</v>
      </c>
      <c r="R1811">
        <v>0</v>
      </c>
      <c r="S1811">
        <v>0</v>
      </c>
      <c r="T1811">
        <v>0</v>
      </c>
      <c r="U1811" t="str">
        <f>IF(SeismicData[[#This Row],[class]]=1,"Dangerous","Safe")</f>
        <v>Safe</v>
      </c>
      <c r="V1811" t="str">
        <f>IF(SeismicData[[#This Row],[shift]]="W","Production","Non-Production")</f>
        <v>Production</v>
      </c>
      <c r="W1811" t="str">
        <f>IF(SeismicData[[#This Row],[genergy]]=0,"0","10^"&amp;INT(LOG10(SeismicData[[#This Row],[genergy]])))</f>
        <v>10^4</v>
      </c>
      <c r="X1811" t="str">
        <f>IF(OR(SeismicData[[#This Row],[genergy]]&lt;$AA$6,SeismicData[[#This Row],[genergy]]&gt;$AA$5),"Outlier","Normal")</f>
        <v>Normal</v>
      </c>
    </row>
    <row r="1812" spans="1:24" x14ac:dyDescent="0.15">
      <c r="A1812">
        <v>1811</v>
      </c>
      <c r="B1812" t="s">
        <v>23</v>
      </c>
      <c r="C1812" t="s">
        <v>23</v>
      </c>
      <c r="D1812" t="s">
        <v>22</v>
      </c>
      <c r="E1812">
        <v>64790</v>
      </c>
      <c r="F1812">
        <v>909</v>
      </c>
      <c r="G1812">
        <v>117</v>
      </c>
      <c r="H1812">
        <v>76</v>
      </c>
      <c r="I1812" t="s">
        <v>20</v>
      </c>
      <c r="J1812">
        <v>1</v>
      </c>
      <c r="K1812">
        <v>0</v>
      </c>
      <c r="L1812">
        <v>1</v>
      </c>
      <c r="M1812">
        <v>0</v>
      </c>
      <c r="N1812">
        <v>0</v>
      </c>
      <c r="O1812">
        <v>0</v>
      </c>
      <c r="P1812">
        <v>0</v>
      </c>
      <c r="Q1812">
        <v>0</v>
      </c>
      <c r="R1812">
        <v>8000</v>
      </c>
      <c r="S1812">
        <v>8000</v>
      </c>
      <c r="T1812">
        <v>0</v>
      </c>
      <c r="U1812" t="str">
        <f>IF(SeismicData[[#This Row],[class]]=1,"Dangerous","Safe")</f>
        <v>Safe</v>
      </c>
      <c r="V1812" t="str">
        <f>IF(SeismicData[[#This Row],[shift]]="W","Production","Non-Production")</f>
        <v>Production</v>
      </c>
      <c r="W1812" t="str">
        <f>IF(SeismicData[[#This Row],[genergy]]=0,"0","10^"&amp;INT(LOG10(SeismicData[[#This Row],[genergy]])))</f>
        <v>10^4</v>
      </c>
      <c r="X1812" t="str">
        <f>IF(OR(SeismicData[[#This Row],[genergy]]&lt;$AA$6,SeismicData[[#This Row],[genergy]]&gt;$AA$5),"Outlier","Normal")</f>
        <v>Normal</v>
      </c>
    </row>
    <row r="1813" spans="1:24" x14ac:dyDescent="0.15">
      <c r="A1813">
        <v>1812</v>
      </c>
      <c r="B1813" t="s">
        <v>23</v>
      </c>
      <c r="C1813" t="s">
        <v>23</v>
      </c>
      <c r="D1813" t="s">
        <v>22</v>
      </c>
      <c r="E1813">
        <v>34090</v>
      </c>
      <c r="F1813">
        <v>601</v>
      </c>
      <c r="G1813">
        <v>14</v>
      </c>
      <c r="H1813">
        <v>16</v>
      </c>
      <c r="I1813" t="s">
        <v>20</v>
      </c>
      <c r="J1813">
        <v>0</v>
      </c>
      <c r="K1813">
        <v>0</v>
      </c>
      <c r="L1813">
        <v>0</v>
      </c>
      <c r="M1813">
        <v>0</v>
      </c>
      <c r="N1813">
        <v>0</v>
      </c>
      <c r="O1813">
        <v>0</v>
      </c>
      <c r="P1813">
        <v>0</v>
      </c>
      <c r="Q1813">
        <v>0</v>
      </c>
      <c r="R1813">
        <v>0</v>
      </c>
      <c r="S1813">
        <v>0</v>
      </c>
      <c r="T1813">
        <v>0</v>
      </c>
      <c r="U1813" t="str">
        <f>IF(SeismicData[[#This Row],[class]]=1,"Dangerous","Safe")</f>
        <v>Safe</v>
      </c>
      <c r="V1813" t="str">
        <f>IF(SeismicData[[#This Row],[shift]]="W","Production","Non-Production")</f>
        <v>Production</v>
      </c>
      <c r="W1813" t="str">
        <f>IF(SeismicData[[#This Row],[genergy]]=0,"0","10^"&amp;INT(LOG10(SeismicData[[#This Row],[genergy]])))</f>
        <v>10^4</v>
      </c>
      <c r="X1813" t="str">
        <f>IF(OR(SeismicData[[#This Row],[genergy]]&lt;$AA$6,SeismicData[[#This Row],[genergy]]&gt;$AA$5),"Outlier","Normal")</f>
        <v>Normal</v>
      </c>
    </row>
    <row r="1814" spans="1:24" x14ac:dyDescent="0.15">
      <c r="A1814">
        <v>1813</v>
      </c>
      <c r="B1814" t="s">
        <v>23</v>
      </c>
      <c r="C1814" t="s">
        <v>23</v>
      </c>
      <c r="D1814" t="s">
        <v>22</v>
      </c>
      <c r="E1814">
        <v>25130</v>
      </c>
      <c r="F1814">
        <v>455</v>
      </c>
      <c r="G1814">
        <v>-13</v>
      </c>
      <c r="H1814">
        <v>-42</v>
      </c>
      <c r="I1814" t="s">
        <v>20</v>
      </c>
      <c r="J1814">
        <v>1</v>
      </c>
      <c r="K1814">
        <v>0</v>
      </c>
      <c r="L1814">
        <v>1</v>
      </c>
      <c r="M1814">
        <v>0</v>
      </c>
      <c r="N1814">
        <v>0</v>
      </c>
      <c r="O1814">
        <v>0</v>
      </c>
      <c r="P1814">
        <v>0</v>
      </c>
      <c r="Q1814">
        <v>0</v>
      </c>
      <c r="R1814">
        <v>1000</v>
      </c>
      <c r="S1814">
        <v>1000</v>
      </c>
      <c r="T1814">
        <v>0</v>
      </c>
      <c r="U1814" t="str">
        <f>IF(SeismicData[[#This Row],[class]]=1,"Dangerous","Safe")</f>
        <v>Safe</v>
      </c>
      <c r="V1814" t="str">
        <f>IF(SeismicData[[#This Row],[shift]]="W","Production","Non-Production")</f>
        <v>Production</v>
      </c>
      <c r="W1814" t="str">
        <f>IF(SeismicData[[#This Row],[genergy]]=0,"0","10^"&amp;INT(LOG10(SeismicData[[#This Row],[genergy]])))</f>
        <v>10^4</v>
      </c>
      <c r="X1814" t="str">
        <f>IF(OR(SeismicData[[#This Row],[genergy]]&lt;$AA$6,SeismicData[[#This Row],[genergy]]&gt;$AA$5),"Outlier","Normal")</f>
        <v>Normal</v>
      </c>
    </row>
    <row r="1815" spans="1:24" x14ac:dyDescent="0.15">
      <c r="A1815">
        <v>1814</v>
      </c>
      <c r="B1815" t="s">
        <v>23</v>
      </c>
      <c r="C1815" t="s">
        <v>23</v>
      </c>
      <c r="D1815" t="s">
        <v>22</v>
      </c>
      <c r="E1815">
        <v>34820</v>
      </c>
      <c r="F1815">
        <v>550</v>
      </c>
      <c r="G1815">
        <v>16</v>
      </c>
      <c r="H1815">
        <v>6</v>
      </c>
      <c r="I1815" t="s">
        <v>20</v>
      </c>
      <c r="J1815">
        <v>0</v>
      </c>
      <c r="K1815">
        <v>0</v>
      </c>
      <c r="L1815">
        <v>0</v>
      </c>
      <c r="M1815">
        <v>0</v>
      </c>
      <c r="N1815">
        <v>0</v>
      </c>
      <c r="O1815">
        <v>0</v>
      </c>
      <c r="P1815">
        <v>0</v>
      </c>
      <c r="Q1815">
        <v>0</v>
      </c>
      <c r="R1815">
        <v>0</v>
      </c>
      <c r="S1815">
        <v>0</v>
      </c>
      <c r="T1815">
        <v>0</v>
      </c>
      <c r="U1815" t="str">
        <f>IF(SeismicData[[#This Row],[class]]=1,"Dangerous","Safe")</f>
        <v>Safe</v>
      </c>
      <c r="V1815" t="str">
        <f>IF(SeismicData[[#This Row],[shift]]="W","Production","Non-Production")</f>
        <v>Production</v>
      </c>
      <c r="W1815" t="str">
        <f>IF(SeismicData[[#This Row],[genergy]]=0,"0","10^"&amp;INT(LOG10(SeismicData[[#This Row],[genergy]])))</f>
        <v>10^4</v>
      </c>
      <c r="X1815" t="str">
        <f>IF(OR(SeismicData[[#This Row],[genergy]]&lt;$AA$6,SeismicData[[#This Row],[genergy]]&gt;$AA$5),"Outlier","Normal")</f>
        <v>Normal</v>
      </c>
    </row>
    <row r="1816" spans="1:24" x14ac:dyDescent="0.15">
      <c r="A1816">
        <v>1815</v>
      </c>
      <c r="B1816" t="s">
        <v>20</v>
      </c>
      <c r="C1816" t="s">
        <v>23</v>
      </c>
      <c r="D1816" t="s">
        <v>22</v>
      </c>
      <c r="E1816">
        <v>69880</v>
      </c>
      <c r="F1816">
        <v>855</v>
      </c>
      <c r="G1816">
        <v>144</v>
      </c>
      <c r="H1816">
        <v>72</v>
      </c>
      <c r="I1816" t="s">
        <v>20</v>
      </c>
      <c r="J1816">
        <v>2</v>
      </c>
      <c r="K1816">
        <v>2</v>
      </c>
      <c r="L1816">
        <v>0</v>
      </c>
      <c r="M1816">
        <v>0</v>
      </c>
      <c r="N1816">
        <v>0</v>
      </c>
      <c r="O1816">
        <v>0</v>
      </c>
      <c r="P1816">
        <v>0</v>
      </c>
      <c r="Q1816">
        <v>0</v>
      </c>
      <c r="R1816">
        <v>1200</v>
      </c>
      <c r="S1816">
        <v>800</v>
      </c>
      <c r="T1816">
        <v>0</v>
      </c>
      <c r="U1816" t="str">
        <f>IF(SeismicData[[#This Row],[class]]=1,"Dangerous","Safe")</f>
        <v>Safe</v>
      </c>
      <c r="V1816" t="str">
        <f>IF(SeismicData[[#This Row],[shift]]="W","Production","Non-Production")</f>
        <v>Production</v>
      </c>
      <c r="W1816" t="str">
        <f>IF(SeismicData[[#This Row],[genergy]]=0,"0","10^"&amp;INT(LOG10(SeismicData[[#This Row],[genergy]])))</f>
        <v>10^4</v>
      </c>
      <c r="X1816" t="str">
        <f>IF(OR(SeismicData[[#This Row],[genergy]]&lt;$AA$6,SeismicData[[#This Row],[genergy]]&gt;$AA$5),"Outlier","Normal")</f>
        <v>Normal</v>
      </c>
    </row>
    <row r="1817" spans="1:24" x14ac:dyDescent="0.15">
      <c r="A1817">
        <v>1816</v>
      </c>
      <c r="B1817" t="s">
        <v>20</v>
      </c>
      <c r="C1817" t="s">
        <v>23</v>
      </c>
      <c r="D1817" t="s">
        <v>22</v>
      </c>
      <c r="E1817">
        <v>40900</v>
      </c>
      <c r="F1817">
        <v>776</v>
      </c>
      <c r="G1817">
        <v>43</v>
      </c>
      <c r="H1817">
        <v>57</v>
      </c>
      <c r="I1817" t="s">
        <v>20</v>
      </c>
      <c r="J1817">
        <v>1</v>
      </c>
      <c r="K1817">
        <v>1</v>
      </c>
      <c r="L1817">
        <v>0</v>
      </c>
      <c r="M1817">
        <v>0</v>
      </c>
      <c r="N1817">
        <v>0</v>
      </c>
      <c r="O1817">
        <v>0</v>
      </c>
      <c r="P1817">
        <v>0</v>
      </c>
      <c r="Q1817">
        <v>0</v>
      </c>
      <c r="R1817">
        <v>400</v>
      </c>
      <c r="S1817">
        <v>400</v>
      </c>
      <c r="T1817">
        <v>0</v>
      </c>
      <c r="U1817" t="str">
        <f>IF(SeismicData[[#This Row],[class]]=1,"Dangerous","Safe")</f>
        <v>Safe</v>
      </c>
      <c r="V1817" t="str">
        <f>IF(SeismicData[[#This Row],[shift]]="W","Production","Non-Production")</f>
        <v>Production</v>
      </c>
      <c r="W1817" t="str">
        <f>IF(SeismicData[[#This Row],[genergy]]=0,"0","10^"&amp;INT(LOG10(SeismicData[[#This Row],[genergy]])))</f>
        <v>10^4</v>
      </c>
      <c r="X1817" t="str">
        <f>IF(OR(SeismicData[[#This Row],[genergy]]&lt;$AA$6,SeismicData[[#This Row],[genergy]]&gt;$AA$5),"Outlier","Normal")</f>
        <v>Normal</v>
      </c>
    </row>
    <row r="1818" spans="1:24" x14ac:dyDescent="0.15">
      <c r="A1818">
        <v>1817</v>
      </c>
      <c r="B1818" t="s">
        <v>20</v>
      </c>
      <c r="C1818" t="s">
        <v>23</v>
      </c>
      <c r="D1818" t="s">
        <v>22</v>
      </c>
      <c r="E1818">
        <v>57040</v>
      </c>
      <c r="F1818">
        <v>754</v>
      </c>
      <c r="G1818">
        <v>99</v>
      </c>
      <c r="H1818">
        <v>52</v>
      </c>
      <c r="I1818" t="s">
        <v>20</v>
      </c>
      <c r="J1818">
        <v>1</v>
      </c>
      <c r="K1818">
        <v>0</v>
      </c>
      <c r="L1818">
        <v>1</v>
      </c>
      <c r="M1818">
        <v>0</v>
      </c>
      <c r="N1818">
        <v>0</v>
      </c>
      <c r="O1818">
        <v>0</v>
      </c>
      <c r="P1818">
        <v>0</v>
      </c>
      <c r="Q1818">
        <v>0</v>
      </c>
      <c r="R1818">
        <v>3000</v>
      </c>
      <c r="S1818">
        <v>3000</v>
      </c>
      <c r="T1818">
        <v>0</v>
      </c>
      <c r="U1818" t="str">
        <f>IF(SeismicData[[#This Row],[class]]=1,"Dangerous","Safe")</f>
        <v>Safe</v>
      </c>
      <c r="V1818" t="str">
        <f>IF(SeismicData[[#This Row],[shift]]="W","Production","Non-Production")</f>
        <v>Production</v>
      </c>
      <c r="W1818" t="str">
        <f>IF(SeismicData[[#This Row],[genergy]]=0,"0","10^"&amp;INT(LOG10(SeismicData[[#This Row],[genergy]])))</f>
        <v>10^4</v>
      </c>
      <c r="X1818" t="str">
        <f>IF(OR(SeismicData[[#This Row],[genergy]]&lt;$AA$6,SeismicData[[#This Row],[genergy]]&gt;$AA$5),"Outlier","Normal")</f>
        <v>Normal</v>
      </c>
    </row>
    <row r="1819" spans="1:24" x14ac:dyDescent="0.15">
      <c r="A1819">
        <v>1818</v>
      </c>
      <c r="B1819" t="s">
        <v>20</v>
      </c>
      <c r="C1819" t="s">
        <v>23</v>
      </c>
      <c r="D1819" t="s">
        <v>22</v>
      </c>
      <c r="E1819">
        <v>69240</v>
      </c>
      <c r="F1819">
        <v>857</v>
      </c>
      <c r="G1819">
        <v>142</v>
      </c>
      <c r="H1819">
        <v>73</v>
      </c>
      <c r="I1819" t="s">
        <v>20</v>
      </c>
      <c r="J1819">
        <v>0</v>
      </c>
      <c r="K1819">
        <v>0</v>
      </c>
      <c r="L1819">
        <v>0</v>
      </c>
      <c r="M1819">
        <v>0</v>
      </c>
      <c r="N1819">
        <v>0</v>
      </c>
      <c r="O1819">
        <v>0</v>
      </c>
      <c r="P1819">
        <v>0</v>
      </c>
      <c r="Q1819">
        <v>0</v>
      </c>
      <c r="R1819">
        <v>0</v>
      </c>
      <c r="S1819">
        <v>0</v>
      </c>
      <c r="T1819">
        <v>0</v>
      </c>
      <c r="U1819" t="str">
        <f>IF(SeismicData[[#This Row],[class]]=1,"Dangerous","Safe")</f>
        <v>Safe</v>
      </c>
      <c r="V1819" t="str">
        <f>IF(SeismicData[[#This Row],[shift]]="W","Production","Non-Production")</f>
        <v>Production</v>
      </c>
      <c r="W1819" t="str">
        <f>IF(SeismicData[[#This Row],[genergy]]=0,"0","10^"&amp;INT(LOG10(SeismicData[[#This Row],[genergy]])))</f>
        <v>10^4</v>
      </c>
      <c r="X1819" t="str">
        <f>IF(OR(SeismicData[[#This Row],[genergy]]&lt;$AA$6,SeismicData[[#This Row],[genergy]]&gt;$AA$5),"Outlier","Normal")</f>
        <v>Normal</v>
      </c>
    </row>
    <row r="1820" spans="1:24" x14ac:dyDescent="0.15">
      <c r="A1820">
        <v>1819</v>
      </c>
      <c r="B1820" t="s">
        <v>20</v>
      </c>
      <c r="C1820" t="s">
        <v>23</v>
      </c>
      <c r="D1820" t="s">
        <v>22</v>
      </c>
      <c r="E1820">
        <v>43030</v>
      </c>
      <c r="F1820">
        <v>625</v>
      </c>
      <c r="G1820">
        <v>50</v>
      </c>
      <c r="H1820">
        <v>26</v>
      </c>
      <c r="I1820" t="s">
        <v>20</v>
      </c>
      <c r="J1820">
        <v>1</v>
      </c>
      <c r="K1820">
        <v>1</v>
      </c>
      <c r="L1820">
        <v>0</v>
      </c>
      <c r="M1820">
        <v>0</v>
      </c>
      <c r="N1820">
        <v>0</v>
      </c>
      <c r="O1820">
        <v>0</v>
      </c>
      <c r="P1820">
        <v>0</v>
      </c>
      <c r="Q1820">
        <v>0</v>
      </c>
      <c r="R1820">
        <v>300</v>
      </c>
      <c r="S1820">
        <v>300</v>
      </c>
      <c r="T1820">
        <v>0</v>
      </c>
      <c r="U1820" t="str">
        <f>IF(SeismicData[[#This Row],[class]]=1,"Dangerous","Safe")</f>
        <v>Safe</v>
      </c>
      <c r="V1820" t="str">
        <f>IF(SeismicData[[#This Row],[shift]]="W","Production","Non-Production")</f>
        <v>Production</v>
      </c>
      <c r="W1820" t="str">
        <f>IF(SeismicData[[#This Row],[genergy]]=0,"0","10^"&amp;INT(LOG10(SeismicData[[#This Row],[genergy]])))</f>
        <v>10^4</v>
      </c>
      <c r="X1820" t="str">
        <f>IF(OR(SeismicData[[#This Row],[genergy]]&lt;$AA$6,SeismicData[[#This Row],[genergy]]&gt;$AA$5),"Outlier","Normal")</f>
        <v>Normal</v>
      </c>
    </row>
    <row r="1821" spans="1:24" x14ac:dyDescent="0.15">
      <c r="A1821">
        <v>1820</v>
      </c>
      <c r="B1821" t="s">
        <v>20</v>
      </c>
      <c r="C1821" t="s">
        <v>23</v>
      </c>
      <c r="D1821" t="s">
        <v>22</v>
      </c>
      <c r="E1821">
        <v>34170</v>
      </c>
      <c r="F1821">
        <v>610</v>
      </c>
      <c r="G1821">
        <v>19</v>
      </c>
      <c r="H1821">
        <v>23</v>
      </c>
      <c r="I1821" t="s">
        <v>20</v>
      </c>
      <c r="J1821">
        <v>1</v>
      </c>
      <c r="K1821">
        <v>1</v>
      </c>
      <c r="L1821">
        <v>0</v>
      </c>
      <c r="M1821">
        <v>0</v>
      </c>
      <c r="N1821">
        <v>0</v>
      </c>
      <c r="O1821">
        <v>0</v>
      </c>
      <c r="P1821">
        <v>0</v>
      </c>
      <c r="Q1821">
        <v>0</v>
      </c>
      <c r="R1821">
        <v>500</v>
      </c>
      <c r="S1821">
        <v>500</v>
      </c>
      <c r="T1821">
        <v>0</v>
      </c>
      <c r="U1821" t="str">
        <f>IF(SeismicData[[#This Row],[class]]=1,"Dangerous","Safe")</f>
        <v>Safe</v>
      </c>
      <c r="V1821" t="str">
        <f>IF(SeismicData[[#This Row],[shift]]="W","Production","Non-Production")</f>
        <v>Production</v>
      </c>
      <c r="W1821" t="str">
        <f>IF(SeismicData[[#This Row],[genergy]]=0,"0","10^"&amp;INT(LOG10(SeismicData[[#This Row],[genergy]])))</f>
        <v>10^4</v>
      </c>
      <c r="X1821" t="str">
        <f>IF(OR(SeismicData[[#This Row],[genergy]]&lt;$AA$6,SeismicData[[#This Row],[genergy]]&gt;$AA$5),"Outlier","Normal")</f>
        <v>Normal</v>
      </c>
    </row>
    <row r="1822" spans="1:24" x14ac:dyDescent="0.15">
      <c r="A1822">
        <v>1821</v>
      </c>
      <c r="B1822" t="s">
        <v>20</v>
      </c>
      <c r="C1822" t="s">
        <v>23</v>
      </c>
      <c r="D1822" t="s">
        <v>21</v>
      </c>
      <c r="E1822">
        <v>24530</v>
      </c>
      <c r="F1822">
        <v>626</v>
      </c>
      <c r="G1822">
        <v>180</v>
      </c>
      <c r="H1822">
        <v>226</v>
      </c>
      <c r="I1822" t="s">
        <v>20</v>
      </c>
      <c r="J1822">
        <v>0</v>
      </c>
      <c r="K1822">
        <v>0</v>
      </c>
      <c r="L1822">
        <v>0</v>
      </c>
      <c r="M1822">
        <v>0</v>
      </c>
      <c r="N1822">
        <v>0</v>
      </c>
      <c r="O1822">
        <v>0</v>
      </c>
      <c r="P1822">
        <v>0</v>
      </c>
      <c r="Q1822">
        <v>0</v>
      </c>
      <c r="R1822">
        <v>0</v>
      </c>
      <c r="S1822">
        <v>0</v>
      </c>
      <c r="T1822">
        <v>0</v>
      </c>
      <c r="U1822" t="str">
        <f>IF(SeismicData[[#This Row],[class]]=1,"Dangerous","Safe")</f>
        <v>Safe</v>
      </c>
      <c r="V1822" t="str">
        <f>IF(SeismicData[[#This Row],[shift]]="W","Production","Non-Production")</f>
        <v>Non-Production</v>
      </c>
      <c r="W1822" t="str">
        <f>IF(SeismicData[[#This Row],[genergy]]=0,"0","10^"&amp;INT(LOG10(SeismicData[[#This Row],[genergy]])))</f>
        <v>10^4</v>
      </c>
      <c r="X1822" t="str">
        <f>IF(OR(SeismicData[[#This Row],[genergy]]&lt;$AA$6,SeismicData[[#This Row],[genergy]]&gt;$AA$5),"Outlier","Normal")</f>
        <v>Normal</v>
      </c>
    </row>
    <row r="1823" spans="1:24" x14ac:dyDescent="0.15">
      <c r="A1823">
        <v>1822</v>
      </c>
      <c r="B1823" t="s">
        <v>20</v>
      </c>
      <c r="C1823" t="s">
        <v>23</v>
      </c>
      <c r="D1823" t="s">
        <v>21</v>
      </c>
      <c r="E1823">
        <v>17930</v>
      </c>
      <c r="F1823">
        <v>347</v>
      </c>
      <c r="G1823">
        <v>668</v>
      </c>
      <c r="H1823">
        <v>323</v>
      </c>
      <c r="I1823" t="s">
        <v>24</v>
      </c>
      <c r="J1823">
        <v>0</v>
      </c>
      <c r="K1823">
        <v>0</v>
      </c>
      <c r="L1823">
        <v>0</v>
      </c>
      <c r="M1823">
        <v>0</v>
      </c>
      <c r="N1823">
        <v>0</v>
      </c>
      <c r="O1823">
        <v>0</v>
      </c>
      <c r="P1823">
        <v>0</v>
      </c>
      <c r="Q1823">
        <v>0</v>
      </c>
      <c r="R1823">
        <v>0</v>
      </c>
      <c r="S1823">
        <v>0</v>
      </c>
      <c r="T1823">
        <v>0</v>
      </c>
      <c r="U1823" t="str">
        <f>IF(SeismicData[[#This Row],[class]]=1,"Dangerous","Safe")</f>
        <v>Safe</v>
      </c>
      <c r="V1823" t="str">
        <f>IF(SeismicData[[#This Row],[shift]]="W","Production","Non-Production")</f>
        <v>Non-Production</v>
      </c>
      <c r="W1823" t="str">
        <f>IF(SeismicData[[#This Row],[genergy]]=0,"0","10^"&amp;INT(LOG10(SeismicData[[#This Row],[genergy]])))</f>
        <v>10^4</v>
      </c>
      <c r="X1823" t="str">
        <f>IF(OR(SeismicData[[#This Row],[genergy]]&lt;$AA$6,SeismicData[[#This Row],[genergy]]&gt;$AA$5),"Outlier","Normal")</f>
        <v>Normal</v>
      </c>
    </row>
    <row r="1824" spans="1:24" x14ac:dyDescent="0.15">
      <c r="A1824">
        <v>1823</v>
      </c>
      <c r="B1824" t="s">
        <v>20</v>
      </c>
      <c r="C1824" t="s">
        <v>23</v>
      </c>
      <c r="D1824" t="s">
        <v>21</v>
      </c>
      <c r="E1824">
        <v>16060</v>
      </c>
      <c r="F1824">
        <v>335</v>
      </c>
      <c r="G1824">
        <v>83</v>
      </c>
      <c r="H1824">
        <v>74</v>
      </c>
      <c r="I1824" t="s">
        <v>20</v>
      </c>
      <c r="J1824">
        <v>0</v>
      </c>
      <c r="K1824">
        <v>0</v>
      </c>
      <c r="L1824">
        <v>0</v>
      </c>
      <c r="M1824">
        <v>0</v>
      </c>
      <c r="N1824">
        <v>0</v>
      </c>
      <c r="O1824">
        <v>0</v>
      </c>
      <c r="P1824">
        <v>0</v>
      </c>
      <c r="Q1824">
        <v>0</v>
      </c>
      <c r="R1824">
        <v>0</v>
      </c>
      <c r="S1824">
        <v>0</v>
      </c>
      <c r="T1824">
        <v>0</v>
      </c>
      <c r="U1824" t="str">
        <f>IF(SeismicData[[#This Row],[class]]=1,"Dangerous","Safe")</f>
        <v>Safe</v>
      </c>
      <c r="V1824" t="str">
        <f>IF(SeismicData[[#This Row],[shift]]="W","Production","Non-Production")</f>
        <v>Non-Production</v>
      </c>
      <c r="W1824" t="str">
        <f>IF(SeismicData[[#This Row],[genergy]]=0,"0","10^"&amp;INT(LOG10(SeismicData[[#This Row],[genergy]])))</f>
        <v>10^4</v>
      </c>
      <c r="X1824" t="str">
        <f>IF(OR(SeismicData[[#This Row],[genergy]]&lt;$AA$6,SeismicData[[#This Row],[genergy]]&gt;$AA$5),"Outlier","Normal")</f>
        <v>Normal</v>
      </c>
    </row>
    <row r="1825" spans="1:24" x14ac:dyDescent="0.15">
      <c r="A1825">
        <v>1824</v>
      </c>
      <c r="B1825" t="s">
        <v>20</v>
      </c>
      <c r="C1825" t="s">
        <v>23</v>
      </c>
      <c r="D1825" t="s">
        <v>21</v>
      </c>
      <c r="E1825">
        <v>24150</v>
      </c>
      <c r="F1825">
        <v>364</v>
      </c>
      <c r="G1825">
        <v>176</v>
      </c>
      <c r="H1825">
        <v>90</v>
      </c>
      <c r="I1825" t="s">
        <v>20</v>
      </c>
      <c r="J1825">
        <v>1</v>
      </c>
      <c r="K1825">
        <v>0</v>
      </c>
      <c r="L1825">
        <v>1</v>
      </c>
      <c r="M1825">
        <v>0</v>
      </c>
      <c r="N1825">
        <v>0</v>
      </c>
      <c r="O1825">
        <v>0</v>
      </c>
      <c r="P1825">
        <v>0</v>
      </c>
      <c r="Q1825">
        <v>0</v>
      </c>
      <c r="R1825">
        <v>5000</v>
      </c>
      <c r="S1825">
        <v>5000</v>
      </c>
      <c r="T1825">
        <v>0</v>
      </c>
      <c r="U1825" t="str">
        <f>IF(SeismicData[[#This Row],[class]]=1,"Dangerous","Safe")</f>
        <v>Safe</v>
      </c>
      <c r="V1825" t="str">
        <f>IF(SeismicData[[#This Row],[shift]]="W","Production","Non-Production")</f>
        <v>Non-Production</v>
      </c>
      <c r="W1825" t="str">
        <f>IF(SeismicData[[#This Row],[genergy]]=0,"0","10^"&amp;INT(LOG10(SeismicData[[#This Row],[genergy]])))</f>
        <v>10^4</v>
      </c>
      <c r="X1825" t="str">
        <f>IF(OR(SeismicData[[#This Row],[genergy]]&lt;$AA$6,SeismicData[[#This Row],[genergy]]&gt;$AA$5),"Outlier","Normal")</f>
        <v>Normal</v>
      </c>
    </row>
    <row r="1826" spans="1:24" x14ac:dyDescent="0.15">
      <c r="A1826">
        <v>1825</v>
      </c>
      <c r="B1826" t="s">
        <v>20</v>
      </c>
      <c r="C1826" t="s">
        <v>23</v>
      </c>
      <c r="D1826" t="s">
        <v>22</v>
      </c>
      <c r="E1826">
        <v>17300</v>
      </c>
      <c r="F1826">
        <v>367</v>
      </c>
      <c r="G1826">
        <v>-40</v>
      </c>
      <c r="H1826">
        <v>-27</v>
      </c>
      <c r="I1826" t="s">
        <v>20</v>
      </c>
      <c r="J1826">
        <v>0</v>
      </c>
      <c r="K1826">
        <v>0</v>
      </c>
      <c r="L1826">
        <v>0</v>
      </c>
      <c r="M1826">
        <v>0</v>
      </c>
      <c r="N1826">
        <v>0</v>
      </c>
      <c r="O1826">
        <v>0</v>
      </c>
      <c r="P1826">
        <v>0</v>
      </c>
      <c r="Q1826">
        <v>0</v>
      </c>
      <c r="R1826">
        <v>0</v>
      </c>
      <c r="S1826">
        <v>0</v>
      </c>
      <c r="T1826">
        <v>0</v>
      </c>
      <c r="U1826" t="str">
        <f>IF(SeismicData[[#This Row],[class]]=1,"Dangerous","Safe")</f>
        <v>Safe</v>
      </c>
      <c r="V1826" t="str">
        <f>IF(SeismicData[[#This Row],[shift]]="W","Production","Non-Production")</f>
        <v>Production</v>
      </c>
      <c r="W1826" t="str">
        <f>IF(SeismicData[[#This Row],[genergy]]=0,"0","10^"&amp;INT(LOG10(SeismicData[[#This Row],[genergy]])))</f>
        <v>10^4</v>
      </c>
      <c r="X1826" t="str">
        <f>IF(OR(SeismicData[[#This Row],[genergy]]&lt;$AA$6,SeismicData[[#This Row],[genergy]]&gt;$AA$5),"Outlier","Normal")</f>
        <v>Normal</v>
      </c>
    </row>
    <row r="1827" spans="1:24" x14ac:dyDescent="0.15">
      <c r="A1827">
        <v>1826</v>
      </c>
      <c r="B1827" t="s">
        <v>20</v>
      </c>
      <c r="C1827" t="s">
        <v>23</v>
      </c>
      <c r="D1827" t="s">
        <v>22</v>
      </c>
      <c r="E1827">
        <v>59840</v>
      </c>
      <c r="F1827">
        <v>696</v>
      </c>
      <c r="G1827">
        <v>124</v>
      </c>
      <c r="H1827">
        <v>7</v>
      </c>
      <c r="I1827" t="s">
        <v>20</v>
      </c>
      <c r="J1827">
        <v>2</v>
      </c>
      <c r="K1827">
        <v>1</v>
      </c>
      <c r="L1827">
        <v>1</v>
      </c>
      <c r="M1827">
        <v>0</v>
      </c>
      <c r="N1827">
        <v>0</v>
      </c>
      <c r="O1827">
        <v>0</v>
      </c>
      <c r="P1827">
        <v>0</v>
      </c>
      <c r="Q1827">
        <v>0</v>
      </c>
      <c r="R1827">
        <v>6300</v>
      </c>
      <c r="S1827">
        <v>6000</v>
      </c>
      <c r="T1827">
        <v>1</v>
      </c>
      <c r="U1827" t="str">
        <f>IF(SeismicData[[#This Row],[class]]=1,"Dangerous","Safe")</f>
        <v>Dangerous</v>
      </c>
      <c r="V1827" t="str">
        <f>IF(SeismicData[[#This Row],[shift]]="W","Production","Non-Production")</f>
        <v>Production</v>
      </c>
      <c r="W1827" t="str">
        <f>IF(SeismicData[[#This Row],[genergy]]=0,"0","10^"&amp;INT(LOG10(SeismicData[[#This Row],[genergy]])))</f>
        <v>10^4</v>
      </c>
      <c r="X1827" t="str">
        <f>IF(OR(SeismicData[[#This Row],[genergy]]&lt;$AA$6,SeismicData[[#This Row],[genergy]]&gt;$AA$5),"Outlier","Normal")</f>
        <v>Normal</v>
      </c>
    </row>
    <row r="1828" spans="1:24" x14ac:dyDescent="0.15">
      <c r="A1828">
        <v>1827</v>
      </c>
      <c r="B1828" t="s">
        <v>20</v>
      </c>
      <c r="C1828" t="s">
        <v>23</v>
      </c>
      <c r="D1828" t="s">
        <v>22</v>
      </c>
      <c r="E1828">
        <v>52200</v>
      </c>
      <c r="F1828">
        <v>828</v>
      </c>
      <c r="G1828">
        <v>95</v>
      </c>
      <c r="H1828">
        <v>27</v>
      </c>
      <c r="I1828" t="s">
        <v>20</v>
      </c>
      <c r="J1828">
        <v>1</v>
      </c>
      <c r="K1828">
        <v>0</v>
      </c>
      <c r="L1828">
        <v>0</v>
      </c>
      <c r="M1828">
        <v>1</v>
      </c>
      <c r="N1828">
        <v>0</v>
      </c>
      <c r="O1828">
        <v>0</v>
      </c>
      <c r="P1828">
        <v>0</v>
      </c>
      <c r="Q1828">
        <v>0</v>
      </c>
      <c r="R1828">
        <v>10000</v>
      </c>
      <c r="S1828">
        <v>10000</v>
      </c>
      <c r="T1828">
        <v>0</v>
      </c>
      <c r="U1828" t="str">
        <f>IF(SeismicData[[#This Row],[class]]=1,"Dangerous","Safe")</f>
        <v>Safe</v>
      </c>
      <c r="V1828" t="str">
        <f>IF(SeismicData[[#This Row],[shift]]="W","Production","Non-Production")</f>
        <v>Production</v>
      </c>
      <c r="W1828" t="str">
        <f>IF(SeismicData[[#This Row],[genergy]]=0,"0","10^"&amp;INT(LOG10(SeismicData[[#This Row],[genergy]])))</f>
        <v>10^4</v>
      </c>
      <c r="X1828" t="str">
        <f>IF(OR(SeismicData[[#This Row],[genergy]]&lt;$AA$6,SeismicData[[#This Row],[genergy]]&gt;$AA$5),"Outlier","Normal")</f>
        <v>Normal</v>
      </c>
    </row>
    <row r="1829" spans="1:24" x14ac:dyDescent="0.15">
      <c r="A1829">
        <v>1828</v>
      </c>
      <c r="B1829" t="s">
        <v>20</v>
      </c>
      <c r="C1829" t="s">
        <v>23</v>
      </c>
      <c r="D1829" t="s">
        <v>22</v>
      </c>
      <c r="E1829">
        <v>29800</v>
      </c>
      <c r="F1829">
        <v>627</v>
      </c>
      <c r="G1829">
        <v>12</v>
      </c>
      <c r="H1829">
        <v>-4</v>
      </c>
      <c r="I1829" t="s">
        <v>20</v>
      </c>
      <c r="J1829">
        <v>0</v>
      </c>
      <c r="K1829">
        <v>0</v>
      </c>
      <c r="L1829">
        <v>0</v>
      </c>
      <c r="M1829">
        <v>0</v>
      </c>
      <c r="N1829">
        <v>0</v>
      </c>
      <c r="O1829">
        <v>0</v>
      </c>
      <c r="P1829">
        <v>0</v>
      </c>
      <c r="Q1829">
        <v>0</v>
      </c>
      <c r="R1829">
        <v>0</v>
      </c>
      <c r="S1829">
        <v>0</v>
      </c>
      <c r="T1829">
        <v>0</v>
      </c>
      <c r="U1829" t="str">
        <f>IF(SeismicData[[#This Row],[class]]=1,"Dangerous","Safe")</f>
        <v>Safe</v>
      </c>
      <c r="V1829" t="str">
        <f>IF(SeismicData[[#This Row],[shift]]="W","Production","Non-Production")</f>
        <v>Production</v>
      </c>
      <c r="W1829" t="str">
        <f>IF(SeismicData[[#This Row],[genergy]]=0,"0","10^"&amp;INT(LOG10(SeismicData[[#This Row],[genergy]])))</f>
        <v>10^4</v>
      </c>
      <c r="X1829" t="str">
        <f>IF(OR(SeismicData[[#This Row],[genergy]]&lt;$AA$6,SeismicData[[#This Row],[genergy]]&gt;$AA$5),"Outlier","Normal")</f>
        <v>Normal</v>
      </c>
    </row>
    <row r="1830" spans="1:24" x14ac:dyDescent="0.15">
      <c r="A1830">
        <v>1829</v>
      </c>
      <c r="B1830" t="s">
        <v>20</v>
      </c>
      <c r="C1830" t="s">
        <v>23</v>
      </c>
      <c r="D1830" t="s">
        <v>22</v>
      </c>
      <c r="E1830">
        <v>55310</v>
      </c>
      <c r="F1830">
        <v>644</v>
      </c>
      <c r="G1830">
        <v>107</v>
      </c>
      <c r="H1830">
        <v>-1</v>
      </c>
      <c r="I1830" t="s">
        <v>20</v>
      </c>
      <c r="J1830">
        <v>3</v>
      </c>
      <c r="K1830">
        <v>2</v>
      </c>
      <c r="L1830">
        <v>1</v>
      </c>
      <c r="M1830">
        <v>0</v>
      </c>
      <c r="N1830">
        <v>0</v>
      </c>
      <c r="O1830">
        <v>0</v>
      </c>
      <c r="P1830">
        <v>0</v>
      </c>
      <c r="Q1830">
        <v>0</v>
      </c>
      <c r="R1830">
        <v>4900</v>
      </c>
      <c r="S1830">
        <v>4000</v>
      </c>
      <c r="T1830">
        <v>0</v>
      </c>
      <c r="U1830" t="str">
        <f>IF(SeismicData[[#This Row],[class]]=1,"Dangerous","Safe")</f>
        <v>Safe</v>
      </c>
      <c r="V1830" t="str">
        <f>IF(SeismicData[[#This Row],[shift]]="W","Production","Non-Production")</f>
        <v>Production</v>
      </c>
      <c r="W1830" t="str">
        <f>IF(SeismicData[[#This Row],[genergy]]=0,"0","10^"&amp;INT(LOG10(SeismicData[[#This Row],[genergy]])))</f>
        <v>10^4</v>
      </c>
      <c r="X1830" t="str">
        <f>IF(OR(SeismicData[[#This Row],[genergy]]&lt;$AA$6,SeismicData[[#This Row],[genergy]]&gt;$AA$5),"Outlier","Normal")</f>
        <v>Normal</v>
      </c>
    </row>
    <row r="1831" spans="1:24" x14ac:dyDescent="0.15">
      <c r="A1831">
        <v>1830</v>
      </c>
      <c r="B1831" t="s">
        <v>20</v>
      </c>
      <c r="C1831" t="s">
        <v>23</v>
      </c>
      <c r="D1831" t="s">
        <v>22</v>
      </c>
      <c r="E1831">
        <v>40480</v>
      </c>
      <c r="F1831">
        <v>639</v>
      </c>
      <c r="G1831">
        <v>51</v>
      </c>
      <c r="H1831">
        <v>-2</v>
      </c>
      <c r="I1831" t="s">
        <v>20</v>
      </c>
      <c r="J1831">
        <v>0</v>
      </c>
      <c r="K1831">
        <v>0</v>
      </c>
      <c r="L1831">
        <v>0</v>
      </c>
      <c r="M1831">
        <v>0</v>
      </c>
      <c r="N1831">
        <v>0</v>
      </c>
      <c r="O1831">
        <v>0</v>
      </c>
      <c r="P1831">
        <v>0</v>
      </c>
      <c r="Q1831">
        <v>0</v>
      </c>
      <c r="R1831">
        <v>0</v>
      </c>
      <c r="S1831">
        <v>0</v>
      </c>
      <c r="T1831">
        <v>0</v>
      </c>
      <c r="U1831" t="str">
        <f>IF(SeismicData[[#This Row],[class]]=1,"Dangerous","Safe")</f>
        <v>Safe</v>
      </c>
      <c r="V1831" t="str">
        <f>IF(SeismicData[[#This Row],[shift]]="W","Production","Non-Production")</f>
        <v>Production</v>
      </c>
      <c r="W1831" t="str">
        <f>IF(SeismicData[[#This Row],[genergy]]=0,"0","10^"&amp;INT(LOG10(SeismicData[[#This Row],[genergy]])))</f>
        <v>10^4</v>
      </c>
      <c r="X1831" t="str">
        <f>IF(OR(SeismicData[[#This Row],[genergy]]&lt;$AA$6,SeismicData[[#This Row],[genergy]]&gt;$AA$5),"Outlier","Normal")</f>
        <v>Normal</v>
      </c>
    </row>
    <row r="1832" spans="1:24" x14ac:dyDescent="0.15">
      <c r="A1832">
        <v>1831</v>
      </c>
      <c r="B1832" t="s">
        <v>20</v>
      </c>
      <c r="C1832" t="s">
        <v>23</v>
      </c>
      <c r="D1832" t="s">
        <v>22</v>
      </c>
      <c r="E1832">
        <v>32830</v>
      </c>
      <c r="F1832">
        <v>1134</v>
      </c>
      <c r="G1832">
        <v>17</v>
      </c>
      <c r="H1832">
        <v>75</v>
      </c>
      <c r="I1832" t="s">
        <v>23</v>
      </c>
      <c r="J1832">
        <v>0</v>
      </c>
      <c r="K1832">
        <v>0</v>
      </c>
      <c r="L1832">
        <v>0</v>
      </c>
      <c r="M1832">
        <v>0</v>
      </c>
      <c r="N1832">
        <v>0</v>
      </c>
      <c r="O1832">
        <v>0</v>
      </c>
      <c r="P1832">
        <v>0</v>
      </c>
      <c r="Q1832">
        <v>0</v>
      </c>
      <c r="R1832">
        <v>0</v>
      </c>
      <c r="S1832">
        <v>0</v>
      </c>
      <c r="T1832">
        <v>0</v>
      </c>
      <c r="U1832" t="str">
        <f>IF(SeismicData[[#This Row],[class]]=1,"Dangerous","Safe")</f>
        <v>Safe</v>
      </c>
      <c r="V1832" t="str">
        <f>IF(SeismicData[[#This Row],[shift]]="W","Production","Non-Production")</f>
        <v>Production</v>
      </c>
      <c r="W1832" t="str">
        <f>IF(SeismicData[[#This Row],[genergy]]=0,"0","10^"&amp;INT(LOG10(SeismicData[[#This Row],[genergy]])))</f>
        <v>10^4</v>
      </c>
      <c r="X1832" t="str">
        <f>IF(OR(SeismicData[[#This Row],[genergy]]&lt;$AA$6,SeismicData[[#This Row],[genergy]]&gt;$AA$5),"Outlier","Normal")</f>
        <v>Normal</v>
      </c>
    </row>
    <row r="1833" spans="1:24" x14ac:dyDescent="0.15">
      <c r="A1833">
        <v>1832</v>
      </c>
      <c r="B1833" t="s">
        <v>20</v>
      </c>
      <c r="C1833" t="s">
        <v>23</v>
      </c>
      <c r="D1833" t="s">
        <v>22</v>
      </c>
      <c r="E1833">
        <v>34660</v>
      </c>
      <c r="F1833">
        <v>516</v>
      </c>
      <c r="G1833">
        <v>23</v>
      </c>
      <c r="H1833">
        <v>-20</v>
      </c>
      <c r="I1833" t="s">
        <v>23</v>
      </c>
      <c r="J1833">
        <v>0</v>
      </c>
      <c r="K1833">
        <v>0</v>
      </c>
      <c r="L1833">
        <v>0</v>
      </c>
      <c r="M1833">
        <v>0</v>
      </c>
      <c r="N1833">
        <v>0</v>
      </c>
      <c r="O1833">
        <v>0</v>
      </c>
      <c r="P1833">
        <v>0</v>
      </c>
      <c r="Q1833">
        <v>0</v>
      </c>
      <c r="R1833">
        <v>0</v>
      </c>
      <c r="S1833">
        <v>0</v>
      </c>
      <c r="T1833">
        <v>0</v>
      </c>
      <c r="U1833" t="str">
        <f>IF(SeismicData[[#This Row],[class]]=1,"Dangerous","Safe")</f>
        <v>Safe</v>
      </c>
      <c r="V1833" t="str">
        <f>IF(SeismicData[[#This Row],[shift]]="W","Production","Non-Production")</f>
        <v>Production</v>
      </c>
      <c r="W1833" t="str">
        <f>IF(SeismicData[[#This Row],[genergy]]=0,"0","10^"&amp;INT(LOG10(SeismicData[[#This Row],[genergy]])))</f>
        <v>10^4</v>
      </c>
      <c r="X1833" t="str">
        <f>IF(OR(SeismicData[[#This Row],[genergy]]&lt;$AA$6,SeismicData[[#This Row],[genergy]]&gt;$AA$5),"Outlier","Normal")</f>
        <v>Normal</v>
      </c>
    </row>
    <row r="1834" spans="1:24" x14ac:dyDescent="0.15">
      <c r="A1834">
        <v>1833</v>
      </c>
      <c r="B1834" t="s">
        <v>20</v>
      </c>
      <c r="C1834" t="s">
        <v>23</v>
      </c>
      <c r="D1834" t="s">
        <v>22</v>
      </c>
      <c r="E1834">
        <v>35940</v>
      </c>
      <c r="F1834">
        <v>609</v>
      </c>
      <c r="G1834">
        <v>28</v>
      </c>
      <c r="H1834">
        <v>-6</v>
      </c>
      <c r="I1834" t="s">
        <v>23</v>
      </c>
      <c r="J1834">
        <v>0</v>
      </c>
      <c r="K1834">
        <v>0</v>
      </c>
      <c r="L1834">
        <v>0</v>
      </c>
      <c r="M1834">
        <v>0</v>
      </c>
      <c r="N1834">
        <v>0</v>
      </c>
      <c r="O1834">
        <v>0</v>
      </c>
      <c r="P1834">
        <v>0</v>
      </c>
      <c r="Q1834">
        <v>0</v>
      </c>
      <c r="R1834">
        <v>0</v>
      </c>
      <c r="S1834">
        <v>0</v>
      </c>
      <c r="T1834">
        <v>0</v>
      </c>
      <c r="U1834" t="str">
        <f>IF(SeismicData[[#This Row],[class]]=1,"Dangerous","Safe")</f>
        <v>Safe</v>
      </c>
      <c r="V1834" t="str">
        <f>IF(SeismicData[[#This Row],[shift]]="W","Production","Non-Production")</f>
        <v>Production</v>
      </c>
      <c r="W1834" t="str">
        <f>IF(SeismicData[[#This Row],[genergy]]=0,"0","10^"&amp;INT(LOG10(SeismicData[[#This Row],[genergy]])))</f>
        <v>10^4</v>
      </c>
      <c r="X1834" t="str">
        <f>IF(OR(SeismicData[[#This Row],[genergy]]&lt;$AA$6,SeismicData[[#This Row],[genergy]]&gt;$AA$5),"Outlier","Normal")</f>
        <v>Normal</v>
      </c>
    </row>
    <row r="1835" spans="1:24" x14ac:dyDescent="0.15">
      <c r="A1835">
        <v>1834</v>
      </c>
      <c r="B1835" t="s">
        <v>20</v>
      </c>
      <c r="C1835" t="s">
        <v>23</v>
      </c>
      <c r="D1835" t="s">
        <v>22</v>
      </c>
      <c r="E1835">
        <v>25490</v>
      </c>
      <c r="F1835">
        <v>546</v>
      </c>
      <c r="G1835">
        <v>-18</v>
      </c>
      <c r="H1835">
        <v>2</v>
      </c>
      <c r="I1835" t="s">
        <v>20</v>
      </c>
      <c r="J1835">
        <v>0</v>
      </c>
      <c r="K1835">
        <v>0</v>
      </c>
      <c r="L1835">
        <v>0</v>
      </c>
      <c r="M1835">
        <v>0</v>
      </c>
      <c r="N1835">
        <v>0</v>
      </c>
      <c r="O1835">
        <v>0</v>
      </c>
      <c r="P1835">
        <v>0</v>
      </c>
      <c r="Q1835">
        <v>0</v>
      </c>
      <c r="R1835">
        <v>0</v>
      </c>
      <c r="S1835">
        <v>0</v>
      </c>
      <c r="T1835">
        <v>0</v>
      </c>
      <c r="U1835" t="str">
        <f>IF(SeismicData[[#This Row],[class]]=1,"Dangerous","Safe")</f>
        <v>Safe</v>
      </c>
      <c r="V1835" t="str">
        <f>IF(SeismicData[[#This Row],[shift]]="W","Production","Non-Production")</f>
        <v>Production</v>
      </c>
      <c r="W1835" t="str">
        <f>IF(SeismicData[[#This Row],[genergy]]=0,"0","10^"&amp;INT(LOG10(SeismicData[[#This Row],[genergy]])))</f>
        <v>10^4</v>
      </c>
      <c r="X1835" t="str">
        <f>IF(OR(SeismicData[[#This Row],[genergy]]&lt;$AA$6,SeismicData[[#This Row],[genergy]]&gt;$AA$5),"Outlier","Normal")</f>
        <v>Normal</v>
      </c>
    </row>
    <row r="1836" spans="1:24" x14ac:dyDescent="0.15">
      <c r="A1836">
        <v>1835</v>
      </c>
      <c r="B1836" t="s">
        <v>20</v>
      </c>
      <c r="C1836" t="s">
        <v>23</v>
      </c>
      <c r="D1836" t="s">
        <v>22</v>
      </c>
      <c r="E1836">
        <v>22830</v>
      </c>
      <c r="F1836">
        <v>467</v>
      </c>
      <c r="G1836">
        <v>-19</v>
      </c>
      <c r="H1836">
        <v>-28</v>
      </c>
      <c r="I1836" t="s">
        <v>23</v>
      </c>
      <c r="J1836">
        <v>1</v>
      </c>
      <c r="K1836">
        <v>1</v>
      </c>
      <c r="L1836">
        <v>0</v>
      </c>
      <c r="M1836">
        <v>0</v>
      </c>
      <c r="N1836">
        <v>0</v>
      </c>
      <c r="O1836">
        <v>0</v>
      </c>
      <c r="P1836">
        <v>0</v>
      </c>
      <c r="Q1836">
        <v>0</v>
      </c>
      <c r="R1836">
        <v>500</v>
      </c>
      <c r="S1836">
        <v>500</v>
      </c>
      <c r="T1836">
        <v>0</v>
      </c>
      <c r="U1836" t="str">
        <f>IF(SeismicData[[#This Row],[class]]=1,"Dangerous","Safe")</f>
        <v>Safe</v>
      </c>
      <c r="V1836" t="str">
        <f>IF(SeismicData[[#This Row],[shift]]="W","Production","Non-Production")</f>
        <v>Production</v>
      </c>
      <c r="W1836" t="str">
        <f>IF(SeismicData[[#This Row],[genergy]]=0,"0","10^"&amp;INT(LOG10(SeismicData[[#This Row],[genergy]])))</f>
        <v>10^4</v>
      </c>
      <c r="X1836" t="str">
        <f>IF(OR(SeismicData[[#This Row],[genergy]]&lt;$AA$6,SeismicData[[#This Row],[genergy]]&gt;$AA$5),"Outlier","Normal")</f>
        <v>Normal</v>
      </c>
    </row>
    <row r="1837" spans="1:24" x14ac:dyDescent="0.15">
      <c r="A1837">
        <v>1836</v>
      </c>
      <c r="B1837" t="s">
        <v>20</v>
      </c>
      <c r="C1837" t="s">
        <v>23</v>
      </c>
      <c r="D1837" t="s">
        <v>22</v>
      </c>
      <c r="E1837">
        <v>66030</v>
      </c>
      <c r="F1837">
        <v>812</v>
      </c>
      <c r="G1837">
        <v>112</v>
      </c>
      <c r="H1837">
        <v>52</v>
      </c>
      <c r="I1837" t="s">
        <v>20</v>
      </c>
      <c r="J1837">
        <v>0</v>
      </c>
      <c r="K1837">
        <v>0</v>
      </c>
      <c r="L1837">
        <v>0</v>
      </c>
      <c r="M1837">
        <v>0</v>
      </c>
      <c r="N1837">
        <v>0</v>
      </c>
      <c r="O1837">
        <v>0</v>
      </c>
      <c r="P1837">
        <v>0</v>
      </c>
      <c r="Q1837">
        <v>0</v>
      </c>
      <c r="R1837">
        <v>0</v>
      </c>
      <c r="S1837">
        <v>0</v>
      </c>
      <c r="T1837">
        <v>1</v>
      </c>
      <c r="U1837" t="str">
        <f>IF(SeismicData[[#This Row],[class]]=1,"Dangerous","Safe")</f>
        <v>Dangerous</v>
      </c>
      <c r="V1837" t="str">
        <f>IF(SeismicData[[#This Row],[shift]]="W","Production","Non-Production")</f>
        <v>Production</v>
      </c>
      <c r="W1837" t="str">
        <f>IF(SeismicData[[#This Row],[genergy]]=0,"0","10^"&amp;INT(LOG10(SeismicData[[#This Row],[genergy]])))</f>
        <v>10^4</v>
      </c>
      <c r="X1837" t="str">
        <f>IF(OR(SeismicData[[#This Row],[genergy]]&lt;$AA$6,SeismicData[[#This Row],[genergy]]&gt;$AA$5),"Outlier","Normal")</f>
        <v>Normal</v>
      </c>
    </row>
    <row r="1838" spans="1:24" x14ac:dyDescent="0.15">
      <c r="A1838">
        <v>1837</v>
      </c>
      <c r="B1838" t="s">
        <v>20</v>
      </c>
      <c r="C1838" t="s">
        <v>23</v>
      </c>
      <c r="D1838" t="s">
        <v>22</v>
      </c>
      <c r="E1838">
        <v>67360</v>
      </c>
      <c r="F1838">
        <v>1525</v>
      </c>
      <c r="G1838">
        <v>139</v>
      </c>
      <c r="H1838">
        <v>135</v>
      </c>
      <c r="I1838" t="s">
        <v>23</v>
      </c>
      <c r="J1838">
        <v>2</v>
      </c>
      <c r="K1838">
        <v>1</v>
      </c>
      <c r="L1838">
        <v>0</v>
      </c>
      <c r="M1838">
        <v>1</v>
      </c>
      <c r="N1838">
        <v>0</v>
      </c>
      <c r="O1838">
        <v>0</v>
      </c>
      <c r="P1838">
        <v>0</v>
      </c>
      <c r="Q1838">
        <v>0</v>
      </c>
      <c r="R1838">
        <v>80200</v>
      </c>
      <c r="S1838">
        <v>80000</v>
      </c>
      <c r="T1838">
        <v>0</v>
      </c>
      <c r="U1838" t="str">
        <f>IF(SeismicData[[#This Row],[class]]=1,"Dangerous","Safe")</f>
        <v>Safe</v>
      </c>
      <c r="V1838" t="str">
        <f>IF(SeismicData[[#This Row],[shift]]="W","Production","Non-Production")</f>
        <v>Production</v>
      </c>
      <c r="W1838" t="str">
        <f>IF(SeismicData[[#This Row],[genergy]]=0,"0","10^"&amp;INT(LOG10(SeismicData[[#This Row],[genergy]])))</f>
        <v>10^4</v>
      </c>
      <c r="X1838" t="str">
        <f>IF(OR(SeismicData[[#This Row],[genergy]]&lt;$AA$6,SeismicData[[#This Row],[genergy]]&gt;$AA$5),"Outlier","Normal")</f>
        <v>Normal</v>
      </c>
    </row>
    <row r="1839" spans="1:24" x14ac:dyDescent="0.15">
      <c r="A1839">
        <v>1838</v>
      </c>
      <c r="B1839" t="s">
        <v>20</v>
      </c>
      <c r="C1839" t="s">
        <v>23</v>
      </c>
      <c r="D1839" t="s">
        <v>22</v>
      </c>
      <c r="E1839">
        <v>35800</v>
      </c>
      <c r="F1839">
        <v>722</v>
      </c>
      <c r="G1839">
        <v>27</v>
      </c>
      <c r="H1839">
        <v>11</v>
      </c>
      <c r="I1839" t="s">
        <v>23</v>
      </c>
      <c r="J1839">
        <v>0</v>
      </c>
      <c r="K1839">
        <v>0</v>
      </c>
      <c r="L1839">
        <v>0</v>
      </c>
      <c r="M1839">
        <v>0</v>
      </c>
      <c r="N1839">
        <v>0</v>
      </c>
      <c r="O1839">
        <v>0</v>
      </c>
      <c r="P1839">
        <v>0</v>
      </c>
      <c r="Q1839">
        <v>0</v>
      </c>
      <c r="R1839">
        <v>0</v>
      </c>
      <c r="S1839">
        <v>0</v>
      </c>
      <c r="T1839">
        <v>0</v>
      </c>
      <c r="U1839" t="str">
        <f>IF(SeismicData[[#This Row],[class]]=1,"Dangerous","Safe")</f>
        <v>Safe</v>
      </c>
      <c r="V1839" t="str">
        <f>IF(SeismicData[[#This Row],[shift]]="W","Production","Non-Production")</f>
        <v>Production</v>
      </c>
      <c r="W1839" t="str">
        <f>IF(SeismicData[[#This Row],[genergy]]=0,"0","10^"&amp;INT(LOG10(SeismicData[[#This Row],[genergy]])))</f>
        <v>10^4</v>
      </c>
      <c r="X1839" t="str">
        <f>IF(OR(SeismicData[[#This Row],[genergy]]&lt;$AA$6,SeismicData[[#This Row],[genergy]]&gt;$AA$5),"Outlier","Normal")</f>
        <v>Normal</v>
      </c>
    </row>
    <row r="1840" spans="1:24" x14ac:dyDescent="0.15">
      <c r="A1840">
        <v>1839</v>
      </c>
      <c r="B1840" t="s">
        <v>23</v>
      </c>
      <c r="C1840" t="s">
        <v>23</v>
      </c>
      <c r="D1840" t="s">
        <v>22</v>
      </c>
      <c r="E1840">
        <v>21220</v>
      </c>
      <c r="F1840">
        <v>540</v>
      </c>
      <c r="G1840">
        <v>-26</v>
      </c>
      <c r="H1840">
        <v>-14</v>
      </c>
      <c r="I1840" t="s">
        <v>23</v>
      </c>
      <c r="J1840">
        <v>0</v>
      </c>
      <c r="K1840">
        <v>0</v>
      </c>
      <c r="L1840">
        <v>0</v>
      </c>
      <c r="M1840">
        <v>0</v>
      </c>
      <c r="N1840">
        <v>0</v>
      </c>
      <c r="O1840">
        <v>0</v>
      </c>
      <c r="P1840">
        <v>0</v>
      </c>
      <c r="Q1840">
        <v>0</v>
      </c>
      <c r="R1840">
        <v>0</v>
      </c>
      <c r="S1840">
        <v>0</v>
      </c>
      <c r="T1840">
        <v>1</v>
      </c>
      <c r="U1840" t="str">
        <f>IF(SeismicData[[#This Row],[class]]=1,"Dangerous","Safe")</f>
        <v>Dangerous</v>
      </c>
      <c r="V1840" t="str">
        <f>IF(SeismicData[[#This Row],[shift]]="W","Production","Non-Production")</f>
        <v>Production</v>
      </c>
      <c r="W1840" t="str">
        <f>IF(SeismicData[[#This Row],[genergy]]=0,"0","10^"&amp;INT(LOG10(SeismicData[[#This Row],[genergy]])))</f>
        <v>10^4</v>
      </c>
      <c r="X1840" t="str">
        <f>IF(OR(SeismicData[[#This Row],[genergy]]&lt;$AA$6,SeismicData[[#This Row],[genergy]]&gt;$AA$5),"Outlier","Normal")</f>
        <v>Normal</v>
      </c>
    </row>
    <row r="1841" spans="1:24" x14ac:dyDescent="0.15">
      <c r="A1841">
        <v>1840</v>
      </c>
      <c r="B1841" t="s">
        <v>23</v>
      </c>
      <c r="C1841" t="s">
        <v>23</v>
      </c>
      <c r="D1841" t="s">
        <v>22</v>
      </c>
      <c r="E1841">
        <v>32780</v>
      </c>
      <c r="F1841">
        <v>677</v>
      </c>
      <c r="G1841">
        <v>15</v>
      </c>
      <c r="H1841">
        <v>8</v>
      </c>
      <c r="I1841" t="s">
        <v>23</v>
      </c>
      <c r="J1841">
        <v>1</v>
      </c>
      <c r="K1841">
        <v>0</v>
      </c>
      <c r="L1841">
        <v>0</v>
      </c>
      <c r="M1841">
        <v>1</v>
      </c>
      <c r="N1841">
        <v>0</v>
      </c>
      <c r="O1841">
        <v>0</v>
      </c>
      <c r="P1841">
        <v>0</v>
      </c>
      <c r="Q1841">
        <v>0</v>
      </c>
      <c r="R1841">
        <v>10000</v>
      </c>
      <c r="S1841">
        <v>10000</v>
      </c>
      <c r="T1841">
        <v>0</v>
      </c>
      <c r="U1841" t="str">
        <f>IF(SeismicData[[#This Row],[class]]=1,"Dangerous","Safe")</f>
        <v>Safe</v>
      </c>
      <c r="V1841" t="str">
        <f>IF(SeismicData[[#This Row],[shift]]="W","Production","Non-Production")</f>
        <v>Production</v>
      </c>
      <c r="W1841" t="str">
        <f>IF(SeismicData[[#This Row],[genergy]]=0,"0","10^"&amp;INT(LOG10(SeismicData[[#This Row],[genergy]])))</f>
        <v>10^4</v>
      </c>
      <c r="X1841" t="str">
        <f>IF(OR(SeismicData[[#This Row],[genergy]]&lt;$AA$6,SeismicData[[#This Row],[genergy]]&gt;$AA$5),"Outlier","Normal")</f>
        <v>Normal</v>
      </c>
    </row>
    <row r="1842" spans="1:24" x14ac:dyDescent="0.15">
      <c r="A1842">
        <v>1841</v>
      </c>
      <c r="B1842" t="s">
        <v>23</v>
      </c>
      <c r="C1842" t="s">
        <v>23</v>
      </c>
      <c r="D1842" t="s">
        <v>22</v>
      </c>
      <c r="E1842">
        <v>51410</v>
      </c>
      <c r="F1842">
        <v>922</v>
      </c>
      <c r="G1842">
        <v>80</v>
      </c>
      <c r="H1842">
        <v>47</v>
      </c>
      <c r="I1842" t="s">
        <v>23</v>
      </c>
      <c r="J1842">
        <v>0</v>
      </c>
      <c r="K1842">
        <v>0</v>
      </c>
      <c r="L1842">
        <v>0</v>
      </c>
      <c r="M1842">
        <v>0</v>
      </c>
      <c r="N1842">
        <v>0</v>
      </c>
      <c r="O1842">
        <v>0</v>
      </c>
      <c r="P1842">
        <v>0</v>
      </c>
      <c r="Q1842">
        <v>0</v>
      </c>
      <c r="R1842">
        <v>0</v>
      </c>
      <c r="S1842">
        <v>0</v>
      </c>
      <c r="T1842">
        <v>0</v>
      </c>
      <c r="U1842" t="str">
        <f>IF(SeismicData[[#This Row],[class]]=1,"Dangerous","Safe")</f>
        <v>Safe</v>
      </c>
      <c r="V1842" t="str">
        <f>IF(SeismicData[[#This Row],[shift]]="W","Production","Non-Production")</f>
        <v>Production</v>
      </c>
      <c r="W1842" t="str">
        <f>IF(SeismicData[[#This Row],[genergy]]=0,"0","10^"&amp;INT(LOG10(SeismicData[[#This Row],[genergy]])))</f>
        <v>10^4</v>
      </c>
      <c r="X1842" t="str">
        <f>IF(OR(SeismicData[[#This Row],[genergy]]&lt;$AA$6,SeismicData[[#This Row],[genergy]]&gt;$AA$5),"Outlier","Normal")</f>
        <v>Normal</v>
      </c>
    </row>
    <row r="1843" spans="1:24" x14ac:dyDescent="0.15">
      <c r="A1843">
        <v>1842</v>
      </c>
      <c r="B1843" t="s">
        <v>23</v>
      </c>
      <c r="C1843" t="s">
        <v>23</v>
      </c>
      <c r="D1843" t="s">
        <v>22</v>
      </c>
      <c r="E1843">
        <v>30220</v>
      </c>
      <c r="F1843">
        <v>592</v>
      </c>
      <c r="G1843">
        <v>6</v>
      </c>
      <c r="H1843">
        <v>-6</v>
      </c>
      <c r="I1843" t="s">
        <v>23</v>
      </c>
      <c r="J1843">
        <v>1</v>
      </c>
      <c r="K1843">
        <v>1</v>
      </c>
      <c r="L1843">
        <v>0</v>
      </c>
      <c r="M1843">
        <v>0</v>
      </c>
      <c r="N1843">
        <v>0</v>
      </c>
      <c r="O1843">
        <v>0</v>
      </c>
      <c r="P1843">
        <v>0</v>
      </c>
      <c r="Q1843">
        <v>0</v>
      </c>
      <c r="R1843">
        <v>100</v>
      </c>
      <c r="S1843">
        <v>100</v>
      </c>
      <c r="T1843">
        <v>0</v>
      </c>
      <c r="U1843" t="str">
        <f>IF(SeismicData[[#This Row],[class]]=1,"Dangerous","Safe")</f>
        <v>Safe</v>
      </c>
      <c r="V1843" t="str">
        <f>IF(SeismicData[[#This Row],[shift]]="W","Production","Non-Production")</f>
        <v>Production</v>
      </c>
      <c r="W1843" t="str">
        <f>IF(SeismicData[[#This Row],[genergy]]=0,"0","10^"&amp;INT(LOG10(SeismicData[[#This Row],[genergy]])))</f>
        <v>10^4</v>
      </c>
      <c r="X1843" t="str">
        <f>IF(OR(SeismicData[[#This Row],[genergy]]&lt;$AA$6,SeismicData[[#This Row],[genergy]]&gt;$AA$5),"Outlier","Normal")</f>
        <v>Normal</v>
      </c>
    </row>
    <row r="1844" spans="1:24" x14ac:dyDescent="0.15">
      <c r="A1844">
        <v>1843</v>
      </c>
      <c r="B1844" t="s">
        <v>23</v>
      </c>
      <c r="C1844" t="s">
        <v>23</v>
      </c>
      <c r="D1844" t="s">
        <v>22</v>
      </c>
      <c r="E1844">
        <v>23050</v>
      </c>
      <c r="F1844">
        <v>428</v>
      </c>
      <c r="G1844">
        <v>-19</v>
      </c>
      <c r="H1844">
        <v>-32</v>
      </c>
      <c r="I1844" t="s">
        <v>23</v>
      </c>
      <c r="J1844">
        <v>0</v>
      </c>
      <c r="K1844">
        <v>0</v>
      </c>
      <c r="L1844">
        <v>0</v>
      </c>
      <c r="M1844">
        <v>0</v>
      </c>
      <c r="N1844">
        <v>0</v>
      </c>
      <c r="O1844">
        <v>0</v>
      </c>
      <c r="P1844">
        <v>0</v>
      </c>
      <c r="Q1844">
        <v>0</v>
      </c>
      <c r="R1844">
        <v>0</v>
      </c>
      <c r="S1844">
        <v>0</v>
      </c>
      <c r="T1844">
        <v>0</v>
      </c>
      <c r="U1844" t="str">
        <f>IF(SeismicData[[#This Row],[class]]=1,"Dangerous","Safe")</f>
        <v>Safe</v>
      </c>
      <c r="V1844" t="str">
        <f>IF(SeismicData[[#This Row],[shift]]="W","Production","Non-Production")</f>
        <v>Production</v>
      </c>
      <c r="W1844" t="str">
        <f>IF(SeismicData[[#This Row],[genergy]]=0,"0","10^"&amp;INT(LOG10(SeismicData[[#This Row],[genergy]])))</f>
        <v>10^4</v>
      </c>
      <c r="X1844" t="str">
        <f>IF(OR(SeismicData[[#This Row],[genergy]]&lt;$AA$6,SeismicData[[#This Row],[genergy]]&gt;$AA$5),"Outlier","Normal")</f>
        <v>Normal</v>
      </c>
    </row>
    <row r="1845" spans="1:24" x14ac:dyDescent="0.15">
      <c r="A1845">
        <v>1844</v>
      </c>
      <c r="B1845" t="s">
        <v>23</v>
      </c>
      <c r="C1845" t="s">
        <v>23</v>
      </c>
      <c r="D1845" t="s">
        <v>21</v>
      </c>
      <c r="E1845">
        <v>21190</v>
      </c>
      <c r="F1845">
        <v>402</v>
      </c>
      <c r="G1845">
        <v>105</v>
      </c>
      <c r="H1845">
        <v>6</v>
      </c>
      <c r="I1845" t="s">
        <v>23</v>
      </c>
      <c r="J1845">
        <v>1</v>
      </c>
      <c r="K1845">
        <v>0</v>
      </c>
      <c r="L1845">
        <v>1</v>
      </c>
      <c r="M1845">
        <v>0</v>
      </c>
      <c r="N1845">
        <v>0</v>
      </c>
      <c r="O1845">
        <v>0</v>
      </c>
      <c r="P1845">
        <v>0</v>
      </c>
      <c r="Q1845">
        <v>0</v>
      </c>
      <c r="R1845">
        <v>6000</v>
      </c>
      <c r="S1845">
        <v>6000</v>
      </c>
      <c r="T1845">
        <v>0</v>
      </c>
      <c r="U1845" t="str">
        <f>IF(SeismicData[[#This Row],[class]]=1,"Dangerous","Safe")</f>
        <v>Safe</v>
      </c>
      <c r="V1845" t="str">
        <f>IF(SeismicData[[#This Row],[shift]]="W","Production","Non-Production")</f>
        <v>Non-Production</v>
      </c>
      <c r="W1845" t="str">
        <f>IF(SeismicData[[#This Row],[genergy]]=0,"0","10^"&amp;INT(LOG10(SeismicData[[#This Row],[genergy]])))</f>
        <v>10^4</v>
      </c>
      <c r="X1845" t="str">
        <f>IF(OR(SeismicData[[#This Row],[genergy]]&lt;$AA$6,SeismicData[[#This Row],[genergy]]&gt;$AA$5),"Outlier","Normal")</f>
        <v>Normal</v>
      </c>
    </row>
    <row r="1846" spans="1:24" x14ac:dyDescent="0.15">
      <c r="A1846">
        <v>1845</v>
      </c>
      <c r="B1846" t="s">
        <v>23</v>
      </c>
      <c r="C1846" t="s">
        <v>23</v>
      </c>
      <c r="D1846" t="s">
        <v>21</v>
      </c>
      <c r="E1846">
        <v>44240</v>
      </c>
      <c r="F1846">
        <v>678</v>
      </c>
      <c r="G1846">
        <v>327</v>
      </c>
      <c r="H1846">
        <v>79</v>
      </c>
      <c r="I1846" t="s">
        <v>23</v>
      </c>
      <c r="J1846">
        <v>0</v>
      </c>
      <c r="K1846">
        <v>0</v>
      </c>
      <c r="L1846">
        <v>0</v>
      </c>
      <c r="M1846">
        <v>0</v>
      </c>
      <c r="N1846">
        <v>0</v>
      </c>
      <c r="O1846">
        <v>0</v>
      </c>
      <c r="P1846">
        <v>0</v>
      </c>
      <c r="Q1846">
        <v>0</v>
      </c>
      <c r="R1846">
        <v>0</v>
      </c>
      <c r="S1846">
        <v>0</v>
      </c>
      <c r="T1846">
        <v>0</v>
      </c>
      <c r="U1846" t="str">
        <f>IF(SeismicData[[#This Row],[class]]=1,"Dangerous","Safe")</f>
        <v>Safe</v>
      </c>
      <c r="V1846" t="str">
        <f>IF(SeismicData[[#This Row],[shift]]="W","Production","Non-Production")</f>
        <v>Non-Production</v>
      </c>
      <c r="W1846" t="str">
        <f>IF(SeismicData[[#This Row],[genergy]]=0,"0","10^"&amp;INT(LOG10(SeismicData[[#This Row],[genergy]])))</f>
        <v>10^4</v>
      </c>
      <c r="X1846" t="str">
        <f>IF(OR(SeismicData[[#This Row],[genergy]]&lt;$AA$6,SeismicData[[#This Row],[genergy]]&gt;$AA$5),"Outlier","Normal")</f>
        <v>Normal</v>
      </c>
    </row>
    <row r="1847" spans="1:24" x14ac:dyDescent="0.15">
      <c r="A1847">
        <v>1846</v>
      </c>
      <c r="B1847" t="s">
        <v>23</v>
      </c>
      <c r="C1847" t="s">
        <v>23</v>
      </c>
      <c r="D1847" t="s">
        <v>21</v>
      </c>
      <c r="E1847">
        <v>26360</v>
      </c>
      <c r="F1847">
        <v>459</v>
      </c>
      <c r="G1847">
        <v>154</v>
      </c>
      <c r="H1847">
        <v>21</v>
      </c>
      <c r="I1847" t="s">
        <v>23</v>
      </c>
      <c r="J1847">
        <v>2</v>
      </c>
      <c r="K1847">
        <v>2</v>
      </c>
      <c r="L1847">
        <v>0</v>
      </c>
      <c r="M1847">
        <v>0</v>
      </c>
      <c r="N1847">
        <v>0</v>
      </c>
      <c r="O1847">
        <v>0</v>
      </c>
      <c r="P1847">
        <v>0</v>
      </c>
      <c r="Q1847">
        <v>0</v>
      </c>
      <c r="R1847">
        <v>700</v>
      </c>
      <c r="S1847">
        <v>500</v>
      </c>
      <c r="T1847">
        <v>0</v>
      </c>
      <c r="U1847" t="str">
        <f>IF(SeismicData[[#This Row],[class]]=1,"Dangerous","Safe")</f>
        <v>Safe</v>
      </c>
      <c r="V1847" t="str">
        <f>IF(SeismicData[[#This Row],[shift]]="W","Production","Non-Production")</f>
        <v>Non-Production</v>
      </c>
      <c r="W1847" t="str">
        <f>IF(SeismicData[[#This Row],[genergy]]=0,"0","10^"&amp;INT(LOG10(SeismicData[[#This Row],[genergy]])))</f>
        <v>10^4</v>
      </c>
      <c r="X1847" t="str">
        <f>IF(OR(SeismicData[[#This Row],[genergy]]&lt;$AA$6,SeismicData[[#This Row],[genergy]]&gt;$AA$5),"Outlier","Normal")</f>
        <v>Normal</v>
      </c>
    </row>
    <row r="1848" spans="1:24" x14ac:dyDescent="0.15">
      <c r="A1848">
        <v>1847</v>
      </c>
      <c r="B1848" t="s">
        <v>23</v>
      </c>
      <c r="C1848" t="s">
        <v>23</v>
      </c>
      <c r="D1848" t="s">
        <v>21</v>
      </c>
      <c r="E1848">
        <v>12780</v>
      </c>
      <c r="F1848">
        <v>376</v>
      </c>
      <c r="G1848">
        <v>23</v>
      </c>
      <c r="H1848">
        <v>-1</v>
      </c>
      <c r="I1848" t="s">
        <v>23</v>
      </c>
      <c r="J1848">
        <v>0</v>
      </c>
      <c r="K1848">
        <v>0</v>
      </c>
      <c r="L1848">
        <v>0</v>
      </c>
      <c r="M1848">
        <v>0</v>
      </c>
      <c r="N1848">
        <v>0</v>
      </c>
      <c r="O1848">
        <v>0</v>
      </c>
      <c r="P1848">
        <v>0</v>
      </c>
      <c r="Q1848">
        <v>0</v>
      </c>
      <c r="R1848">
        <v>0</v>
      </c>
      <c r="S1848">
        <v>0</v>
      </c>
      <c r="T1848">
        <v>0</v>
      </c>
      <c r="U1848" t="str">
        <f>IF(SeismicData[[#This Row],[class]]=1,"Dangerous","Safe")</f>
        <v>Safe</v>
      </c>
      <c r="V1848" t="str">
        <f>IF(SeismicData[[#This Row],[shift]]="W","Production","Non-Production")</f>
        <v>Non-Production</v>
      </c>
      <c r="W1848" t="str">
        <f>IF(SeismicData[[#This Row],[genergy]]=0,"0","10^"&amp;INT(LOG10(SeismicData[[#This Row],[genergy]])))</f>
        <v>10^4</v>
      </c>
      <c r="X1848" t="str">
        <f>IF(OR(SeismicData[[#This Row],[genergy]]&lt;$AA$6,SeismicData[[#This Row],[genergy]]&gt;$AA$5),"Outlier","Normal")</f>
        <v>Normal</v>
      </c>
    </row>
    <row r="1849" spans="1:24" x14ac:dyDescent="0.15">
      <c r="A1849">
        <v>1848</v>
      </c>
      <c r="B1849" t="s">
        <v>23</v>
      </c>
      <c r="C1849" t="s">
        <v>23</v>
      </c>
      <c r="D1849" t="s">
        <v>21</v>
      </c>
      <c r="E1849">
        <v>13010</v>
      </c>
      <c r="F1849">
        <v>322</v>
      </c>
      <c r="G1849">
        <v>26</v>
      </c>
      <c r="H1849">
        <v>-15</v>
      </c>
      <c r="I1849" t="s">
        <v>23</v>
      </c>
      <c r="J1849">
        <v>0</v>
      </c>
      <c r="K1849">
        <v>0</v>
      </c>
      <c r="L1849">
        <v>0</v>
      </c>
      <c r="M1849">
        <v>0</v>
      </c>
      <c r="N1849">
        <v>0</v>
      </c>
      <c r="O1849">
        <v>0</v>
      </c>
      <c r="P1849">
        <v>0</v>
      </c>
      <c r="Q1849">
        <v>0</v>
      </c>
      <c r="R1849">
        <v>0</v>
      </c>
      <c r="S1849">
        <v>0</v>
      </c>
      <c r="T1849">
        <v>0</v>
      </c>
      <c r="U1849" t="str">
        <f>IF(SeismicData[[#This Row],[class]]=1,"Dangerous","Safe")</f>
        <v>Safe</v>
      </c>
      <c r="V1849" t="str">
        <f>IF(SeismicData[[#This Row],[shift]]="W","Production","Non-Production")</f>
        <v>Non-Production</v>
      </c>
      <c r="W1849" t="str">
        <f>IF(SeismicData[[#This Row],[genergy]]=0,"0","10^"&amp;INT(LOG10(SeismicData[[#This Row],[genergy]])))</f>
        <v>10^4</v>
      </c>
      <c r="X1849" t="str">
        <f>IF(OR(SeismicData[[#This Row],[genergy]]&lt;$AA$6,SeismicData[[#This Row],[genergy]]&gt;$AA$5),"Outlier","Normal")</f>
        <v>Normal</v>
      </c>
    </row>
    <row r="1850" spans="1:24" x14ac:dyDescent="0.15">
      <c r="A1850">
        <v>1849</v>
      </c>
      <c r="B1850" t="s">
        <v>23</v>
      </c>
      <c r="C1850" t="s">
        <v>23</v>
      </c>
      <c r="D1850" t="s">
        <v>21</v>
      </c>
      <c r="E1850">
        <v>10600</v>
      </c>
      <c r="F1850">
        <v>268</v>
      </c>
      <c r="G1850">
        <v>2</v>
      </c>
      <c r="H1850">
        <v>-29</v>
      </c>
      <c r="I1850" t="s">
        <v>23</v>
      </c>
      <c r="J1850">
        <v>0</v>
      </c>
      <c r="K1850">
        <v>0</v>
      </c>
      <c r="L1850">
        <v>0</v>
      </c>
      <c r="M1850">
        <v>0</v>
      </c>
      <c r="N1850">
        <v>0</v>
      </c>
      <c r="O1850">
        <v>0</v>
      </c>
      <c r="P1850">
        <v>0</v>
      </c>
      <c r="Q1850">
        <v>0</v>
      </c>
      <c r="R1850">
        <v>0</v>
      </c>
      <c r="S1850">
        <v>0</v>
      </c>
      <c r="T1850">
        <v>0</v>
      </c>
      <c r="U1850" t="str">
        <f>IF(SeismicData[[#This Row],[class]]=1,"Dangerous","Safe")</f>
        <v>Safe</v>
      </c>
      <c r="V1850" t="str">
        <f>IF(SeismicData[[#This Row],[shift]]="W","Production","Non-Production")</f>
        <v>Non-Production</v>
      </c>
      <c r="W1850" t="str">
        <f>IF(SeismicData[[#This Row],[genergy]]=0,"0","10^"&amp;INT(LOG10(SeismicData[[#This Row],[genergy]])))</f>
        <v>10^4</v>
      </c>
      <c r="X1850" t="str">
        <f>IF(OR(SeismicData[[#This Row],[genergy]]&lt;$AA$6,SeismicData[[#This Row],[genergy]]&gt;$AA$5),"Outlier","Normal")</f>
        <v>Normal</v>
      </c>
    </row>
    <row r="1851" spans="1:24" x14ac:dyDescent="0.15">
      <c r="A1851">
        <v>1850</v>
      </c>
      <c r="B1851" t="s">
        <v>23</v>
      </c>
      <c r="C1851" t="s">
        <v>23</v>
      </c>
      <c r="D1851" t="s">
        <v>21</v>
      </c>
      <c r="E1851">
        <v>7590</v>
      </c>
      <c r="F1851">
        <v>233</v>
      </c>
      <c r="G1851">
        <v>-27</v>
      </c>
      <c r="H1851">
        <v>-38</v>
      </c>
      <c r="I1851" t="s">
        <v>23</v>
      </c>
      <c r="J1851">
        <v>0</v>
      </c>
      <c r="K1851">
        <v>0</v>
      </c>
      <c r="L1851">
        <v>0</v>
      </c>
      <c r="M1851">
        <v>0</v>
      </c>
      <c r="N1851">
        <v>0</v>
      </c>
      <c r="O1851">
        <v>0</v>
      </c>
      <c r="P1851">
        <v>0</v>
      </c>
      <c r="Q1851">
        <v>0</v>
      </c>
      <c r="R1851">
        <v>0</v>
      </c>
      <c r="S1851">
        <v>0</v>
      </c>
      <c r="T1851">
        <v>0</v>
      </c>
      <c r="U1851" t="str">
        <f>IF(SeismicData[[#This Row],[class]]=1,"Dangerous","Safe")</f>
        <v>Safe</v>
      </c>
      <c r="V1851" t="str">
        <f>IF(SeismicData[[#This Row],[shift]]="W","Production","Non-Production")</f>
        <v>Non-Production</v>
      </c>
      <c r="W1851" t="str">
        <f>IF(SeismicData[[#This Row],[genergy]]=0,"0","10^"&amp;INT(LOG10(SeismicData[[#This Row],[genergy]])))</f>
        <v>10^3</v>
      </c>
      <c r="X1851" t="str">
        <f>IF(OR(SeismicData[[#This Row],[genergy]]&lt;$AA$6,SeismicData[[#This Row],[genergy]]&gt;$AA$5),"Outlier","Normal")</f>
        <v>Normal</v>
      </c>
    </row>
    <row r="1852" spans="1:24" x14ac:dyDescent="0.15">
      <c r="A1852">
        <v>1851</v>
      </c>
      <c r="B1852" t="s">
        <v>23</v>
      </c>
      <c r="C1852" t="s">
        <v>23</v>
      </c>
      <c r="D1852" t="s">
        <v>21</v>
      </c>
      <c r="E1852">
        <v>11330</v>
      </c>
      <c r="F1852">
        <v>204</v>
      </c>
      <c r="G1852">
        <v>9</v>
      </c>
      <c r="H1852">
        <v>-46</v>
      </c>
      <c r="I1852" t="s">
        <v>23</v>
      </c>
      <c r="J1852">
        <v>0</v>
      </c>
      <c r="K1852">
        <v>0</v>
      </c>
      <c r="L1852">
        <v>0</v>
      </c>
      <c r="M1852">
        <v>0</v>
      </c>
      <c r="N1852">
        <v>0</v>
      </c>
      <c r="O1852">
        <v>0</v>
      </c>
      <c r="P1852">
        <v>0</v>
      </c>
      <c r="Q1852">
        <v>0</v>
      </c>
      <c r="R1852">
        <v>0</v>
      </c>
      <c r="S1852">
        <v>0</v>
      </c>
      <c r="T1852">
        <v>0</v>
      </c>
      <c r="U1852" t="str">
        <f>IF(SeismicData[[#This Row],[class]]=1,"Dangerous","Safe")</f>
        <v>Safe</v>
      </c>
      <c r="V1852" t="str">
        <f>IF(SeismicData[[#This Row],[shift]]="W","Production","Non-Production")</f>
        <v>Non-Production</v>
      </c>
      <c r="W1852" t="str">
        <f>IF(SeismicData[[#This Row],[genergy]]=0,"0","10^"&amp;INT(LOG10(SeismicData[[#This Row],[genergy]])))</f>
        <v>10^4</v>
      </c>
      <c r="X1852" t="str">
        <f>IF(OR(SeismicData[[#This Row],[genergy]]&lt;$AA$6,SeismicData[[#This Row],[genergy]]&gt;$AA$5),"Outlier","Normal")</f>
        <v>Normal</v>
      </c>
    </row>
    <row r="1853" spans="1:24" x14ac:dyDescent="0.15">
      <c r="A1853">
        <v>1852</v>
      </c>
      <c r="B1853" t="s">
        <v>23</v>
      </c>
      <c r="C1853" t="s">
        <v>23</v>
      </c>
      <c r="D1853" t="s">
        <v>21</v>
      </c>
      <c r="E1853">
        <v>6890</v>
      </c>
      <c r="F1853">
        <v>204</v>
      </c>
      <c r="G1853">
        <v>-34</v>
      </c>
      <c r="H1853">
        <v>-46</v>
      </c>
      <c r="I1853" t="s">
        <v>23</v>
      </c>
      <c r="J1853">
        <v>0</v>
      </c>
      <c r="K1853">
        <v>0</v>
      </c>
      <c r="L1853">
        <v>0</v>
      </c>
      <c r="M1853">
        <v>0</v>
      </c>
      <c r="N1853">
        <v>0</v>
      </c>
      <c r="O1853">
        <v>0</v>
      </c>
      <c r="P1853">
        <v>0</v>
      </c>
      <c r="Q1853">
        <v>0</v>
      </c>
      <c r="R1853">
        <v>0</v>
      </c>
      <c r="S1853">
        <v>0</v>
      </c>
      <c r="T1853">
        <v>0</v>
      </c>
      <c r="U1853" t="str">
        <f>IF(SeismicData[[#This Row],[class]]=1,"Dangerous","Safe")</f>
        <v>Safe</v>
      </c>
      <c r="V1853" t="str">
        <f>IF(SeismicData[[#This Row],[shift]]="W","Production","Non-Production")</f>
        <v>Non-Production</v>
      </c>
      <c r="W1853" t="str">
        <f>IF(SeismicData[[#This Row],[genergy]]=0,"0","10^"&amp;INT(LOG10(SeismicData[[#This Row],[genergy]])))</f>
        <v>10^3</v>
      </c>
      <c r="X1853" t="str">
        <f>IF(OR(SeismicData[[#This Row],[genergy]]&lt;$AA$6,SeismicData[[#This Row],[genergy]]&gt;$AA$5),"Outlier","Normal")</f>
        <v>Normal</v>
      </c>
    </row>
    <row r="1854" spans="1:24" x14ac:dyDescent="0.15">
      <c r="A1854">
        <v>1853</v>
      </c>
      <c r="B1854" t="s">
        <v>23</v>
      </c>
      <c r="C1854" t="s">
        <v>23</v>
      </c>
      <c r="D1854" t="s">
        <v>21</v>
      </c>
      <c r="E1854">
        <v>8620</v>
      </c>
      <c r="F1854">
        <v>172</v>
      </c>
      <c r="G1854">
        <v>-17</v>
      </c>
      <c r="H1854">
        <v>-55</v>
      </c>
      <c r="I1854" t="s">
        <v>23</v>
      </c>
      <c r="J1854">
        <v>0</v>
      </c>
      <c r="K1854">
        <v>0</v>
      </c>
      <c r="L1854">
        <v>0</v>
      </c>
      <c r="M1854">
        <v>0</v>
      </c>
      <c r="N1854">
        <v>0</v>
      </c>
      <c r="O1854">
        <v>0</v>
      </c>
      <c r="P1854">
        <v>0</v>
      </c>
      <c r="Q1854">
        <v>0</v>
      </c>
      <c r="R1854">
        <v>0</v>
      </c>
      <c r="S1854">
        <v>0</v>
      </c>
      <c r="T1854">
        <v>0</v>
      </c>
      <c r="U1854" t="str">
        <f>IF(SeismicData[[#This Row],[class]]=1,"Dangerous","Safe")</f>
        <v>Safe</v>
      </c>
      <c r="V1854" t="str">
        <f>IF(SeismicData[[#This Row],[shift]]="W","Production","Non-Production")</f>
        <v>Non-Production</v>
      </c>
      <c r="W1854" t="str">
        <f>IF(SeismicData[[#This Row],[genergy]]=0,"0","10^"&amp;INT(LOG10(SeismicData[[#This Row],[genergy]])))</f>
        <v>10^3</v>
      </c>
      <c r="X1854" t="str">
        <f>IF(OR(SeismicData[[#This Row],[genergy]]&lt;$AA$6,SeismicData[[#This Row],[genergy]]&gt;$AA$5),"Outlier","Normal")</f>
        <v>Normal</v>
      </c>
    </row>
    <row r="1855" spans="1:24" x14ac:dyDescent="0.15">
      <c r="A1855">
        <v>1854</v>
      </c>
      <c r="B1855" t="s">
        <v>23</v>
      </c>
      <c r="C1855" t="s">
        <v>23</v>
      </c>
      <c r="D1855" t="s">
        <v>21</v>
      </c>
      <c r="E1855">
        <v>4070</v>
      </c>
      <c r="F1855">
        <v>173</v>
      </c>
      <c r="G1855">
        <v>-61</v>
      </c>
      <c r="H1855">
        <v>-54</v>
      </c>
      <c r="I1855" t="s">
        <v>23</v>
      </c>
      <c r="J1855">
        <v>0</v>
      </c>
      <c r="K1855">
        <v>0</v>
      </c>
      <c r="L1855">
        <v>0</v>
      </c>
      <c r="M1855">
        <v>0</v>
      </c>
      <c r="N1855">
        <v>0</v>
      </c>
      <c r="O1855">
        <v>0</v>
      </c>
      <c r="P1855">
        <v>0</v>
      </c>
      <c r="Q1855">
        <v>0</v>
      </c>
      <c r="R1855">
        <v>0</v>
      </c>
      <c r="S1855">
        <v>0</v>
      </c>
      <c r="T1855">
        <v>0</v>
      </c>
      <c r="U1855" t="str">
        <f>IF(SeismicData[[#This Row],[class]]=1,"Dangerous","Safe")</f>
        <v>Safe</v>
      </c>
      <c r="V1855" t="str">
        <f>IF(SeismicData[[#This Row],[shift]]="W","Production","Non-Production")</f>
        <v>Non-Production</v>
      </c>
      <c r="W1855" t="str">
        <f>IF(SeismicData[[#This Row],[genergy]]=0,"0","10^"&amp;INT(LOG10(SeismicData[[#This Row],[genergy]])))</f>
        <v>10^3</v>
      </c>
      <c r="X1855" t="str">
        <f>IF(OR(SeismicData[[#This Row],[genergy]]&lt;$AA$6,SeismicData[[#This Row],[genergy]]&gt;$AA$5),"Outlier","Normal")</f>
        <v>Normal</v>
      </c>
    </row>
    <row r="1856" spans="1:24" x14ac:dyDescent="0.15">
      <c r="A1856">
        <v>1855</v>
      </c>
      <c r="B1856" t="s">
        <v>23</v>
      </c>
      <c r="C1856" t="s">
        <v>23</v>
      </c>
      <c r="D1856" t="s">
        <v>21</v>
      </c>
      <c r="E1856">
        <v>7400</v>
      </c>
      <c r="F1856">
        <v>169</v>
      </c>
      <c r="G1856">
        <v>-28</v>
      </c>
      <c r="H1856">
        <v>-54</v>
      </c>
      <c r="I1856" t="s">
        <v>23</v>
      </c>
      <c r="J1856">
        <v>0</v>
      </c>
      <c r="K1856">
        <v>0</v>
      </c>
      <c r="L1856">
        <v>0</v>
      </c>
      <c r="M1856">
        <v>0</v>
      </c>
      <c r="N1856">
        <v>0</v>
      </c>
      <c r="O1856">
        <v>0</v>
      </c>
      <c r="P1856">
        <v>0</v>
      </c>
      <c r="Q1856">
        <v>0</v>
      </c>
      <c r="R1856">
        <v>0</v>
      </c>
      <c r="S1856">
        <v>0</v>
      </c>
      <c r="T1856">
        <v>0</v>
      </c>
      <c r="U1856" t="str">
        <f>IF(SeismicData[[#This Row],[class]]=1,"Dangerous","Safe")</f>
        <v>Safe</v>
      </c>
      <c r="V1856" t="str">
        <f>IF(SeismicData[[#This Row],[shift]]="W","Production","Non-Production")</f>
        <v>Non-Production</v>
      </c>
      <c r="W1856" t="str">
        <f>IF(SeismicData[[#This Row],[genergy]]=0,"0","10^"&amp;INT(LOG10(SeismicData[[#This Row],[genergy]])))</f>
        <v>10^3</v>
      </c>
      <c r="X1856" t="str">
        <f>IF(OR(SeismicData[[#This Row],[genergy]]&lt;$AA$6,SeismicData[[#This Row],[genergy]]&gt;$AA$5),"Outlier","Normal")</f>
        <v>Normal</v>
      </c>
    </row>
    <row r="1857" spans="1:24" x14ac:dyDescent="0.15">
      <c r="A1857">
        <v>1856</v>
      </c>
      <c r="B1857" t="s">
        <v>23</v>
      </c>
      <c r="C1857" t="s">
        <v>23</v>
      </c>
      <c r="D1857" t="s">
        <v>21</v>
      </c>
      <c r="E1857">
        <v>6660</v>
      </c>
      <c r="F1857">
        <v>153</v>
      </c>
      <c r="G1857">
        <v>-35</v>
      </c>
      <c r="H1857">
        <v>-58</v>
      </c>
      <c r="I1857" t="s">
        <v>23</v>
      </c>
      <c r="J1857">
        <v>0</v>
      </c>
      <c r="K1857">
        <v>0</v>
      </c>
      <c r="L1857">
        <v>0</v>
      </c>
      <c r="M1857">
        <v>0</v>
      </c>
      <c r="N1857">
        <v>0</v>
      </c>
      <c r="O1857">
        <v>0</v>
      </c>
      <c r="P1857">
        <v>0</v>
      </c>
      <c r="Q1857">
        <v>0</v>
      </c>
      <c r="R1857">
        <v>0</v>
      </c>
      <c r="S1857">
        <v>0</v>
      </c>
      <c r="T1857">
        <v>0</v>
      </c>
      <c r="U1857" t="str">
        <f>IF(SeismicData[[#This Row],[class]]=1,"Dangerous","Safe")</f>
        <v>Safe</v>
      </c>
      <c r="V1857" t="str">
        <f>IF(SeismicData[[#This Row],[shift]]="W","Production","Non-Production")</f>
        <v>Non-Production</v>
      </c>
      <c r="W1857" t="str">
        <f>IF(SeismicData[[#This Row],[genergy]]=0,"0","10^"&amp;INT(LOG10(SeismicData[[#This Row],[genergy]])))</f>
        <v>10^3</v>
      </c>
      <c r="X1857" t="str">
        <f>IF(OR(SeismicData[[#This Row],[genergy]]&lt;$AA$6,SeismicData[[#This Row],[genergy]]&gt;$AA$5),"Outlier","Normal")</f>
        <v>Normal</v>
      </c>
    </row>
    <row r="1858" spans="1:24" x14ac:dyDescent="0.15">
      <c r="A1858">
        <v>1857</v>
      </c>
      <c r="B1858" t="s">
        <v>23</v>
      </c>
      <c r="C1858" t="s">
        <v>23</v>
      </c>
      <c r="D1858" t="s">
        <v>21</v>
      </c>
      <c r="E1858">
        <v>9980</v>
      </c>
      <c r="F1858">
        <v>145</v>
      </c>
      <c r="G1858">
        <v>-3</v>
      </c>
      <c r="H1858">
        <v>-60</v>
      </c>
      <c r="I1858" t="s">
        <v>23</v>
      </c>
      <c r="J1858">
        <v>0</v>
      </c>
      <c r="K1858">
        <v>0</v>
      </c>
      <c r="L1858">
        <v>0</v>
      </c>
      <c r="M1858">
        <v>0</v>
      </c>
      <c r="N1858">
        <v>0</v>
      </c>
      <c r="O1858">
        <v>0</v>
      </c>
      <c r="P1858">
        <v>0</v>
      </c>
      <c r="Q1858">
        <v>0</v>
      </c>
      <c r="R1858">
        <v>0</v>
      </c>
      <c r="S1858">
        <v>0</v>
      </c>
      <c r="T1858">
        <v>0</v>
      </c>
      <c r="U1858" t="str">
        <f>IF(SeismicData[[#This Row],[class]]=1,"Dangerous","Safe")</f>
        <v>Safe</v>
      </c>
      <c r="V1858" t="str">
        <f>IF(SeismicData[[#This Row],[shift]]="W","Production","Non-Production")</f>
        <v>Non-Production</v>
      </c>
      <c r="W1858" t="str">
        <f>IF(SeismicData[[#This Row],[genergy]]=0,"0","10^"&amp;INT(LOG10(SeismicData[[#This Row],[genergy]])))</f>
        <v>10^3</v>
      </c>
      <c r="X1858" t="str">
        <f>IF(OR(SeismicData[[#This Row],[genergy]]&lt;$AA$6,SeismicData[[#This Row],[genergy]]&gt;$AA$5),"Outlier","Normal")</f>
        <v>Normal</v>
      </c>
    </row>
    <row r="1859" spans="1:24" x14ac:dyDescent="0.15">
      <c r="A1859">
        <v>1858</v>
      </c>
      <c r="B1859" t="s">
        <v>23</v>
      </c>
      <c r="C1859" t="s">
        <v>23</v>
      </c>
      <c r="D1859" t="s">
        <v>21</v>
      </c>
      <c r="E1859">
        <v>6710</v>
      </c>
      <c r="F1859">
        <v>164</v>
      </c>
      <c r="G1859">
        <v>-35</v>
      </c>
      <c r="H1859">
        <v>-55</v>
      </c>
      <c r="I1859" t="s">
        <v>23</v>
      </c>
      <c r="J1859">
        <v>0</v>
      </c>
      <c r="K1859">
        <v>0</v>
      </c>
      <c r="L1859">
        <v>0</v>
      </c>
      <c r="M1859">
        <v>0</v>
      </c>
      <c r="N1859">
        <v>0</v>
      </c>
      <c r="O1859">
        <v>0</v>
      </c>
      <c r="P1859">
        <v>0</v>
      </c>
      <c r="Q1859">
        <v>0</v>
      </c>
      <c r="R1859">
        <v>0</v>
      </c>
      <c r="S1859">
        <v>0</v>
      </c>
      <c r="T1859">
        <v>0</v>
      </c>
      <c r="U1859" t="str">
        <f>IF(SeismicData[[#This Row],[class]]=1,"Dangerous","Safe")</f>
        <v>Safe</v>
      </c>
      <c r="V1859" t="str">
        <f>IF(SeismicData[[#This Row],[shift]]="W","Production","Non-Production")</f>
        <v>Non-Production</v>
      </c>
      <c r="W1859" t="str">
        <f>IF(SeismicData[[#This Row],[genergy]]=0,"0","10^"&amp;INT(LOG10(SeismicData[[#This Row],[genergy]])))</f>
        <v>10^3</v>
      </c>
      <c r="X1859" t="str">
        <f>IF(OR(SeismicData[[#This Row],[genergy]]&lt;$AA$6,SeismicData[[#This Row],[genergy]]&gt;$AA$5),"Outlier","Normal")</f>
        <v>Normal</v>
      </c>
    </row>
    <row r="1860" spans="1:24" x14ac:dyDescent="0.15">
      <c r="A1860">
        <v>1859</v>
      </c>
      <c r="B1860" t="s">
        <v>23</v>
      </c>
      <c r="C1860" t="s">
        <v>23</v>
      </c>
      <c r="D1860" t="s">
        <v>21</v>
      </c>
      <c r="E1860">
        <v>8330</v>
      </c>
      <c r="F1860">
        <v>113</v>
      </c>
      <c r="G1860">
        <v>-19</v>
      </c>
      <c r="H1860">
        <v>-69</v>
      </c>
      <c r="I1860" t="s">
        <v>23</v>
      </c>
      <c r="J1860">
        <v>0</v>
      </c>
      <c r="K1860">
        <v>0</v>
      </c>
      <c r="L1860">
        <v>0</v>
      </c>
      <c r="M1860">
        <v>0</v>
      </c>
      <c r="N1860">
        <v>0</v>
      </c>
      <c r="O1860">
        <v>0</v>
      </c>
      <c r="P1860">
        <v>0</v>
      </c>
      <c r="Q1860">
        <v>0</v>
      </c>
      <c r="R1860">
        <v>0</v>
      </c>
      <c r="S1860">
        <v>0</v>
      </c>
      <c r="T1860">
        <v>0</v>
      </c>
      <c r="U1860" t="str">
        <f>IF(SeismicData[[#This Row],[class]]=1,"Dangerous","Safe")</f>
        <v>Safe</v>
      </c>
      <c r="V1860" t="str">
        <f>IF(SeismicData[[#This Row],[shift]]="W","Production","Non-Production")</f>
        <v>Non-Production</v>
      </c>
      <c r="W1860" t="str">
        <f>IF(SeismicData[[#This Row],[genergy]]=0,"0","10^"&amp;INT(LOG10(SeismicData[[#This Row],[genergy]])))</f>
        <v>10^3</v>
      </c>
      <c r="X1860" t="str">
        <f>IF(OR(SeismicData[[#This Row],[genergy]]&lt;$AA$6,SeismicData[[#This Row],[genergy]]&gt;$AA$5),"Outlier","Normal")</f>
        <v>Normal</v>
      </c>
    </row>
    <row r="1861" spans="1:24" x14ac:dyDescent="0.15">
      <c r="A1861">
        <v>1860</v>
      </c>
      <c r="B1861" t="s">
        <v>23</v>
      </c>
      <c r="C1861" t="s">
        <v>23</v>
      </c>
      <c r="D1861" t="s">
        <v>21</v>
      </c>
      <c r="E1861">
        <v>2970</v>
      </c>
      <c r="F1861">
        <v>142</v>
      </c>
      <c r="G1861">
        <v>-71</v>
      </c>
      <c r="H1861">
        <v>-61</v>
      </c>
      <c r="I1861" t="s">
        <v>23</v>
      </c>
      <c r="J1861">
        <v>0</v>
      </c>
      <c r="K1861">
        <v>0</v>
      </c>
      <c r="L1861">
        <v>0</v>
      </c>
      <c r="M1861">
        <v>0</v>
      </c>
      <c r="N1861">
        <v>0</v>
      </c>
      <c r="O1861">
        <v>0</v>
      </c>
      <c r="P1861">
        <v>0</v>
      </c>
      <c r="Q1861">
        <v>0</v>
      </c>
      <c r="R1861">
        <v>0</v>
      </c>
      <c r="S1861">
        <v>0</v>
      </c>
      <c r="T1861">
        <v>0</v>
      </c>
      <c r="U1861" t="str">
        <f>IF(SeismicData[[#This Row],[class]]=1,"Dangerous","Safe")</f>
        <v>Safe</v>
      </c>
      <c r="V1861" t="str">
        <f>IF(SeismicData[[#This Row],[shift]]="W","Production","Non-Production")</f>
        <v>Non-Production</v>
      </c>
      <c r="W1861" t="str">
        <f>IF(SeismicData[[#This Row],[genergy]]=0,"0","10^"&amp;INT(LOG10(SeismicData[[#This Row],[genergy]])))</f>
        <v>10^3</v>
      </c>
      <c r="X1861" t="str">
        <f>IF(OR(SeismicData[[#This Row],[genergy]]&lt;$AA$6,SeismicData[[#This Row],[genergy]]&gt;$AA$5),"Outlier","Normal")</f>
        <v>Normal</v>
      </c>
    </row>
    <row r="1862" spans="1:24" x14ac:dyDescent="0.15">
      <c r="A1862">
        <v>1861</v>
      </c>
      <c r="B1862" t="s">
        <v>23</v>
      </c>
      <c r="C1862" t="s">
        <v>23</v>
      </c>
      <c r="D1862" t="s">
        <v>21</v>
      </c>
      <c r="E1862">
        <v>4690</v>
      </c>
      <c r="F1862">
        <v>126</v>
      </c>
      <c r="G1862">
        <v>-55</v>
      </c>
      <c r="H1862">
        <v>-65</v>
      </c>
      <c r="I1862" t="s">
        <v>23</v>
      </c>
      <c r="J1862">
        <v>0</v>
      </c>
      <c r="K1862">
        <v>0</v>
      </c>
      <c r="L1862">
        <v>0</v>
      </c>
      <c r="M1862">
        <v>0</v>
      </c>
      <c r="N1862">
        <v>0</v>
      </c>
      <c r="O1862">
        <v>0</v>
      </c>
      <c r="P1862">
        <v>0</v>
      </c>
      <c r="Q1862">
        <v>0</v>
      </c>
      <c r="R1862">
        <v>0</v>
      </c>
      <c r="S1862">
        <v>0</v>
      </c>
      <c r="T1862">
        <v>0</v>
      </c>
      <c r="U1862" t="str">
        <f>IF(SeismicData[[#This Row],[class]]=1,"Dangerous","Safe")</f>
        <v>Safe</v>
      </c>
      <c r="V1862" t="str">
        <f>IF(SeismicData[[#This Row],[shift]]="W","Production","Non-Production")</f>
        <v>Non-Production</v>
      </c>
      <c r="W1862" t="str">
        <f>IF(SeismicData[[#This Row],[genergy]]=0,"0","10^"&amp;INT(LOG10(SeismicData[[#This Row],[genergy]])))</f>
        <v>10^3</v>
      </c>
      <c r="X1862" t="str">
        <f>IF(OR(SeismicData[[#This Row],[genergy]]&lt;$AA$6,SeismicData[[#This Row],[genergy]]&gt;$AA$5),"Outlier","Normal")</f>
        <v>Normal</v>
      </c>
    </row>
    <row r="1863" spans="1:24" x14ac:dyDescent="0.15">
      <c r="A1863">
        <v>1862</v>
      </c>
      <c r="B1863" t="s">
        <v>23</v>
      </c>
      <c r="C1863" t="s">
        <v>23</v>
      </c>
      <c r="D1863" t="s">
        <v>21</v>
      </c>
      <c r="E1863">
        <v>3080</v>
      </c>
      <c r="F1863">
        <v>123</v>
      </c>
      <c r="G1863">
        <v>-70</v>
      </c>
      <c r="H1863">
        <v>-66</v>
      </c>
      <c r="I1863" t="s">
        <v>23</v>
      </c>
      <c r="J1863">
        <v>0</v>
      </c>
      <c r="K1863">
        <v>0</v>
      </c>
      <c r="L1863">
        <v>0</v>
      </c>
      <c r="M1863">
        <v>0</v>
      </c>
      <c r="N1863">
        <v>0</v>
      </c>
      <c r="O1863">
        <v>0</v>
      </c>
      <c r="P1863">
        <v>0</v>
      </c>
      <c r="Q1863">
        <v>0</v>
      </c>
      <c r="R1863">
        <v>0</v>
      </c>
      <c r="S1863">
        <v>0</v>
      </c>
      <c r="T1863">
        <v>0</v>
      </c>
      <c r="U1863" t="str">
        <f>IF(SeismicData[[#This Row],[class]]=1,"Dangerous","Safe")</f>
        <v>Safe</v>
      </c>
      <c r="V1863" t="str">
        <f>IF(SeismicData[[#This Row],[shift]]="W","Production","Non-Production")</f>
        <v>Non-Production</v>
      </c>
      <c r="W1863" t="str">
        <f>IF(SeismicData[[#This Row],[genergy]]=0,"0","10^"&amp;INT(LOG10(SeismicData[[#This Row],[genergy]])))</f>
        <v>10^3</v>
      </c>
      <c r="X1863" t="str">
        <f>IF(OR(SeismicData[[#This Row],[genergy]]&lt;$AA$6,SeismicData[[#This Row],[genergy]]&gt;$AA$5),"Outlier","Normal")</f>
        <v>Normal</v>
      </c>
    </row>
    <row r="1864" spans="1:24" x14ac:dyDescent="0.15">
      <c r="A1864">
        <v>1863</v>
      </c>
      <c r="B1864" t="s">
        <v>20</v>
      </c>
      <c r="C1864" t="s">
        <v>23</v>
      </c>
      <c r="D1864" t="s">
        <v>21</v>
      </c>
      <c r="E1864">
        <v>11920</v>
      </c>
      <c r="F1864">
        <v>141</v>
      </c>
      <c r="G1864">
        <v>21</v>
      </c>
      <c r="H1864">
        <v>-60</v>
      </c>
      <c r="I1864" t="s">
        <v>20</v>
      </c>
      <c r="J1864">
        <v>1</v>
      </c>
      <c r="K1864">
        <v>1</v>
      </c>
      <c r="L1864">
        <v>0</v>
      </c>
      <c r="M1864">
        <v>0</v>
      </c>
      <c r="N1864">
        <v>0</v>
      </c>
      <c r="O1864">
        <v>0</v>
      </c>
      <c r="P1864">
        <v>0</v>
      </c>
      <c r="Q1864">
        <v>0</v>
      </c>
      <c r="R1864">
        <v>800</v>
      </c>
      <c r="S1864">
        <v>800</v>
      </c>
      <c r="T1864">
        <v>0</v>
      </c>
      <c r="U1864" t="str">
        <f>IF(SeismicData[[#This Row],[class]]=1,"Dangerous","Safe")</f>
        <v>Safe</v>
      </c>
      <c r="V1864" t="str">
        <f>IF(SeismicData[[#This Row],[shift]]="W","Production","Non-Production")</f>
        <v>Non-Production</v>
      </c>
      <c r="W1864" t="str">
        <f>IF(SeismicData[[#This Row],[genergy]]=0,"0","10^"&amp;INT(LOG10(SeismicData[[#This Row],[genergy]])))</f>
        <v>10^4</v>
      </c>
      <c r="X1864" t="str">
        <f>IF(OR(SeismicData[[#This Row],[genergy]]&lt;$AA$6,SeismicData[[#This Row],[genergy]]&gt;$AA$5),"Outlier","Normal")</f>
        <v>Normal</v>
      </c>
    </row>
    <row r="1865" spans="1:24" x14ac:dyDescent="0.15">
      <c r="A1865">
        <v>1864</v>
      </c>
      <c r="B1865" t="s">
        <v>20</v>
      </c>
      <c r="C1865" t="s">
        <v>23</v>
      </c>
      <c r="D1865" t="s">
        <v>21</v>
      </c>
      <c r="E1865">
        <v>5680</v>
      </c>
      <c r="F1865">
        <v>127</v>
      </c>
      <c r="G1865">
        <v>-43</v>
      </c>
      <c r="H1865">
        <v>-64</v>
      </c>
      <c r="I1865" t="s">
        <v>20</v>
      </c>
      <c r="J1865">
        <v>0</v>
      </c>
      <c r="K1865">
        <v>0</v>
      </c>
      <c r="L1865">
        <v>0</v>
      </c>
      <c r="M1865">
        <v>0</v>
      </c>
      <c r="N1865">
        <v>0</v>
      </c>
      <c r="O1865">
        <v>0</v>
      </c>
      <c r="P1865">
        <v>0</v>
      </c>
      <c r="Q1865">
        <v>0</v>
      </c>
      <c r="R1865">
        <v>0</v>
      </c>
      <c r="S1865">
        <v>0</v>
      </c>
      <c r="T1865">
        <v>0</v>
      </c>
      <c r="U1865" t="str">
        <f>IF(SeismicData[[#This Row],[class]]=1,"Dangerous","Safe")</f>
        <v>Safe</v>
      </c>
      <c r="V1865" t="str">
        <f>IF(SeismicData[[#This Row],[shift]]="W","Production","Non-Production")</f>
        <v>Non-Production</v>
      </c>
      <c r="W1865" t="str">
        <f>IF(SeismicData[[#This Row],[genergy]]=0,"0","10^"&amp;INT(LOG10(SeismicData[[#This Row],[genergy]])))</f>
        <v>10^3</v>
      </c>
      <c r="X1865" t="str">
        <f>IF(OR(SeismicData[[#This Row],[genergy]]&lt;$AA$6,SeismicData[[#This Row],[genergy]]&gt;$AA$5),"Outlier","Normal")</f>
        <v>Normal</v>
      </c>
    </row>
    <row r="1866" spans="1:24" x14ac:dyDescent="0.15">
      <c r="A1866">
        <v>1865</v>
      </c>
      <c r="B1866" t="s">
        <v>20</v>
      </c>
      <c r="C1866" t="s">
        <v>23</v>
      </c>
      <c r="D1866" t="s">
        <v>21</v>
      </c>
      <c r="E1866">
        <v>4890</v>
      </c>
      <c r="F1866">
        <v>162</v>
      </c>
      <c r="G1866">
        <v>97</v>
      </c>
      <c r="H1866">
        <v>88</v>
      </c>
      <c r="I1866" t="s">
        <v>20</v>
      </c>
      <c r="J1866">
        <v>0</v>
      </c>
      <c r="K1866">
        <v>0</v>
      </c>
      <c r="L1866">
        <v>0</v>
      </c>
      <c r="M1866">
        <v>0</v>
      </c>
      <c r="N1866">
        <v>0</v>
      </c>
      <c r="O1866">
        <v>0</v>
      </c>
      <c r="P1866">
        <v>0</v>
      </c>
      <c r="Q1866">
        <v>0</v>
      </c>
      <c r="R1866">
        <v>0</v>
      </c>
      <c r="S1866">
        <v>0</v>
      </c>
      <c r="T1866">
        <v>0</v>
      </c>
      <c r="U1866" t="str">
        <f>IF(SeismicData[[#This Row],[class]]=1,"Dangerous","Safe")</f>
        <v>Safe</v>
      </c>
      <c r="V1866" t="str">
        <f>IF(SeismicData[[#This Row],[shift]]="W","Production","Non-Production")</f>
        <v>Non-Production</v>
      </c>
      <c r="W1866" t="str">
        <f>IF(SeismicData[[#This Row],[genergy]]=0,"0","10^"&amp;INT(LOG10(SeismicData[[#This Row],[genergy]])))</f>
        <v>10^3</v>
      </c>
      <c r="X1866" t="str">
        <f>IF(OR(SeismicData[[#This Row],[genergy]]&lt;$AA$6,SeismicData[[#This Row],[genergy]]&gt;$AA$5),"Outlier","Normal")</f>
        <v>Normal</v>
      </c>
    </row>
    <row r="1867" spans="1:24" x14ac:dyDescent="0.15">
      <c r="A1867">
        <v>1866</v>
      </c>
      <c r="B1867" t="s">
        <v>20</v>
      </c>
      <c r="C1867" t="s">
        <v>23</v>
      </c>
      <c r="D1867" t="s">
        <v>21</v>
      </c>
      <c r="E1867">
        <v>10320</v>
      </c>
      <c r="F1867">
        <v>172</v>
      </c>
      <c r="G1867">
        <v>4</v>
      </c>
      <c r="H1867">
        <v>-51</v>
      </c>
      <c r="I1867" t="s">
        <v>20</v>
      </c>
      <c r="J1867">
        <v>0</v>
      </c>
      <c r="K1867">
        <v>0</v>
      </c>
      <c r="L1867">
        <v>0</v>
      </c>
      <c r="M1867">
        <v>0</v>
      </c>
      <c r="N1867">
        <v>0</v>
      </c>
      <c r="O1867">
        <v>0</v>
      </c>
      <c r="P1867">
        <v>0</v>
      </c>
      <c r="Q1867">
        <v>0</v>
      </c>
      <c r="R1867">
        <v>0</v>
      </c>
      <c r="S1867">
        <v>0</v>
      </c>
      <c r="T1867">
        <v>0</v>
      </c>
      <c r="U1867" t="str">
        <f>IF(SeismicData[[#This Row],[class]]=1,"Dangerous","Safe")</f>
        <v>Safe</v>
      </c>
      <c r="V1867" t="str">
        <f>IF(SeismicData[[#This Row],[shift]]="W","Production","Non-Production")</f>
        <v>Non-Production</v>
      </c>
      <c r="W1867" t="str">
        <f>IF(SeismicData[[#This Row],[genergy]]=0,"0","10^"&amp;INT(LOG10(SeismicData[[#This Row],[genergy]])))</f>
        <v>10^4</v>
      </c>
      <c r="X1867" t="str">
        <f>IF(OR(SeismicData[[#This Row],[genergy]]&lt;$AA$6,SeismicData[[#This Row],[genergy]]&gt;$AA$5),"Outlier","Normal")</f>
        <v>Normal</v>
      </c>
    </row>
    <row r="1868" spans="1:24" x14ac:dyDescent="0.15">
      <c r="A1868">
        <v>1867</v>
      </c>
      <c r="B1868" t="s">
        <v>20</v>
      </c>
      <c r="C1868" t="s">
        <v>23</v>
      </c>
      <c r="D1868" t="s">
        <v>21</v>
      </c>
      <c r="E1868">
        <v>22610</v>
      </c>
      <c r="F1868">
        <v>242</v>
      </c>
      <c r="G1868">
        <v>193</v>
      </c>
      <c r="H1868">
        <v>30</v>
      </c>
      <c r="I1868" t="s">
        <v>20</v>
      </c>
      <c r="J1868">
        <v>0</v>
      </c>
      <c r="K1868">
        <v>0</v>
      </c>
      <c r="L1868">
        <v>0</v>
      </c>
      <c r="M1868">
        <v>0</v>
      </c>
      <c r="N1868">
        <v>0</v>
      </c>
      <c r="O1868">
        <v>0</v>
      </c>
      <c r="P1868">
        <v>0</v>
      </c>
      <c r="Q1868">
        <v>0</v>
      </c>
      <c r="R1868">
        <v>0</v>
      </c>
      <c r="S1868">
        <v>0</v>
      </c>
      <c r="T1868">
        <v>0</v>
      </c>
      <c r="U1868" t="str">
        <f>IF(SeismicData[[#This Row],[class]]=1,"Dangerous","Safe")</f>
        <v>Safe</v>
      </c>
      <c r="V1868" t="str">
        <f>IF(SeismicData[[#This Row],[shift]]="W","Production","Non-Production")</f>
        <v>Non-Production</v>
      </c>
      <c r="W1868" t="str">
        <f>IF(SeismicData[[#This Row],[genergy]]=0,"0","10^"&amp;INT(LOG10(SeismicData[[#This Row],[genergy]])))</f>
        <v>10^4</v>
      </c>
      <c r="X1868" t="str">
        <f>IF(OR(SeismicData[[#This Row],[genergy]]&lt;$AA$6,SeismicData[[#This Row],[genergy]]&gt;$AA$5),"Outlier","Normal")</f>
        <v>Normal</v>
      </c>
    </row>
    <row r="1869" spans="1:24" x14ac:dyDescent="0.15">
      <c r="A1869">
        <v>1868</v>
      </c>
      <c r="B1869" t="s">
        <v>20</v>
      </c>
      <c r="C1869" t="s">
        <v>23</v>
      </c>
      <c r="D1869" t="s">
        <v>21</v>
      </c>
      <c r="E1869">
        <v>2410</v>
      </c>
      <c r="F1869">
        <v>109</v>
      </c>
      <c r="G1869">
        <v>-76</v>
      </c>
      <c r="H1869">
        <v>-69</v>
      </c>
      <c r="I1869" t="s">
        <v>20</v>
      </c>
      <c r="J1869">
        <v>0</v>
      </c>
      <c r="K1869">
        <v>0</v>
      </c>
      <c r="L1869">
        <v>0</v>
      </c>
      <c r="M1869">
        <v>0</v>
      </c>
      <c r="N1869">
        <v>0</v>
      </c>
      <c r="O1869">
        <v>0</v>
      </c>
      <c r="P1869">
        <v>0</v>
      </c>
      <c r="Q1869">
        <v>0</v>
      </c>
      <c r="R1869">
        <v>0</v>
      </c>
      <c r="S1869">
        <v>0</v>
      </c>
      <c r="T1869">
        <v>0</v>
      </c>
      <c r="U1869" t="str">
        <f>IF(SeismicData[[#This Row],[class]]=1,"Dangerous","Safe")</f>
        <v>Safe</v>
      </c>
      <c r="V1869" t="str">
        <f>IF(SeismicData[[#This Row],[shift]]="W","Production","Non-Production")</f>
        <v>Non-Production</v>
      </c>
      <c r="W1869" t="str">
        <f>IF(SeismicData[[#This Row],[genergy]]=0,"0","10^"&amp;INT(LOG10(SeismicData[[#This Row],[genergy]])))</f>
        <v>10^3</v>
      </c>
      <c r="X1869" t="str">
        <f>IF(OR(SeismicData[[#This Row],[genergy]]&lt;$AA$6,SeismicData[[#This Row],[genergy]]&gt;$AA$5),"Outlier","Normal")</f>
        <v>Normal</v>
      </c>
    </row>
    <row r="1870" spans="1:24" x14ac:dyDescent="0.15">
      <c r="A1870">
        <v>1869</v>
      </c>
      <c r="B1870" t="s">
        <v>20</v>
      </c>
      <c r="C1870" t="s">
        <v>23</v>
      </c>
      <c r="D1870" t="s">
        <v>21</v>
      </c>
      <c r="E1870">
        <v>8690</v>
      </c>
      <c r="F1870">
        <v>92</v>
      </c>
      <c r="G1870">
        <v>-12</v>
      </c>
      <c r="H1870">
        <v>-74</v>
      </c>
      <c r="I1870" t="s">
        <v>20</v>
      </c>
      <c r="J1870">
        <v>1</v>
      </c>
      <c r="K1870">
        <v>0</v>
      </c>
      <c r="L1870">
        <v>1</v>
      </c>
      <c r="M1870">
        <v>0</v>
      </c>
      <c r="N1870">
        <v>0</v>
      </c>
      <c r="O1870">
        <v>0</v>
      </c>
      <c r="P1870">
        <v>0</v>
      </c>
      <c r="Q1870">
        <v>0</v>
      </c>
      <c r="R1870">
        <v>4000</v>
      </c>
      <c r="S1870">
        <v>4000</v>
      </c>
      <c r="T1870">
        <v>0</v>
      </c>
      <c r="U1870" t="str">
        <f>IF(SeismicData[[#This Row],[class]]=1,"Dangerous","Safe")</f>
        <v>Safe</v>
      </c>
      <c r="V1870" t="str">
        <f>IF(SeismicData[[#This Row],[shift]]="W","Production","Non-Production")</f>
        <v>Non-Production</v>
      </c>
      <c r="W1870" t="str">
        <f>IF(SeismicData[[#This Row],[genergy]]=0,"0","10^"&amp;INT(LOG10(SeismicData[[#This Row],[genergy]])))</f>
        <v>10^3</v>
      </c>
      <c r="X1870" t="str">
        <f>IF(OR(SeismicData[[#This Row],[genergy]]&lt;$AA$6,SeismicData[[#This Row],[genergy]]&gt;$AA$5),"Outlier","Normal")</f>
        <v>Normal</v>
      </c>
    </row>
    <row r="1871" spans="1:24" x14ac:dyDescent="0.15">
      <c r="A1871">
        <v>1870</v>
      </c>
      <c r="B1871" t="s">
        <v>20</v>
      </c>
      <c r="C1871" t="s">
        <v>23</v>
      </c>
      <c r="D1871" t="s">
        <v>21</v>
      </c>
      <c r="E1871">
        <v>4530</v>
      </c>
      <c r="F1871">
        <v>98</v>
      </c>
      <c r="G1871">
        <v>-54</v>
      </c>
      <c r="H1871">
        <v>-72</v>
      </c>
      <c r="I1871" t="s">
        <v>20</v>
      </c>
      <c r="J1871">
        <v>0</v>
      </c>
      <c r="K1871">
        <v>0</v>
      </c>
      <c r="L1871">
        <v>0</v>
      </c>
      <c r="M1871">
        <v>0</v>
      </c>
      <c r="N1871">
        <v>0</v>
      </c>
      <c r="O1871">
        <v>0</v>
      </c>
      <c r="P1871">
        <v>0</v>
      </c>
      <c r="Q1871">
        <v>0</v>
      </c>
      <c r="R1871">
        <v>0</v>
      </c>
      <c r="S1871">
        <v>0</v>
      </c>
      <c r="T1871">
        <v>0</v>
      </c>
      <c r="U1871" t="str">
        <f>IF(SeismicData[[#This Row],[class]]=1,"Dangerous","Safe")</f>
        <v>Safe</v>
      </c>
      <c r="V1871" t="str">
        <f>IF(SeismicData[[#This Row],[shift]]="W","Production","Non-Production")</f>
        <v>Non-Production</v>
      </c>
      <c r="W1871" t="str">
        <f>IF(SeismicData[[#This Row],[genergy]]=0,"0","10^"&amp;INT(LOG10(SeismicData[[#This Row],[genergy]])))</f>
        <v>10^3</v>
      </c>
      <c r="X1871" t="str">
        <f>IF(OR(SeismicData[[#This Row],[genergy]]&lt;$AA$6,SeismicData[[#This Row],[genergy]]&gt;$AA$5),"Outlier","Normal")</f>
        <v>Normal</v>
      </c>
    </row>
    <row r="1872" spans="1:24" x14ac:dyDescent="0.15">
      <c r="A1872">
        <v>1871</v>
      </c>
      <c r="B1872" t="s">
        <v>20</v>
      </c>
      <c r="C1872" t="s">
        <v>23</v>
      </c>
      <c r="D1872" t="s">
        <v>21</v>
      </c>
      <c r="E1872">
        <v>4040</v>
      </c>
      <c r="F1872">
        <v>92</v>
      </c>
      <c r="G1872">
        <v>-57</v>
      </c>
      <c r="H1872">
        <v>-72</v>
      </c>
      <c r="I1872" t="s">
        <v>20</v>
      </c>
      <c r="J1872">
        <v>0</v>
      </c>
      <c r="K1872">
        <v>0</v>
      </c>
      <c r="L1872">
        <v>0</v>
      </c>
      <c r="M1872">
        <v>0</v>
      </c>
      <c r="N1872">
        <v>0</v>
      </c>
      <c r="O1872">
        <v>0</v>
      </c>
      <c r="P1872">
        <v>0</v>
      </c>
      <c r="Q1872">
        <v>0</v>
      </c>
      <c r="R1872">
        <v>0</v>
      </c>
      <c r="S1872">
        <v>0</v>
      </c>
      <c r="T1872">
        <v>0</v>
      </c>
      <c r="U1872" t="str">
        <f>IF(SeismicData[[#This Row],[class]]=1,"Dangerous","Safe")</f>
        <v>Safe</v>
      </c>
      <c r="V1872" t="str">
        <f>IF(SeismicData[[#This Row],[shift]]="W","Production","Non-Production")</f>
        <v>Non-Production</v>
      </c>
      <c r="W1872" t="str">
        <f>IF(SeismicData[[#This Row],[genergy]]=0,"0","10^"&amp;INT(LOG10(SeismicData[[#This Row],[genergy]])))</f>
        <v>10^3</v>
      </c>
      <c r="X1872" t="str">
        <f>IF(OR(SeismicData[[#This Row],[genergy]]&lt;$AA$6,SeismicData[[#This Row],[genergy]]&gt;$AA$5),"Outlier","Normal")</f>
        <v>Normal</v>
      </c>
    </row>
    <row r="1873" spans="1:24" x14ac:dyDescent="0.15">
      <c r="A1873">
        <v>1872</v>
      </c>
      <c r="B1873" t="s">
        <v>20</v>
      </c>
      <c r="C1873" t="s">
        <v>23</v>
      </c>
      <c r="D1873" t="s">
        <v>21</v>
      </c>
      <c r="E1873">
        <v>6920</v>
      </c>
      <c r="F1873">
        <v>100</v>
      </c>
      <c r="G1873">
        <v>-26</v>
      </c>
      <c r="H1873">
        <v>-69</v>
      </c>
      <c r="I1873" t="s">
        <v>20</v>
      </c>
      <c r="J1873">
        <v>0</v>
      </c>
      <c r="K1873">
        <v>0</v>
      </c>
      <c r="L1873">
        <v>0</v>
      </c>
      <c r="M1873">
        <v>0</v>
      </c>
      <c r="N1873">
        <v>0</v>
      </c>
      <c r="O1873">
        <v>0</v>
      </c>
      <c r="P1873">
        <v>0</v>
      </c>
      <c r="Q1873">
        <v>0</v>
      </c>
      <c r="R1873">
        <v>0</v>
      </c>
      <c r="S1873">
        <v>0</v>
      </c>
      <c r="T1873">
        <v>0</v>
      </c>
      <c r="U1873" t="str">
        <f>IF(SeismicData[[#This Row],[class]]=1,"Dangerous","Safe")</f>
        <v>Safe</v>
      </c>
      <c r="V1873" t="str">
        <f>IF(SeismicData[[#This Row],[shift]]="W","Production","Non-Production")</f>
        <v>Non-Production</v>
      </c>
      <c r="W1873" t="str">
        <f>IF(SeismicData[[#This Row],[genergy]]=0,"0","10^"&amp;INT(LOG10(SeismicData[[#This Row],[genergy]])))</f>
        <v>10^3</v>
      </c>
      <c r="X1873" t="str">
        <f>IF(OR(SeismicData[[#This Row],[genergy]]&lt;$AA$6,SeismicData[[#This Row],[genergy]]&gt;$AA$5),"Outlier","Normal")</f>
        <v>Normal</v>
      </c>
    </row>
    <row r="1874" spans="1:24" x14ac:dyDescent="0.15">
      <c r="A1874">
        <v>1873</v>
      </c>
      <c r="B1874" t="s">
        <v>20</v>
      </c>
      <c r="C1874" t="s">
        <v>23</v>
      </c>
      <c r="D1874" t="s">
        <v>21</v>
      </c>
      <c r="E1874">
        <v>4230</v>
      </c>
      <c r="F1874">
        <v>126</v>
      </c>
      <c r="G1874">
        <v>-55</v>
      </c>
      <c r="H1874">
        <v>-61</v>
      </c>
      <c r="I1874" t="s">
        <v>20</v>
      </c>
      <c r="J1874">
        <v>0</v>
      </c>
      <c r="K1874">
        <v>0</v>
      </c>
      <c r="L1874">
        <v>0</v>
      </c>
      <c r="M1874">
        <v>0</v>
      </c>
      <c r="N1874">
        <v>0</v>
      </c>
      <c r="O1874">
        <v>0</v>
      </c>
      <c r="P1874">
        <v>0</v>
      </c>
      <c r="Q1874">
        <v>0</v>
      </c>
      <c r="R1874">
        <v>0</v>
      </c>
      <c r="S1874">
        <v>0</v>
      </c>
      <c r="T1874">
        <v>0</v>
      </c>
      <c r="U1874" t="str">
        <f>IF(SeismicData[[#This Row],[class]]=1,"Dangerous","Safe")</f>
        <v>Safe</v>
      </c>
      <c r="V1874" t="str">
        <f>IF(SeismicData[[#This Row],[shift]]="W","Production","Non-Production")</f>
        <v>Non-Production</v>
      </c>
      <c r="W1874" t="str">
        <f>IF(SeismicData[[#This Row],[genergy]]=0,"0","10^"&amp;INT(LOG10(SeismicData[[#This Row],[genergy]])))</f>
        <v>10^3</v>
      </c>
      <c r="X1874" t="str">
        <f>IF(OR(SeismicData[[#This Row],[genergy]]&lt;$AA$6,SeismicData[[#This Row],[genergy]]&gt;$AA$5),"Outlier","Normal")</f>
        <v>Normal</v>
      </c>
    </row>
    <row r="1875" spans="1:24" x14ac:dyDescent="0.15">
      <c r="A1875">
        <v>1874</v>
      </c>
      <c r="B1875" t="s">
        <v>20</v>
      </c>
      <c r="C1875" t="s">
        <v>23</v>
      </c>
      <c r="D1875" t="s">
        <v>22</v>
      </c>
      <c r="E1875">
        <v>22820</v>
      </c>
      <c r="F1875">
        <v>311</v>
      </c>
      <c r="G1875">
        <v>-25</v>
      </c>
      <c r="H1875">
        <v>-51</v>
      </c>
      <c r="I1875" t="s">
        <v>20</v>
      </c>
      <c r="J1875">
        <v>0</v>
      </c>
      <c r="K1875">
        <v>0</v>
      </c>
      <c r="L1875">
        <v>0</v>
      </c>
      <c r="M1875">
        <v>0</v>
      </c>
      <c r="N1875">
        <v>0</v>
      </c>
      <c r="O1875">
        <v>0</v>
      </c>
      <c r="P1875">
        <v>0</v>
      </c>
      <c r="Q1875">
        <v>0</v>
      </c>
      <c r="R1875">
        <v>0</v>
      </c>
      <c r="S1875">
        <v>0</v>
      </c>
      <c r="T1875">
        <v>0</v>
      </c>
      <c r="U1875" t="str">
        <f>IF(SeismicData[[#This Row],[class]]=1,"Dangerous","Safe")</f>
        <v>Safe</v>
      </c>
      <c r="V1875" t="str">
        <f>IF(SeismicData[[#This Row],[shift]]="W","Production","Non-Production")</f>
        <v>Production</v>
      </c>
      <c r="W1875" t="str">
        <f>IF(SeismicData[[#This Row],[genergy]]=0,"0","10^"&amp;INT(LOG10(SeismicData[[#This Row],[genergy]])))</f>
        <v>10^4</v>
      </c>
      <c r="X1875" t="str">
        <f>IF(OR(SeismicData[[#This Row],[genergy]]&lt;$AA$6,SeismicData[[#This Row],[genergy]]&gt;$AA$5),"Outlier","Normal")</f>
        <v>Normal</v>
      </c>
    </row>
    <row r="1876" spans="1:24" x14ac:dyDescent="0.15">
      <c r="A1876">
        <v>1875</v>
      </c>
      <c r="B1876" t="s">
        <v>20</v>
      </c>
      <c r="C1876" t="s">
        <v>23</v>
      </c>
      <c r="D1876" t="s">
        <v>22</v>
      </c>
      <c r="E1876">
        <v>20760</v>
      </c>
      <c r="F1876">
        <v>326</v>
      </c>
      <c r="G1876">
        <v>-32</v>
      </c>
      <c r="H1876">
        <v>-49</v>
      </c>
      <c r="I1876" t="s">
        <v>20</v>
      </c>
      <c r="J1876">
        <v>0</v>
      </c>
      <c r="K1876">
        <v>0</v>
      </c>
      <c r="L1876">
        <v>0</v>
      </c>
      <c r="M1876">
        <v>0</v>
      </c>
      <c r="N1876">
        <v>0</v>
      </c>
      <c r="O1876">
        <v>0</v>
      </c>
      <c r="P1876">
        <v>0</v>
      </c>
      <c r="Q1876">
        <v>0</v>
      </c>
      <c r="R1876">
        <v>0</v>
      </c>
      <c r="S1876">
        <v>0</v>
      </c>
      <c r="T1876">
        <v>0</v>
      </c>
      <c r="U1876" t="str">
        <f>IF(SeismicData[[#This Row],[class]]=1,"Dangerous","Safe")</f>
        <v>Safe</v>
      </c>
      <c r="V1876" t="str">
        <f>IF(SeismicData[[#This Row],[shift]]="W","Production","Non-Production")</f>
        <v>Production</v>
      </c>
      <c r="W1876" t="str">
        <f>IF(SeismicData[[#This Row],[genergy]]=0,"0","10^"&amp;INT(LOG10(SeismicData[[#This Row],[genergy]])))</f>
        <v>10^4</v>
      </c>
      <c r="X1876" t="str">
        <f>IF(OR(SeismicData[[#This Row],[genergy]]&lt;$AA$6,SeismicData[[#This Row],[genergy]]&gt;$AA$5),"Outlier","Normal")</f>
        <v>Normal</v>
      </c>
    </row>
    <row r="1877" spans="1:24" x14ac:dyDescent="0.15">
      <c r="A1877">
        <v>1876</v>
      </c>
      <c r="B1877" t="s">
        <v>20</v>
      </c>
      <c r="C1877" t="s">
        <v>23</v>
      </c>
      <c r="D1877" t="s">
        <v>22</v>
      </c>
      <c r="E1877">
        <v>27150</v>
      </c>
      <c r="F1877">
        <v>441</v>
      </c>
      <c r="G1877">
        <v>-11</v>
      </c>
      <c r="H1877">
        <v>-31</v>
      </c>
      <c r="I1877" t="s">
        <v>20</v>
      </c>
      <c r="J1877">
        <v>0</v>
      </c>
      <c r="K1877">
        <v>0</v>
      </c>
      <c r="L1877">
        <v>0</v>
      </c>
      <c r="M1877">
        <v>0</v>
      </c>
      <c r="N1877">
        <v>0</v>
      </c>
      <c r="O1877">
        <v>0</v>
      </c>
      <c r="P1877">
        <v>0</v>
      </c>
      <c r="Q1877">
        <v>0</v>
      </c>
      <c r="R1877">
        <v>0</v>
      </c>
      <c r="S1877">
        <v>0</v>
      </c>
      <c r="T1877">
        <v>0</v>
      </c>
      <c r="U1877" t="str">
        <f>IF(SeismicData[[#This Row],[class]]=1,"Dangerous","Safe")</f>
        <v>Safe</v>
      </c>
      <c r="V1877" t="str">
        <f>IF(SeismicData[[#This Row],[shift]]="W","Production","Non-Production")</f>
        <v>Production</v>
      </c>
      <c r="W1877" t="str">
        <f>IF(SeismicData[[#This Row],[genergy]]=0,"0","10^"&amp;INT(LOG10(SeismicData[[#This Row],[genergy]])))</f>
        <v>10^4</v>
      </c>
      <c r="X1877" t="str">
        <f>IF(OR(SeismicData[[#This Row],[genergy]]&lt;$AA$6,SeismicData[[#This Row],[genergy]]&gt;$AA$5),"Outlier","Normal")</f>
        <v>Normal</v>
      </c>
    </row>
    <row r="1878" spans="1:24" x14ac:dyDescent="0.15">
      <c r="A1878">
        <v>1877</v>
      </c>
      <c r="B1878" t="s">
        <v>20</v>
      </c>
      <c r="C1878" t="s">
        <v>23</v>
      </c>
      <c r="D1878" t="s">
        <v>22</v>
      </c>
      <c r="E1878">
        <v>66520</v>
      </c>
      <c r="F1878">
        <v>685</v>
      </c>
      <c r="G1878">
        <v>118</v>
      </c>
      <c r="H1878">
        <v>7</v>
      </c>
      <c r="I1878" t="s">
        <v>20</v>
      </c>
      <c r="J1878">
        <v>0</v>
      </c>
      <c r="K1878">
        <v>0</v>
      </c>
      <c r="L1878">
        <v>0</v>
      </c>
      <c r="M1878">
        <v>0</v>
      </c>
      <c r="N1878">
        <v>0</v>
      </c>
      <c r="O1878">
        <v>0</v>
      </c>
      <c r="P1878">
        <v>0</v>
      </c>
      <c r="Q1878">
        <v>0</v>
      </c>
      <c r="R1878">
        <v>0</v>
      </c>
      <c r="S1878">
        <v>0</v>
      </c>
      <c r="T1878">
        <v>0</v>
      </c>
      <c r="U1878" t="str">
        <f>IF(SeismicData[[#This Row],[class]]=1,"Dangerous","Safe")</f>
        <v>Safe</v>
      </c>
      <c r="V1878" t="str">
        <f>IF(SeismicData[[#This Row],[shift]]="W","Production","Non-Production")</f>
        <v>Production</v>
      </c>
      <c r="W1878" t="str">
        <f>IF(SeismicData[[#This Row],[genergy]]=0,"0","10^"&amp;INT(LOG10(SeismicData[[#This Row],[genergy]])))</f>
        <v>10^4</v>
      </c>
      <c r="X1878" t="str">
        <f>IF(OR(SeismicData[[#This Row],[genergy]]&lt;$AA$6,SeismicData[[#This Row],[genergy]]&gt;$AA$5),"Outlier","Normal")</f>
        <v>Normal</v>
      </c>
    </row>
    <row r="1879" spans="1:24" x14ac:dyDescent="0.15">
      <c r="A1879">
        <v>1878</v>
      </c>
      <c r="B1879" t="s">
        <v>20</v>
      </c>
      <c r="C1879" t="s">
        <v>23</v>
      </c>
      <c r="D1879" t="s">
        <v>22</v>
      </c>
      <c r="E1879">
        <v>24360</v>
      </c>
      <c r="F1879">
        <v>444</v>
      </c>
      <c r="G1879">
        <v>-20</v>
      </c>
      <c r="H1879">
        <v>-31</v>
      </c>
      <c r="I1879" t="s">
        <v>20</v>
      </c>
      <c r="J1879">
        <v>0</v>
      </c>
      <c r="K1879">
        <v>0</v>
      </c>
      <c r="L1879">
        <v>0</v>
      </c>
      <c r="M1879">
        <v>0</v>
      </c>
      <c r="N1879">
        <v>0</v>
      </c>
      <c r="O1879">
        <v>0</v>
      </c>
      <c r="P1879">
        <v>0</v>
      </c>
      <c r="Q1879">
        <v>0</v>
      </c>
      <c r="R1879">
        <v>0</v>
      </c>
      <c r="S1879">
        <v>0</v>
      </c>
      <c r="T1879">
        <v>0</v>
      </c>
      <c r="U1879" t="str">
        <f>IF(SeismicData[[#This Row],[class]]=1,"Dangerous","Safe")</f>
        <v>Safe</v>
      </c>
      <c r="V1879" t="str">
        <f>IF(SeismicData[[#This Row],[shift]]="W","Production","Non-Production")</f>
        <v>Production</v>
      </c>
      <c r="W1879" t="str">
        <f>IF(SeismicData[[#This Row],[genergy]]=0,"0","10^"&amp;INT(LOG10(SeismicData[[#This Row],[genergy]])))</f>
        <v>10^4</v>
      </c>
      <c r="X1879" t="str">
        <f>IF(OR(SeismicData[[#This Row],[genergy]]&lt;$AA$6,SeismicData[[#This Row],[genergy]]&gt;$AA$5),"Outlier","Normal")</f>
        <v>Normal</v>
      </c>
    </row>
    <row r="1880" spans="1:24" x14ac:dyDescent="0.15">
      <c r="A1880">
        <v>1879</v>
      </c>
      <c r="B1880" t="s">
        <v>20</v>
      </c>
      <c r="C1880" t="s">
        <v>20</v>
      </c>
      <c r="D1880" t="s">
        <v>22</v>
      </c>
      <c r="E1880">
        <v>18160</v>
      </c>
      <c r="F1880">
        <v>378</v>
      </c>
      <c r="G1880">
        <v>-43</v>
      </c>
      <c r="H1880">
        <v>-41</v>
      </c>
      <c r="I1880" t="s">
        <v>20</v>
      </c>
      <c r="J1880">
        <v>0</v>
      </c>
      <c r="K1880">
        <v>0</v>
      </c>
      <c r="L1880">
        <v>0</v>
      </c>
      <c r="M1880">
        <v>0</v>
      </c>
      <c r="N1880">
        <v>0</v>
      </c>
      <c r="O1880">
        <v>0</v>
      </c>
      <c r="P1880">
        <v>0</v>
      </c>
      <c r="Q1880">
        <v>0</v>
      </c>
      <c r="R1880">
        <v>0</v>
      </c>
      <c r="S1880">
        <v>0</v>
      </c>
      <c r="T1880">
        <v>0</v>
      </c>
      <c r="U1880" t="str">
        <f>IF(SeismicData[[#This Row],[class]]=1,"Dangerous","Safe")</f>
        <v>Safe</v>
      </c>
      <c r="V1880" t="str">
        <f>IF(SeismicData[[#This Row],[shift]]="W","Production","Non-Production")</f>
        <v>Production</v>
      </c>
      <c r="W1880" t="str">
        <f>IF(SeismicData[[#This Row],[genergy]]=0,"0","10^"&amp;INT(LOG10(SeismicData[[#This Row],[genergy]])))</f>
        <v>10^4</v>
      </c>
      <c r="X1880" t="str">
        <f>IF(OR(SeismicData[[#This Row],[genergy]]&lt;$AA$6,SeismicData[[#This Row],[genergy]]&gt;$AA$5),"Outlier","Normal")</f>
        <v>Normal</v>
      </c>
    </row>
    <row r="1881" spans="1:24" x14ac:dyDescent="0.15">
      <c r="A1881">
        <v>1880</v>
      </c>
      <c r="B1881" t="s">
        <v>20</v>
      </c>
      <c r="C1881" t="s">
        <v>20</v>
      </c>
      <c r="D1881" t="s">
        <v>22</v>
      </c>
      <c r="E1881">
        <v>17860</v>
      </c>
      <c r="F1881">
        <v>321</v>
      </c>
      <c r="G1881">
        <v>-44</v>
      </c>
      <c r="H1881">
        <v>-50</v>
      </c>
      <c r="I1881" t="s">
        <v>20</v>
      </c>
      <c r="J1881">
        <v>1</v>
      </c>
      <c r="K1881">
        <v>1</v>
      </c>
      <c r="L1881">
        <v>0</v>
      </c>
      <c r="M1881">
        <v>0</v>
      </c>
      <c r="N1881">
        <v>0</v>
      </c>
      <c r="O1881">
        <v>0</v>
      </c>
      <c r="P1881">
        <v>0</v>
      </c>
      <c r="Q1881">
        <v>0</v>
      </c>
      <c r="R1881">
        <v>400</v>
      </c>
      <c r="S1881">
        <v>400</v>
      </c>
      <c r="T1881">
        <v>0</v>
      </c>
      <c r="U1881" t="str">
        <f>IF(SeismicData[[#This Row],[class]]=1,"Dangerous","Safe")</f>
        <v>Safe</v>
      </c>
      <c r="V1881" t="str">
        <f>IF(SeismicData[[#This Row],[shift]]="W","Production","Non-Production")</f>
        <v>Production</v>
      </c>
      <c r="W1881" t="str">
        <f>IF(SeismicData[[#This Row],[genergy]]=0,"0","10^"&amp;INT(LOG10(SeismicData[[#This Row],[genergy]])))</f>
        <v>10^4</v>
      </c>
      <c r="X1881" t="str">
        <f>IF(OR(SeismicData[[#This Row],[genergy]]&lt;$AA$6,SeismicData[[#This Row],[genergy]]&gt;$AA$5),"Outlier","Normal")</f>
        <v>Normal</v>
      </c>
    </row>
    <row r="1882" spans="1:24" x14ac:dyDescent="0.15">
      <c r="A1882">
        <v>1881</v>
      </c>
      <c r="B1882" t="s">
        <v>20</v>
      </c>
      <c r="C1882" t="s">
        <v>20</v>
      </c>
      <c r="D1882" t="s">
        <v>22</v>
      </c>
      <c r="E1882">
        <v>75050</v>
      </c>
      <c r="F1882">
        <v>675</v>
      </c>
      <c r="G1882">
        <v>134</v>
      </c>
      <c r="H1882">
        <v>5</v>
      </c>
      <c r="I1882" t="s">
        <v>20</v>
      </c>
      <c r="J1882">
        <v>3</v>
      </c>
      <c r="K1882">
        <v>0</v>
      </c>
      <c r="L1882">
        <v>3</v>
      </c>
      <c r="M1882">
        <v>0</v>
      </c>
      <c r="N1882">
        <v>0</v>
      </c>
      <c r="O1882">
        <v>0</v>
      </c>
      <c r="P1882">
        <v>0</v>
      </c>
      <c r="Q1882">
        <v>0</v>
      </c>
      <c r="R1882">
        <v>13000</v>
      </c>
      <c r="S1882">
        <v>8000</v>
      </c>
      <c r="T1882">
        <v>0</v>
      </c>
      <c r="U1882" t="str">
        <f>IF(SeismicData[[#This Row],[class]]=1,"Dangerous","Safe")</f>
        <v>Safe</v>
      </c>
      <c r="V1882" t="str">
        <f>IF(SeismicData[[#This Row],[shift]]="W","Production","Non-Production")</f>
        <v>Production</v>
      </c>
      <c r="W1882" t="str">
        <f>IF(SeismicData[[#This Row],[genergy]]=0,"0","10^"&amp;INT(LOG10(SeismicData[[#This Row],[genergy]])))</f>
        <v>10^4</v>
      </c>
      <c r="X1882" t="str">
        <f>IF(OR(SeismicData[[#This Row],[genergy]]&lt;$AA$6,SeismicData[[#This Row],[genergy]]&gt;$AA$5),"Outlier","Normal")</f>
        <v>Normal</v>
      </c>
    </row>
    <row r="1883" spans="1:24" x14ac:dyDescent="0.15">
      <c r="A1883">
        <v>1882</v>
      </c>
      <c r="B1883" t="s">
        <v>20</v>
      </c>
      <c r="C1883" t="s">
        <v>20</v>
      </c>
      <c r="D1883" t="s">
        <v>22</v>
      </c>
      <c r="E1883">
        <v>80100</v>
      </c>
      <c r="F1883">
        <v>867</v>
      </c>
      <c r="G1883">
        <v>150</v>
      </c>
      <c r="H1883">
        <v>35</v>
      </c>
      <c r="I1883" t="s">
        <v>20</v>
      </c>
      <c r="J1883">
        <v>2</v>
      </c>
      <c r="K1883">
        <v>1</v>
      </c>
      <c r="L1883">
        <v>1</v>
      </c>
      <c r="M1883">
        <v>0</v>
      </c>
      <c r="N1883">
        <v>0</v>
      </c>
      <c r="O1883">
        <v>0</v>
      </c>
      <c r="P1883">
        <v>0</v>
      </c>
      <c r="Q1883">
        <v>0</v>
      </c>
      <c r="R1883">
        <v>1500</v>
      </c>
      <c r="S1883">
        <v>1000</v>
      </c>
      <c r="T1883">
        <v>0</v>
      </c>
      <c r="U1883" t="str">
        <f>IF(SeismicData[[#This Row],[class]]=1,"Dangerous","Safe")</f>
        <v>Safe</v>
      </c>
      <c r="V1883" t="str">
        <f>IF(SeismicData[[#This Row],[shift]]="W","Production","Non-Production")</f>
        <v>Production</v>
      </c>
      <c r="W1883" t="str">
        <f>IF(SeismicData[[#This Row],[genergy]]=0,"0","10^"&amp;INT(LOG10(SeismicData[[#This Row],[genergy]])))</f>
        <v>10^4</v>
      </c>
      <c r="X1883" t="str">
        <f>IF(OR(SeismicData[[#This Row],[genergy]]&lt;$AA$6,SeismicData[[#This Row],[genergy]]&gt;$AA$5),"Outlier","Normal")</f>
        <v>Normal</v>
      </c>
    </row>
    <row r="1884" spans="1:24" x14ac:dyDescent="0.15">
      <c r="A1884">
        <v>1883</v>
      </c>
      <c r="B1884" t="s">
        <v>20</v>
      </c>
      <c r="C1884" t="s">
        <v>20</v>
      </c>
      <c r="D1884" t="s">
        <v>22</v>
      </c>
      <c r="E1884">
        <v>27740</v>
      </c>
      <c r="F1884">
        <v>423</v>
      </c>
      <c r="G1884">
        <v>-13</v>
      </c>
      <c r="H1884">
        <v>-34</v>
      </c>
      <c r="I1884" t="s">
        <v>20</v>
      </c>
      <c r="J1884">
        <v>0</v>
      </c>
      <c r="K1884">
        <v>0</v>
      </c>
      <c r="L1884">
        <v>0</v>
      </c>
      <c r="M1884">
        <v>0</v>
      </c>
      <c r="N1884">
        <v>0</v>
      </c>
      <c r="O1884">
        <v>0</v>
      </c>
      <c r="P1884">
        <v>0</v>
      </c>
      <c r="Q1884">
        <v>0</v>
      </c>
      <c r="R1884">
        <v>0</v>
      </c>
      <c r="S1884">
        <v>0</v>
      </c>
      <c r="T1884">
        <v>0</v>
      </c>
      <c r="U1884" t="str">
        <f>IF(SeismicData[[#This Row],[class]]=1,"Dangerous","Safe")</f>
        <v>Safe</v>
      </c>
      <c r="V1884" t="str">
        <f>IF(SeismicData[[#This Row],[shift]]="W","Production","Non-Production")</f>
        <v>Production</v>
      </c>
      <c r="W1884" t="str">
        <f>IF(SeismicData[[#This Row],[genergy]]=0,"0","10^"&amp;INT(LOG10(SeismicData[[#This Row],[genergy]])))</f>
        <v>10^4</v>
      </c>
      <c r="X1884" t="str">
        <f>IF(OR(SeismicData[[#This Row],[genergy]]&lt;$AA$6,SeismicData[[#This Row],[genergy]]&gt;$AA$5),"Outlier","Normal")</f>
        <v>Normal</v>
      </c>
    </row>
    <row r="1885" spans="1:24" x14ac:dyDescent="0.15">
      <c r="A1885">
        <v>1884</v>
      </c>
      <c r="B1885" t="s">
        <v>20</v>
      </c>
      <c r="C1885" t="s">
        <v>20</v>
      </c>
      <c r="D1885" t="s">
        <v>22</v>
      </c>
      <c r="E1885">
        <v>32430</v>
      </c>
      <c r="F1885">
        <v>527</v>
      </c>
      <c r="G1885">
        <v>1</v>
      </c>
      <c r="H1885">
        <v>-18</v>
      </c>
      <c r="I1885" t="s">
        <v>20</v>
      </c>
      <c r="J1885">
        <v>0</v>
      </c>
      <c r="K1885">
        <v>0</v>
      </c>
      <c r="L1885">
        <v>0</v>
      </c>
      <c r="M1885">
        <v>0</v>
      </c>
      <c r="N1885">
        <v>0</v>
      </c>
      <c r="O1885">
        <v>0</v>
      </c>
      <c r="P1885">
        <v>0</v>
      </c>
      <c r="Q1885">
        <v>0</v>
      </c>
      <c r="R1885">
        <v>0</v>
      </c>
      <c r="S1885">
        <v>0</v>
      </c>
      <c r="T1885">
        <v>0</v>
      </c>
      <c r="U1885" t="str">
        <f>IF(SeismicData[[#This Row],[class]]=1,"Dangerous","Safe")</f>
        <v>Safe</v>
      </c>
      <c r="V1885" t="str">
        <f>IF(SeismicData[[#This Row],[shift]]="W","Production","Non-Production")</f>
        <v>Production</v>
      </c>
      <c r="W1885" t="str">
        <f>IF(SeismicData[[#This Row],[genergy]]=0,"0","10^"&amp;INT(LOG10(SeismicData[[#This Row],[genergy]])))</f>
        <v>10^4</v>
      </c>
      <c r="X1885" t="str">
        <f>IF(OR(SeismicData[[#This Row],[genergy]]&lt;$AA$6,SeismicData[[#This Row],[genergy]]&gt;$AA$5),"Outlier","Normal")</f>
        <v>Normal</v>
      </c>
    </row>
    <row r="1886" spans="1:24" x14ac:dyDescent="0.15">
      <c r="A1886">
        <v>1885</v>
      </c>
      <c r="B1886" t="s">
        <v>20</v>
      </c>
      <c r="C1886" t="s">
        <v>20</v>
      </c>
      <c r="D1886" t="s">
        <v>22</v>
      </c>
      <c r="E1886">
        <v>30750</v>
      </c>
      <c r="F1886">
        <v>508</v>
      </c>
      <c r="G1886">
        <v>-4</v>
      </c>
      <c r="H1886">
        <v>-21</v>
      </c>
      <c r="I1886" t="s">
        <v>20</v>
      </c>
      <c r="J1886">
        <v>0</v>
      </c>
      <c r="K1886">
        <v>0</v>
      </c>
      <c r="L1886">
        <v>0</v>
      </c>
      <c r="M1886">
        <v>0</v>
      </c>
      <c r="N1886">
        <v>0</v>
      </c>
      <c r="O1886">
        <v>0</v>
      </c>
      <c r="P1886">
        <v>0</v>
      </c>
      <c r="Q1886">
        <v>0</v>
      </c>
      <c r="R1886">
        <v>0</v>
      </c>
      <c r="S1886">
        <v>0</v>
      </c>
      <c r="T1886">
        <v>0</v>
      </c>
      <c r="U1886" t="str">
        <f>IF(SeismicData[[#This Row],[class]]=1,"Dangerous","Safe")</f>
        <v>Safe</v>
      </c>
      <c r="V1886" t="str">
        <f>IF(SeismicData[[#This Row],[shift]]="W","Production","Non-Production")</f>
        <v>Production</v>
      </c>
      <c r="W1886" t="str">
        <f>IF(SeismicData[[#This Row],[genergy]]=0,"0","10^"&amp;INT(LOG10(SeismicData[[#This Row],[genergy]])))</f>
        <v>10^4</v>
      </c>
      <c r="X1886" t="str">
        <f>IF(OR(SeismicData[[#This Row],[genergy]]&lt;$AA$6,SeismicData[[#This Row],[genergy]]&gt;$AA$5),"Outlier","Normal")</f>
        <v>Normal</v>
      </c>
    </row>
    <row r="1887" spans="1:24" x14ac:dyDescent="0.15">
      <c r="A1887">
        <v>1886</v>
      </c>
      <c r="B1887" t="s">
        <v>20</v>
      </c>
      <c r="C1887" t="s">
        <v>20</v>
      </c>
      <c r="D1887" t="s">
        <v>22</v>
      </c>
      <c r="E1887">
        <v>64920</v>
      </c>
      <c r="F1887">
        <v>690</v>
      </c>
      <c r="G1887">
        <v>103</v>
      </c>
      <c r="H1887">
        <v>7</v>
      </c>
      <c r="I1887" t="s">
        <v>20</v>
      </c>
      <c r="J1887">
        <v>1</v>
      </c>
      <c r="K1887">
        <v>0</v>
      </c>
      <c r="L1887">
        <v>1</v>
      </c>
      <c r="M1887">
        <v>0</v>
      </c>
      <c r="N1887">
        <v>0</v>
      </c>
      <c r="O1887">
        <v>0</v>
      </c>
      <c r="P1887">
        <v>0</v>
      </c>
      <c r="Q1887">
        <v>0</v>
      </c>
      <c r="R1887">
        <v>1000</v>
      </c>
      <c r="S1887">
        <v>1000</v>
      </c>
      <c r="T1887">
        <v>0</v>
      </c>
      <c r="U1887" t="str">
        <f>IF(SeismicData[[#This Row],[class]]=1,"Dangerous","Safe")</f>
        <v>Safe</v>
      </c>
      <c r="V1887" t="str">
        <f>IF(SeismicData[[#This Row],[shift]]="W","Production","Non-Production")</f>
        <v>Production</v>
      </c>
      <c r="W1887" t="str">
        <f>IF(SeismicData[[#This Row],[genergy]]=0,"0","10^"&amp;INT(LOG10(SeismicData[[#This Row],[genergy]])))</f>
        <v>10^4</v>
      </c>
      <c r="X1887" t="str">
        <f>IF(OR(SeismicData[[#This Row],[genergy]]&lt;$AA$6,SeismicData[[#This Row],[genergy]]&gt;$AA$5),"Outlier","Normal")</f>
        <v>Normal</v>
      </c>
    </row>
    <row r="1888" spans="1:24" x14ac:dyDescent="0.15">
      <c r="A1888">
        <v>1887</v>
      </c>
      <c r="B1888" t="s">
        <v>20</v>
      </c>
      <c r="C1888" t="s">
        <v>20</v>
      </c>
      <c r="D1888" t="s">
        <v>22</v>
      </c>
      <c r="E1888">
        <v>36930</v>
      </c>
      <c r="F1888">
        <v>534</v>
      </c>
      <c r="G1888">
        <v>14</v>
      </c>
      <c r="H1888">
        <v>-13</v>
      </c>
      <c r="I1888" t="s">
        <v>20</v>
      </c>
      <c r="J1888">
        <v>0</v>
      </c>
      <c r="K1888">
        <v>0</v>
      </c>
      <c r="L1888">
        <v>0</v>
      </c>
      <c r="M1888">
        <v>0</v>
      </c>
      <c r="N1888">
        <v>0</v>
      </c>
      <c r="O1888">
        <v>0</v>
      </c>
      <c r="P1888">
        <v>0</v>
      </c>
      <c r="Q1888">
        <v>0</v>
      </c>
      <c r="R1888">
        <v>0</v>
      </c>
      <c r="S1888">
        <v>0</v>
      </c>
      <c r="T1888">
        <v>0</v>
      </c>
      <c r="U1888" t="str">
        <f>IF(SeismicData[[#This Row],[class]]=1,"Dangerous","Safe")</f>
        <v>Safe</v>
      </c>
      <c r="V1888" t="str">
        <f>IF(SeismicData[[#This Row],[shift]]="W","Production","Non-Production")</f>
        <v>Production</v>
      </c>
      <c r="W1888" t="str">
        <f>IF(SeismicData[[#This Row],[genergy]]=0,"0","10^"&amp;INT(LOG10(SeismicData[[#This Row],[genergy]])))</f>
        <v>10^4</v>
      </c>
      <c r="X1888" t="str">
        <f>IF(OR(SeismicData[[#This Row],[genergy]]&lt;$AA$6,SeismicData[[#This Row],[genergy]]&gt;$AA$5),"Outlier","Normal")</f>
        <v>Normal</v>
      </c>
    </row>
    <row r="1889" spans="1:24" x14ac:dyDescent="0.15">
      <c r="A1889">
        <v>1888</v>
      </c>
      <c r="B1889" t="s">
        <v>20</v>
      </c>
      <c r="C1889" t="s">
        <v>20</v>
      </c>
      <c r="D1889" t="s">
        <v>21</v>
      </c>
      <c r="E1889">
        <v>18890</v>
      </c>
      <c r="F1889">
        <v>386</v>
      </c>
      <c r="G1889">
        <v>102</v>
      </c>
      <c r="H1889">
        <v>19</v>
      </c>
      <c r="I1889" t="s">
        <v>20</v>
      </c>
      <c r="J1889">
        <v>1</v>
      </c>
      <c r="K1889">
        <v>1</v>
      </c>
      <c r="L1889">
        <v>0</v>
      </c>
      <c r="M1889">
        <v>0</v>
      </c>
      <c r="N1889">
        <v>0</v>
      </c>
      <c r="O1889">
        <v>0</v>
      </c>
      <c r="P1889">
        <v>0</v>
      </c>
      <c r="Q1889">
        <v>0</v>
      </c>
      <c r="R1889">
        <v>400</v>
      </c>
      <c r="S1889">
        <v>400</v>
      </c>
      <c r="T1889">
        <v>0</v>
      </c>
      <c r="U1889" t="str">
        <f>IF(SeismicData[[#This Row],[class]]=1,"Dangerous","Safe")</f>
        <v>Safe</v>
      </c>
      <c r="V1889" t="str">
        <f>IF(SeismicData[[#This Row],[shift]]="W","Production","Non-Production")</f>
        <v>Non-Production</v>
      </c>
      <c r="W1889" t="str">
        <f>IF(SeismicData[[#This Row],[genergy]]=0,"0","10^"&amp;INT(LOG10(SeismicData[[#This Row],[genergy]])))</f>
        <v>10^4</v>
      </c>
      <c r="X1889" t="str">
        <f>IF(OR(SeismicData[[#This Row],[genergy]]&lt;$AA$6,SeismicData[[#This Row],[genergy]]&gt;$AA$5),"Outlier","Normal")</f>
        <v>Normal</v>
      </c>
    </row>
    <row r="1890" spans="1:24" x14ac:dyDescent="0.15">
      <c r="A1890">
        <v>1889</v>
      </c>
      <c r="B1890" t="s">
        <v>20</v>
      </c>
      <c r="C1890" t="s">
        <v>20</v>
      </c>
      <c r="D1890" t="s">
        <v>22</v>
      </c>
      <c r="E1890">
        <v>46400</v>
      </c>
      <c r="F1890">
        <v>652</v>
      </c>
      <c r="G1890">
        <v>43</v>
      </c>
      <c r="H1890">
        <v>7</v>
      </c>
      <c r="I1890" t="s">
        <v>20</v>
      </c>
      <c r="J1890">
        <v>0</v>
      </c>
      <c r="K1890">
        <v>0</v>
      </c>
      <c r="L1890">
        <v>0</v>
      </c>
      <c r="M1890">
        <v>0</v>
      </c>
      <c r="N1890">
        <v>0</v>
      </c>
      <c r="O1890">
        <v>0</v>
      </c>
      <c r="P1890">
        <v>0</v>
      </c>
      <c r="Q1890">
        <v>0</v>
      </c>
      <c r="R1890">
        <v>0</v>
      </c>
      <c r="S1890">
        <v>0</v>
      </c>
      <c r="T1890">
        <v>0</v>
      </c>
      <c r="U1890" t="str">
        <f>IF(SeismicData[[#This Row],[class]]=1,"Dangerous","Safe")</f>
        <v>Safe</v>
      </c>
      <c r="V1890" t="str">
        <f>IF(SeismicData[[#This Row],[shift]]="W","Production","Non-Production")</f>
        <v>Production</v>
      </c>
      <c r="W1890" t="str">
        <f>IF(SeismicData[[#This Row],[genergy]]=0,"0","10^"&amp;INT(LOG10(SeismicData[[#This Row],[genergy]])))</f>
        <v>10^4</v>
      </c>
      <c r="X1890" t="str">
        <f>IF(OR(SeismicData[[#This Row],[genergy]]&lt;$AA$6,SeismicData[[#This Row],[genergy]]&gt;$AA$5),"Outlier","Normal")</f>
        <v>Normal</v>
      </c>
    </row>
    <row r="1891" spans="1:24" x14ac:dyDescent="0.15">
      <c r="A1891">
        <v>1890</v>
      </c>
      <c r="B1891" t="s">
        <v>20</v>
      </c>
      <c r="C1891" t="s">
        <v>20</v>
      </c>
      <c r="D1891" t="s">
        <v>22</v>
      </c>
      <c r="E1891">
        <v>96760</v>
      </c>
      <c r="F1891">
        <v>1125</v>
      </c>
      <c r="G1891">
        <v>197</v>
      </c>
      <c r="H1891">
        <v>84</v>
      </c>
      <c r="I1891" t="s">
        <v>20</v>
      </c>
      <c r="J1891">
        <v>0</v>
      </c>
      <c r="K1891">
        <v>0</v>
      </c>
      <c r="L1891">
        <v>0</v>
      </c>
      <c r="M1891">
        <v>0</v>
      </c>
      <c r="N1891">
        <v>0</v>
      </c>
      <c r="O1891">
        <v>0</v>
      </c>
      <c r="P1891">
        <v>0</v>
      </c>
      <c r="Q1891">
        <v>0</v>
      </c>
      <c r="R1891">
        <v>0</v>
      </c>
      <c r="S1891">
        <v>0</v>
      </c>
      <c r="T1891">
        <v>0</v>
      </c>
      <c r="U1891" t="str">
        <f>IF(SeismicData[[#This Row],[class]]=1,"Dangerous","Safe")</f>
        <v>Safe</v>
      </c>
      <c r="V1891" t="str">
        <f>IF(SeismicData[[#This Row],[shift]]="W","Production","Non-Production")</f>
        <v>Production</v>
      </c>
      <c r="W1891" t="str">
        <f>IF(SeismicData[[#This Row],[genergy]]=0,"0","10^"&amp;INT(LOG10(SeismicData[[#This Row],[genergy]])))</f>
        <v>10^4</v>
      </c>
      <c r="X1891" t="str">
        <f>IF(OR(SeismicData[[#This Row],[genergy]]&lt;$AA$6,SeismicData[[#This Row],[genergy]]&gt;$AA$5),"Outlier","Normal")</f>
        <v>Normal</v>
      </c>
    </row>
    <row r="1892" spans="1:24" x14ac:dyDescent="0.15">
      <c r="A1892">
        <v>1891</v>
      </c>
      <c r="B1892" t="s">
        <v>20</v>
      </c>
      <c r="C1892" t="s">
        <v>20</v>
      </c>
      <c r="D1892" t="s">
        <v>22</v>
      </c>
      <c r="E1892">
        <v>40350</v>
      </c>
      <c r="F1892">
        <v>645</v>
      </c>
      <c r="G1892">
        <v>24</v>
      </c>
      <c r="H1892">
        <v>5</v>
      </c>
      <c r="I1892" t="s">
        <v>20</v>
      </c>
      <c r="J1892">
        <v>0</v>
      </c>
      <c r="K1892">
        <v>0</v>
      </c>
      <c r="L1892">
        <v>0</v>
      </c>
      <c r="M1892">
        <v>0</v>
      </c>
      <c r="N1892">
        <v>0</v>
      </c>
      <c r="O1892">
        <v>0</v>
      </c>
      <c r="P1892">
        <v>0</v>
      </c>
      <c r="Q1892">
        <v>0</v>
      </c>
      <c r="R1892">
        <v>0</v>
      </c>
      <c r="S1892">
        <v>0</v>
      </c>
      <c r="T1892">
        <v>0</v>
      </c>
      <c r="U1892" t="str">
        <f>IF(SeismicData[[#This Row],[class]]=1,"Dangerous","Safe")</f>
        <v>Safe</v>
      </c>
      <c r="V1892" t="str">
        <f>IF(SeismicData[[#This Row],[shift]]="W","Production","Non-Production")</f>
        <v>Production</v>
      </c>
      <c r="W1892" t="str">
        <f>IF(SeismicData[[#This Row],[genergy]]=0,"0","10^"&amp;INT(LOG10(SeismicData[[#This Row],[genergy]])))</f>
        <v>10^4</v>
      </c>
      <c r="X1892" t="str">
        <f>IF(OR(SeismicData[[#This Row],[genergy]]&lt;$AA$6,SeismicData[[#This Row],[genergy]]&gt;$AA$5),"Outlier","Normal")</f>
        <v>Normal</v>
      </c>
    </row>
    <row r="1893" spans="1:24" x14ac:dyDescent="0.15">
      <c r="A1893">
        <v>1892</v>
      </c>
      <c r="B1893" t="s">
        <v>20</v>
      </c>
      <c r="C1893" t="s">
        <v>20</v>
      </c>
      <c r="D1893" t="s">
        <v>22</v>
      </c>
      <c r="E1893">
        <v>90240</v>
      </c>
      <c r="F1893">
        <v>1080</v>
      </c>
      <c r="G1893">
        <v>177</v>
      </c>
      <c r="H1893">
        <v>77</v>
      </c>
      <c r="I1893" t="s">
        <v>20</v>
      </c>
      <c r="J1893">
        <v>0</v>
      </c>
      <c r="K1893">
        <v>0</v>
      </c>
      <c r="L1893">
        <v>0</v>
      </c>
      <c r="M1893">
        <v>0</v>
      </c>
      <c r="N1893">
        <v>0</v>
      </c>
      <c r="O1893">
        <v>0</v>
      </c>
      <c r="P1893">
        <v>0</v>
      </c>
      <c r="Q1893">
        <v>0</v>
      </c>
      <c r="R1893">
        <v>0</v>
      </c>
      <c r="S1893">
        <v>0</v>
      </c>
      <c r="T1893">
        <v>0</v>
      </c>
      <c r="U1893" t="str">
        <f>IF(SeismicData[[#This Row],[class]]=1,"Dangerous","Safe")</f>
        <v>Safe</v>
      </c>
      <c r="V1893" t="str">
        <f>IF(SeismicData[[#This Row],[shift]]="W","Production","Non-Production")</f>
        <v>Production</v>
      </c>
      <c r="W1893" t="str">
        <f>IF(SeismicData[[#This Row],[genergy]]=0,"0","10^"&amp;INT(LOG10(SeismicData[[#This Row],[genergy]])))</f>
        <v>10^4</v>
      </c>
      <c r="X1893" t="str">
        <f>IF(OR(SeismicData[[#This Row],[genergy]]&lt;$AA$6,SeismicData[[#This Row],[genergy]]&gt;$AA$5),"Outlier","Normal")</f>
        <v>Normal</v>
      </c>
    </row>
    <row r="1894" spans="1:24" x14ac:dyDescent="0.15">
      <c r="A1894">
        <v>1893</v>
      </c>
      <c r="B1894" t="s">
        <v>20</v>
      </c>
      <c r="C1894" t="s">
        <v>20</v>
      </c>
      <c r="D1894" t="s">
        <v>22</v>
      </c>
      <c r="E1894">
        <v>104340</v>
      </c>
      <c r="F1894">
        <v>1269</v>
      </c>
      <c r="G1894">
        <v>221</v>
      </c>
      <c r="H1894">
        <v>108</v>
      </c>
      <c r="I1894" t="s">
        <v>20</v>
      </c>
      <c r="J1894">
        <v>0</v>
      </c>
      <c r="K1894">
        <v>0</v>
      </c>
      <c r="L1894">
        <v>0</v>
      </c>
      <c r="M1894">
        <v>0</v>
      </c>
      <c r="N1894">
        <v>0</v>
      </c>
      <c r="O1894">
        <v>0</v>
      </c>
      <c r="P1894">
        <v>0</v>
      </c>
      <c r="Q1894">
        <v>0</v>
      </c>
      <c r="R1894">
        <v>0</v>
      </c>
      <c r="S1894">
        <v>0</v>
      </c>
      <c r="T1894">
        <v>0</v>
      </c>
      <c r="U1894" t="str">
        <f>IF(SeismicData[[#This Row],[class]]=1,"Dangerous","Safe")</f>
        <v>Safe</v>
      </c>
      <c r="V1894" t="str">
        <f>IF(SeismicData[[#This Row],[shift]]="W","Production","Non-Production")</f>
        <v>Production</v>
      </c>
      <c r="W1894" t="str">
        <f>IF(SeismicData[[#This Row],[genergy]]=0,"0","10^"&amp;INT(LOG10(SeismicData[[#This Row],[genergy]])))</f>
        <v>10^5</v>
      </c>
      <c r="X1894" t="str">
        <f>IF(OR(SeismicData[[#This Row],[genergy]]&lt;$AA$6,SeismicData[[#This Row],[genergy]]&gt;$AA$5),"Outlier","Normal")</f>
        <v>Normal</v>
      </c>
    </row>
    <row r="1895" spans="1:24" x14ac:dyDescent="0.15">
      <c r="A1895">
        <v>1894</v>
      </c>
      <c r="B1895" t="s">
        <v>20</v>
      </c>
      <c r="C1895" t="s">
        <v>20</v>
      </c>
      <c r="D1895" t="s">
        <v>22</v>
      </c>
      <c r="E1895">
        <v>32620</v>
      </c>
      <c r="F1895">
        <v>718</v>
      </c>
      <c r="G1895">
        <v>0</v>
      </c>
      <c r="H1895">
        <v>17</v>
      </c>
      <c r="I1895" t="s">
        <v>20</v>
      </c>
      <c r="J1895">
        <v>0</v>
      </c>
      <c r="K1895">
        <v>0</v>
      </c>
      <c r="L1895">
        <v>0</v>
      </c>
      <c r="M1895">
        <v>0</v>
      </c>
      <c r="N1895">
        <v>0</v>
      </c>
      <c r="O1895">
        <v>0</v>
      </c>
      <c r="P1895">
        <v>0</v>
      </c>
      <c r="Q1895">
        <v>0</v>
      </c>
      <c r="R1895">
        <v>0</v>
      </c>
      <c r="S1895">
        <v>0</v>
      </c>
      <c r="T1895">
        <v>0</v>
      </c>
      <c r="U1895" t="str">
        <f>IF(SeismicData[[#This Row],[class]]=1,"Dangerous","Safe")</f>
        <v>Safe</v>
      </c>
      <c r="V1895" t="str">
        <f>IF(SeismicData[[#This Row],[shift]]="W","Production","Non-Production")</f>
        <v>Production</v>
      </c>
      <c r="W1895" t="str">
        <f>IF(SeismicData[[#This Row],[genergy]]=0,"0","10^"&amp;INT(LOG10(SeismicData[[#This Row],[genergy]])))</f>
        <v>10^4</v>
      </c>
      <c r="X1895" t="str">
        <f>IF(OR(SeismicData[[#This Row],[genergy]]&lt;$AA$6,SeismicData[[#This Row],[genergy]]&gt;$AA$5),"Outlier","Normal")</f>
        <v>Normal</v>
      </c>
    </row>
    <row r="1896" spans="1:24" x14ac:dyDescent="0.15">
      <c r="A1896">
        <v>1895</v>
      </c>
      <c r="B1896" t="s">
        <v>20</v>
      </c>
      <c r="C1896" t="s">
        <v>20</v>
      </c>
      <c r="D1896" t="s">
        <v>21</v>
      </c>
      <c r="E1896">
        <v>22480</v>
      </c>
      <c r="F1896">
        <v>508</v>
      </c>
      <c r="G1896">
        <v>227</v>
      </c>
      <c r="H1896">
        <v>195</v>
      </c>
      <c r="I1896" t="s">
        <v>20</v>
      </c>
      <c r="J1896">
        <v>0</v>
      </c>
      <c r="K1896">
        <v>0</v>
      </c>
      <c r="L1896">
        <v>0</v>
      </c>
      <c r="M1896">
        <v>0</v>
      </c>
      <c r="N1896">
        <v>0</v>
      </c>
      <c r="O1896">
        <v>0</v>
      </c>
      <c r="P1896">
        <v>0</v>
      </c>
      <c r="Q1896">
        <v>0</v>
      </c>
      <c r="R1896">
        <v>0</v>
      </c>
      <c r="S1896">
        <v>0</v>
      </c>
      <c r="T1896">
        <v>0</v>
      </c>
      <c r="U1896" t="str">
        <f>IF(SeismicData[[#This Row],[class]]=1,"Dangerous","Safe")</f>
        <v>Safe</v>
      </c>
      <c r="V1896" t="str">
        <f>IF(SeismicData[[#This Row],[shift]]="W","Production","Non-Production")</f>
        <v>Non-Production</v>
      </c>
      <c r="W1896" t="str">
        <f>IF(SeismicData[[#This Row],[genergy]]=0,"0","10^"&amp;INT(LOG10(SeismicData[[#This Row],[genergy]])))</f>
        <v>10^4</v>
      </c>
      <c r="X1896" t="str">
        <f>IF(OR(SeismicData[[#This Row],[genergy]]&lt;$AA$6,SeismicData[[#This Row],[genergy]]&gt;$AA$5),"Outlier","Normal")</f>
        <v>Normal</v>
      </c>
    </row>
    <row r="1897" spans="1:24" x14ac:dyDescent="0.15">
      <c r="A1897">
        <v>1896</v>
      </c>
      <c r="B1897" t="s">
        <v>20</v>
      </c>
      <c r="C1897" t="s">
        <v>20</v>
      </c>
      <c r="D1897" t="s">
        <v>21</v>
      </c>
      <c r="E1897">
        <v>28710</v>
      </c>
      <c r="F1897">
        <v>454</v>
      </c>
      <c r="G1897">
        <v>207</v>
      </c>
      <c r="H1897">
        <v>40</v>
      </c>
      <c r="I1897" t="s">
        <v>20</v>
      </c>
      <c r="J1897">
        <v>1</v>
      </c>
      <c r="K1897">
        <v>0</v>
      </c>
      <c r="L1897">
        <v>1</v>
      </c>
      <c r="M1897">
        <v>0</v>
      </c>
      <c r="N1897">
        <v>0</v>
      </c>
      <c r="O1897">
        <v>0</v>
      </c>
      <c r="P1897">
        <v>0</v>
      </c>
      <c r="Q1897">
        <v>0</v>
      </c>
      <c r="R1897">
        <v>4000</v>
      </c>
      <c r="S1897">
        <v>4000</v>
      </c>
      <c r="T1897">
        <v>0</v>
      </c>
      <c r="U1897" t="str">
        <f>IF(SeismicData[[#This Row],[class]]=1,"Dangerous","Safe")</f>
        <v>Safe</v>
      </c>
      <c r="V1897" t="str">
        <f>IF(SeismicData[[#This Row],[shift]]="W","Production","Non-Production")</f>
        <v>Non-Production</v>
      </c>
      <c r="W1897" t="str">
        <f>IF(SeismicData[[#This Row],[genergy]]=0,"0","10^"&amp;INT(LOG10(SeismicData[[#This Row],[genergy]])))</f>
        <v>10^4</v>
      </c>
      <c r="X1897" t="str">
        <f>IF(OR(SeismicData[[#This Row],[genergy]]&lt;$AA$6,SeismicData[[#This Row],[genergy]]&gt;$AA$5),"Outlier","Normal")</f>
        <v>Normal</v>
      </c>
    </row>
    <row r="1898" spans="1:24" x14ac:dyDescent="0.15">
      <c r="A1898">
        <v>1897</v>
      </c>
      <c r="B1898" t="s">
        <v>20</v>
      </c>
      <c r="C1898" t="s">
        <v>20</v>
      </c>
      <c r="D1898" t="s">
        <v>21</v>
      </c>
      <c r="E1898">
        <v>29310</v>
      </c>
      <c r="F1898">
        <v>445</v>
      </c>
      <c r="G1898">
        <v>214</v>
      </c>
      <c r="H1898">
        <v>38</v>
      </c>
      <c r="I1898" t="s">
        <v>20</v>
      </c>
      <c r="J1898">
        <v>0</v>
      </c>
      <c r="K1898">
        <v>0</v>
      </c>
      <c r="L1898">
        <v>0</v>
      </c>
      <c r="M1898">
        <v>0</v>
      </c>
      <c r="N1898">
        <v>0</v>
      </c>
      <c r="O1898">
        <v>0</v>
      </c>
      <c r="P1898">
        <v>0</v>
      </c>
      <c r="Q1898">
        <v>0</v>
      </c>
      <c r="R1898">
        <v>0</v>
      </c>
      <c r="S1898">
        <v>0</v>
      </c>
      <c r="T1898">
        <v>0</v>
      </c>
      <c r="U1898" t="str">
        <f>IF(SeismicData[[#This Row],[class]]=1,"Dangerous","Safe")</f>
        <v>Safe</v>
      </c>
      <c r="V1898" t="str">
        <f>IF(SeismicData[[#This Row],[shift]]="W","Production","Non-Production")</f>
        <v>Non-Production</v>
      </c>
      <c r="W1898" t="str">
        <f>IF(SeismicData[[#This Row],[genergy]]=0,"0","10^"&amp;INT(LOG10(SeismicData[[#This Row],[genergy]])))</f>
        <v>10^4</v>
      </c>
      <c r="X1898" t="str">
        <f>IF(OR(SeismicData[[#This Row],[genergy]]&lt;$AA$6,SeismicData[[#This Row],[genergy]]&gt;$AA$5),"Outlier","Normal")</f>
        <v>Normal</v>
      </c>
    </row>
    <row r="1899" spans="1:24" x14ac:dyDescent="0.15">
      <c r="A1899">
        <v>1898</v>
      </c>
      <c r="B1899" t="s">
        <v>20</v>
      </c>
      <c r="C1899" t="s">
        <v>20</v>
      </c>
      <c r="D1899" t="s">
        <v>22</v>
      </c>
      <c r="E1899">
        <v>19910</v>
      </c>
      <c r="F1899">
        <v>568</v>
      </c>
      <c r="G1899">
        <v>-42</v>
      </c>
      <c r="H1899">
        <v>-3</v>
      </c>
      <c r="I1899" t="s">
        <v>20</v>
      </c>
      <c r="J1899">
        <v>0</v>
      </c>
      <c r="K1899">
        <v>0</v>
      </c>
      <c r="L1899">
        <v>0</v>
      </c>
      <c r="M1899">
        <v>0</v>
      </c>
      <c r="N1899">
        <v>0</v>
      </c>
      <c r="O1899">
        <v>0</v>
      </c>
      <c r="P1899">
        <v>0</v>
      </c>
      <c r="Q1899">
        <v>0</v>
      </c>
      <c r="R1899">
        <v>0</v>
      </c>
      <c r="S1899">
        <v>0</v>
      </c>
      <c r="T1899">
        <v>0</v>
      </c>
      <c r="U1899" t="str">
        <f>IF(SeismicData[[#This Row],[class]]=1,"Dangerous","Safe")</f>
        <v>Safe</v>
      </c>
      <c r="V1899" t="str">
        <f>IF(SeismicData[[#This Row],[shift]]="W","Production","Non-Production")</f>
        <v>Production</v>
      </c>
      <c r="W1899" t="str">
        <f>IF(SeismicData[[#This Row],[genergy]]=0,"0","10^"&amp;INT(LOG10(SeismicData[[#This Row],[genergy]])))</f>
        <v>10^4</v>
      </c>
      <c r="X1899" t="str">
        <f>IF(OR(SeismicData[[#This Row],[genergy]]&lt;$AA$6,SeismicData[[#This Row],[genergy]]&gt;$AA$5),"Outlier","Normal")</f>
        <v>Normal</v>
      </c>
    </row>
    <row r="1900" spans="1:24" x14ac:dyDescent="0.15">
      <c r="A1900">
        <v>1899</v>
      </c>
      <c r="B1900" t="s">
        <v>20</v>
      </c>
      <c r="C1900" t="s">
        <v>20</v>
      </c>
      <c r="D1900" t="s">
        <v>22</v>
      </c>
      <c r="E1900">
        <v>12250</v>
      </c>
      <c r="F1900">
        <v>342</v>
      </c>
      <c r="G1900">
        <v>-64</v>
      </c>
      <c r="H1900">
        <v>-41</v>
      </c>
      <c r="I1900" t="s">
        <v>20</v>
      </c>
      <c r="J1900">
        <v>0</v>
      </c>
      <c r="K1900">
        <v>0</v>
      </c>
      <c r="L1900">
        <v>0</v>
      </c>
      <c r="M1900">
        <v>0</v>
      </c>
      <c r="N1900">
        <v>0</v>
      </c>
      <c r="O1900">
        <v>0</v>
      </c>
      <c r="P1900">
        <v>0</v>
      </c>
      <c r="Q1900">
        <v>0</v>
      </c>
      <c r="R1900">
        <v>0</v>
      </c>
      <c r="S1900">
        <v>0</v>
      </c>
      <c r="T1900">
        <v>0</v>
      </c>
      <c r="U1900" t="str">
        <f>IF(SeismicData[[#This Row],[class]]=1,"Dangerous","Safe")</f>
        <v>Safe</v>
      </c>
      <c r="V1900" t="str">
        <f>IF(SeismicData[[#This Row],[shift]]="W","Production","Non-Production")</f>
        <v>Production</v>
      </c>
      <c r="W1900" t="str">
        <f>IF(SeismicData[[#This Row],[genergy]]=0,"0","10^"&amp;INT(LOG10(SeismicData[[#This Row],[genergy]])))</f>
        <v>10^4</v>
      </c>
      <c r="X1900" t="str">
        <f>IF(OR(SeismicData[[#This Row],[genergy]]&lt;$AA$6,SeismicData[[#This Row],[genergy]]&gt;$AA$5),"Outlier","Normal")</f>
        <v>Normal</v>
      </c>
    </row>
    <row r="1901" spans="1:24" x14ac:dyDescent="0.15">
      <c r="A1901">
        <v>1900</v>
      </c>
      <c r="B1901" t="s">
        <v>20</v>
      </c>
      <c r="C1901" t="s">
        <v>20</v>
      </c>
      <c r="D1901" t="s">
        <v>22</v>
      </c>
      <c r="E1901">
        <v>15080</v>
      </c>
      <c r="F1901">
        <v>306</v>
      </c>
      <c r="G1901">
        <v>-56</v>
      </c>
      <c r="H1901">
        <v>-48</v>
      </c>
      <c r="I1901" t="s">
        <v>20</v>
      </c>
      <c r="J1901">
        <v>0</v>
      </c>
      <c r="K1901">
        <v>0</v>
      </c>
      <c r="L1901">
        <v>0</v>
      </c>
      <c r="M1901">
        <v>0</v>
      </c>
      <c r="N1901">
        <v>0</v>
      </c>
      <c r="O1901">
        <v>0</v>
      </c>
      <c r="P1901">
        <v>0</v>
      </c>
      <c r="Q1901">
        <v>0</v>
      </c>
      <c r="R1901">
        <v>0</v>
      </c>
      <c r="S1901">
        <v>0</v>
      </c>
      <c r="T1901">
        <v>0</v>
      </c>
      <c r="U1901" t="str">
        <f>IF(SeismicData[[#This Row],[class]]=1,"Dangerous","Safe")</f>
        <v>Safe</v>
      </c>
      <c r="V1901" t="str">
        <f>IF(SeismicData[[#This Row],[shift]]="W","Production","Non-Production")</f>
        <v>Production</v>
      </c>
      <c r="W1901" t="str">
        <f>IF(SeismicData[[#This Row],[genergy]]=0,"0","10^"&amp;INT(LOG10(SeismicData[[#This Row],[genergy]])))</f>
        <v>10^4</v>
      </c>
      <c r="X1901" t="str">
        <f>IF(OR(SeismicData[[#This Row],[genergy]]&lt;$AA$6,SeismicData[[#This Row],[genergy]]&gt;$AA$5),"Outlier","Normal")</f>
        <v>Normal</v>
      </c>
    </row>
    <row r="1902" spans="1:24" x14ac:dyDescent="0.15">
      <c r="A1902">
        <v>1901</v>
      </c>
      <c r="B1902" t="s">
        <v>20</v>
      </c>
      <c r="C1902" t="s">
        <v>20</v>
      </c>
      <c r="D1902" t="s">
        <v>22</v>
      </c>
      <c r="E1902">
        <v>17180</v>
      </c>
      <c r="F1902">
        <v>310</v>
      </c>
      <c r="G1902">
        <v>-50</v>
      </c>
      <c r="H1902">
        <v>-47</v>
      </c>
      <c r="I1902" t="s">
        <v>20</v>
      </c>
      <c r="J1902">
        <v>0</v>
      </c>
      <c r="K1902">
        <v>0</v>
      </c>
      <c r="L1902">
        <v>0</v>
      </c>
      <c r="M1902">
        <v>0</v>
      </c>
      <c r="N1902">
        <v>0</v>
      </c>
      <c r="O1902">
        <v>0</v>
      </c>
      <c r="P1902">
        <v>0</v>
      </c>
      <c r="Q1902">
        <v>0</v>
      </c>
      <c r="R1902">
        <v>0</v>
      </c>
      <c r="S1902">
        <v>0</v>
      </c>
      <c r="T1902">
        <v>0</v>
      </c>
      <c r="U1902" t="str">
        <f>IF(SeismicData[[#This Row],[class]]=1,"Dangerous","Safe")</f>
        <v>Safe</v>
      </c>
      <c r="V1902" t="str">
        <f>IF(SeismicData[[#This Row],[shift]]="W","Production","Non-Production")</f>
        <v>Production</v>
      </c>
      <c r="W1902" t="str">
        <f>IF(SeismicData[[#This Row],[genergy]]=0,"0","10^"&amp;INT(LOG10(SeismicData[[#This Row],[genergy]])))</f>
        <v>10^4</v>
      </c>
      <c r="X1902" t="str">
        <f>IF(OR(SeismicData[[#This Row],[genergy]]&lt;$AA$6,SeismicData[[#This Row],[genergy]]&gt;$AA$5),"Outlier","Normal")</f>
        <v>Normal</v>
      </c>
    </row>
    <row r="1903" spans="1:24" x14ac:dyDescent="0.15">
      <c r="A1903">
        <v>1902</v>
      </c>
      <c r="B1903" t="s">
        <v>20</v>
      </c>
      <c r="C1903" t="s">
        <v>20</v>
      </c>
      <c r="D1903" t="s">
        <v>22</v>
      </c>
      <c r="E1903">
        <v>36680</v>
      </c>
      <c r="F1903">
        <v>513</v>
      </c>
      <c r="G1903">
        <v>47</v>
      </c>
      <c r="H1903">
        <v>3</v>
      </c>
      <c r="I1903" t="s">
        <v>20</v>
      </c>
      <c r="J1903">
        <v>0</v>
      </c>
      <c r="K1903">
        <v>0</v>
      </c>
      <c r="L1903">
        <v>0</v>
      </c>
      <c r="M1903">
        <v>0</v>
      </c>
      <c r="N1903">
        <v>0</v>
      </c>
      <c r="O1903">
        <v>0</v>
      </c>
      <c r="P1903">
        <v>0</v>
      </c>
      <c r="Q1903">
        <v>0</v>
      </c>
      <c r="R1903">
        <v>0</v>
      </c>
      <c r="S1903">
        <v>0</v>
      </c>
      <c r="T1903">
        <v>0</v>
      </c>
      <c r="U1903" t="str">
        <f>IF(SeismicData[[#This Row],[class]]=1,"Dangerous","Safe")</f>
        <v>Safe</v>
      </c>
      <c r="V1903" t="str">
        <f>IF(SeismicData[[#This Row],[shift]]="W","Production","Non-Production")</f>
        <v>Production</v>
      </c>
      <c r="W1903" t="str">
        <f>IF(SeismicData[[#This Row],[genergy]]=0,"0","10^"&amp;INT(LOG10(SeismicData[[#This Row],[genergy]])))</f>
        <v>10^4</v>
      </c>
      <c r="X1903" t="str">
        <f>IF(OR(SeismicData[[#This Row],[genergy]]&lt;$AA$6,SeismicData[[#This Row],[genergy]]&gt;$AA$5),"Outlier","Normal")</f>
        <v>Normal</v>
      </c>
    </row>
    <row r="1904" spans="1:24" x14ac:dyDescent="0.15">
      <c r="A1904">
        <v>1903</v>
      </c>
      <c r="B1904" t="s">
        <v>20</v>
      </c>
      <c r="C1904" t="s">
        <v>20</v>
      </c>
      <c r="D1904" t="s">
        <v>21</v>
      </c>
      <c r="E1904">
        <v>14170</v>
      </c>
      <c r="F1904">
        <v>381</v>
      </c>
      <c r="G1904">
        <v>52</v>
      </c>
      <c r="H1904">
        <v>18</v>
      </c>
      <c r="I1904" t="s">
        <v>20</v>
      </c>
      <c r="J1904">
        <v>0</v>
      </c>
      <c r="K1904">
        <v>0</v>
      </c>
      <c r="L1904">
        <v>0</v>
      </c>
      <c r="M1904">
        <v>0</v>
      </c>
      <c r="N1904">
        <v>0</v>
      </c>
      <c r="O1904">
        <v>0</v>
      </c>
      <c r="P1904">
        <v>0</v>
      </c>
      <c r="Q1904">
        <v>0</v>
      </c>
      <c r="R1904">
        <v>0</v>
      </c>
      <c r="S1904">
        <v>0</v>
      </c>
      <c r="T1904">
        <v>0</v>
      </c>
      <c r="U1904" t="str">
        <f>IF(SeismicData[[#This Row],[class]]=1,"Dangerous","Safe")</f>
        <v>Safe</v>
      </c>
      <c r="V1904" t="str">
        <f>IF(SeismicData[[#This Row],[shift]]="W","Production","Non-Production")</f>
        <v>Non-Production</v>
      </c>
      <c r="W1904" t="str">
        <f>IF(SeismicData[[#This Row],[genergy]]=0,"0","10^"&amp;INT(LOG10(SeismicData[[#This Row],[genergy]])))</f>
        <v>10^4</v>
      </c>
      <c r="X1904" t="str">
        <f>IF(OR(SeismicData[[#This Row],[genergy]]&lt;$AA$6,SeismicData[[#This Row],[genergy]]&gt;$AA$5),"Outlier","Normal")</f>
        <v>Normal</v>
      </c>
    </row>
    <row r="1905" spans="1:24" x14ac:dyDescent="0.15">
      <c r="A1905">
        <v>1904</v>
      </c>
      <c r="B1905" t="s">
        <v>20</v>
      </c>
      <c r="C1905" t="s">
        <v>20</v>
      </c>
      <c r="D1905" t="s">
        <v>21</v>
      </c>
      <c r="E1905">
        <v>18790</v>
      </c>
      <c r="F1905">
        <v>322</v>
      </c>
      <c r="G1905">
        <v>101</v>
      </c>
      <c r="H1905">
        <v>0</v>
      </c>
      <c r="I1905" t="s">
        <v>20</v>
      </c>
      <c r="J1905">
        <v>0</v>
      </c>
      <c r="K1905">
        <v>0</v>
      </c>
      <c r="L1905">
        <v>0</v>
      </c>
      <c r="M1905">
        <v>0</v>
      </c>
      <c r="N1905">
        <v>0</v>
      </c>
      <c r="O1905">
        <v>0</v>
      </c>
      <c r="P1905">
        <v>0</v>
      </c>
      <c r="Q1905">
        <v>0</v>
      </c>
      <c r="R1905">
        <v>0</v>
      </c>
      <c r="S1905">
        <v>0</v>
      </c>
      <c r="T1905">
        <v>0</v>
      </c>
      <c r="U1905" t="str">
        <f>IF(SeismicData[[#This Row],[class]]=1,"Dangerous","Safe")</f>
        <v>Safe</v>
      </c>
      <c r="V1905" t="str">
        <f>IF(SeismicData[[#This Row],[shift]]="W","Production","Non-Production")</f>
        <v>Non-Production</v>
      </c>
      <c r="W1905" t="str">
        <f>IF(SeismicData[[#This Row],[genergy]]=0,"0","10^"&amp;INT(LOG10(SeismicData[[#This Row],[genergy]])))</f>
        <v>10^4</v>
      </c>
      <c r="X1905" t="str">
        <f>IF(OR(SeismicData[[#This Row],[genergy]]&lt;$AA$6,SeismicData[[#This Row],[genergy]]&gt;$AA$5),"Outlier","Normal")</f>
        <v>Normal</v>
      </c>
    </row>
    <row r="1906" spans="1:24" x14ac:dyDescent="0.15">
      <c r="A1906">
        <v>1905</v>
      </c>
      <c r="B1906" t="s">
        <v>20</v>
      </c>
      <c r="C1906" t="s">
        <v>20</v>
      </c>
      <c r="D1906" t="s">
        <v>22</v>
      </c>
      <c r="E1906">
        <v>14580</v>
      </c>
      <c r="F1906">
        <v>321</v>
      </c>
      <c r="G1906">
        <v>-60</v>
      </c>
      <c r="H1906">
        <v>-47</v>
      </c>
      <c r="I1906" t="s">
        <v>20</v>
      </c>
      <c r="J1906">
        <v>0</v>
      </c>
      <c r="K1906">
        <v>0</v>
      </c>
      <c r="L1906">
        <v>0</v>
      </c>
      <c r="M1906">
        <v>0</v>
      </c>
      <c r="N1906">
        <v>0</v>
      </c>
      <c r="O1906">
        <v>0</v>
      </c>
      <c r="P1906">
        <v>0</v>
      </c>
      <c r="Q1906">
        <v>0</v>
      </c>
      <c r="R1906">
        <v>0</v>
      </c>
      <c r="S1906">
        <v>0</v>
      </c>
      <c r="T1906">
        <v>0</v>
      </c>
      <c r="U1906" t="str">
        <f>IF(SeismicData[[#This Row],[class]]=1,"Dangerous","Safe")</f>
        <v>Safe</v>
      </c>
      <c r="V1906" t="str">
        <f>IF(SeismicData[[#This Row],[shift]]="W","Production","Non-Production")</f>
        <v>Production</v>
      </c>
      <c r="W1906" t="str">
        <f>IF(SeismicData[[#This Row],[genergy]]=0,"0","10^"&amp;INT(LOG10(SeismicData[[#This Row],[genergy]])))</f>
        <v>10^4</v>
      </c>
      <c r="X1906" t="str">
        <f>IF(OR(SeismicData[[#This Row],[genergy]]&lt;$AA$6,SeismicData[[#This Row],[genergy]]&gt;$AA$5),"Outlier","Normal")</f>
        <v>Normal</v>
      </c>
    </row>
    <row r="1907" spans="1:24" x14ac:dyDescent="0.15">
      <c r="A1907">
        <v>1906</v>
      </c>
      <c r="B1907" t="s">
        <v>20</v>
      </c>
      <c r="C1907" t="s">
        <v>20</v>
      </c>
      <c r="D1907" t="s">
        <v>22</v>
      </c>
      <c r="E1907">
        <v>22530</v>
      </c>
      <c r="F1907">
        <v>328</v>
      </c>
      <c r="G1907">
        <v>-39</v>
      </c>
      <c r="H1907">
        <v>-46</v>
      </c>
      <c r="I1907" t="s">
        <v>20</v>
      </c>
      <c r="J1907">
        <v>1</v>
      </c>
      <c r="K1907">
        <v>1</v>
      </c>
      <c r="L1907">
        <v>0</v>
      </c>
      <c r="M1907">
        <v>0</v>
      </c>
      <c r="N1907">
        <v>0</v>
      </c>
      <c r="O1907">
        <v>0</v>
      </c>
      <c r="P1907">
        <v>0</v>
      </c>
      <c r="Q1907">
        <v>0</v>
      </c>
      <c r="R1907">
        <v>400</v>
      </c>
      <c r="S1907">
        <v>400</v>
      </c>
      <c r="T1907">
        <v>0</v>
      </c>
      <c r="U1907" t="str">
        <f>IF(SeismicData[[#This Row],[class]]=1,"Dangerous","Safe")</f>
        <v>Safe</v>
      </c>
      <c r="V1907" t="str">
        <f>IF(SeismicData[[#This Row],[shift]]="W","Production","Non-Production")</f>
        <v>Production</v>
      </c>
      <c r="W1907" t="str">
        <f>IF(SeismicData[[#This Row],[genergy]]=0,"0","10^"&amp;INT(LOG10(SeismicData[[#This Row],[genergy]])))</f>
        <v>10^4</v>
      </c>
      <c r="X1907" t="str">
        <f>IF(OR(SeismicData[[#This Row],[genergy]]&lt;$AA$6,SeismicData[[#This Row],[genergy]]&gt;$AA$5),"Outlier","Normal")</f>
        <v>Normal</v>
      </c>
    </row>
    <row r="1908" spans="1:24" x14ac:dyDescent="0.15">
      <c r="A1908">
        <v>1907</v>
      </c>
      <c r="B1908" t="s">
        <v>20</v>
      </c>
      <c r="C1908" t="s">
        <v>20</v>
      </c>
      <c r="D1908" t="s">
        <v>22</v>
      </c>
      <c r="E1908">
        <v>18440</v>
      </c>
      <c r="F1908">
        <v>403</v>
      </c>
      <c r="G1908">
        <v>-50</v>
      </c>
      <c r="H1908">
        <v>-34</v>
      </c>
      <c r="I1908" t="s">
        <v>20</v>
      </c>
      <c r="J1908">
        <v>0</v>
      </c>
      <c r="K1908">
        <v>0</v>
      </c>
      <c r="L1908">
        <v>0</v>
      </c>
      <c r="M1908">
        <v>0</v>
      </c>
      <c r="N1908">
        <v>0</v>
      </c>
      <c r="O1908">
        <v>0</v>
      </c>
      <c r="P1908">
        <v>0</v>
      </c>
      <c r="Q1908">
        <v>0</v>
      </c>
      <c r="R1908">
        <v>0</v>
      </c>
      <c r="S1908">
        <v>0</v>
      </c>
      <c r="T1908">
        <v>0</v>
      </c>
      <c r="U1908" t="str">
        <f>IF(SeismicData[[#This Row],[class]]=1,"Dangerous","Safe")</f>
        <v>Safe</v>
      </c>
      <c r="V1908" t="str">
        <f>IF(SeismicData[[#This Row],[shift]]="W","Production","Non-Production")</f>
        <v>Production</v>
      </c>
      <c r="W1908" t="str">
        <f>IF(SeismicData[[#This Row],[genergy]]=0,"0","10^"&amp;INT(LOG10(SeismicData[[#This Row],[genergy]])))</f>
        <v>10^4</v>
      </c>
      <c r="X1908" t="str">
        <f>IF(OR(SeismicData[[#This Row],[genergy]]&lt;$AA$6,SeismicData[[#This Row],[genergy]]&gt;$AA$5),"Outlier","Normal")</f>
        <v>Normal</v>
      </c>
    </row>
    <row r="1909" spans="1:24" x14ac:dyDescent="0.15">
      <c r="A1909">
        <v>1908</v>
      </c>
      <c r="B1909" t="s">
        <v>20</v>
      </c>
      <c r="C1909" t="s">
        <v>20</v>
      </c>
      <c r="D1909" t="s">
        <v>22</v>
      </c>
      <c r="E1909">
        <v>64990</v>
      </c>
      <c r="F1909">
        <v>802</v>
      </c>
      <c r="G1909">
        <v>77</v>
      </c>
      <c r="H1909">
        <v>32</v>
      </c>
      <c r="I1909" t="s">
        <v>20</v>
      </c>
      <c r="J1909">
        <v>1</v>
      </c>
      <c r="K1909">
        <v>0</v>
      </c>
      <c r="L1909">
        <v>1</v>
      </c>
      <c r="M1909">
        <v>0</v>
      </c>
      <c r="N1909">
        <v>0</v>
      </c>
      <c r="O1909">
        <v>0</v>
      </c>
      <c r="P1909">
        <v>0</v>
      </c>
      <c r="Q1909">
        <v>0</v>
      </c>
      <c r="R1909">
        <v>4000</v>
      </c>
      <c r="S1909">
        <v>4000</v>
      </c>
      <c r="T1909">
        <v>0</v>
      </c>
      <c r="U1909" t="str">
        <f>IF(SeismicData[[#This Row],[class]]=1,"Dangerous","Safe")</f>
        <v>Safe</v>
      </c>
      <c r="V1909" t="str">
        <f>IF(SeismicData[[#This Row],[shift]]="W","Production","Non-Production")</f>
        <v>Production</v>
      </c>
      <c r="W1909" t="str">
        <f>IF(SeismicData[[#This Row],[genergy]]=0,"0","10^"&amp;INT(LOG10(SeismicData[[#This Row],[genergy]])))</f>
        <v>10^4</v>
      </c>
      <c r="X1909" t="str">
        <f>IF(OR(SeismicData[[#This Row],[genergy]]&lt;$AA$6,SeismicData[[#This Row],[genergy]]&gt;$AA$5),"Outlier","Normal")</f>
        <v>Normal</v>
      </c>
    </row>
    <row r="1910" spans="1:24" x14ac:dyDescent="0.15">
      <c r="A1910">
        <v>1909</v>
      </c>
      <c r="B1910" t="s">
        <v>20</v>
      </c>
      <c r="C1910" t="s">
        <v>20</v>
      </c>
      <c r="D1910" t="s">
        <v>22</v>
      </c>
      <c r="E1910">
        <v>36860</v>
      </c>
      <c r="F1910">
        <v>681</v>
      </c>
      <c r="G1910">
        <v>0</v>
      </c>
      <c r="H1910">
        <v>12</v>
      </c>
      <c r="I1910" t="s">
        <v>20</v>
      </c>
      <c r="J1910">
        <v>1</v>
      </c>
      <c r="K1910">
        <v>0</v>
      </c>
      <c r="L1910">
        <v>1</v>
      </c>
      <c r="M1910">
        <v>0</v>
      </c>
      <c r="N1910">
        <v>0</v>
      </c>
      <c r="O1910">
        <v>0</v>
      </c>
      <c r="P1910">
        <v>0</v>
      </c>
      <c r="Q1910">
        <v>0</v>
      </c>
      <c r="R1910">
        <v>3000</v>
      </c>
      <c r="S1910">
        <v>3000</v>
      </c>
      <c r="T1910">
        <v>0</v>
      </c>
      <c r="U1910" t="str">
        <f>IF(SeismicData[[#This Row],[class]]=1,"Dangerous","Safe")</f>
        <v>Safe</v>
      </c>
      <c r="V1910" t="str">
        <f>IF(SeismicData[[#This Row],[shift]]="W","Production","Non-Production")</f>
        <v>Production</v>
      </c>
      <c r="W1910" t="str">
        <f>IF(SeismicData[[#This Row],[genergy]]=0,"0","10^"&amp;INT(LOG10(SeismicData[[#This Row],[genergy]])))</f>
        <v>10^4</v>
      </c>
      <c r="X1910" t="str">
        <f>IF(OR(SeismicData[[#This Row],[genergy]]&lt;$AA$6,SeismicData[[#This Row],[genergy]]&gt;$AA$5),"Outlier","Normal")</f>
        <v>Normal</v>
      </c>
    </row>
    <row r="1911" spans="1:24" x14ac:dyDescent="0.15">
      <c r="A1911">
        <v>1910</v>
      </c>
      <c r="B1911" t="s">
        <v>20</v>
      </c>
      <c r="C1911" t="s">
        <v>20</v>
      </c>
      <c r="D1911" t="s">
        <v>22</v>
      </c>
      <c r="E1911">
        <v>18130</v>
      </c>
      <c r="F1911">
        <v>463</v>
      </c>
      <c r="G1911">
        <v>-51</v>
      </c>
      <c r="H1911">
        <v>-24</v>
      </c>
      <c r="I1911" t="s">
        <v>20</v>
      </c>
      <c r="J1911">
        <v>0</v>
      </c>
      <c r="K1911">
        <v>0</v>
      </c>
      <c r="L1911">
        <v>0</v>
      </c>
      <c r="M1911">
        <v>0</v>
      </c>
      <c r="N1911">
        <v>0</v>
      </c>
      <c r="O1911">
        <v>0</v>
      </c>
      <c r="P1911">
        <v>0</v>
      </c>
      <c r="Q1911">
        <v>0</v>
      </c>
      <c r="R1911">
        <v>0</v>
      </c>
      <c r="S1911">
        <v>0</v>
      </c>
      <c r="T1911">
        <v>0</v>
      </c>
      <c r="U1911" t="str">
        <f>IF(SeismicData[[#This Row],[class]]=1,"Dangerous","Safe")</f>
        <v>Safe</v>
      </c>
      <c r="V1911" t="str">
        <f>IF(SeismicData[[#This Row],[shift]]="W","Production","Non-Production")</f>
        <v>Production</v>
      </c>
      <c r="W1911" t="str">
        <f>IF(SeismicData[[#This Row],[genergy]]=0,"0","10^"&amp;INT(LOG10(SeismicData[[#This Row],[genergy]])))</f>
        <v>10^4</v>
      </c>
      <c r="X1911" t="str">
        <f>IF(OR(SeismicData[[#This Row],[genergy]]&lt;$AA$6,SeismicData[[#This Row],[genergy]]&gt;$AA$5),"Outlier","Normal")</f>
        <v>Normal</v>
      </c>
    </row>
    <row r="1912" spans="1:24" x14ac:dyDescent="0.15">
      <c r="A1912">
        <v>1911</v>
      </c>
      <c r="B1912" t="s">
        <v>20</v>
      </c>
      <c r="C1912" t="s">
        <v>20</v>
      </c>
      <c r="D1912" t="s">
        <v>21</v>
      </c>
      <c r="E1912">
        <v>14610</v>
      </c>
      <c r="F1912">
        <v>373</v>
      </c>
      <c r="G1912">
        <v>56</v>
      </c>
      <c r="H1912">
        <v>15</v>
      </c>
      <c r="I1912" t="s">
        <v>20</v>
      </c>
      <c r="J1912">
        <v>0</v>
      </c>
      <c r="K1912">
        <v>0</v>
      </c>
      <c r="L1912">
        <v>0</v>
      </c>
      <c r="M1912">
        <v>0</v>
      </c>
      <c r="N1912">
        <v>0</v>
      </c>
      <c r="O1912">
        <v>0</v>
      </c>
      <c r="P1912">
        <v>0</v>
      </c>
      <c r="Q1912">
        <v>0</v>
      </c>
      <c r="R1912">
        <v>0</v>
      </c>
      <c r="S1912">
        <v>0</v>
      </c>
      <c r="T1912">
        <v>0</v>
      </c>
      <c r="U1912" t="str">
        <f>IF(SeismicData[[#This Row],[class]]=1,"Dangerous","Safe")</f>
        <v>Safe</v>
      </c>
      <c r="V1912" t="str">
        <f>IF(SeismicData[[#This Row],[shift]]="W","Production","Non-Production")</f>
        <v>Non-Production</v>
      </c>
      <c r="W1912" t="str">
        <f>IF(SeismicData[[#This Row],[genergy]]=0,"0","10^"&amp;INT(LOG10(SeismicData[[#This Row],[genergy]])))</f>
        <v>10^4</v>
      </c>
      <c r="X1912" t="str">
        <f>IF(OR(SeismicData[[#This Row],[genergy]]&lt;$AA$6,SeismicData[[#This Row],[genergy]]&gt;$AA$5),"Outlier","Normal")</f>
        <v>Normal</v>
      </c>
    </row>
    <row r="1913" spans="1:24" x14ac:dyDescent="0.15">
      <c r="A1913">
        <v>1912</v>
      </c>
      <c r="B1913" t="s">
        <v>20</v>
      </c>
      <c r="C1913" t="s">
        <v>20</v>
      </c>
      <c r="D1913" t="s">
        <v>21</v>
      </c>
      <c r="E1913">
        <v>10040</v>
      </c>
      <c r="F1913">
        <v>300</v>
      </c>
      <c r="G1913">
        <v>7</v>
      </c>
      <c r="H1913">
        <v>-7</v>
      </c>
      <c r="I1913" t="s">
        <v>20</v>
      </c>
      <c r="J1913">
        <v>0</v>
      </c>
      <c r="K1913">
        <v>0</v>
      </c>
      <c r="L1913">
        <v>0</v>
      </c>
      <c r="M1913">
        <v>0</v>
      </c>
      <c r="N1913">
        <v>0</v>
      </c>
      <c r="O1913">
        <v>0</v>
      </c>
      <c r="P1913">
        <v>0</v>
      </c>
      <c r="Q1913">
        <v>0</v>
      </c>
      <c r="R1913">
        <v>0</v>
      </c>
      <c r="S1913">
        <v>0</v>
      </c>
      <c r="T1913">
        <v>0</v>
      </c>
      <c r="U1913" t="str">
        <f>IF(SeismicData[[#This Row],[class]]=1,"Dangerous","Safe")</f>
        <v>Safe</v>
      </c>
      <c r="V1913" t="str">
        <f>IF(SeismicData[[#This Row],[shift]]="W","Production","Non-Production")</f>
        <v>Non-Production</v>
      </c>
      <c r="W1913" t="str">
        <f>IF(SeismicData[[#This Row],[genergy]]=0,"0","10^"&amp;INT(LOG10(SeismicData[[#This Row],[genergy]])))</f>
        <v>10^4</v>
      </c>
      <c r="X1913" t="str">
        <f>IF(OR(SeismicData[[#This Row],[genergy]]&lt;$AA$6,SeismicData[[#This Row],[genergy]]&gt;$AA$5),"Outlier","Normal")</f>
        <v>Normal</v>
      </c>
    </row>
    <row r="1914" spans="1:24" x14ac:dyDescent="0.15">
      <c r="A1914">
        <v>1913</v>
      </c>
      <c r="B1914" t="s">
        <v>20</v>
      </c>
      <c r="C1914" t="s">
        <v>20</v>
      </c>
      <c r="D1914" t="s">
        <v>22</v>
      </c>
      <c r="E1914">
        <v>11410</v>
      </c>
      <c r="F1914">
        <v>250</v>
      </c>
      <c r="G1914">
        <v>-67</v>
      </c>
      <c r="H1914">
        <v>-57</v>
      </c>
      <c r="I1914" t="s">
        <v>20</v>
      </c>
      <c r="J1914">
        <v>0</v>
      </c>
      <c r="K1914">
        <v>0</v>
      </c>
      <c r="L1914">
        <v>0</v>
      </c>
      <c r="M1914">
        <v>0</v>
      </c>
      <c r="N1914">
        <v>0</v>
      </c>
      <c r="O1914">
        <v>0</v>
      </c>
      <c r="P1914">
        <v>0</v>
      </c>
      <c r="Q1914">
        <v>0</v>
      </c>
      <c r="R1914">
        <v>0</v>
      </c>
      <c r="S1914">
        <v>0</v>
      </c>
      <c r="T1914">
        <v>0</v>
      </c>
      <c r="U1914" t="str">
        <f>IF(SeismicData[[#This Row],[class]]=1,"Dangerous","Safe")</f>
        <v>Safe</v>
      </c>
      <c r="V1914" t="str">
        <f>IF(SeismicData[[#This Row],[shift]]="W","Production","Non-Production")</f>
        <v>Production</v>
      </c>
      <c r="W1914" t="str">
        <f>IF(SeismicData[[#This Row],[genergy]]=0,"0","10^"&amp;INT(LOG10(SeismicData[[#This Row],[genergy]])))</f>
        <v>10^4</v>
      </c>
      <c r="X1914" t="str">
        <f>IF(OR(SeismicData[[#This Row],[genergy]]&lt;$AA$6,SeismicData[[#This Row],[genergy]]&gt;$AA$5),"Outlier","Normal")</f>
        <v>Normal</v>
      </c>
    </row>
    <row r="1915" spans="1:24" x14ac:dyDescent="0.15">
      <c r="A1915">
        <v>1914</v>
      </c>
      <c r="B1915" t="s">
        <v>20</v>
      </c>
      <c r="C1915" t="s">
        <v>20</v>
      </c>
      <c r="D1915" t="s">
        <v>21</v>
      </c>
      <c r="E1915">
        <v>14020</v>
      </c>
      <c r="F1915">
        <v>251</v>
      </c>
      <c r="G1915">
        <v>50</v>
      </c>
      <c r="H1915">
        <v>-22</v>
      </c>
      <c r="I1915" t="s">
        <v>20</v>
      </c>
      <c r="J1915">
        <v>0</v>
      </c>
      <c r="K1915">
        <v>0</v>
      </c>
      <c r="L1915">
        <v>0</v>
      </c>
      <c r="M1915">
        <v>0</v>
      </c>
      <c r="N1915">
        <v>0</v>
      </c>
      <c r="O1915">
        <v>0</v>
      </c>
      <c r="P1915">
        <v>0</v>
      </c>
      <c r="Q1915">
        <v>0</v>
      </c>
      <c r="R1915">
        <v>0</v>
      </c>
      <c r="S1915">
        <v>0</v>
      </c>
      <c r="T1915">
        <v>0</v>
      </c>
      <c r="U1915" t="str">
        <f>IF(SeismicData[[#This Row],[class]]=1,"Dangerous","Safe")</f>
        <v>Safe</v>
      </c>
      <c r="V1915" t="str">
        <f>IF(SeismicData[[#This Row],[shift]]="W","Production","Non-Production")</f>
        <v>Non-Production</v>
      </c>
      <c r="W1915" t="str">
        <f>IF(SeismicData[[#This Row],[genergy]]=0,"0","10^"&amp;INT(LOG10(SeismicData[[#This Row],[genergy]])))</f>
        <v>10^4</v>
      </c>
      <c r="X1915" t="str">
        <f>IF(OR(SeismicData[[#This Row],[genergy]]&lt;$AA$6,SeismicData[[#This Row],[genergy]]&gt;$AA$5),"Outlier","Normal")</f>
        <v>Normal</v>
      </c>
    </row>
    <row r="1916" spans="1:24" x14ac:dyDescent="0.15">
      <c r="A1916">
        <v>1915</v>
      </c>
      <c r="B1916" t="s">
        <v>20</v>
      </c>
      <c r="C1916" t="s">
        <v>20</v>
      </c>
      <c r="D1916" t="s">
        <v>21</v>
      </c>
      <c r="E1916">
        <v>12170</v>
      </c>
      <c r="F1916">
        <v>226</v>
      </c>
      <c r="G1916">
        <v>30</v>
      </c>
      <c r="H1916">
        <v>-30</v>
      </c>
      <c r="I1916" t="s">
        <v>20</v>
      </c>
      <c r="J1916">
        <v>0</v>
      </c>
      <c r="K1916">
        <v>0</v>
      </c>
      <c r="L1916">
        <v>0</v>
      </c>
      <c r="M1916">
        <v>0</v>
      </c>
      <c r="N1916">
        <v>0</v>
      </c>
      <c r="O1916">
        <v>0</v>
      </c>
      <c r="P1916">
        <v>0</v>
      </c>
      <c r="Q1916">
        <v>0</v>
      </c>
      <c r="R1916">
        <v>0</v>
      </c>
      <c r="S1916">
        <v>0</v>
      </c>
      <c r="T1916">
        <v>0</v>
      </c>
      <c r="U1916" t="str">
        <f>IF(SeismicData[[#This Row],[class]]=1,"Dangerous","Safe")</f>
        <v>Safe</v>
      </c>
      <c r="V1916" t="str">
        <f>IF(SeismicData[[#This Row],[shift]]="W","Production","Non-Production")</f>
        <v>Non-Production</v>
      </c>
      <c r="W1916" t="str">
        <f>IF(SeismicData[[#This Row],[genergy]]=0,"0","10^"&amp;INT(LOG10(SeismicData[[#This Row],[genergy]])))</f>
        <v>10^4</v>
      </c>
      <c r="X1916" t="str">
        <f>IF(OR(SeismicData[[#This Row],[genergy]]&lt;$AA$6,SeismicData[[#This Row],[genergy]]&gt;$AA$5),"Outlier","Normal")</f>
        <v>Normal</v>
      </c>
    </row>
    <row r="1917" spans="1:24" x14ac:dyDescent="0.15">
      <c r="A1917">
        <v>1916</v>
      </c>
      <c r="B1917" t="s">
        <v>20</v>
      </c>
      <c r="C1917" t="s">
        <v>20</v>
      </c>
      <c r="D1917" t="s">
        <v>21</v>
      </c>
      <c r="E1917">
        <v>10040</v>
      </c>
      <c r="F1917">
        <v>216</v>
      </c>
      <c r="G1917">
        <v>7</v>
      </c>
      <c r="H1917">
        <v>-33</v>
      </c>
      <c r="I1917" t="s">
        <v>20</v>
      </c>
      <c r="J1917">
        <v>0</v>
      </c>
      <c r="K1917">
        <v>0</v>
      </c>
      <c r="L1917">
        <v>0</v>
      </c>
      <c r="M1917">
        <v>0</v>
      </c>
      <c r="N1917">
        <v>0</v>
      </c>
      <c r="O1917">
        <v>0</v>
      </c>
      <c r="P1917">
        <v>0</v>
      </c>
      <c r="Q1917">
        <v>0</v>
      </c>
      <c r="R1917">
        <v>0</v>
      </c>
      <c r="S1917">
        <v>0</v>
      </c>
      <c r="T1917">
        <v>0</v>
      </c>
      <c r="U1917" t="str">
        <f>IF(SeismicData[[#This Row],[class]]=1,"Dangerous","Safe")</f>
        <v>Safe</v>
      </c>
      <c r="V1917" t="str">
        <f>IF(SeismicData[[#This Row],[shift]]="W","Production","Non-Production")</f>
        <v>Non-Production</v>
      </c>
      <c r="W1917" t="str">
        <f>IF(SeismicData[[#This Row],[genergy]]=0,"0","10^"&amp;INT(LOG10(SeismicData[[#This Row],[genergy]])))</f>
        <v>10^4</v>
      </c>
      <c r="X1917" t="str">
        <f>IF(OR(SeismicData[[#This Row],[genergy]]&lt;$AA$6,SeismicData[[#This Row],[genergy]]&gt;$AA$5),"Outlier","Normal")</f>
        <v>Normal</v>
      </c>
    </row>
    <row r="1918" spans="1:24" x14ac:dyDescent="0.15">
      <c r="A1918">
        <v>1917</v>
      </c>
      <c r="B1918" t="s">
        <v>20</v>
      </c>
      <c r="C1918" t="s">
        <v>20</v>
      </c>
      <c r="D1918" t="s">
        <v>22</v>
      </c>
      <c r="E1918">
        <v>9710</v>
      </c>
      <c r="F1918">
        <v>248</v>
      </c>
      <c r="G1918">
        <v>-72</v>
      </c>
      <c r="H1918">
        <v>-57</v>
      </c>
      <c r="I1918" t="s">
        <v>20</v>
      </c>
      <c r="J1918">
        <v>0</v>
      </c>
      <c r="K1918">
        <v>0</v>
      </c>
      <c r="L1918">
        <v>0</v>
      </c>
      <c r="M1918">
        <v>0</v>
      </c>
      <c r="N1918">
        <v>0</v>
      </c>
      <c r="O1918">
        <v>0</v>
      </c>
      <c r="P1918">
        <v>0</v>
      </c>
      <c r="Q1918">
        <v>0</v>
      </c>
      <c r="R1918">
        <v>0</v>
      </c>
      <c r="S1918">
        <v>0</v>
      </c>
      <c r="T1918">
        <v>0</v>
      </c>
      <c r="U1918" t="str">
        <f>IF(SeismicData[[#This Row],[class]]=1,"Dangerous","Safe")</f>
        <v>Safe</v>
      </c>
      <c r="V1918" t="str">
        <f>IF(SeismicData[[#This Row],[shift]]="W","Production","Non-Production")</f>
        <v>Production</v>
      </c>
      <c r="W1918" t="str">
        <f>IF(SeismicData[[#This Row],[genergy]]=0,"0","10^"&amp;INT(LOG10(SeismicData[[#This Row],[genergy]])))</f>
        <v>10^3</v>
      </c>
      <c r="X1918" t="str">
        <f>IF(OR(SeismicData[[#This Row],[genergy]]&lt;$AA$6,SeismicData[[#This Row],[genergy]]&gt;$AA$5),"Outlier","Normal")</f>
        <v>Normal</v>
      </c>
    </row>
    <row r="1919" spans="1:24" x14ac:dyDescent="0.15">
      <c r="A1919">
        <v>1918</v>
      </c>
      <c r="B1919" t="s">
        <v>20</v>
      </c>
      <c r="C1919" t="s">
        <v>20</v>
      </c>
      <c r="D1919" t="s">
        <v>22</v>
      </c>
      <c r="E1919">
        <v>55230</v>
      </c>
      <c r="F1919">
        <v>904</v>
      </c>
      <c r="G1919">
        <v>57</v>
      </c>
      <c r="H1919">
        <v>56</v>
      </c>
      <c r="I1919" t="s">
        <v>20</v>
      </c>
      <c r="J1919">
        <v>0</v>
      </c>
      <c r="K1919">
        <v>0</v>
      </c>
      <c r="L1919">
        <v>0</v>
      </c>
      <c r="M1919">
        <v>0</v>
      </c>
      <c r="N1919">
        <v>0</v>
      </c>
      <c r="O1919">
        <v>0</v>
      </c>
      <c r="P1919">
        <v>0</v>
      </c>
      <c r="Q1919">
        <v>0</v>
      </c>
      <c r="R1919">
        <v>0</v>
      </c>
      <c r="S1919">
        <v>0</v>
      </c>
      <c r="T1919">
        <v>0</v>
      </c>
      <c r="U1919" t="str">
        <f>IF(SeismicData[[#This Row],[class]]=1,"Dangerous","Safe")</f>
        <v>Safe</v>
      </c>
      <c r="V1919" t="str">
        <f>IF(SeismicData[[#This Row],[shift]]="W","Production","Non-Production")</f>
        <v>Production</v>
      </c>
      <c r="W1919" t="str">
        <f>IF(SeismicData[[#This Row],[genergy]]=0,"0","10^"&amp;INT(LOG10(SeismicData[[#This Row],[genergy]])))</f>
        <v>10^4</v>
      </c>
      <c r="X1919" t="str">
        <f>IF(OR(SeismicData[[#This Row],[genergy]]&lt;$AA$6,SeismicData[[#This Row],[genergy]]&gt;$AA$5),"Outlier","Normal")</f>
        <v>Normal</v>
      </c>
    </row>
    <row r="1920" spans="1:24" x14ac:dyDescent="0.15">
      <c r="A1920">
        <v>1919</v>
      </c>
      <c r="B1920" t="s">
        <v>20</v>
      </c>
      <c r="C1920" t="s">
        <v>20</v>
      </c>
      <c r="D1920" t="s">
        <v>22</v>
      </c>
      <c r="E1920">
        <v>19580</v>
      </c>
      <c r="F1920">
        <v>439</v>
      </c>
      <c r="G1920">
        <v>-44</v>
      </c>
      <c r="H1920">
        <v>-24</v>
      </c>
      <c r="I1920" t="s">
        <v>20</v>
      </c>
      <c r="J1920">
        <v>0</v>
      </c>
      <c r="K1920">
        <v>0</v>
      </c>
      <c r="L1920">
        <v>0</v>
      </c>
      <c r="M1920">
        <v>0</v>
      </c>
      <c r="N1920">
        <v>0</v>
      </c>
      <c r="O1920">
        <v>0</v>
      </c>
      <c r="P1920">
        <v>0</v>
      </c>
      <c r="Q1920">
        <v>0</v>
      </c>
      <c r="R1920">
        <v>0</v>
      </c>
      <c r="S1920">
        <v>0</v>
      </c>
      <c r="T1920">
        <v>0</v>
      </c>
      <c r="U1920" t="str">
        <f>IF(SeismicData[[#This Row],[class]]=1,"Dangerous","Safe")</f>
        <v>Safe</v>
      </c>
      <c r="V1920" t="str">
        <f>IF(SeismicData[[#This Row],[shift]]="W","Production","Non-Production")</f>
        <v>Production</v>
      </c>
      <c r="W1920" t="str">
        <f>IF(SeismicData[[#This Row],[genergy]]=0,"0","10^"&amp;INT(LOG10(SeismicData[[#This Row],[genergy]])))</f>
        <v>10^4</v>
      </c>
      <c r="X1920" t="str">
        <f>IF(OR(SeismicData[[#This Row],[genergy]]&lt;$AA$6,SeismicData[[#This Row],[genergy]]&gt;$AA$5),"Outlier","Normal")</f>
        <v>Normal</v>
      </c>
    </row>
    <row r="1921" spans="1:24" x14ac:dyDescent="0.15">
      <c r="A1921">
        <v>1920</v>
      </c>
      <c r="B1921" t="s">
        <v>20</v>
      </c>
      <c r="C1921" t="s">
        <v>20</v>
      </c>
      <c r="D1921" t="s">
        <v>21</v>
      </c>
      <c r="E1921">
        <v>15640</v>
      </c>
      <c r="F1921">
        <v>326</v>
      </c>
      <c r="G1921">
        <v>67</v>
      </c>
      <c r="H1921">
        <v>1</v>
      </c>
      <c r="I1921" t="s">
        <v>20</v>
      </c>
      <c r="J1921">
        <v>1</v>
      </c>
      <c r="K1921">
        <v>1</v>
      </c>
      <c r="L1921">
        <v>0</v>
      </c>
      <c r="M1921">
        <v>0</v>
      </c>
      <c r="N1921">
        <v>0</v>
      </c>
      <c r="O1921">
        <v>0</v>
      </c>
      <c r="P1921">
        <v>0</v>
      </c>
      <c r="Q1921">
        <v>0</v>
      </c>
      <c r="R1921">
        <v>200</v>
      </c>
      <c r="S1921">
        <v>200</v>
      </c>
      <c r="T1921">
        <v>0</v>
      </c>
      <c r="U1921" t="str">
        <f>IF(SeismicData[[#This Row],[class]]=1,"Dangerous","Safe")</f>
        <v>Safe</v>
      </c>
      <c r="V1921" t="str">
        <f>IF(SeismicData[[#This Row],[shift]]="W","Production","Non-Production")</f>
        <v>Non-Production</v>
      </c>
      <c r="W1921" t="str">
        <f>IF(SeismicData[[#This Row],[genergy]]=0,"0","10^"&amp;INT(LOG10(SeismicData[[#This Row],[genergy]])))</f>
        <v>10^4</v>
      </c>
      <c r="X1921" t="str">
        <f>IF(OR(SeismicData[[#This Row],[genergy]]&lt;$AA$6,SeismicData[[#This Row],[genergy]]&gt;$AA$5),"Outlier","Normal")</f>
        <v>Normal</v>
      </c>
    </row>
    <row r="1922" spans="1:24" x14ac:dyDescent="0.15">
      <c r="A1922">
        <v>1921</v>
      </c>
      <c r="B1922" t="s">
        <v>20</v>
      </c>
      <c r="C1922" t="s">
        <v>20</v>
      </c>
      <c r="D1922" t="s">
        <v>21</v>
      </c>
      <c r="E1922">
        <v>13610</v>
      </c>
      <c r="F1922">
        <v>262</v>
      </c>
      <c r="G1922">
        <v>46</v>
      </c>
      <c r="H1922">
        <v>-19</v>
      </c>
      <c r="I1922" t="s">
        <v>20</v>
      </c>
      <c r="J1922">
        <v>0</v>
      </c>
      <c r="K1922">
        <v>0</v>
      </c>
      <c r="L1922">
        <v>0</v>
      </c>
      <c r="M1922">
        <v>0</v>
      </c>
      <c r="N1922">
        <v>0</v>
      </c>
      <c r="O1922">
        <v>0</v>
      </c>
      <c r="P1922">
        <v>0</v>
      </c>
      <c r="Q1922">
        <v>0</v>
      </c>
      <c r="R1922">
        <v>0</v>
      </c>
      <c r="S1922">
        <v>0</v>
      </c>
      <c r="T1922">
        <v>0</v>
      </c>
      <c r="U1922" t="str">
        <f>IF(SeismicData[[#This Row],[class]]=1,"Dangerous","Safe")</f>
        <v>Safe</v>
      </c>
      <c r="V1922" t="str">
        <f>IF(SeismicData[[#This Row],[shift]]="W","Production","Non-Production")</f>
        <v>Non-Production</v>
      </c>
      <c r="W1922" t="str">
        <f>IF(SeismicData[[#This Row],[genergy]]=0,"0","10^"&amp;INT(LOG10(SeismicData[[#This Row],[genergy]])))</f>
        <v>10^4</v>
      </c>
      <c r="X1922" t="str">
        <f>IF(OR(SeismicData[[#This Row],[genergy]]&lt;$AA$6,SeismicData[[#This Row],[genergy]]&gt;$AA$5),"Outlier","Normal")</f>
        <v>Normal</v>
      </c>
    </row>
    <row r="1923" spans="1:24" x14ac:dyDescent="0.15">
      <c r="A1923">
        <v>1922</v>
      </c>
      <c r="B1923" t="s">
        <v>20</v>
      </c>
      <c r="C1923" t="s">
        <v>20</v>
      </c>
      <c r="D1923" t="s">
        <v>21</v>
      </c>
      <c r="E1923">
        <v>9280</v>
      </c>
      <c r="F1923">
        <v>294</v>
      </c>
      <c r="G1923">
        <v>35</v>
      </c>
      <c r="H1923">
        <v>71</v>
      </c>
      <c r="I1923" t="s">
        <v>20</v>
      </c>
      <c r="J1923">
        <v>0</v>
      </c>
      <c r="K1923">
        <v>0</v>
      </c>
      <c r="L1923">
        <v>0</v>
      </c>
      <c r="M1923">
        <v>0</v>
      </c>
      <c r="N1923">
        <v>0</v>
      </c>
      <c r="O1923">
        <v>0</v>
      </c>
      <c r="P1923">
        <v>0</v>
      </c>
      <c r="Q1923">
        <v>0</v>
      </c>
      <c r="R1923">
        <v>0</v>
      </c>
      <c r="S1923">
        <v>0</v>
      </c>
      <c r="T1923">
        <v>0</v>
      </c>
      <c r="U1923" t="str">
        <f>IF(SeismicData[[#This Row],[class]]=1,"Dangerous","Safe")</f>
        <v>Safe</v>
      </c>
      <c r="V1923" t="str">
        <f>IF(SeismicData[[#This Row],[shift]]="W","Production","Non-Production")</f>
        <v>Non-Production</v>
      </c>
      <c r="W1923" t="str">
        <f>IF(SeismicData[[#This Row],[genergy]]=0,"0","10^"&amp;INT(LOG10(SeismicData[[#This Row],[genergy]])))</f>
        <v>10^3</v>
      </c>
      <c r="X1923" t="str">
        <f>IF(OR(SeismicData[[#This Row],[genergy]]&lt;$AA$6,SeismicData[[#This Row],[genergy]]&gt;$AA$5),"Outlier","Normal")</f>
        <v>Normal</v>
      </c>
    </row>
    <row r="1924" spans="1:24" x14ac:dyDescent="0.15">
      <c r="A1924">
        <v>1923</v>
      </c>
      <c r="B1924" t="s">
        <v>20</v>
      </c>
      <c r="C1924" t="s">
        <v>20</v>
      </c>
      <c r="D1924" t="s">
        <v>21</v>
      </c>
      <c r="E1924">
        <v>9000</v>
      </c>
      <c r="F1924">
        <v>241</v>
      </c>
      <c r="G1924">
        <v>31</v>
      </c>
      <c r="H1924">
        <v>40</v>
      </c>
      <c r="I1924" t="s">
        <v>20</v>
      </c>
      <c r="J1924">
        <v>0</v>
      </c>
      <c r="K1924">
        <v>0</v>
      </c>
      <c r="L1924">
        <v>0</v>
      </c>
      <c r="M1924">
        <v>0</v>
      </c>
      <c r="N1924">
        <v>0</v>
      </c>
      <c r="O1924">
        <v>0</v>
      </c>
      <c r="P1924">
        <v>0</v>
      </c>
      <c r="Q1924">
        <v>0</v>
      </c>
      <c r="R1924">
        <v>0</v>
      </c>
      <c r="S1924">
        <v>0</v>
      </c>
      <c r="T1924">
        <v>0</v>
      </c>
      <c r="U1924" t="str">
        <f>IF(SeismicData[[#This Row],[class]]=1,"Dangerous","Safe")</f>
        <v>Safe</v>
      </c>
      <c r="V1924" t="str">
        <f>IF(SeismicData[[#This Row],[shift]]="W","Production","Non-Production")</f>
        <v>Non-Production</v>
      </c>
      <c r="W1924" t="str">
        <f>IF(SeismicData[[#This Row],[genergy]]=0,"0","10^"&amp;INT(LOG10(SeismicData[[#This Row],[genergy]])))</f>
        <v>10^3</v>
      </c>
      <c r="X1924" t="str">
        <f>IF(OR(SeismicData[[#This Row],[genergy]]&lt;$AA$6,SeismicData[[#This Row],[genergy]]&gt;$AA$5),"Outlier","Normal")</f>
        <v>Normal</v>
      </c>
    </row>
    <row r="1925" spans="1:24" x14ac:dyDescent="0.15">
      <c r="A1925">
        <v>1924</v>
      </c>
      <c r="B1925" t="s">
        <v>20</v>
      </c>
      <c r="C1925" t="s">
        <v>20</v>
      </c>
      <c r="D1925" t="s">
        <v>21</v>
      </c>
      <c r="E1925">
        <v>23440</v>
      </c>
      <c r="F1925">
        <v>514</v>
      </c>
      <c r="G1925">
        <v>151</v>
      </c>
      <c r="H1925">
        <v>59</v>
      </c>
      <c r="I1925" t="s">
        <v>20</v>
      </c>
      <c r="J1925">
        <v>1</v>
      </c>
      <c r="K1925">
        <v>0</v>
      </c>
      <c r="L1925">
        <v>1</v>
      </c>
      <c r="M1925">
        <v>0</v>
      </c>
      <c r="N1925">
        <v>0</v>
      </c>
      <c r="O1925">
        <v>0</v>
      </c>
      <c r="P1925">
        <v>0</v>
      </c>
      <c r="Q1925">
        <v>0</v>
      </c>
      <c r="R1925">
        <v>8000</v>
      </c>
      <c r="S1925">
        <v>8000</v>
      </c>
      <c r="T1925">
        <v>0</v>
      </c>
      <c r="U1925" t="str">
        <f>IF(SeismicData[[#This Row],[class]]=1,"Dangerous","Safe")</f>
        <v>Safe</v>
      </c>
      <c r="V1925" t="str">
        <f>IF(SeismicData[[#This Row],[shift]]="W","Production","Non-Production")</f>
        <v>Non-Production</v>
      </c>
      <c r="W1925" t="str">
        <f>IF(SeismicData[[#This Row],[genergy]]=0,"0","10^"&amp;INT(LOG10(SeismicData[[#This Row],[genergy]])))</f>
        <v>10^4</v>
      </c>
      <c r="X1925" t="str">
        <f>IF(OR(SeismicData[[#This Row],[genergy]]&lt;$AA$6,SeismicData[[#This Row],[genergy]]&gt;$AA$5),"Outlier","Normal")</f>
        <v>Normal</v>
      </c>
    </row>
    <row r="1926" spans="1:24" x14ac:dyDescent="0.15">
      <c r="A1926">
        <v>1925</v>
      </c>
      <c r="B1926" t="s">
        <v>20</v>
      </c>
      <c r="C1926" t="s">
        <v>20</v>
      </c>
      <c r="D1926" t="s">
        <v>21</v>
      </c>
      <c r="E1926">
        <v>6660</v>
      </c>
      <c r="F1926">
        <v>274</v>
      </c>
      <c r="G1926">
        <v>-29</v>
      </c>
      <c r="H1926">
        <v>-15</v>
      </c>
      <c r="I1926" t="s">
        <v>20</v>
      </c>
      <c r="J1926">
        <v>0</v>
      </c>
      <c r="K1926">
        <v>0</v>
      </c>
      <c r="L1926">
        <v>0</v>
      </c>
      <c r="M1926">
        <v>0</v>
      </c>
      <c r="N1926">
        <v>0</v>
      </c>
      <c r="O1926">
        <v>0</v>
      </c>
      <c r="P1926">
        <v>0</v>
      </c>
      <c r="Q1926">
        <v>0</v>
      </c>
      <c r="R1926">
        <v>0</v>
      </c>
      <c r="S1926">
        <v>0</v>
      </c>
      <c r="T1926">
        <v>0</v>
      </c>
      <c r="U1926" t="str">
        <f>IF(SeismicData[[#This Row],[class]]=1,"Dangerous","Safe")</f>
        <v>Safe</v>
      </c>
      <c r="V1926" t="str">
        <f>IF(SeismicData[[#This Row],[shift]]="W","Production","Non-Production")</f>
        <v>Non-Production</v>
      </c>
      <c r="W1926" t="str">
        <f>IF(SeismicData[[#This Row],[genergy]]=0,"0","10^"&amp;INT(LOG10(SeismicData[[#This Row],[genergy]])))</f>
        <v>10^3</v>
      </c>
      <c r="X1926" t="str">
        <f>IF(OR(SeismicData[[#This Row],[genergy]]&lt;$AA$6,SeismicData[[#This Row],[genergy]]&gt;$AA$5),"Outlier","Normal")</f>
        <v>Normal</v>
      </c>
    </row>
    <row r="1927" spans="1:24" x14ac:dyDescent="0.15">
      <c r="A1927">
        <v>1926</v>
      </c>
      <c r="B1927" t="s">
        <v>20</v>
      </c>
      <c r="C1927" t="s">
        <v>20</v>
      </c>
      <c r="D1927" t="s">
        <v>21</v>
      </c>
      <c r="E1927">
        <v>5480</v>
      </c>
      <c r="F1927">
        <v>236</v>
      </c>
      <c r="G1927">
        <v>-20</v>
      </c>
      <c r="H1927">
        <v>37</v>
      </c>
      <c r="I1927" t="s">
        <v>20</v>
      </c>
      <c r="J1927">
        <v>0</v>
      </c>
      <c r="K1927">
        <v>0</v>
      </c>
      <c r="L1927">
        <v>0</v>
      </c>
      <c r="M1927">
        <v>0</v>
      </c>
      <c r="N1927">
        <v>0</v>
      </c>
      <c r="O1927">
        <v>0</v>
      </c>
      <c r="P1927">
        <v>0</v>
      </c>
      <c r="Q1927">
        <v>0</v>
      </c>
      <c r="R1927">
        <v>0</v>
      </c>
      <c r="S1927">
        <v>0</v>
      </c>
      <c r="T1927">
        <v>0</v>
      </c>
      <c r="U1927" t="str">
        <f>IF(SeismicData[[#This Row],[class]]=1,"Dangerous","Safe")</f>
        <v>Safe</v>
      </c>
      <c r="V1927" t="str">
        <f>IF(SeismicData[[#This Row],[shift]]="W","Production","Non-Production")</f>
        <v>Non-Production</v>
      </c>
      <c r="W1927" t="str">
        <f>IF(SeismicData[[#This Row],[genergy]]=0,"0","10^"&amp;INT(LOG10(SeismicData[[#This Row],[genergy]])))</f>
        <v>10^3</v>
      </c>
      <c r="X1927" t="str">
        <f>IF(OR(SeismicData[[#This Row],[genergy]]&lt;$AA$6,SeismicData[[#This Row],[genergy]]&gt;$AA$5),"Outlier","Normal")</f>
        <v>Normal</v>
      </c>
    </row>
    <row r="1928" spans="1:24" x14ac:dyDescent="0.15">
      <c r="A1928">
        <v>1927</v>
      </c>
      <c r="B1928" t="s">
        <v>20</v>
      </c>
      <c r="C1928" t="s">
        <v>20</v>
      </c>
      <c r="D1928" t="s">
        <v>21</v>
      </c>
      <c r="E1928">
        <v>8030</v>
      </c>
      <c r="F1928">
        <v>224</v>
      </c>
      <c r="G1928">
        <v>31</v>
      </c>
      <c r="H1928">
        <v>42</v>
      </c>
      <c r="I1928" t="s">
        <v>20</v>
      </c>
      <c r="J1928">
        <v>0</v>
      </c>
      <c r="K1928">
        <v>0</v>
      </c>
      <c r="L1928">
        <v>0</v>
      </c>
      <c r="M1928">
        <v>0</v>
      </c>
      <c r="N1928">
        <v>0</v>
      </c>
      <c r="O1928">
        <v>0</v>
      </c>
      <c r="P1928">
        <v>0</v>
      </c>
      <c r="Q1928">
        <v>0</v>
      </c>
      <c r="R1928">
        <v>0</v>
      </c>
      <c r="S1928">
        <v>0</v>
      </c>
      <c r="T1928">
        <v>0</v>
      </c>
      <c r="U1928" t="str">
        <f>IF(SeismicData[[#This Row],[class]]=1,"Dangerous","Safe")</f>
        <v>Safe</v>
      </c>
      <c r="V1928" t="str">
        <f>IF(SeismicData[[#This Row],[shift]]="W","Production","Non-Production")</f>
        <v>Non-Production</v>
      </c>
      <c r="W1928" t="str">
        <f>IF(SeismicData[[#This Row],[genergy]]=0,"0","10^"&amp;INT(LOG10(SeismicData[[#This Row],[genergy]])))</f>
        <v>10^3</v>
      </c>
      <c r="X1928" t="str">
        <f>IF(OR(SeismicData[[#This Row],[genergy]]&lt;$AA$6,SeismicData[[#This Row],[genergy]]&gt;$AA$5),"Outlier","Normal")</f>
        <v>Normal</v>
      </c>
    </row>
    <row r="1929" spans="1:24" x14ac:dyDescent="0.15">
      <c r="A1929">
        <v>1928</v>
      </c>
      <c r="B1929" t="s">
        <v>20</v>
      </c>
      <c r="C1929" t="s">
        <v>20</v>
      </c>
      <c r="D1929" t="s">
        <v>21</v>
      </c>
      <c r="E1929">
        <v>4170</v>
      </c>
      <c r="F1929">
        <v>181</v>
      </c>
      <c r="G1929">
        <v>-49</v>
      </c>
      <c r="H1929">
        <v>-34</v>
      </c>
      <c r="I1929" t="s">
        <v>20</v>
      </c>
      <c r="J1929">
        <v>0</v>
      </c>
      <c r="K1929">
        <v>0</v>
      </c>
      <c r="L1929">
        <v>0</v>
      </c>
      <c r="M1929">
        <v>0</v>
      </c>
      <c r="N1929">
        <v>0</v>
      </c>
      <c r="O1929">
        <v>0</v>
      </c>
      <c r="P1929">
        <v>0</v>
      </c>
      <c r="Q1929">
        <v>0</v>
      </c>
      <c r="R1929">
        <v>0</v>
      </c>
      <c r="S1929">
        <v>0</v>
      </c>
      <c r="T1929">
        <v>0</v>
      </c>
      <c r="U1929" t="str">
        <f>IF(SeismicData[[#This Row],[class]]=1,"Dangerous","Safe")</f>
        <v>Safe</v>
      </c>
      <c r="V1929" t="str">
        <f>IF(SeismicData[[#This Row],[shift]]="W","Production","Non-Production")</f>
        <v>Non-Production</v>
      </c>
      <c r="W1929" t="str">
        <f>IF(SeismicData[[#This Row],[genergy]]=0,"0","10^"&amp;INT(LOG10(SeismicData[[#This Row],[genergy]])))</f>
        <v>10^3</v>
      </c>
      <c r="X1929" t="str">
        <f>IF(OR(SeismicData[[#This Row],[genergy]]&lt;$AA$6,SeismicData[[#This Row],[genergy]]&gt;$AA$5),"Outlier","Normal")</f>
        <v>Normal</v>
      </c>
    </row>
    <row r="1930" spans="1:24" x14ac:dyDescent="0.15">
      <c r="A1930">
        <v>1929</v>
      </c>
      <c r="B1930" t="s">
        <v>20</v>
      </c>
      <c r="C1930" t="s">
        <v>20</v>
      </c>
      <c r="D1930" t="s">
        <v>21</v>
      </c>
      <c r="E1930">
        <v>7160</v>
      </c>
      <c r="F1930">
        <v>182</v>
      </c>
      <c r="G1930">
        <v>-13</v>
      </c>
      <c r="H1930">
        <v>-34</v>
      </c>
      <c r="I1930" t="s">
        <v>20</v>
      </c>
      <c r="J1930">
        <v>0</v>
      </c>
      <c r="K1930">
        <v>0</v>
      </c>
      <c r="L1930">
        <v>0</v>
      </c>
      <c r="M1930">
        <v>0</v>
      </c>
      <c r="N1930">
        <v>0</v>
      </c>
      <c r="O1930">
        <v>0</v>
      </c>
      <c r="P1930">
        <v>0</v>
      </c>
      <c r="Q1930">
        <v>0</v>
      </c>
      <c r="R1930">
        <v>0</v>
      </c>
      <c r="S1930">
        <v>0</v>
      </c>
      <c r="T1930">
        <v>0</v>
      </c>
      <c r="U1930" t="str">
        <f>IF(SeismicData[[#This Row],[class]]=1,"Dangerous","Safe")</f>
        <v>Safe</v>
      </c>
      <c r="V1930" t="str">
        <f>IF(SeismicData[[#This Row],[shift]]="W","Production","Non-Production")</f>
        <v>Non-Production</v>
      </c>
      <c r="W1930" t="str">
        <f>IF(SeismicData[[#This Row],[genergy]]=0,"0","10^"&amp;INT(LOG10(SeismicData[[#This Row],[genergy]])))</f>
        <v>10^3</v>
      </c>
      <c r="X1930" t="str">
        <f>IF(OR(SeismicData[[#This Row],[genergy]]&lt;$AA$6,SeismicData[[#This Row],[genergy]]&gt;$AA$5),"Outlier","Normal")</f>
        <v>Normal</v>
      </c>
    </row>
    <row r="1931" spans="1:24" x14ac:dyDescent="0.15">
      <c r="A1931">
        <v>1930</v>
      </c>
      <c r="B1931" t="s">
        <v>20</v>
      </c>
      <c r="C1931" t="s">
        <v>20</v>
      </c>
      <c r="D1931" t="s">
        <v>21</v>
      </c>
      <c r="E1931">
        <v>13640</v>
      </c>
      <c r="F1931">
        <v>210</v>
      </c>
      <c r="G1931">
        <v>123</v>
      </c>
      <c r="H1931">
        <v>33</v>
      </c>
      <c r="I1931" t="s">
        <v>20</v>
      </c>
      <c r="J1931">
        <v>0</v>
      </c>
      <c r="K1931">
        <v>0</v>
      </c>
      <c r="L1931">
        <v>0</v>
      </c>
      <c r="M1931">
        <v>0</v>
      </c>
      <c r="N1931">
        <v>0</v>
      </c>
      <c r="O1931">
        <v>0</v>
      </c>
      <c r="P1931">
        <v>0</v>
      </c>
      <c r="Q1931">
        <v>0</v>
      </c>
      <c r="R1931">
        <v>0</v>
      </c>
      <c r="S1931">
        <v>0</v>
      </c>
      <c r="T1931">
        <v>0</v>
      </c>
      <c r="U1931" t="str">
        <f>IF(SeismicData[[#This Row],[class]]=1,"Dangerous","Safe")</f>
        <v>Safe</v>
      </c>
      <c r="V1931" t="str">
        <f>IF(SeismicData[[#This Row],[shift]]="W","Production","Non-Production")</f>
        <v>Non-Production</v>
      </c>
      <c r="W1931" t="str">
        <f>IF(SeismicData[[#This Row],[genergy]]=0,"0","10^"&amp;INT(LOG10(SeismicData[[#This Row],[genergy]])))</f>
        <v>10^4</v>
      </c>
      <c r="X1931" t="str">
        <f>IF(OR(SeismicData[[#This Row],[genergy]]&lt;$AA$6,SeismicData[[#This Row],[genergy]]&gt;$AA$5),"Outlier","Normal")</f>
        <v>Normal</v>
      </c>
    </row>
    <row r="1932" spans="1:24" x14ac:dyDescent="0.15">
      <c r="A1932">
        <v>1931</v>
      </c>
      <c r="B1932" t="s">
        <v>20</v>
      </c>
      <c r="C1932" t="s">
        <v>20</v>
      </c>
      <c r="D1932" t="s">
        <v>21</v>
      </c>
      <c r="E1932">
        <v>4310</v>
      </c>
      <c r="F1932">
        <v>172</v>
      </c>
      <c r="G1932">
        <v>-30</v>
      </c>
      <c r="H1932">
        <v>9</v>
      </c>
      <c r="I1932" t="s">
        <v>20</v>
      </c>
      <c r="J1932">
        <v>0</v>
      </c>
      <c r="K1932">
        <v>0</v>
      </c>
      <c r="L1932">
        <v>0</v>
      </c>
      <c r="M1932">
        <v>0</v>
      </c>
      <c r="N1932">
        <v>0</v>
      </c>
      <c r="O1932">
        <v>0</v>
      </c>
      <c r="P1932">
        <v>0</v>
      </c>
      <c r="Q1932">
        <v>0</v>
      </c>
      <c r="R1932">
        <v>0</v>
      </c>
      <c r="S1932">
        <v>0</v>
      </c>
      <c r="T1932">
        <v>0</v>
      </c>
      <c r="U1932" t="str">
        <f>IF(SeismicData[[#This Row],[class]]=1,"Dangerous","Safe")</f>
        <v>Safe</v>
      </c>
      <c r="V1932" t="str">
        <f>IF(SeismicData[[#This Row],[shift]]="W","Production","Non-Production")</f>
        <v>Non-Production</v>
      </c>
      <c r="W1932" t="str">
        <f>IF(SeismicData[[#This Row],[genergy]]=0,"0","10^"&amp;INT(LOG10(SeismicData[[#This Row],[genergy]])))</f>
        <v>10^3</v>
      </c>
      <c r="X1932" t="str">
        <f>IF(OR(SeismicData[[#This Row],[genergy]]&lt;$AA$6,SeismicData[[#This Row],[genergy]]&gt;$AA$5),"Outlier","Normal")</f>
        <v>Normal</v>
      </c>
    </row>
    <row r="1933" spans="1:24" x14ac:dyDescent="0.15">
      <c r="A1933">
        <v>1932</v>
      </c>
      <c r="B1933" t="s">
        <v>20</v>
      </c>
      <c r="C1933" t="s">
        <v>20</v>
      </c>
      <c r="D1933" t="s">
        <v>21</v>
      </c>
      <c r="E1933">
        <v>3250</v>
      </c>
      <c r="F1933">
        <v>127</v>
      </c>
      <c r="G1933">
        <v>-47</v>
      </c>
      <c r="H1933">
        <v>-20</v>
      </c>
      <c r="I1933" t="s">
        <v>20</v>
      </c>
      <c r="J1933">
        <v>0</v>
      </c>
      <c r="K1933">
        <v>0</v>
      </c>
      <c r="L1933">
        <v>0</v>
      </c>
      <c r="M1933">
        <v>0</v>
      </c>
      <c r="N1933">
        <v>0</v>
      </c>
      <c r="O1933">
        <v>0</v>
      </c>
      <c r="P1933">
        <v>0</v>
      </c>
      <c r="Q1933">
        <v>0</v>
      </c>
      <c r="R1933">
        <v>0</v>
      </c>
      <c r="S1933">
        <v>0</v>
      </c>
      <c r="T1933">
        <v>0</v>
      </c>
      <c r="U1933" t="str">
        <f>IF(SeismicData[[#This Row],[class]]=1,"Dangerous","Safe")</f>
        <v>Safe</v>
      </c>
      <c r="V1933" t="str">
        <f>IF(SeismicData[[#This Row],[shift]]="W","Production","Non-Production")</f>
        <v>Non-Production</v>
      </c>
      <c r="W1933" t="str">
        <f>IF(SeismicData[[#This Row],[genergy]]=0,"0","10^"&amp;INT(LOG10(SeismicData[[#This Row],[genergy]])))</f>
        <v>10^3</v>
      </c>
      <c r="X1933" t="str">
        <f>IF(OR(SeismicData[[#This Row],[genergy]]&lt;$AA$6,SeismicData[[#This Row],[genergy]]&gt;$AA$5),"Outlier","Normal")</f>
        <v>Normal</v>
      </c>
    </row>
    <row r="1934" spans="1:24" x14ac:dyDescent="0.15">
      <c r="A1934">
        <v>1933</v>
      </c>
      <c r="B1934" t="s">
        <v>20</v>
      </c>
      <c r="C1934" t="s">
        <v>20</v>
      </c>
      <c r="D1934" t="s">
        <v>21</v>
      </c>
      <c r="E1934">
        <v>3520</v>
      </c>
      <c r="F1934">
        <v>107</v>
      </c>
      <c r="G1934">
        <v>-42</v>
      </c>
      <c r="H1934">
        <v>-32</v>
      </c>
      <c r="I1934" t="s">
        <v>20</v>
      </c>
      <c r="J1934">
        <v>0</v>
      </c>
      <c r="K1934">
        <v>0</v>
      </c>
      <c r="L1934">
        <v>0</v>
      </c>
      <c r="M1934">
        <v>0</v>
      </c>
      <c r="N1934">
        <v>0</v>
      </c>
      <c r="O1934">
        <v>0</v>
      </c>
      <c r="P1934">
        <v>0</v>
      </c>
      <c r="Q1934">
        <v>0</v>
      </c>
      <c r="R1934">
        <v>0</v>
      </c>
      <c r="S1934">
        <v>0</v>
      </c>
      <c r="T1934">
        <v>0</v>
      </c>
      <c r="U1934" t="str">
        <f>IF(SeismicData[[#This Row],[class]]=1,"Dangerous","Safe")</f>
        <v>Safe</v>
      </c>
      <c r="V1934" t="str">
        <f>IF(SeismicData[[#This Row],[shift]]="W","Production","Non-Production")</f>
        <v>Non-Production</v>
      </c>
      <c r="W1934" t="str">
        <f>IF(SeismicData[[#This Row],[genergy]]=0,"0","10^"&amp;INT(LOG10(SeismicData[[#This Row],[genergy]])))</f>
        <v>10^3</v>
      </c>
      <c r="X1934" t="str">
        <f>IF(OR(SeismicData[[#This Row],[genergy]]&lt;$AA$6,SeismicData[[#This Row],[genergy]]&gt;$AA$5),"Outlier","Normal")</f>
        <v>Normal</v>
      </c>
    </row>
    <row r="1935" spans="1:24" x14ac:dyDescent="0.15">
      <c r="A1935">
        <v>1934</v>
      </c>
      <c r="B1935" t="s">
        <v>20</v>
      </c>
      <c r="C1935" t="s">
        <v>20</v>
      </c>
      <c r="D1935" t="s">
        <v>21</v>
      </c>
      <c r="E1935">
        <v>2270</v>
      </c>
      <c r="F1935">
        <v>78</v>
      </c>
      <c r="G1935">
        <v>-82</v>
      </c>
      <c r="H1935">
        <v>-69</v>
      </c>
      <c r="I1935" t="s">
        <v>20</v>
      </c>
      <c r="J1935">
        <v>0</v>
      </c>
      <c r="K1935">
        <v>0</v>
      </c>
      <c r="L1935">
        <v>0</v>
      </c>
      <c r="M1935">
        <v>0</v>
      </c>
      <c r="N1935">
        <v>0</v>
      </c>
      <c r="O1935">
        <v>0</v>
      </c>
      <c r="P1935">
        <v>0</v>
      </c>
      <c r="Q1935">
        <v>0</v>
      </c>
      <c r="R1935">
        <v>0</v>
      </c>
      <c r="S1935">
        <v>0</v>
      </c>
      <c r="T1935">
        <v>0</v>
      </c>
      <c r="U1935" t="str">
        <f>IF(SeismicData[[#This Row],[class]]=1,"Dangerous","Safe")</f>
        <v>Safe</v>
      </c>
      <c r="V1935" t="str">
        <f>IF(SeismicData[[#This Row],[shift]]="W","Production","Non-Production")</f>
        <v>Non-Production</v>
      </c>
      <c r="W1935" t="str">
        <f>IF(SeismicData[[#This Row],[genergy]]=0,"0","10^"&amp;INT(LOG10(SeismicData[[#This Row],[genergy]])))</f>
        <v>10^3</v>
      </c>
      <c r="X1935" t="str">
        <f>IF(OR(SeismicData[[#This Row],[genergy]]&lt;$AA$6,SeismicData[[#This Row],[genergy]]&gt;$AA$5),"Outlier","Normal")</f>
        <v>Normal</v>
      </c>
    </row>
    <row r="1936" spans="1:24" x14ac:dyDescent="0.15">
      <c r="A1936">
        <v>1935</v>
      </c>
      <c r="B1936" t="s">
        <v>20</v>
      </c>
      <c r="C1936" t="s">
        <v>20</v>
      </c>
      <c r="D1936" t="s">
        <v>21</v>
      </c>
      <c r="E1936">
        <v>6130</v>
      </c>
      <c r="F1936">
        <v>111</v>
      </c>
      <c r="G1936">
        <v>-28</v>
      </c>
      <c r="H1936">
        <v>-59</v>
      </c>
      <c r="I1936" t="s">
        <v>20</v>
      </c>
      <c r="J1936">
        <v>0</v>
      </c>
      <c r="K1936">
        <v>0</v>
      </c>
      <c r="L1936">
        <v>0</v>
      </c>
      <c r="M1936">
        <v>0</v>
      </c>
      <c r="N1936">
        <v>0</v>
      </c>
      <c r="O1936">
        <v>0</v>
      </c>
      <c r="P1936">
        <v>0</v>
      </c>
      <c r="Q1936">
        <v>0</v>
      </c>
      <c r="R1936">
        <v>0</v>
      </c>
      <c r="S1936">
        <v>0</v>
      </c>
      <c r="T1936">
        <v>0</v>
      </c>
      <c r="U1936" t="str">
        <f>IF(SeismicData[[#This Row],[class]]=1,"Dangerous","Safe")</f>
        <v>Safe</v>
      </c>
      <c r="V1936" t="str">
        <f>IF(SeismicData[[#This Row],[shift]]="W","Production","Non-Production")</f>
        <v>Non-Production</v>
      </c>
      <c r="W1936" t="str">
        <f>IF(SeismicData[[#This Row],[genergy]]=0,"0","10^"&amp;INT(LOG10(SeismicData[[#This Row],[genergy]])))</f>
        <v>10^3</v>
      </c>
      <c r="X1936" t="str">
        <f>IF(OR(SeismicData[[#This Row],[genergy]]&lt;$AA$6,SeismicData[[#This Row],[genergy]]&gt;$AA$5),"Outlier","Normal")</f>
        <v>Normal</v>
      </c>
    </row>
    <row r="1937" spans="1:24" x14ac:dyDescent="0.15">
      <c r="A1937">
        <v>1936</v>
      </c>
      <c r="B1937" t="s">
        <v>20</v>
      </c>
      <c r="C1937" t="s">
        <v>20</v>
      </c>
      <c r="D1937" t="s">
        <v>21</v>
      </c>
      <c r="E1937">
        <v>3470</v>
      </c>
      <c r="F1937">
        <v>84</v>
      </c>
      <c r="G1937">
        <v>-59</v>
      </c>
      <c r="H1937">
        <v>-69</v>
      </c>
      <c r="I1937" t="s">
        <v>20</v>
      </c>
      <c r="J1937">
        <v>0</v>
      </c>
      <c r="K1937">
        <v>0</v>
      </c>
      <c r="L1937">
        <v>0</v>
      </c>
      <c r="M1937">
        <v>0</v>
      </c>
      <c r="N1937">
        <v>0</v>
      </c>
      <c r="O1937">
        <v>0</v>
      </c>
      <c r="P1937">
        <v>0</v>
      </c>
      <c r="Q1937">
        <v>0</v>
      </c>
      <c r="R1937">
        <v>0</v>
      </c>
      <c r="S1937">
        <v>0</v>
      </c>
      <c r="T1937">
        <v>0</v>
      </c>
      <c r="U1937" t="str">
        <f>IF(SeismicData[[#This Row],[class]]=1,"Dangerous","Safe")</f>
        <v>Safe</v>
      </c>
      <c r="V1937" t="str">
        <f>IF(SeismicData[[#This Row],[shift]]="W","Production","Non-Production")</f>
        <v>Non-Production</v>
      </c>
      <c r="W1937" t="str">
        <f>IF(SeismicData[[#This Row],[genergy]]=0,"0","10^"&amp;INT(LOG10(SeismicData[[#This Row],[genergy]])))</f>
        <v>10^3</v>
      </c>
      <c r="X1937" t="str">
        <f>IF(OR(SeismicData[[#This Row],[genergy]]&lt;$AA$6,SeismicData[[#This Row],[genergy]]&gt;$AA$5),"Outlier","Normal")</f>
        <v>Normal</v>
      </c>
    </row>
    <row r="1938" spans="1:24" x14ac:dyDescent="0.15">
      <c r="A1938">
        <v>1937</v>
      </c>
      <c r="B1938" t="s">
        <v>20</v>
      </c>
      <c r="C1938" t="s">
        <v>20</v>
      </c>
      <c r="D1938" t="s">
        <v>21</v>
      </c>
      <c r="E1938">
        <v>9680</v>
      </c>
      <c r="F1938">
        <v>139</v>
      </c>
      <c r="G1938">
        <v>14</v>
      </c>
      <c r="H1938">
        <v>-48</v>
      </c>
      <c r="I1938" t="s">
        <v>20</v>
      </c>
      <c r="J1938">
        <v>1</v>
      </c>
      <c r="K1938">
        <v>1</v>
      </c>
      <c r="L1938">
        <v>0</v>
      </c>
      <c r="M1938">
        <v>0</v>
      </c>
      <c r="N1938">
        <v>0</v>
      </c>
      <c r="O1938">
        <v>0</v>
      </c>
      <c r="P1938">
        <v>0</v>
      </c>
      <c r="Q1938">
        <v>0</v>
      </c>
      <c r="R1938">
        <v>700</v>
      </c>
      <c r="S1938">
        <v>700</v>
      </c>
      <c r="T1938">
        <v>0</v>
      </c>
      <c r="U1938" t="str">
        <f>IF(SeismicData[[#This Row],[class]]=1,"Dangerous","Safe")</f>
        <v>Safe</v>
      </c>
      <c r="V1938" t="str">
        <f>IF(SeismicData[[#This Row],[shift]]="W","Production","Non-Production")</f>
        <v>Non-Production</v>
      </c>
      <c r="W1938" t="str">
        <f>IF(SeismicData[[#This Row],[genergy]]=0,"0","10^"&amp;INT(LOG10(SeismicData[[#This Row],[genergy]])))</f>
        <v>10^3</v>
      </c>
      <c r="X1938" t="str">
        <f>IF(OR(SeismicData[[#This Row],[genergy]]&lt;$AA$6,SeismicData[[#This Row],[genergy]]&gt;$AA$5),"Outlier","Normal")</f>
        <v>Normal</v>
      </c>
    </row>
    <row r="1939" spans="1:24" x14ac:dyDescent="0.15">
      <c r="A1939">
        <v>1938</v>
      </c>
      <c r="B1939" t="s">
        <v>20</v>
      </c>
      <c r="C1939" t="s">
        <v>20</v>
      </c>
      <c r="D1939" t="s">
        <v>21</v>
      </c>
      <c r="E1939">
        <v>8680</v>
      </c>
      <c r="F1939">
        <v>188</v>
      </c>
      <c r="G1939">
        <v>31</v>
      </c>
      <c r="H1939">
        <v>7</v>
      </c>
      <c r="I1939" t="s">
        <v>20</v>
      </c>
      <c r="J1939">
        <v>0</v>
      </c>
      <c r="K1939">
        <v>0</v>
      </c>
      <c r="L1939">
        <v>0</v>
      </c>
      <c r="M1939">
        <v>0</v>
      </c>
      <c r="N1939">
        <v>0</v>
      </c>
      <c r="O1939">
        <v>0</v>
      </c>
      <c r="P1939">
        <v>0</v>
      </c>
      <c r="Q1939">
        <v>0</v>
      </c>
      <c r="R1939">
        <v>0</v>
      </c>
      <c r="S1939">
        <v>0</v>
      </c>
      <c r="T1939">
        <v>0</v>
      </c>
      <c r="U1939" t="str">
        <f>IF(SeismicData[[#This Row],[class]]=1,"Dangerous","Safe")</f>
        <v>Safe</v>
      </c>
      <c r="V1939" t="str">
        <f>IF(SeismicData[[#This Row],[shift]]="W","Production","Non-Production")</f>
        <v>Non-Production</v>
      </c>
      <c r="W1939" t="str">
        <f>IF(SeismicData[[#This Row],[genergy]]=0,"0","10^"&amp;INT(LOG10(SeismicData[[#This Row],[genergy]])))</f>
        <v>10^3</v>
      </c>
      <c r="X1939" t="str">
        <f>IF(OR(SeismicData[[#This Row],[genergy]]&lt;$AA$6,SeismicData[[#This Row],[genergy]]&gt;$AA$5),"Outlier","Normal")</f>
        <v>Normal</v>
      </c>
    </row>
    <row r="1940" spans="1:24" x14ac:dyDescent="0.15">
      <c r="A1940">
        <v>1939</v>
      </c>
      <c r="B1940" t="s">
        <v>20</v>
      </c>
      <c r="C1940" t="s">
        <v>20</v>
      </c>
      <c r="D1940" t="s">
        <v>21</v>
      </c>
      <c r="E1940">
        <v>2440</v>
      </c>
      <c r="F1940">
        <v>104</v>
      </c>
      <c r="G1940">
        <v>-71</v>
      </c>
      <c r="H1940">
        <v>-61</v>
      </c>
      <c r="I1940" t="s">
        <v>20</v>
      </c>
      <c r="J1940">
        <v>0</v>
      </c>
      <c r="K1940">
        <v>0</v>
      </c>
      <c r="L1940">
        <v>0</v>
      </c>
      <c r="M1940">
        <v>0</v>
      </c>
      <c r="N1940">
        <v>0</v>
      </c>
      <c r="O1940">
        <v>0</v>
      </c>
      <c r="P1940">
        <v>0</v>
      </c>
      <c r="Q1940">
        <v>0</v>
      </c>
      <c r="R1940">
        <v>0</v>
      </c>
      <c r="S1940">
        <v>0</v>
      </c>
      <c r="T1940">
        <v>0</v>
      </c>
      <c r="U1940" t="str">
        <f>IF(SeismicData[[#This Row],[class]]=1,"Dangerous","Safe")</f>
        <v>Safe</v>
      </c>
      <c r="V1940" t="str">
        <f>IF(SeismicData[[#This Row],[shift]]="W","Production","Non-Production")</f>
        <v>Non-Production</v>
      </c>
      <c r="W1940" t="str">
        <f>IF(SeismicData[[#This Row],[genergy]]=0,"0","10^"&amp;INT(LOG10(SeismicData[[#This Row],[genergy]])))</f>
        <v>10^3</v>
      </c>
      <c r="X1940" t="str">
        <f>IF(OR(SeismicData[[#This Row],[genergy]]&lt;$AA$6,SeismicData[[#This Row],[genergy]]&gt;$AA$5),"Outlier","Normal")</f>
        <v>Normal</v>
      </c>
    </row>
    <row r="1941" spans="1:24" x14ac:dyDescent="0.15">
      <c r="A1941">
        <v>1940</v>
      </c>
      <c r="B1941" t="s">
        <v>20</v>
      </c>
      <c r="C1941" t="s">
        <v>20</v>
      </c>
      <c r="D1941" t="s">
        <v>21</v>
      </c>
      <c r="E1941">
        <v>1350</v>
      </c>
      <c r="F1941">
        <v>112</v>
      </c>
      <c r="G1941">
        <v>-80</v>
      </c>
      <c r="H1941">
        <v>-36</v>
      </c>
      <c r="I1941" t="s">
        <v>20</v>
      </c>
      <c r="J1941">
        <v>0</v>
      </c>
      <c r="K1941">
        <v>0</v>
      </c>
      <c r="L1941">
        <v>0</v>
      </c>
      <c r="M1941">
        <v>0</v>
      </c>
      <c r="N1941">
        <v>0</v>
      </c>
      <c r="O1941">
        <v>0</v>
      </c>
      <c r="P1941">
        <v>0</v>
      </c>
      <c r="Q1941">
        <v>0</v>
      </c>
      <c r="R1941">
        <v>0</v>
      </c>
      <c r="S1941">
        <v>0</v>
      </c>
      <c r="T1941">
        <v>0</v>
      </c>
      <c r="U1941" t="str">
        <f>IF(SeismicData[[#This Row],[class]]=1,"Dangerous","Safe")</f>
        <v>Safe</v>
      </c>
      <c r="V1941" t="str">
        <f>IF(SeismicData[[#This Row],[shift]]="W","Production","Non-Production")</f>
        <v>Non-Production</v>
      </c>
      <c r="W1941" t="str">
        <f>IF(SeismicData[[#This Row],[genergy]]=0,"0","10^"&amp;INT(LOG10(SeismicData[[#This Row],[genergy]])))</f>
        <v>10^3</v>
      </c>
      <c r="X1941" t="str">
        <f>IF(OR(SeismicData[[#This Row],[genergy]]&lt;$AA$6,SeismicData[[#This Row],[genergy]]&gt;$AA$5),"Outlier","Normal")</f>
        <v>Normal</v>
      </c>
    </row>
    <row r="1942" spans="1:24" x14ac:dyDescent="0.15">
      <c r="A1942">
        <v>1941</v>
      </c>
      <c r="B1942" t="s">
        <v>20</v>
      </c>
      <c r="C1942" t="s">
        <v>20</v>
      </c>
      <c r="D1942" t="s">
        <v>21</v>
      </c>
      <c r="E1942">
        <v>5440</v>
      </c>
      <c r="F1942">
        <v>126</v>
      </c>
      <c r="G1942">
        <v>-18</v>
      </c>
      <c r="H1942">
        <v>-28</v>
      </c>
      <c r="I1942" t="s">
        <v>20</v>
      </c>
      <c r="J1942">
        <v>1</v>
      </c>
      <c r="K1942">
        <v>1</v>
      </c>
      <c r="L1942">
        <v>0</v>
      </c>
      <c r="M1942">
        <v>0</v>
      </c>
      <c r="N1942">
        <v>0</v>
      </c>
      <c r="O1942">
        <v>0</v>
      </c>
      <c r="P1942">
        <v>0</v>
      </c>
      <c r="Q1942">
        <v>0</v>
      </c>
      <c r="R1942">
        <v>300</v>
      </c>
      <c r="S1942">
        <v>300</v>
      </c>
      <c r="T1942">
        <v>0</v>
      </c>
      <c r="U1942" t="str">
        <f>IF(SeismicData[[#This Row],[class]]=1,"Dangerous","Safe")</f>
        <v>Safe</v>
      </c>
      <c r="V1942" t="str">
        <f>IF(SeismicData[[#This Row],[shift]]="W","Production","Non-Production")</f>
        <v>Non-Production</v>
      </c>
      <c r="W1942" t="str">
        <f>IF(SeismicData[[#This Row],[genergy]]=0,"0","10^"&amp;INT(LOG10(SeismicData[[#This Row],[genergy]])))</f>
        <v>10^3</v>
      </c>
      <c r="X1942" t="str">
        <f>IF(OR(SeismicData[[#This Row],[genergy]]&lt;$AA$6,SeismicData[[#This Row],[genergy]]&gt;$AA$5),"Outlier","Normal")</f>
        <v>Normal</v>
      </c>
    </row>
    <row r="1943" spans="1:24" x14ac:dyDescent="0.15">
      <c r="A1943">
        <v>1942</v>
      </c>
      <c r="B1943" t="s">
        <v>20</v>
      </c>
      <c r="C1943" t="s">
        <v>20</v>
      </c>
      <c r="D1943" t="s">
        <v>21</v>
      </c>
      <c r="E1943">
        <v>9990</v>
      </c>
      <c r="F1943">
        <v>118</v>
      </c>
      <c r="G1943">
        <v>17</v>
      </c>
      <c r="H1943">
        <v>-56</v>
      </c>
      <c r="I1943" t="s">
        <v>20</v>
      </c>
      <c r="J1943">
        <v>1</v>
      </c>
      <c r="K1943">
        <v>0</v>
      </c>
      <c r="L1943">
        <v>1</v>
      </c>
      <c r="M1943">
        <v>0</v>
      </c>
      <c r="N1943">
        <v>0</v>
      </c>
      <c r="O1943">
        <v>0</v>
      </c>
      <c r="P1943">
        <v>0</v>
      </c>
      <c r="Q1943">
        <v>0</v>
      </c>
      <c r="R1943">
        <v>1000</v>
      </c>
      <c r="S1943">
        <v>1000</v>
      </c>
      <c r="T1943">
        <v>0</v>
      </c>
      <c r="U1943" t="str">
        <f>IF(SeismicData[[#This Row],[class]]=1,"Dangerous","Safe")</f>
        <v>Safe</v>
      </c>
      <c r="V1943" t="str">
        <f>IF(SeismicData[[#This Row],[shift]]="W","Production","Non-Production")</f>
        <v>Non-Production</v>
      </c>
      <c r="W1943" t="str">
        <f>IF(SeismicData[[#This Row],[genergy]]=0,"0","10^"&amp;INT(LOG10(SeismicData[[#This Row],[genergy]])))</f>
        <v>10^3</v>
      </c>
      <c r="X1943" t="str">
        <f>IF(OR(SeismicData[[#This Row],[genergy]]&lt;$AA$6,SeismicData[[#This Row],[genergy]]&gt;$AA$5),"Outlier","Normal")</f>
        <v>Normal</v>
      </c>
    </row>
    <row r="1944" spans="1:24" x14ac:dyDescent="0.15">
      <c r="A1944">
        <v>1943</v>
      </c>
      <c r="B1944" t="s">
        <v>20</v>
      </c>
      <c r="C1944" t="s">
        <v>20</v>
      </c>
      <c r="D1944" t="s">
        <v>21</v>
      </c>
      <c r="E1944">
        <v>2960</v>
      </c>
      <c r="F1944">
        <v>108</v>
      </c>
      <c r="G1944">
        <v>-76</v>
      </c>
      <c r="H1944">
        <v>-57</v>
      </c>
      <c r="I1944" t="s">
        <v>20</v>
      </c>
      <c r="J1944">
        <v>0</v>
      </c>
      <c r="K1944">
        <v>0</v>
      </c>
      <c r="L1944">
        <v>0</v>
      </c>
      <c r="M1944">
        <v>0</v>
      </c>
      <c r="N1944">
        <v>0</v>
      </c>
      <c r="O1944">
        <v>0</v>
      </c>
      <c r="P1944">
        <v>0</v>
      </c>
      <c r="Q1944">
        <v>0</v>
      </c>
      <c r="R1944">
        <v>0</v>
      </c>
      <c r="S1944">
        <v>0</v>
      </c>
      <c r="T1944">
        <v>0</v>
      </c>
      <c r="U1944" t="str">
        <f>IF(SeismicData[[#This Row],[class]]=1,"Dangerous","Safe")</f>
        <v>Safe</v>
      </c>
      <c r="V1944" t="str">
        <f>IF(SeismicData[[#This Row],[shift]]="W","Production","Non-Production")</f>
        <v>Non-Production</v>
      </c>
      <c r="W1944" t="str">
        <f>IF(SeismicData[[#This Row],[genergy]]=0,"0","10^"&amp;INT(LOG10(SeismicData[[#This Row],[genergy]])))</f>
        <v>10^3</v>
      </c>
      <c r="X1944" t="str">
        <f>IF(OR(SeismicData[[#This Row],[genergy]]&lt;$AA$6,SeismicData[[#This Row],[genergy]]&gt;$AA$5),"Outlier","Normal")</f>
        <v>Normal</v>
      </c>
    </row>
    <row r="1945" spans="1:24" x14ac:dyDescent="0.15">
      <c r="A1945">
        <v>1944</v>
      </c>
      <c r="B1945" t="s">
        <v>20</v>
      </c>
      <c r="C1945" t="s">
        <v>20</v>
      </c>
      <c r="D1945" t="s">
        <v>21</v>
      </c>
      <c r="E1945">
        <v>7020</v>
      </c>
      <c r="F1945">
        <v>98</v>
      </c>
      <c r="G1945">
        <v>-44</v>
      </c>
      <c r="H1945">
        <v>-61</v>
      </c>
      <c r="I1945" t="s">
        <v>20</v>
      </c>
      <c r="J1945">
        <v>0</v>
      </c>
      <c r="K1945">
        <v>0</v>
      </c>
      <c r="L1945">
        <v>0</v>
      </c>
      <c r="M1945">
        <v>0</v>
      </c>
      <c r="N1945">
        <v>0</v>
      </c>
      <c r="O1945">
        <v>0</v>
      </c>
      <c r="P1945">
        <v>0</v>
      </c>
      <c r="Q1945">
        <v>0</v>
      </c>
      <c r="R1945">
        <v>0</v>
      </c>
      <c r="S1945">
        <v>0</v>
      </c>
      <c r="T1945">
        <v>0</v>
      </c>
      <c r="U1945" t="str">
        <f>IF(SeismicData[[#This Row],[class]]=1,"Dangerous","Safe")</f>
        <v>Safe</v>
      </c>
      <c r="V1945" t="str">
        <f>IF(SeismicData[[#This Row],[shift]]="W","Production","Non-Production")</f>
        <v>Non-Production</v>
      </c>
      <c r="W1945" t="str">
        <f>IF(SeismicData[[#This Row],[genergy]]=0,"0","10^"&amp;INT(LOG10(SeismicData[[#This Row],[genergy]])))</f>
        <v>10^3</v>
      </c>
      <c r="X1945" t="str">
        <f>IF(OR(SeismicData[[#This Row],[genergy]]&lt;$AA$6,SeismicData[[#This Row],[genergy]]&gt;$AA$5),"Outlier","Normal")</f>
        <v>Normal</v>
      </c>
    </row>
    <row r="1946" spans="1:24" x14ac:dyDescent="0.15">
      <c r="A1946">
        <v>1945</v>
      </c>
      <c r="B1946" t="s">
        <v>20</v>
      </c>
      <c r="C1946" t="s">
        <v>20</v>
      </c>
      <c r="D1946" t="s">
        <v>21</v>
      </c>
      <c r="E1946">
        <v>6130</v>
      </c>
      <c r="F1946">
        <v>129</v>
      </c>
      <c r="G1946">
        <v>-27</v>
      </c>
      <c r="H1946">
        <v>-50</v>
      </c>
      <c r="I1946" t="s">
        <v>20</v>
      </c>
      <c r="J1946">
        <v>0</v>
      </c>
      <c r="K1946">
        <v>0</v>
      </c>
      <c r="L1946">
        <v>0</v>
      </c>
      <c r="M1946">
        <v>0</v>
      </c>
      <c r="N1946">
        <v>0</v>
      </c>
      <c r="O1946">
        <v>0</v>
      </c>
      <c r="P1946">
        <v>0</v>
      </c>
      <c r="Q1946">
        <v>0</v>
      </c>
      <c r="R1946">
        <v>0</v>
      </c>
      <c r="S1946">
        <v>0</v>
      </c>
      <c r="T1946">
        <v>0</v>
      </c>
      <c r="U1946" t="str">
        <f>IF(SeismicData[[#This Row],[class]]=1,"Dangerous","Safe")</f>
        <v>Safe</v>
      </c>
      <c r="V1946" t="str">
        <f>IF(SeismicData[[#This Row],[shift]]="W","Production","Non-Production")</f>
        <v>Non-Production</v>
      </c>
      <c r="W1946" t="str">
        <f>IF(SeismicData[[#This Row],[genergy]]=0,"0","10^"&amp;INT(LOG10(SeismicData[[#This Row],[genergy]])))</f>
        <v>10^3</v>
      </c>
      <c r="X1946" t="str">
        <f>IF(OR(SeismicData[[#This Row],[genergy]]&lt;$AA$6,SeismicData[[#This Row],[genergy]]&gt;$AA$5),"Outlier","Normal")</f>
        <v>Normal</v>
      </c>
    </row>
    <row r="1947" spans="1:24" x14ac:dyDescent="0.15">
      <c r="A1947">
        <v>1946</v>
      </c>
      <c r="B1947" t="s">
        <v>20</v>
      </c>
      <c r="C1947" t="s">
        <v>20</v>
      </c>
      <c r="D1947" t="s">
        <v>22</v>
      </c>
      <c r="E1947">
        <v>7320</v>
      </c>
      <c r="F1947">
        <v>177</v>
      </c>
      <c r="G1947">
        <v>-71</v>
      </c>
      <c r="H1947">
        <v>-65</v>
      </c>
      <c r="I1947" t="s">
        <v>20</v>
      </c>
      <c r="J1947">
        <v>0</v>
      </c>
      <c r="K1947">
        <v>0</v>
      </c>
      <c r="L1947">
        <v>0</v>
      </c>
      <c r="M1947">
        <v>0</v>
      </c>
      <c r="N1947">
        <v>0</v>
      </c>
      <c r="O1947">
        <v>0</v>
      </c>
      <c r="P1947">
        <v>0</v>
      </c>
      <c r="Q1947">
        <v>0</v>
      </c>
      <c r="R1947">
        <v>0</v>
      </c>
      <c r="S1947">
        <v>0</v>
      </c>
      <c r="T1947">
        <v>0</v>
      </c>
      <c r="U1947" t="str">
        <f>IF(SeismicData[[#This Row],[class]]=1,"Dangerous","Safe")</f>
        <v>Safe</v>
      </c>
      <c r="V1947" t="str">
        <f>IF(SeismicData[[#This Row],[shift]]="W","Production","Non-Production")</f>
        <v>Production</v>
      </c>
      <c r="W1947" t="str">
        <f>IF(SeismicData[[#This Row],[genergy]]=0,"0","10^"&amp;INT(LOG10(SeismicData[[#This Row],[genergy]])))</f>
        <v>10^3</v>
      </c>
      <c r="X1947" t="str">
        <f>IF(OR(SeismicData[[#This Row],[genergy]]&lt;$AA$6,SeismicData[[#This Row],[genergy]]&gt;$AA$5),"Outlier","Normal")</f>
        <v>Normal</v>
      </c>
    </row>
    <row r="1948" spans="1:24" x14ac:dyDescent="0.15">
      <c r="A1948">
        <v>1947</v>
      </c>
      <c r="B1948" t="s">
        <v>20</v>
      </c>
      <c r="C1948" t="s">
        <v>20</v>
      </c>
      <c r="D1948" t="s">
        <v>22</v>
      </c>
      <c r="E1948">
        <v>5710</v>
      </c>
      <c r="F1948">
        <v>195</v>
      </c>
      <c r="G1948">
        <v>-77</v>
      </c>
      <c r="H1948">
        <v>-61</v>
      </c>
      <c r="I1948" t="s">
        <v>20</v>
      </c>
      <c r="J1948">
        <v>0</v>
      </c>
      <c r="K1948">
        <v>0</v>
      </c>
      <c r="L1948">
        <v>0</v>
      </c>
      <c r="M1948">
        <v>0</v>
      </c>
      <c r="N1948">
        <v>0</v>
      </c>
      <c r="O1948">
        <v>0</v>
      </c>
      <c r="P1948">
        <v>0</v>
      </c>
      <c r="Q1948">
        <v>0</v>
      </c>
      <c r="R1948">
        <v>0</v>
      </c>
      <c r="S1948">
        <v>0</v>
      </c>
      <c r="T1948">
        <v>0</v>
      </c>
      <c r="U1948" t="str">
        <f>IF(SeismicData[[#This Row],[class]]=1,"Dangerous","Safe")</f>
        <v>Safe</v>
      </c>
      <c r="V1948" t="str">
        <f>IF(SeismicData[[#This Row],[shift]]="W","Production","Non-Production")</f>
        <v>Production</v>
      </c>
      <c r="W1948" t="str">
        <f>IF(SeismicData[[#This Row],[genergy]]=0,"0","10^"&amp;INT(LOG10(SeismicData[[#This Row],[genergy]])))</f>
        <v>10^3</v>
      </c>
      <c r="X1948" t="str">
        <f>IF(OR(SeismicData[[#This Row],[genergy]]&lt;$AA$6,SeismicData[[#This Row],[genergy]]&gt;$AA$5),"Outlier","Normal")</f>
        <v>Normal</v>
      </c>
    </row>
    <row r="1949" spans="1:24" x14ac:dyDescent="0.15">
      <c r="A1949">
        <v>1948</v>
      </c>
      <c r="B1949" t="s">
        <v>20</v>
      </c>
      <c r="C1949" t="s">
        <v>20</v>
      </c>
      <c r="D1949" t="s">
        <v>22</v>
      </c>
      <c r="E1949">
        <v>7430</v>
      </c>
      <c r="F1949">
        <v>196</v>
      </c>
      <c r="G1949">
        <v>-70</v>
      </c>
      <c r="H1949">
        <v>-61</v>
      </c>
      <c r="I1949" t="s">
        <v>20</v>
      </c>
      <c r="J1949">
        <v>0</v>
      </c>
      <c r="K1949">
        <v>0</v>
      </c>
      <c r="L1949">
        <v>0</v>
      </c>
      <c r="M1949">
        <v>0</v>
      </c>
      <c r="N1949">
        <v>0</v>
      </c>
      <c r="O1949">
        <v>0</v>
      </c>
      <c r="P1949">
        <v>0</v>
      </c>
      <c r="Q1949">
        <v>0</v>
      </c>
      <c r="R1949">
        <v>0</v>
      </c>
      <c r="S1949">
        <v>0</v>
      </c>
      <c r="T1949">
        <v>0</v>
      </c>
      <c r="U1949" t="str">
        <f>IF(SeismicData[[#This Row],[class]]=1,"Dangerous","Safe")</f>
        <v>Safe</v>
      </c>
      <c r="V1949" t="str">
        <f>IF(SeismicData[[#This Row],[shift]]="W","Production","Non-Production")</f>
        <v>Production</v>
      </c>
      <c r="W1949" t="str">
        <f>IF(SeismicData[[#This Row],[genergy]]=0,"0","10^"&amp;INT(LOG10(SeismicData[[#This Row],[genergy]])))</f>
        <v>10^3</v>
      </c>
      <c r="X1949" t="str">
        <f>IF(OR(SeismicData[[#This Row],[genergy]]&lt;$AA$6,SeismicData[[#This Row],[genergy]]&gt;$AA$5),"Outlier","Normal")</f>
        <v>Normal</v>
      </c>
    </row>
    <row r="1950" spans="1:24" x14ac:dyDescent="0.15">
      <c r="A1950">
        <v>1949</v>
      </c>
      <c r="B1950" t="s">
        <v>20</v>
      </c>
      <c r="C1950" t="s">
        <v>20</v>
      </c>
      <c r="D1950" t="s">
        <v>22</v>
      </c>
      <c r="E1950">
        <v>22220</v>
      </c>
      <c r="F1950">
        <v>415</v>
      </c>
      <c r="G1950">
        <v>-5</v>
      </c>
      <c r="H1950">
        <v>-11</v>
      </c>
      <c r="I1950" t="s">
        <v>20</v>
      </c>
      <c r="J1950">
        <v>1</v>
      </c>
      <c r="K1950">
        <v>0</v>
      </c>
      <c r="L1950">
        <v>1</v>
      </c>
      <c r="M1950">
        <v>0</v>
      </c>
      <c r="N1950">
        <v>0</v>
      </c>
      <c r="O1950">
        <v>0</v>
      </c>
      <c r="P1950">
        <v>0</v>
      </c>
      <c r="Q1950">
        <v>0</v>
      </c>
      <c r="R1950">
        <v>7000</v>
      </c>
      <c r="S1950">
        <v>7000</v>
      </c>
      <c r="T1950">
        <v>0</v>
      </c>
      <c r="U1950" t="str">
        <f>IF(SeismicData[[#This Row],[class]]=1,"Dangerous","Safe")</f>
        <v>Safe</v>
      </c>
      <c r="V1950" t="str">
        <f>IF(SeismicData[[#This Row],[shift]]="W","Production","Non-Production")</f>
        <v>Production</v>
      </c>
      <c r="W1950" t="str">
        <f>IF(SeismicData[[#This Row],[genergy]]=0,"0","10^"&amp;INT(LOG10(SeismicData[[#This Row],[genergy]])))</f>
        <v>10^4</v>
      </c>
      <c r="X1950" t="str">
        <f>IF(OR(SeismicData[[#This Row],[genergy]]&lt;$AA$6,SeismicData[[#This Row],[genergy]]&gt;$AA$5),"Outlier","Normal")</f>
        <v>Normal</v>
      </c>
    </row>
    <row r="1951" spans="1:24" x14ac:dyDescent="0.15">
      <c r="A1951">
        <v>1950</v>
      </c>
      <c r="B1951" t="s">
        <v>20</v>
      </c>
      <c r="C1951" t="s">
        <v>20</v>
      </c>
      <c r="D1951" t="s">
        <v>22</v>
      </c>
      <c r="E1951">
        <v>26400</v>
      </c>
      <c r="F1951">
        <v>510</v>
      </c>
      <c r="G1951">
        <v>13</v>
      </c>
      <c r="H1951">
        <v>9</v>
      </c>
      <c r="I1951" t="s">
        <v>20</v>
      </c>
      <c r="J1951">
        <v>0</v>
      </c>
      <c r="K1951">
        <v>0</v>
      </c>
      <c r="L1951">
        <v>0</v>
      </c>
      <c r="M1951">
        <v>0</v>
      </c>
      <c r="N1951">
        <v>0</v>
      </c>
      <c r="O1951">
        <v>0</v>
      </c>
      <c r="P1951">
        <v>0</v>
      </c>
      <c r="Q1951">
        <v>0</v>
      </c>
      <c r="R1951">
        <v>0</v>
      </c>
      <c r="S1951">
        <v>0</v>
      </c>
      <c r="T1951">
        <v>0</v>
      </c>
      <c r="U1951" t="str">
        <f>IF(SeismicData[[#This Row],[class]]=1,"Dangerous","Safe")</f>
        <v>Safe</v>
      </c>
      <c r="V1951" t="str">
        <f>IF(SeismicData[[#This Row],[shift]]="W","Production","Non-Production")</f>
        <v>Production</v>
      </c>
      <c r="W1951" t="str">
        <f>IF(SeismicData[[#This Row],[genergy]]=0,"0","10^"&amp;INT(LOG10(SeismicData[[#This Row],[genergy]])))</f>
        <v>10^4</v>
      </c>
      <c r="X1951" t="str">
        <f>IF(OR(SeismicData[[#This Row],[genergy]]&lt;$AA$6,SeismicData[[#This Row],[genergy]]&gt;$AA$5),"Outlier","Normal")</f>
        <v>Normal</v>
      </c>
    </row>
    <row r="1952" spans="1:24" x14ac:dyDescent="0.15">
      <c r="A1952">
        <v>1951</v>
      </c>
      <c r="B1952" t="s">
        <v>20</v>
      </c>
      <c r="C1952" t="s">
        <v>20</v>
      </c>
      <c r="D1952" t="s">
        <v>22</v>
      </c>
      <c r="E1952">
        <v>11610</v>
      </c>
      <c r="F1952">
        <v>315</v>
      </c>
      <c r="G1952">
        <v>-21</v>
      </c>
      <c r="H1952">
        <v>3</v>
      </c>
      <c r="I1952" t="s">
        <v>20</v>
      </c>
      <c r="J1952">
        <v>0</v>
      </c>
      <c r="K1952">
        <v>0</v>
      </c>
      <c r="L1952">
        <v>0</v>
      </c>
      <c r="M1952">
        <v>0</v>
      </c>
      <c r="N1952">
        <v>0</v>
      </c>
      <c r="O1952">
        <v>0</v>
      </c>
      <c r="P1952">
        <v>0</v>
      </c>
      <c r="Q1952">
        <v>0</v>
      </c>
      <c r="R1952">
        <v>0</v>
      </c>
      <c r="S1952">
        <v>0</v>
      </c>
      <c r="T1952">
        <v>0</v>
      </c>
      <c r="U1952" t="str">
        <f>IF(SeismicData[[#This Row],[class]]=1,"Dangerous","Safe")</f>
        <v>Safe</v>
      </c>
      <c r="V1952" t="str">
        <f>IF(SeismicData[[#This Row],[shift]]="W","Production","Non-Production")</f>
        <v>Production</v>
      </c>
      <c r="W1952" t="str">
        <f>IF(SeismicData[[#This Row],[genergy]]=0,"0","10^"&amp;INT(LOG10(SeismicData[[#This Row],[genergy]])))</f>
        <v>10^4</v>
      </c>
      <c r="X1952" t="str">
        <f>IF(OR(SeismicData[[#This Row],[genergy]]&lt;$AA$6,SeismicData[[#This Row],[genergy]]&gt;$AA$5),"Outlier","Normal")</f>
        <v>Normal</v>
      </c>
    </row>
    <row r="1953" spans="1:24" x14ac:dyDescent="0.15">
      <c r="A1953">
        <v>1952</v>
      </c>
      <c r="B1953" t="s">
        <v>20</v>
      </c>
      <c r="C1953" t="s">
        <v>20</v>
      </c>
      <c r="D1953" t="s">
        <v>22</v>
      </c>
      <c r="E1953">
        <v>14580</v>
      </c>
      <c r="F1953">
        <v>308</v>
      </c>
      <c r="G1953">
        <v>-42</v>
      </c>
      <c r="H1953">
        <v>-38</v>
      </c>
      <c r="I1953" t="s">
        <v>20</v>
      </c>
      <c r="J1953">
        <v>0</v>
      </c>
      <c r="K1953">
        <v>0</v>
      </c>
      <c r="L1953">
        <v>0</v>
      </c>
      <c r="M1953">
        <v>0</v>
      </c>
      <c r="N1953">
        <v>0</v>
      </c>
      <c r="O1953">
        <v>0</v>
      </c>
      <c r="P1953">
        <v>0</v>
      </c>
      <c r="Q1953">
        <v>0</v>
      </c>
      <c r="R1953">
        <v>0</v>
      </c>
      <c r="S1953">
        <v>0</v>
      </c>
      <c r="T1953">
        <v>0</v>
      </c>
      <c r="U1953" t="str">
        <f>IF(SeismicData[[#This Row],[class]]=1,"Dangerous","Safe")</f>
        <v>Safe</v>
      </c>
      <c r="V1953" t="str">
        <f>IF(SeismicData[[#This Row],[shift]]="W","Production","Non-Production")</f>
        <v>Production</v>
      </c>
      <c r="W1953" t="str">
        <f>IF(SeismicData[[#This Row],[genergy]]=0,"0","10^"&amp;INT(LOG10(SeismicData[[#This Row],[genergy]])))</f>
        <v>10^4</v>
      </c>
      <c r="X1953" t="str">
        <f>IF(OR(SeismicData[[#This Row],[genergy]]&lt;$AA$6,SeismicData[[#This Row],[genergy]]&gt;$AA$5),"Outlier","Normal")</f>
        <v>Normal</v>
      </c>
    </row>
    <row r="1954" spans="1:24" x14ac:dyDescent="0.15">
      <c r="A1954">
        <v>1953</v>
      </c>
      <c r="B1954" t="s">
        <v>20</v>
      </c>
      <c r="C1954" t="s">
        <v>20</v>
      </c>
      <c r="D1954" t="s">
        <v>22</v>
      </c>
      <c r="E1954">
        <v>20760</v>
      </c>
      <c r="F1954">
        <v>324</v>
      </c>
      <c r="G1954">
        <v>41</v>
      </c>
      <c r="H1954">
        <v>6</v>
      </c>
      <c r="I1954" t="s">
        <v>20</v>
      </c>
      <c r="J1954">
        <v>1</v>
      </c>
      <c r="K1954">
        <v>1</v>
      </c>
      <c r="L1954">
        <v>0</v>
      </c>
      <c r="M1954">
        <v>0</v>
      </c>
      <c r="N1954">
        <v>0</v>
      </c>
      <c r="O1954">
        <v>0</v>
      </c>
      <c r="P1954">
        <v>0</v>
      </c>
      <c r="Q1954">
        <v>0</v>
      </c>
      <c r="R1954">
        <v>400</v>
      </c>
      <c r="S1954">
        <v>400</v>
      </c>
      <c r="T1954">
        <v>1</v>
      </c>
      <c r="U1954" t="str">
        <f>IF(SeismicData[[#This Row],[class]]=1,"Dangerous","Safe")</f>
        <v>Dangerous</v>
      </c>
      <c r="V1954" t="str">
        <f>IF(SeismicData[[#This Row],[shift]]="W","Production","Non-Production")</f>
        <v>Production</v>
      </c>
      <c r="W1954" t="str">
        <f>IF(SeismicData[[#This Row],[genergy]]=0,"0","10^"&amp;INT(LOG10(SeismicData[[#This Row],[genergy]])))</f>
        <v>10^4</v>
      </c>
      <c r="X1954" t="str">
        <f>IF(OR(SeismicData[[#This Row],[genergy]]&lt;$AA$6,SeismicData[[#This Row],[genergy]]&gt;$AA$5),"Outlier","Normal")</f>
        <v>Normal</v>
      </c>
    </row>
    <row r="1955" spans="1:24" x14ac:dyDescent="0.15">
      <c r="A1955">
        <v>1954</v>
      </c>
      <c r="B1955" t="s">
        <v>20</v>
      </c>
      <c r="C1955" t="s">
        <v>20</v>
      </c>
      <c r="D1955" t="s">
        <v>22</v>
      </c>
      <c r="E1955">
        <v>28380</v>
      </c>
      <c r="F1955">
        <v>628</v>
      </c>
      <c r="G1955">
        <v>14</v>
      </c>
      <c r="H1955">
        <v>26</v>
      </c>
      <c r="I1955" t="s">
        <v>20</v>
      </c>
      <c r="J1955">
        <v>1</v>
      </c>
      <c r="K1955">
        <v>0</v>
      </c>
      <c r="L1955">
        <v>0</v>
      </c>
      <c r="M1955">
        <v>1</v>
      </c>
      <c r="N1955">
        <v>0</v>
      </c>
      <c r="O1955">
        <v>0</v>
      </c>
      <c r="P1955">
        <v>0</v>
      </c>
      <c r="Q1955">
        <v>0</v>
      </c>
      <c r="R1955">
        <v>20000</v>
      </c>
      <c r="S1955">
        <v>20000</v>
      </c>
      <c r="T1955">
        <v>0</v>
      </c>
      <c r="U1955" t="str">
        <f>IF(SeismicData[[#This Row],[class]]=1,"Dangerous","Safe")</f>
        <v>Safe</v>
      </c>
      <c r="V1955" t="str">
        <f>IF(SeismicData[[#This Row],[shift]]="W","Production","Non-Production")</f>
        <v>Production</v>
      </c>
      <c r="W1955" t="str">
        <f>IF(SeismicData[[#This Row],[genergy]]=0,"0","10^"&amp;INT(LOG10(SeismicData[[#This Row],[genergy]])))</f>
        <v>10^4</v>
      </c>
      <c r="X1955" t="str">
        <f>IF(OR(SeismicData[[#This Row],[genergy]]&lt;$AA$6,SeismicData[[#This Row],[genergy]]&gt;$AA$5),"Outlier","Normal")</f>
        <v>Normal</v>
      </c>
    </row>
    <row r="1956" spans="1:24" x14ac:dyDescent="0.15">
      <c r="A1956">
        <v>1955</v>
      </c>
      <c r="B1956" t="s">
        <v>20</v>
      </c>
      <c r="C1956" t="s">
        <v>20</v>
      </c>
      <c r="D1956" t="s">
        <v>22</v>
      </c>
      <c r="E1956">
        <v>42140</v>
      </c>
      <c r="F1956">
        <v>525</v>
      </c>
      <c r="G1956">
        <v>187</v>
      </c>
      <c r="H1956">
        <v>72</v>
      </c>
      <c r="I1956" t="s">
        <v>20</v>
      </c>
      <c r="J1956">
        <v>1</v>
      </c>
      <c r="K1956">
        <v>0</v>
      </c>
      <c r="L1956">
        <v>1</v>
      </c>
      <c r="M1956">
        <v>0</v>
      </c>
      <c r="N1956">
        <v>0</v>
      </c>
      <c r="O1956">
        <v>0</v>
      </c>
      <c r="P1956">
        <v>0</v>
      </c>
      <c r="Q1956">
        <v>0</v>
      </c>
      <c r="R1956">
        <v>5000</v>
      </c>
      <c r="S1956">
        <v>5000</v>
      </c>
      <c r="T1956">
        <v>0</v>
      </c>
      <c r="U1956" t="str">
        <f>IF(SeismicData[[#This Row],[class]]=1,"Dangerous","Safe")</f>
        <v>Safe</v>
      </c>
      <c r="V1956" t="str">
        <f>IF(SeismicData[[#This Row],[shift]]="W","Production","Non-Production")</f>
        <v>Production</v>
      </c>
      <c r="W1956" t="str">
        <f>IF(SeismicData[[#This Row],[genergy]]=0,"0","10^"&amp;INT(LOG10(SeismicData[[#This Row],[genergy]])))</f>
        <v>10^4</v>
      </c>
      <c r="X1956" t="str">
        <f>IF(OR(SeismicData[[#This Row],[genergy]]&lt;$AA$6,SeismicData[[#This Row],[genergy]]&gt;$AA$5),"Outlier","Normal")</f>
        <v>Normal</v>
      </c>
    </row>
    <row r="1957" spans="1:24" x14ac:dyDescent="0.15">
      <c r="A1957">
        <v>1956</v>
      </c>
      <c r="B1957" t="s">
        <v>20</v>
      </c>
      <c r="C1957" t="s">
        <v>20</v>
      </c>
      <c r="D1957" t="s">
        <v>22</v>
      </c>
      <c r="E1957">
        <v>20350</v>
      </c>
      <c r="F1957">
        <v>439</v>
      </c>
      <c r="G1957">
        <v>39</v>
      </c>
      <c r="H1957">
        <v>44</v>
      </c>
      <c r="I1957" t="s">
        <v>20</v>
      </c>
      <c r="J1957">
        <v>0</v>
      </c>
      <c r="K1957">
        <v>0</v>
      </c>
      <c r="L1957">
        <v>0</v>
      </c>
      <c r="M1957">
        <v>0</v>
      </c>
      <c r="N1957">
        <v>0</v>
      </c>
      <c r="O1957">
        <v>0</v>
      </c>
      <c r="P1957">
        <v>0</v>
      </c>
      <c r="Q1957">
        <v>0</v>
      </c>
      <c r="R1957">
        <v>0</v>
      </c>
      <c r="S1957">
        <v>0</v>
      </c>
      <c r="T1957">
        <v>0</v>
      </c>
      <c r="U1957" t="str">
        <f>IF(SeismicData[[#This Row],[class]]=1,"Dangerous","Safe")</f>
        <v>Safe</v>
      </c>
      <c r="V1957" t="str">
        <f>IF(SeismicData[[#This Row],[shift]]="W","Production","Non-Production")</f>
        <v>Production</v>
      </c>
      <c r="W1957" t="str">
        <f>IF(SeismicData[[#This Row],[genergy]]=0,"0","10^"&amp;INT(LOG10(SeismicData[[#This Row],[genergy]])))</f>
        <v>10^4</v>
      </c>
      <c r="X1957" t="str">
        <f>IF(OR(SeismicData[[#This Row],[genergy]]&lt;$AA$6,SeismicData[[#This Row],[genergy]]&gt;$AA$5),"Outlier","Normal")</f>
        <v>Normal</v>
      </c>
    </row>
    <row r="1958" spans="1:24" x14ac:dyDescent="0.15">
      <c r="A1958">
        <v>1957</v>
      </c>
      <c r="B1958" t="s">
        <v>20</v>
      </c>
      <c r="C1958" t="s">
        <v>20</v>
      </c>
      <c r="D1958" t="s">
        <v>22</v>
      </c>
      <c r="E1958">
        <v>31810</v>
      </c>
      <c r="F1958">
        <v>514</v>
      </c>
      <c r="G1958">
        <v>27</v>
      </c>
      <c r="H1958">
        <v>3</v>
      </c>
      <c r="I1958" t="s">
        <v>20</v>
      </c>
      <c r="J1958">
        <v>1</v>
      </c>
      <c r="K1958">
        <v>1</v>
      </c>
      <c r="L1958">
        <v>0</v>
      </c>
      <c r="M1958">
        <v>0</v>
      </c>
      <c r="N1958">
        <v>0</v>
      </c>
      <c r="O1958">
        <v>0</v>
      </c>
      <c r="P1958">
        <v>0</v>
      </c>
      <c r="Q1958">
        <v>0</v>
      </c>
      <c r="R1958">
        <v>100</v>
      </c>
      <c r="S1958">
        <v>100</v>
      </c>
      <c r="T1958">
        <v>0</v>
      </c>
      <c r="U1958" t="str">
        <f>IF(SeismicData[[#This Row],[class]]=1,"Dangerous","Safe")</f>
        <v>Safe</v>
      </c>
      <c r="V1958" t="str">
        <f>IF(SeismicData[[#This Row],[shift]]="W","Production","Non-Production")</f>
        <v>Production</v>
      </c>
      <c r="W1958" t="str">
        <f>IF(SeismicData[[#This Row],[genergy]]=0,"0","10^"&amp;INT(LOG10(SeismicData[[#This Row],[genergy]])))</f>
        <v>10^4</v>
      </c>
      <c r="X1958" t="str">
        <f>IF(OR(SeismicData[[#This Row],[genergy]]&lt;$AA$6,SeismicData[[#This Row],[genergy]]&gt;$AA$5),"Outlier","Normal")</f>
        <v>Normal</v>
      </c>
    </row>
    <row r="1959" spans="1:24" x14ac:dyDescent="0.15">
      <c r="A1959">
        <v>1958</v>
      </c>
      <c r="B1959" t="s">
        <v>20</v>
      </c>
      <c r="C1959" t="s">
        <v>20</v>
      </c>
      <c r="D1959" t="s">
        <v>22</v>
      </c>
      <c r="E1959">
        <v>44190</v>
      </c>
      <c r="F1959">
        <v>696</v>
      </c>
      <c r="G1959">
        <v>201</v>
      </c>
      <c r="H1959">
        <v>129</v>
      </c>
      <c r="I1959" t="s">
        <v>20</v>
      </c>
      <c r="J1959">
        <v>1</v>
      </c>
      <c r="K1959">
        <v>0</v>
      </c>
      <c r="L1959">
        <v>1</v>
      </c>
      <c r="M1959">
        <v>0</v>
      </c>
      <c r="N1959">
        <v>0</v>
      </c>
      <c r="O1959">
        <v>0</v>
      </c>
      <c r="P1959">
        <v>0</v>
      </c>
      <c r="Q1959">
        <v>0</v>
      </c>
      <c r="R1959">
        <v>2000</v>
      </c>
      <c r="S1959">
        <v>2000</v>
      </c>
      <c r="T1959">
        <v>0</v>
      </c>
      <c r="U1959" t="str">
        <f>IF(SeismicData[[#This Row],[class]]=1,"Dangerous","Safe")</f>
        <v>Safe</v>
      </c>
      <c r="V1959" t="str">
        <f>IF(SeismicData[[#This Row],[shift]]="W","Production","Non-Production")</f>
        <v>Production</v>
      </c>
      <c r="W1959" t="str">
        <f>IF(SeismicData[[#This Row],[genergy]]=0,"0","10^"&amp;INT(LOG10(SeismicData[[#This Row],[genergy]])))</f>
        <v>10^4</v>
      </c>
      <c r="X1959" t="str">
        <f>IF(OR(SeismicData[[#This Row],[genergy]]&lt;$AA$6,SeismicData[[#This Row],[genergy]]&gt;$AA$5),"Outlier","Normal")</f>
        <v>Normal</v>
      </c>
    </row>
    <row r="1960" spans="1:24" x14ac:dyDescent="0.15">
      <c r="A1960">
        <v>1959</v>
      </c>
      <c r="B1960" t="s">
        <v>23</v>
      </c>
      <c r="C1960" t="s">
        <v>20</v>
      </c>
      <c r="D1960" t="s">
        <v>22</v>
      </c>
      <c r="E1960">
        <v>28290</v>
      </c>
      <c r="F1960">
        <v>527</v>
      </c>
      <c r="G1960">
        <v>100</v>
      </c>
      <c r="H1960">
        <v>79</v>
      </c>
      <c r="I1960" t="s">
        <v>20</v>
      </c>
      <c r="J1960">
        <v>0</v>
      </c>
      <c r="K1960">
        <v>0</v>
      </c>
      <c r="L1960">
        <v>0</v>
      </c>
      <c r="M1960">
        <v>0</v>
      </c>
      <c r="N1960">
        <v>0</v>
      </c>
      <c r="O1960">
        <v>0</v>
      </c>
      <c r="P1960">
        <v>0</v>
      </c>
      <c r="Q1960">
        <v>0</v>
      </c>
      <c r="R1960">
        <v>0</v>
      </c>
      <c r="S1960">
        <v>0</v>
      </c>
      <c r="T1960">
        <v>0</v>
      </c>
      <c r="U1960" t="str">
        <f>IF(SeismicData[[#This Row],[class]]=1,"Dangerous","Safe")</f>
        <v>Safe</v>
      </c>
      <c r="V1960" t="str">
        <f>IF(SeismicData[[#This Row],[shift]]="W","Production","Non-Production")</f>
        <v>Production</v>
      </c>
      <c r="W1960" t="str">
        <f>IF(SeismicData[[#This Row],[genergy]]=0,"0","10^"&amp;INT(LOG10(SeismicData[[#This Row],[genergy]])))</f>
        <v>10^4</v>
      </c>
      <c r="X1960" t="str">
        <f>IF(OR(SeismicData[[#This Row],[genergy]]&lt;$AA$6,SeismicData[[#This Row],[genergy]]&gt;$AA$5),"Outlier","Normal")</f>
        <v>Normal</v>
      </c>
    </row>
    <row r="1961" spans="1:24" x14ac:dyDescent="0.15">
      <c r="A1961">
        <v>1960</v>
      </c>
      <c r="B1961" t="s">
        <v>23</v>
      </c>
      <c r="C1961" t="s">
        <v>20</v>
      </c>
      <c r="D1961" t="s">
        <v>22</v>
      </c>
      <c r="E1961">
        <v>25090</v>
      </c>
      <c r="F1961">
        <v>383</v>
      </c>
      <c r="G1961">
        <v>78</v>
      </c>
      <c r="H1961">
        <v>30</v>
      </c>
      <c r="I1961" t="s">
        <v>20</v>
      </c>
      <c r="J1961">
        <v>0</v>
      </c>
      <c r="K1961">
        <v>0</v>
      </c>
      <c r="L1961">
        <v>0</v>
      </c>
      <c r="M1961">
        <v>0</v>
      </c>
      <c r="N1961">
        <v>0</v>
      </c>
      <c r="O1961">
        <v>0</v>
      </c>
      <c r="P1961">
        <v>0</v>
      </c>
      <c r="Q1961">
        <v>0</v>
      </c>
      <c r="R1961">
        <v>0</v>
      </c>
      <c r="S1961">
        <v>0</v>
      </c>
      <c r="T1961">
        <v>0</v>
      </c>
      <c r="U1961" t="str">
        <f>IF(SeismicData[[#This Row],[class]]=1,"Dangerous","Safe")</f>
        <v>Safe</v>
      </c>
      <c r="V1961" t="str">
        <f>IF(SeismicData[[#This Row],[shift]]="W","Production","Non-Production")</f>
        <v>Production</v>
      </c>
      <c r="W1961" t="str">
        <f>IF(SeismicData[[#This Row],[genergy]]=0,"0","10^"&amp;INT(LOG10(SeismicData[[#This Row],[genergy]])))</f>
        <v>10^4</v>
      </c>
      <c r="X1961" t="str">
        <f>IF(OR(SeismicData[[#This Row],[genergy]]&lt;$AA$6,SeismicData[[#This Row],[genergy]]&gt;$AA$5),"Outlier","Normal")</f>
        <v>Normal</v>
      </c>
    </row>
    <row r="1962" spans="1:24" x14ac:dyDescent="0.15">
      <c r="A1962">
        <v>1961</v>
      </c>
      <c r="B1962" t="s">
        <v>23</v>
      </c>
      <c r="C1962" t="s">
        <v>20</v>
      </c>
      <c r="D1962" t="s">
        <v>22</v>
      </c>
      <c r="E1962">
        <v>16750</v>
      </c>
      <c r="F1962">
        <v>398</v>
      </c>
      <c r="G1962">
        <v>19</v>
      </c>
      <c r="H1962">
        <v>35</v>
      </c>
      <c r="I1962" t="s">
        <v>20</v>
      </c>
      <c r="J1962">
        <v>0</v>
      </c>
      <c r="K1962">
        <v>0</v>
      </c>
      <c r="L1962">
        <v>0</v>
      </c>
      <c r="M1962">
        <v>0</v>
      </c>
      <c r="N1962">
        <v>0</v>
      </c>
      <c r="O1962">
        <v>0</v>
      </c>
      <c r="P1962">
        <v>0</v>
      </c>
      <c r="Q1962">
        <v>0</v>
      </c>
      <c r="R1962">
        <v>0</v>
      </c>
      <c r="S1962">
        <v>0</v>
      </c>
      <c r="T1962">
        <v>0</v>
      </c>
      <c r="U1962" t="str">
        <f>IF(SeismicData[[#This Row],[class]]=1,"Dangerous","Safe")</f>
        <v>Safe</v>
      </c>
      <c r="V1962" t="str">
        <f>IF(SeismicData[[#This Row],[shift]]="W","Production","Non-Production")</f>
        <v>Production</v>
      </c>
      <c r="W1962" t="str">
        <f>IF(SeismicData[[#This Row],[genergy]]=0,"0","10^"&amp;INT(LOG10(SeismicData[[#This Row],[genergy]])))</f>
        <v>10^4</v>
      </c>
      <c r="X1962" t="str">
        <f>IF(OR(SeismicData[[#This Row],[genergy]]&lt;$AA$6,SeismicData[[#This Row],[genergy]]&gt;$AA$5),"Outlier","Normal")</f>
        <v>Normal</v>
      </c>
    </row>
    <row r="1963" spans="1:24" x14ac:dyDescent="0.15">
      <c r="A1963">
        <v>1962</v>
      </c>
      <c r="B1963" t="s">
        <v>23</v>
      </c>
      <c r="C1963" t="s">
        <v>20</v>
      </c>
      <c r="D1963" t="s">
        <v>22</v>
      </c>
      <c r="E1963">
        <v>21650</v>
      </c>
      <c r="F1963">
        <v>348</v>
      </c>
      <c r="G1963">
        <v>53</v>
      </c>
      <c r="H1963">
        <v>18</v>
      </c>
      <c r="I1963" t="s">
        <v>20</v>
      </c>
      <c r="J1963">
        <v>0</v>
      </c>
      <c r="K1963">
        <v>0</v>
      </c>
      <c r="L1963">
        <v>0</v>
      </c>
      <c r="M1963">
        <v>0</v>
      </c>
      <c r="N1963">
        <v>0</v>
      </c>
      <c r="O1963">
        <v>0</v>
      </c>
      <c r="P1963">
        <v>0</v>
      </c>
      <c r="Q1963">
        <v>0</v>
      </c>
      <c r="R1963">
        <v>0</v>
      </c>
      <c r="S1963">
        <v>0</v>
      </c>
      <c r="T1963">
        <v>0</v>
      </c>
      <c r="U1963" t="str">
        <f>IF(SeismicData[[#This Row],[class]]=1,"Dangerous","Safe")</f>
        <v>Safe</v>
      </c>
      <c r="V1963" t="str">
        <f>IF(SeismicData[[#This Row],[shift]]="W","Production","Non-Production")</f>
        <v>Production</v>
      </c>
      <c r="W1963" t="str">
        <f>IF(SeismicData[[#This Row],[genergy]]=0,"0","10^"&amp;INT(LOG10(SeismicData[[#This Row],[genergy]])))</f>
        <v>10^4</v>
      </c>
      <c r="X1963" t="str">
        <f>IF(OR(SeismicData[[#This Row],[genergy]]&lt;$AA$6,SeismicData[[#This Row],[genergy]]&gt;$AA$5),"Outlier","Normal")</f>
        <v>Normal</v>
      </c>
    </row>
    <row r="1964" spans="1:24" x14ac:dyDescent="0.15">
      <c r="A1964">
        <v>1963</v>
      </c>
      <c r="B1964" t="s">
        <v>23</v>
      </c>
      <c r="C1964" t="s">
        <v>20</v>
      </c>
      <c r="D1964" t="s">
        <v>22</v>
      </c>
      <c r="E1964">
        <v>27320</v>
      </c>
      <c r="F1964">
        <v>453</v>
      </c>
      <c r="G1964">
        <v>17</v>
      </c>
      <c r="H1964">
        <v>-4</v>
      </c>
      <c r="I1964" t="s">
        <v>20</v>
      </c>
      <c r="J1964">
        <v>0</v>
      </c>
      <c r="K1964">
        <v>0</v>
      </c>
      <c r="L1964">
        <v>0</v>
      </c>
      <c r="M1964">
        <v>0</v>
      </c>
      <c r="N1964">
        <v>0</v>
      </c>
      <c r="O1964">
        <v>0</v>
      </c>
      <c r="P1964">
        <v>0</v>
      </c>
      <c r="Q1964">
        <v>0</v>
      </c>
      <c r="R1964">
        <v>0</v>
      </c>
      <c r="S1964">
        <v>0</v>
      </c>
      <c r="T1964">
        <v>1</v>
      </c>
      <c r="U1964" t="str">
        <f>IF(SeismicData[[#This Row],[class]]=1,"Dangerous","Safe")</f>
        <v>Dangerous</v>
      </c>
      <c r="V1964" t="str">
        <f>IF(SeismicData[[#This Row],[shift]]="W","Production","Non-Production")</f>
        <v>Production</v>
      </c>
      <c r="W1964" t="str">
        <f>IF(SeismicData[[#This Row],[genergy]]=0,"0","10^"&amp;INT(LOG10(SeismicData[[#This Row],[genergy]])))</f>
        <v>10^4</v>
      </c>
      <c r="X1964" t="str">
        <f>IF(OR(SeismicData[[#This Row],[genergy]]&lt;$AA$6,SeismicData[[#This Row],[genergy]]&gt;$AA$5),"Outlier","Normal")</f>
        <v>Normal</v>
      </c>
    </row>
    <row r="1965" spans="1:24" x14ac:dyDescent="0.15">
      <c r="A1965">
        <v>1964</v>
      </c>
      <c r="B1965" t="s">
        <v>23</v>
      </c>
      <c r="C1965" t="s">
        <v>20</v>
      </c>
      <c r="D1965" t="s">
        <v>22</v>
      </c>
      <c r="E1965">
        <v>60930</v>
      </c>
      <c r="F1965">
        <v>866</v>
      </c>
      <c r="G1965">
        <v>101</v>
      </c>
      <c r="H1965">
        <v>72</v>
      </c>
      <c r="I1965" t="s">
        <v>20</v>
      </c>
      <c r="J1965">
        <v>1</v>
      </c>
      <c r="K1965">
        <v>0</v>
      </c>
      <c r="L1965">
        <v>0</v>
      </c>
      <c r="M1965">
        <v>1</v>
      </c>
      <c r="N1965">
        <v>0</v>
      </c>
      <c r="O1965">
        <v>0</v>
      </c>
      <c r="P1965">
        <v>0</v>
      </c>
      <c r="Q1965">
        <v>0</v>
      </c>
      <c r="R1965">
        <v>10000</v>
      </c>
      <c r="S1965">
        <v>10000</v>
      </c>
      <c r="T1965">
        <v>0</v>
      </c>
      <c r="U1965" t="str">
        <f>IF(SeismicData[[#This Row],[class]]=1,"Dangerous","Safe")</f>
        <v>Safe</v>
      </c>
      <c r="V1965" t="str">
        <f>IF(SeismicData[[#This Row],[shift]]="W","Production","Non-Production")</f>
        <v>Production</v>
      </c>
      <c r="W1965" t="str">
        <f>IF(SeismicData[[#This Row],[genergy]]=0,"0","10^"&amp;INT(LOG10(SeismicData[[#This Row],[genergy]])))</f>
        <v>10^4</v>
      </c>
      <c r="X1965" t="str">
        <f>IF(OR(SeismicData[[#This Row],[genergy]]&lt;$AA$6,SeismicData[[#This Row],[genergy]]&gt;$AA$5),"Outlier","Normal")</f>
        <v>Normal</v>
      </c>
    </row>
    <row r="1966" spans="1:24" x14ac:dyDescent="0.15">
      <c r="A1966">
        <v>1965</v>
      </c>
      <c r="B1966" t="s">
        <v>23</v>
      </c>
      <c r="C1966" t="s">
        <v>20</v>
      </c>
      <c r="D1966" t="s">
        <v>22</v>
      </c>
      <c r="E1966">
        <v>19660</v>
      </c>
      <c r="F1966">
        <v>644</v>
      </c>
      <c r="G1966">
        <v>-16</v>
      </c>
      <c r="H1966">
        <v>36</v>
      </c>
      <c r="I1966" t="s">
        <v>20</v>
      </c>
      <c r="J1966">
        <v>0</v>
      </c>
      <c r="K1966">
        <v>0</v>
      </c>
      <c r="L1966">
        <v>0</v>
      </c>
      <c r="M1966">
        <v>0</v>
      </c>
      <c r="N1966">
        <v>0</v>
      </c>
      <c r="O1966">
        <v>0</v>
      </c>
      <c r="P1966">
        <v>0</v>
      </c>
      <c r="Q1966">
        <v>0</v>
      </c>
      <c r="R1966">
        <v>0</v>
      </c>
      <c r="S1966">
        <v>0</v>
      </c>
      <c r="T1966">
        <v>0</v>
      </c>
      <c r="U1966" t="str">
        <f>IF(SeismicData[[#This Row],[class]]=1,"Dangerous","Safe")</f>
        <v>Safe</v>
      </c>
      <c r="V1966" t="str">
        <f>IF(SeismicData[[#This Row],[shift]]="W","Production","Non-Production")</f>
        <v>Production</v>
      </c>
      <c r="W1966" t="str">
        <f>IF(SeismicData[[#This Row],[genergy]]=0,"0","10^"&amp;INT(LOG10(SeismicData[[#This Row],[genergy]])))</f>
        <v>10^4</v>
      </c>
      <c r="X1966" t="str">
        <f>IF(OR(SeismicData[[#This Row],[genergy]]&lt;$AA$6,SeismicData[[#This Row],[genergy]]&gt;$AA$5),"Outlier","Normal")</f>
        <v>Normal</v>
      </c>
    </row>
    <row r="1967" spans="1:24" x14ac:dyDescent="0.15">
      <c r="A1967">
        <v>1966</v>
      </c>
      <c r="B1967" t="s">
        <v>23</v>
      </c>
      <c r="C1967" t="s">
        <v>20</v>
      </c>
      <c r="D1967" t="s">
        <v>22</v>
      </c>
      <c r="E1967">
        <v>21000</v>
      </c>
      <c r="F1967">
        <v>466</v>
      </c>
      <c r="G1967">
        <v>-10</v>
      </c>
      <c r="H1967">
        <v>-1</v>
      </c>
      <c r="I1967" t="s">
        <v>20</v>
      </c>
      <c r="J1967">
        <v>0</v>
      </c>
      <c r="K1967">
        <v>0</v>
      </c>
      <c r="L1967">
        <v>0</v>
      </c>
      <c r="M1967">
        <v>0</v>
      </c>
      <c r="N1967">
        <v>0</v>
      </c>
      <c r="O1967">
        <v>0</v>
      </c>
      <c r="P1967">
        <v>0</v>
      </c>
      <c r="Q1967">
        <v>0</v>
      </c>
      <c r="R1967">
        <v>0</v>
      </c>
      <c r="S1967">
        <v>0</v>
      </c>
      <c r="T1967">
        <v>0</v>
      </c>
      <c r="U1967" t="str">
        <f>IF(SeismicData[[#This Row],[class]]=1,"Dangerous","Safe")</f>
        <v>Safe</v>
      </c>
      <c r="V1967" t="str">
        <f>IF(SeismicData[[#This Row],[shift]]="W","Production","Non-Production")</f>
        <v>Production</v>
      </c>
      <c r="W1967" t="str">
        <f>IF(SeismicData[[#This Row],[genergy]]=0,"0","10^"&amp;INT(LOG10(SeismicData[[#This Row],[genergy]])))</f>
        <v>10^4</v>
      </c>
      <c r="X1967" t="str">
        <f>IF(OR(SeismicData[[#This Row],[genergy]]&lt;$AA$6,SeismicData[[#This Row],[genergy]]&gt;$AA$5),"Outlier","Normal")</f>
        <v>Normal</v>
      </c>
    </row>
    <row r="1968" spans="1:24" x14ac:dyDescent="0.15">
      <c r="A1968">
        <v>1967</v>
      </c>
      <c r="B1968" t="s">
        <v>23</v>
      </c>
      <c r="C1968" t="s">
        <v>20</v>
      </c>
      <c r="D1968" t="s">
        <v>22</v>
      </c>
      <c r="E1968">
        <v>13600</v>
      </c>
      <c r="F1968">
        <v>368</v>
      </c>
      <c r="G1968">
        <v>-11</v>
      </c>
      <c r="H1968">
        <v>20</v>
      </c>
      <c r="I1968" t="s">
        <v>20</v>
      </c>
      <c r="J1968">
        <v>1</v>
      </c>
      <c r="K1968">
        <v>1</v>
      </c>
      <c r="L1968">
        <v>0</v>
      </c>
      <c r="M1968">
        <v>0</v>
      </c>
      <c r="N1968">
        <v>0</v>
      </c>
      <c r="O1968">
        <v>0</v>
      </c>
      <c r="P1968">
        <v>0</v>
      </c>
      <c r="Q1968">
        <v>0</v>
      </c>
      <c r="R1968">
        <v>800</v>
      </c>
      <c r="S1968">
        <v>800</v>
      </c>
      <c r="T1968">
        <v>0</v>
      </c>
      <c r="U1968" t="str">
        <f>IF(SeismicData[[#This Row],[class]]=1,"Dangerous","Safe")</f>
        <v>Safe</v>
      </c>
      <c r="V1968" t="str">
        <f>IF(SeismicData[[#This Row],[shift]]="W","Production","Non-Production")</f>
        <v>Production</v>
      </c>
      <c r="W1968" t="str">
        <f>IF(SeismicData[[#This Row],[genergy]]=0,"0","10^"&amp;INT(LOG10(SeismicData[[#This Row],[genergy]])))</f>
        <v>10^4</v>
      </c>
      <c r="X1968" t="str">
        <f>IF(OR(SeismicData[[#This Row],[genergy]]&lt;$AA$6,SeismicData[[#This Row],[genergy]]&gt;$AA$5),"Outlier","Normal")</f>
        <v>Normal</v>
      </c>
    </row>
    <row r="1969" spans="1:24" x14ac:dyDescent="0.15">
      <c r="A1969">
        <v>1968</v>
      </c>
      <c r="B1969" t="s">
        <v>23</v>
      </c>
      <c r="C1969" t="s">
        <v>20</v>
      </c>
      <c r="D1969" t="s">
        <v>22</v>
      </c>
      <c r="E1969">
        <v>18780</v>
      </c>
      <c r="F1969">
        <v>337</v>
      </c>
      <c r="G1969">
        <v>-35</v>
      </c>
      <c r="H1969">
        <v>-32</v>
      </c>
      <c r="I1969" t="s">
        <v>20</v>
      </c>
      <c r="J1969">
        <v>2</v>
      </c>
      <c r="K1969">
        <v>1</v>
      </c>
      <c r="L1969">
        <v>1</v>
      </c>
      <c r="M1969">
        <v>0</v>
      </c>
      <c r="N1969">
        <v>0</v>
      </c>
      <c r="O1969">
        <v>0</v>
      </c>
      <c r="P1969">
        <v>0</v>
      </c>
      <c r="Q1969">
        <v>0</v>
      </c>
      <c r="R1969">
        <v>9900</v>
      </c>
      <c r="S1969">
        <v>9000</v>
      </c>
      <c r="T1969">
        <v>0</v>
      </c>
      <c r="U1969" t="str">
        <f>IF(SeismicData[[#This Row],[class]]=1,"Dangerous","Safe")</f>
        <v>Safe</v>
      </c>
      <c r="V1969" t="str">
        <f>IF(SeismicData[[#This Row],[shift]]="W","Production","Non-Production")</f>
        <v>Production</v>
      </c>
      <c r="W1969" t="str">
        <f>IF(SeismicData[[#This Row],[genergy]]=0,"0","10^"&amp;INT(LOG10(SeismicData[[#This Row],[genergy]])))</f>
        <v>10^4</v>
      </c>
      <c r="X1969" t="str">
        <f>IF(OR(SeismicData[[#This Row],[genergy]]&lt;$AA$6,SeismicData[[#This Row],[genergy]]&gt;$AA$5),"Outlier","Normal")</f>
        <v>Normal</v>
      </c>
    </row>
    <row r="1970" spans="1:24" x14ac:dyDescent="0.15">
      <c r="A1970">
        <v>1969</v>
      </c>
      <c r="B1970" t="s">
        <v>23</v>
      </c>
      <c r="C1970" t="s">
        <v>20</v>
      </c>
      <c r="D1970" t="s">
        <v>22</v>
      </c>
      <c r="E1970">
        <v>19920</v>
      </c>
      <c r="F1970">
        <v>400</v>
      </c>
      <c r="G1970">
        <v>-15</v>
      </c>
      <c r="H1970">
        <v>-15</v>
      </c>
      <c r="I1970" t="s">
        <v>20</v>
      </c>
      <c r="J1970">
        <v>0</v>
      </c>
      <c r="K1970">
        <v>0</v>
      </c>
      <c r="L1970">
        <v>0</v>
      </c>
      <c r="M1970">
        <v>0</v>
      </c>
      <c r="N1970">
        <v>0</v>
      </c>
      <c r="O1970">
        <v>0</v>
      </c>
      <c r="P1970">
        <v>0</v>
      </c>
      <c r="Q1970">
        <v>0</v>
      </c>
      <c r="R1970">
        <v>0</v>
      </c>
      <c r="S1970">
        <v>0</v>
      </c>
      <c r="T1970">
        <v>0</v>
      </c>
      <c r="U1970" t="str">
        <f>IF(SeismicData[[#This Row],[class]]=1,"Dangerous","Safe")</f>
        <v>Safe</v>
      </c>
      <c r="V1970" t="str">
        <f>IF(SeismicData[[#This Row],[shift]]="W","Production","Non-Production")</f>
        <v>Production</v>
      </c>
      <c r="W1970" t="str">
        <f>IF(SeismicData[[#This Row],[genergy]]=0,"0","10^"&amp;INT(LOG10(SeismicData[[#This Row],[genergy]])))</f>
        <v>10^4</v>
      </c>
      <c r="X1970" t="str">
        <f>IF(OR(SeismicData[[#This Row],[genergy]]&lt;$AA$6,SeismicData[[#This Row],[genergy]]&gt;$AA$5),"Outlier","Normal")</f>
        <v>Normal</v>
      </c>
    </row>
    <row r="1971" spans="1:24" x14ac:dyDescent="0.15">
      <c r="A1971">
        <v>1970</v>
      </c>
      <c r="B1971" t="s">
        <v>23</v>
      </c>
      <c r="C1971" t="s">
        <v>20</v>
      </c>
      <c r="D1971" t="s">
        <v>22</v>
      </c>
      <c r="E1971">
        <v>20050</v>
      </c>
      <c r="F1971">
        <v>295</v>
      </c>
      <c r="G1971">
        <v>-14</v>
      </c>
      <c r="H1971">
        <v>-37</v>
      </c>
      <c r="I1971" t="s">
        <v>20</v>
      </c>
      <c r="J1971">
        <v>0</v>
      </c>
      <c r="K1971">
        <v>0</v>
      </c>
      <c r="L1971">
        <v>0</v>
      </c>
      <c r="M1971">
        <v>0</v>
      </c>
      <c r="N1971">
        <v>0</v>
      </c>
      <c r="O1971">
        <v>0</v>
      </c>
      <c r="P1971">
        <v>0</v>
      </c>
      <c r="Q1971">
        <v>0</v>
      </c>
      <c r="R1971">
        <v>0</v>
      </c>
      <c r="S1971">
        <v>0</v>
      </c>
      <c r="T1971">
        <v>0</v>
      </c>
      <c r="U1971" t="str">
        <f>IF(SeismicData[[#This Row],[class]]=1,"Dangerous","Safe")</f>
        <v>Safe</v>
      </c>
      <c r="V1971" t="str">
        <f>IF(SeismicData[[#This Row],[shift]]="W","Production","Non-Production")</f>
        <v>Production</v>
      </c>
      <c r="W1971" t="str">
        <f>IF(SeismicData[[#This Row],[genergy]]=0,"0","10^"&amp;INT(LOG10(SeismicData[[#This Row],[genergy]])))</f>
        <v>10^4</v>
      </c>
      <c r="X1971" t="str">
        <f>IF(OR(SeismicData[[#This Row],[genergy]]&lt;$AA$6,SeismicData[[#This Row],[genergy]]&gt;$AA$5),"Outlier","Normal")</f>
        <v>Normal</v>
      </c>
    </row>
    <row r="1972" spans="1:24" x14ac:dyDescent="0.15">
      <c r="A1972">
        <v>1971</v>
      </c>
      <c r="B1972" t="s">
        <v>23</v>
      </c>
      <c r="C1972" t="s">
        <v>20</v>
      </c>
      <c r="D1972" t="s">
        <v>22</v>
      </c>
      <c r="E1972">
        <v>18420</v>
      </c>
      <c r="F1972">
        <v>255</v>
      </c>
      <c r="G1972">
        <v>-21</v>
      </c>
      <c r="H1972">
        <v>-46</v>
      </c>
      <c r="I1972" t="s">
        <v>20</v>
      </c>
      <c r="J1972">
        <v>0</v>
      </c>
      <c r="K1972">
        <v>0</v>
      </c>
      <c r="L1972">
        <v>0</v>
      </c>
      <c r="M1972">
        <v>0</v>
      </c>
      <c r="N1972">
        <v>0</v>
      </c>
      <c r="O1972">
        <v>0</v>
      </c>
      <c r="P1972">
        <v>0</v>
      </c>
      <c r="Q1972">
        <v>0</v>
      </c>
      <c r="R1972">
        <v>0</v>
      </c>
      <c r="S1972">
        <v>0</v>
      </c>
      <c r="T1972">
        <v>0</v>
      </c>
      <c r="U1972" t="str">
        <f>IF(SeismicData[[#This Row],[class]]=1,"Dangerous","Safe")</f>
        <v>Safe</v>
      </c>
      <c r="V1972" t="str">
        <f>IF(SeismicData[[#This Row],[shift]]="W","Production","Non-Production")</f>
        <v>Production</v>
      </c>
      <c r="W1972" t="str">
        <f>IF(SeismicData[[#This Row],[genergy]]=0,"0","10^"&amp;INT(LOG10(SeismicData[[#This Row],[genergy]])))</f>
        <v>10^4</v>
      </c>
      <c r="X1972" t="str">
        <f>IF(OR(SeismicData[[#This Row],[genergy]]&lt;$AA$6,SeismicData[[#This Row],[genergy]]&gt;$AA$5),"Outlier","Normal")</f>
        <v>Normal</v>
      </c>
    </row>
    <row r="1973" spans="1:24" x14ac:dyDescent="0.15">
      <c r="A1973">
        <v>1972</v>
      </c>
      <c r="B1973" t="s">
        <v>23</v>
      </c>
      <c r="C1973" t="s">
        <v>20</v>
      </c>
      <c r="D1973" t="s">
        <v>22</v>
      </c>
      <c r="E1973">
        <v>36100</v>
      </c>
      <c r="F1973">
        <v>350</v>
      </c>
      <c r="G1973">
        <v>54</v>
      </c>
      <c r="H1973">
        <v>-26</v>
      </c>
      <c r="I1973" t="s">
        <v>20</v>
      </c>
      <c r="J1973">
        <v>1</v>
      </c>
      <c r="K1973">
        <v>1</v>
      </c>
      <c r="L1973">
        <v>0</v>
      </c>
      <c r="M1973">
        <v>0</v>
      </c>
      <c r="N1973">
        <v>0</v>
      </c>
      <c r="O1973">
        <v>0</v>
      </c>
      <c r="P1973">
        <v>0</v>
      </c>
      <c r="Q1973">
        <v>0</v>
      </c>
      <c r="R1973">
        <v>100</v>
      </c>
      <c r="S1973">
        <v>100</v>
      </c>
      <c r="T1973">
        <v>0</v>
      </c>
      <c r="U1973" t="str">
        <f>IF(SeismicData[[#This Row],[class]]=1,"Dangerous","Safe")</f>
        <v>Safe</v>
      </c>
      <c r="V1973" t="str">
        <f>IF(SeismicData[[#This Row],[shift]]="W","Production","Non-Production")</f>
        <v>Production</v>
      </c>
      <c r="W1973" t="str">
        <f>IF(SeismicData[[#This Row],[genergy]]=0,"0","10^"&amp;INT(LOG10(SeismicData[[#This Row],[genergy]])))</f>
        <v>10^4</v>
      </c>
      <c r="X1973" t="str">
        <f>IF(OR(SeismicData[[#This Row],[genergy]]&lt;$AA$6,SeismicData[[#This Row],[genergy]]&gt;$AA$5),"Outlier","Normal")</f>
        <v>Normal</v>
      </c>
    </row>
    <row r="1974" spans="1:24" x14ac:dyDescent="0.15">
      <c r="A1974">
        <v>1973</v>
      </c>
      <c r="B1974" t="s">
        <v>23</v>
      </c>
      <c r="C1974" t="s">
        <v>20</v>
      </c>
      <c r="D1974" t="s">
        <v>22</v>
      </c>
      <c r="E1974">
        <v>57010</v>
      </c>
      <c r="F1974">
        <v>535</v>
      </c>
      <c r="G1974">
        <v>144</v>
      </c>
      <c r="H1974">
        <v>14</v>
      </c>
      <c r="I1974" t="s">
        <v>20</v>
      </c>
      <c r="J1974">
        <v>1</v>
      </c>
      <c r="K1974">
        <v>1</v>
      </c>
      <c r="L1974">
        <v>0</v>
      </c>
      <c r="M1974">
        <v>0</v>
      </c>
      <c r="N1974">
        <v>0</v>
      </c>
      <c r="O1974">
        <v>0</v>
      </c>
      <c r="P1974">
        <v>0</v>
      </c>
      <c r="Q1974">
        <v>0</v>
      </c>
      <c r="R1974">
        <v>600</v>
      </c>
      <c r="S1974">
        <v>600</v>
      </c>
      <c r="T1974">
        <v>0</v>
      </c>
      <c r="U1974" t="str">
        <f>IF(SeismicData[[#This Row],[class]]=1,"Dangerous","Safe")</f>
        <v>Safe</v>
      </c>
      <c r="V1974" t="str">
        <f>IF(SeismicData[[#This Row],[shift]]="W","Production","Non-Production")</f>
        <v>Production</v>
      </c>
      <c r="W1974" t="str">
        <f>IF(SeismicData[[#This Row],[genergy]]=0,"0","10^"&amp;INT(LOG10(SeismicData[[#This Row],[genergy]])))</f>
        <v>10^4</v>
      </c>
      <c r="X1974" t="str">
        <f>IF(OR(SeismicData[[#This Row],[genergy]]&lt;$AA$6,SeismicData[[#This Row],[genergy]]&gt;$AA$5),"Outlier","Normal")</f>
        <v>Normal</v>
      </c>
    </row>
    <row r="1975" spans="1:24" x14ac:dyDescent="0.15">
      <c r="A1975">
        <v>1974</v>
      </c>
      <c r="B1975" t="s">
        <v>23</v>
      </c>
      <c r="C1975" t="s">
        <v>20</v>
      </c>
      <c r="D1975" t="s">
        <v>22</v>
      </c>
      <c r="E1975">
        <v>56060</v>
      </c>
      <c r="F1975">
        <v>600</v>
      </c>
      <c r="G1975">
        <v>140</v>
      </c>
      <c r="H1975">
        <v>27</v>
      </c>
      <c r="I1975" t="s">
        <v>20</v>
      </c>
      <c r="J1975">
        <v>0</v>
      </c>
      <c r="K1975">
        <v>0</v>
      </c>
      <c r="L1975">
        <v>0</v>
      </c>
      <c r="M1975">
        <v>0</v>
      </c>
      <c r="N1975">
        <v>0</v>
      </c>
      <c r="O1975">
        <v>0</v>
      </c>
      <c r="P1975">
        <v>0</v>
      </c>
      <c r="Q1975">
        <v>0</v>
      </c>
      <c r="R1975">
        <v>0</v>
      </c>
      <c r="S1975">
        <v>0</v>
      </c>
      <c r="T1975">
        <v>0</v>
      </c>
      <c r="U1975" t="str">
        <f>IF(SeismicData[[#This Row],[class]]=1,"Dangerous","Safe")</f>
        <v>Safe</v>
      </c>
      <c r="V1975" t="str">
        <f>IF(SeismicData[[#This Row],[shift]]="W","Production","Non-Production")</f>
        <v>Production</v>
      </c>
      <c r="W1975" t="str">
        <f>IF(SeismicData[[#This Row],[genergy]]=0,"0","10^"&amp;INT(LOG10(SeismicData[[#This Row],[genergy]])))</f>
        <v>10^4</v>
      </c>
      <c r="X1975" t="str">
        <f>IF(OR(SeismicData[[#This Row],[genergy]]&lt;$AA$6,SeismicData[[#This Row],[genergy]]&gt;$AA$5),"Outlier","Normal")</f>
        <v>Normal</v>
      </c>
    </row>
    <row r="1976" spans="1:24" x14ac:dyDescent="0.15">
      <c r="A1976">
        <v>1975</v>
      </c>
      <c r="B1976" t="s">
        <v>23</v>
      </c>
      <c r="C1976" t="s">
        <v>20</v>
      </c>
      <c r="D1976" t="s">
        <v>22</v>
      </c>
      <c r="E1976">
        <v>31320</v>
      </c>
      <c r="F1976">
        <v>407</v>
      </c>
      <c r="G1976">
        <v>35</v>
      </c>
      <c r="H1976">
        <v>-13</v>
      </c>
      <c r="I1976" t="s">
        <v>20</v>
      </c>
      <c r="J1976">
        <v>1</v>
      </c>
      <c r="K1976">
        <v>0</v>
      </c>
      <c r="L1976">
        <v>1</v>
      </c>
      <c r="M1976">
        <v>0</v>
      </c>
      <c r="N1976">
        <v>0</v>
      </c>
      <c r="O1976">
        <v>0</v>
      </c>
      <c r="P1976">
        <v>0</v>
      </c>
      <c r="Q1976">
        <v>0</v>
      </c>
      <c r="R1976">
        <v>2000</v>
      </c>
      <c r="S1976">
        <v>2000</v>
      </c>
      <c r="T1976">
        <v>0</v>
      </c>
      <c r="U1976" t="str">
        <f>IF(SeismicData[[#This Row],[class]]=1,"Dangerous","Safe")</f>
        <v>Safe</v>
      </c>
      <c r="V1976" t="str">
        <f>IF(SeismicData[[#This Row],[shift]]="W","Production","Non-Production")</f>
        <v>Production</v>
      </c>
      <c r="W1976" t="str">
        <f>IF(SeismicData[[#This Row],[genergy]]=0,"0","10^"&amp;INT(LOG10(SeismicData[[#This Row],[genergy]])))</f>
        <v>10^4</v>
      </c>
      <c r="X1976" t="str">
        <f>IF(OR(SeismicData[[#This Row],[genergy]]&lt;$AA$6,SeismicData[[#This Row],[genergy]]&gt;$AA$5),"Outlier","Normal")</f>
        <v>Normal</v>
      </c>
    </row>
    <row r="1977" spans="1:24" x14ac:dyDescent="0.15">
      <c r="A1977">
        <v>1976</v>
      </c>
      <c r="B1977" t="s">
        <v>23</v>
      </c>
      <c r="C1977" t="s">
        <v>20</v>
      </c>
      <c r="D1977" t="s">
        <v>22</v>
      </c>
      <c r="E1977">
        <v>26330</v>
      </c>
      <c r="F1977">
        <v>386</v>
      </c>
      <c r="G1977">
        <v>13</v>
      </c>
      <c r="H1977">
        <v>-18</v>
      </c>
      <c r="I1977" t="s">
        <v>20</v>
      </c>
      <c r="J1977">
        <v>0</v>
      </c>
      <c r="K1977">
        <v>0</v>
      </c>
      <c r="L1977">
        <v>0</v>
      </c>
      <c r="M1977">
        <v>0</v>
      </c>
      <c r="N1977">
        <v>0</v>
      </c>
      <c r="O1977">
        <v>0</v>
      </c>
      <c r="P1977">
        <v>0</v>
      </c>
      <c r="Q1977">
        <v>0</v>
      </c>
      <c r="R1977">
        <v>0</v>
      </c>
      <c r="S1977">
        <v>0</v>
      </c>
      <c r="T1977">
        <v>0</v>
      </c>
      <c r="U1977" t="str">
        <f>IF(SeismicData[[#This Row],[class]]=1,"Dangerous","Safe")</f>
        <v>Safe</v>
      </c>
      <c r="V1977" t="str">
        <f>IF(SeismicData[[#This Row],[shift]]="W","Production","Non-Production")</f>
        <v>Production</v>
      </c>
      <c r="W1977" t="str">
        <f>IF(SeismicData[[#This Row],[genergy]]=0,"0","10^"&amp;INT(LOG10(SeismicData[[#This Row],[genergy]])))</f>
        <v>10^4</v>
      </c>
      <c r="X1977" t="str">
        <f>IF(OR(SeismicData[[#This Row],[genergy]]&lt;$AA$6,SeismicData[[#This Row],[genergy]]&gt;$AA$5),"Outlier","Normal")</f>
        <v>Normal</v>
      </c>
    </row>
    <row r="1978" spans="1:24" x14ac:dyDescent="0.15">
      <c r="A1978">
        <v>1977</v>
      </c>
      <c r="B1978" t="s">
        <v>23</v>
      </c>
      <c r="C1978" t="s">
        <v>20</v>
      </c>
      <c r="D1978" t="s">
        <v>22</v>
      </c>
      <c r="E1978">
        <v>19640</v>
      </c>
      <c r="F1978">
        <v>302</v>
      </c>
      <c r="G1978">
        <v>-16</v>
      </c>
      <c r="H1978">
        <v>-36</v>
      </c>
      <c r="I1978" t="s">
        <v>20</v>
      </c>
      <c r="J1978">
        <v>0</v>
      </c>
      <c r="K1978">
        <v>0</v>
      </c>
      <c r="L1978">
        <v>0</v>
      </c>
      <c r="M1978">
        <v>0</v>
      </c>
      <c r="N1978">
        <v>0</v>
      </c>
      <c r="O1978">
        <v>0</v>
      </c>
      <c r="P1978">
        <v>0</v>
      </c>
      <c r="Q1978">
        <v>0</v>
      </c>
      <c r="R1978">
        <v>0</v>
      </c>
      <c r="S1978">
        <v>0</v>
      </c>
      <c r="T1978">
        <v>0</v>
      </c>
      <c r="U1978" t="str">
        <f>IF(SeismicData[[#This Row],[class]]=1,"Dangerous","Safe")</f>
        <v>Safe</v>
      </c>
      <c r="V1978" t="str">
        <f>IF(SeismicData[[#This Row],[shift]]="W","Production","Non-Production")</f>
        <v>Production</v>
      </c>
      <c r="W1978" t="str">
        <f>IF(SeismicData[[#This Row],[genergy]]=0,"0","10^"&amp;INT(LOG10(SeismicData[[#This Row],[genergy]])))</f>
        <v>10^4</v>
      </c>
      <c r="X1978" t="str">
        <f>IF(OR(SeismicData[[#This Row],[genergy]]&lt;$AA$6,SeismicData[[#This Row],[genergy]]&gt;$AA$5),"Outlier","Normal")</f>
        <v>Normal</v>
      </c>
    </row>
    <row r="1979" spans="1:24" x14ac:dyDescent="0.15">
      <c r="A1979">
        <v>1978</v>
      </c>
      <c r="B1979" t="s">
        <v>23</v>
      </c>
      <c r="C1979" t="s">
        <v>20</v>
      </c>
      <c r="D1979" t="s">
        <v>22</v>
      </c>
      <c r="E1979">
        <v>41260</v>
      </c>
      <c r="F1979">
        <v>529</v>
      </c>
      <c r="G1979">
        <v>77</v>
      </c>
      <c r="H1979">
        <v>13</v>
      </c>
      <c r="I1979" t="s">
        <v>20</v>
      </c>
      <c r="J1979">
        <v>0</v>
      </c>
      <c r="K1979">
        <v>0</v>
      </c>
      <c r="L1979">
        <v>0</v>
      </c>
      <c r="M1979">
        <v>0</v>
      </c>
      <c r="N1979">
        <v>0</v>
      </c>
      <c r="O1979">
        <v>0</v>
      </c>
      <c r="P1979">
        <v>0</v>
      </c>
      <c r="Q1979">
        <v>0</v>
      </c>
      <c r="R1979">
        <v>0</v>
      </c>
      <c r="S1979">
        <v>0</v>
      </c>
      <c r="T1979">
        <v>0</v>
      </c>
      <c r="U1979" t="str">
        <f>IF(SeismicData[[#This Row],[class]]=1,"Dangerous","Safe")</f>
        <v>Safe</v>
      </c>
      <c r="V1979" t="str">
        <f>IF(SeismicData[[#This Row],[shift]]="W","Production","Non-Production")</f>
        <v>Production</v>
      </c>
      <c r="W1979" t="str">
        <f>IF(SeismicData[[#This Row],[genergy]]=0,"0","10^"&amp;INT(LOG10(SeismicData[[#This Row],[genergy]])))</f>
        <v>10^4</v>
      </c>
      <c r="X1979" t="str">
        <f>IF(OR(SeismicData[[#This Row],[genergy]]&lt;$AA$6,SeismicData[[#This Row],[genergy]]&gt;$AA$5),"Outlier","Normal")</f>
        <v>Normal</v>
      </c>
    </row>
    <row r="1980" spans="1:24" x14ac:dyDescent="0.15">
      <c r="A1980">
        <v>1979</v>
      </c>
      <c r="B1980" t="s">
        <v>23</v>
      </c>
      <c r="C1980" t="s">
        <v>20</v>
      </c>
      <c r="D1980" t="s">
        <v>22</v>
      </c>
      <c r="E1980">
        <v>60320</v>
      </c>
      <c r="F1980">
        <v>632</v>
      </c>
      <c r="G1980">
        <v>159</v>
      </c>
      <c r="H1980">
        <v>35</v>
      </c>
      <c r="I1980" t="s">
        <v>20</v>
      </c>
      <c r="J1980">
        <v>1</v>
      </c>
      <c r="K1980">
        <v>0</v>
      </c>
      <c r="L1980">
        <v>1</v>
      </c>
      <c r="M1980">
        <v>0</v>
      </c>
      <c r="N1980">
        <v>0</v>
      </c>
      <c r="O1980">
        <v>0</v>
      </c>
      <c r="P1980">
        <v>0</v>
      </c>
      <c r="Q1980">
        <v>0</v>
      </c>
      <c r="R1980">
        <v>3000</v>
      </c>
      <c r="S1980">
        <v>3000</v>
      </c>
      <c r="T1980">
        <v>0</v>
      </c>
      <c r="U1980" t="str">
        <f>IF(SeismicData[[#This Row],[class]]=1,"Dangerous","Safe")</f>
        <v>Safe</v>
      </c>
      <c r="V1980" t="str">
        <f>IF(SeismicData[[#This Row],[shift]]="W","Production","Non-Production")</f>
        <v>Production</v>
      </c>
      <c r="W1980" t="str">
        <f>IF(SeismicData[[#This Row],[genergy]]=0,"0","10^"&amp;INT(LOG10(SeismicData[[#This Row],[genergy]])))</f>
        <v>10^4</v>
      </c>
      <c r="X1980" t="str">
        <f>IF(OR(SeismicData[[#This Row],[genergy]]&lt;$AA$6,SeismicData[[#This Row],[genergy]]&gt;$AA$5),"Outlier","Normal")</f>
        <v>Normal</v>
      </c>
    </row>
    <row r="1981" spans="1:24" x14ac:dyDescent="0.15">
      <c r="A1981">
        <v>1980</v>
      </c>
      <c r="B1981" t="s">
        <v>23</v>
      </c>
      <c r="C1981" t="s">
        <v>20</v>
      </c>
      <c r="D1981" t="s">
        <v>22</v>
      </c>
      <c r="E1981">
        <v>47840</v>
      </c>
      <c r="F1981">
        <v>594</v>
      </c>
      <c r="G1981">
        <v>106</v>
      </c>
      <c r="H1981">
        <v>27</v>
      </c>
      <c r="I1981" t="s">
        <v>20</v>
      </c>
      <c r="J1981">
        <v>0</v>
      </c>
      <c r="K1981">
        <v>0</v>
      </c>
      <c r="L1981">
        <v>0</v>
      </c>
      <c r="M1981">
        <v>0</v>
      </c>
      <c r="N1981">
        <v>0</v>
      </c>
      <c r="O1981">
        <v>0</v>
      </c>
      <c r="P1981">
        <v>0</v>
      </c>
      <c r="Q1981">
        <v>0</v>
      </c>
      <c r="R1981">
        <v>0</v>
      </c>
      <c r="S1981">
        <v>0</v>
      </c>
      <c r="T1981">
        <v>0</v>
      </c>
      <c r="U1981" t="str">
        <f>IF(SeismicData[[#This Row],[class]]=1,"Dangerous","Safe")</f>
        <v>Safe</v>
      </c>
      <c r="V1981" t="str">
        <f>IF(SeismicData[[#This Row],[shift]]="W","Production","Non-Production")</f>
        <v>Production</v>
      </c>
      <c r="W1981" t="str">
        <f>IF(SeismicData[[#This Row],[genergy]]=0,"0","10^"&amp;INT(LOG10(SeismicData[[#This Row],[genergy]])))</f>
        <v>10^4</v>
      </c>
      <c r="X1981" t="str">
        <f>IF(OR(SeismicData[[#This Row],[genergy]]&lt;$AA$6,SeismicData[[#This Row],[genergy]]&gt;$AA$5),"Outlier","Normal")</f>
        <v>Normal</v>
      </c>
    </row>
    <row r="1982" spans="1:24" x14ac:dyDescent="0.15">
      <c r="A1982">
        <v>1981</v>
      </c>
      <c r="B1982" t="s">
        <v>23</v>
      </c>
      <c r="C1982" t="s">
        <v>20</v>
      </c>
      <c r="D1982" t="s">
        <v>22</v>
      </c>
      <c r="E1982">
        <v>18690</v>
      </c>
      <c r="F1982">
        <v>401</v>
      </c>
      <c r="G1982">
        <v>-20</v>
      </c>
      <c r="H1982">
        <v>-15</v>
      </c>
      <c r="I1982" t="s">
        <v>20</v>
      </c>
      <c r="J1982">
        <v>1</v>
      </c>
      <c r="K1982">
        <v>1</v>
      </c>
      <c r="L1982">
        <v>0</v>
      </c>
      <c r="M1982">
        <v>0</v>
      </c>
      <c r="N1982">
        <v>0</v>
      </c>
      <c r="O1982">
        <v>0</v>
      </c>
      <c r="P1982">
        <v>0</v>
      </c>
      <c r="Q1982">
        <v>0</v>
      </c>
      <c r="R1982">
        <v>700</v>
      </c>
      <c r="S1982">
        <v>700</v>
      </c>
      <c r="T1982">
        <v>0</v>
      </c>
      <c r="U1982" t="str">
        <f>IF(SeismicData[[#This Row],[class]]=1,"Dangerous","Safe")</f>
        <v>Safe</v>
      </c>
      <c r="V1982" t="str">
        <f>IF(SeismicData[[#This Row],[shift]]="W","Production","Non-Production")</f>
        <v>Production</v>
      </c>
      <c r="W1982" t="str">
        <f>IF(SeismicData[[#This Row],[genergy]]=0,"0","10^"&amp;INT(LOG10(SeismicData[[#This Row],[genergy]])))</f>
        <v>10^4</v>
      </c>
      <c r="X1982" t="str">
        <f>IF(OR(SeismicData[[#This Row],[genergy]]&lt;$AA$6,SeismicData[[#This Row],[genergy]]&gt;$AA$5),"Outlier","Normal")</f>
        <v>Normal</v>
      </c>
    </row>
    <row r="1983" spans="1:24" x14ac:dyDescent="0.15">
      <c r="A1983">
        <v>1982</v>
      </c>
      <c r="B1983" t="s">
        <v>23</v>
      </c>
      <c r="C1983" t="s">
        <v>20</v>
      </c>
      <c r="D1983" t="s">
        <v>22</v>
      </c>
      <c r="E1983">
        <v>35830</v>
      </c>
      <c r="F1983">
        <v>407</v>
      </c>
      <c r="G1983">
        <v>54</v>
      </c>
      <c r="H1983">
        <v>-13</v>
      </c>
      <c r="I1983" t="s">
        <v>20</v>
      </c>
      <c r="J1983">
        <v>0</v>
      </c>
      <c r="K1983">
        <v>0</v>
      </c>
      <c r="L1983">
        <v>0</v>
      </c>
      <c r="M1983">
        <v>0</v>
      </c>
      <c r="N1983">
        <v>0</v>
      </c>
      <c r="O1983">
        <v>0</v>
      </c>
      <c r="P1983">
        <v>0</v>
      </c>
      <c r="Q1983">
        <v>0</v>
      </c>
      <c r="R1983">
        <v>0</v>
      </c>
      <c r="S1983">
        <v>0</v>
      </c>
      <c r="T1983">
        <v>0</v>
      </c>
      <c r="U1983" t="str">
        <f>IF(SeismicData[[#This Row],[class]]=1,"Dangerous","Safe")</f>
        <v>Safe</v>
      </c>
      <c r="V1983" t="str">
        <f>IF(SeismicData[[#This Row],[shift]]="W","Production","Non-Production")</f>
        <v>Production</v>
      </c>
      <c r="W1983" t="str">
        <f>IF(SeismicData[[#This Row],[genergy]]=0,"0","10^"&amp;INT(LOG10(SeismicData[[#This Row],[genergy]])))</f>
        <v>10^4</v>
      </c>
      <c r="X1983" t="str">
        <f>IF(OR(SeismicData[[#This Row],[genergy]]&lt;$AA$6,SeismicData[[#This Row],[genergy]]&gt;$AA$5),"Outlier","Normal")</f>
        <v>Normal</v>
      </c>
    </row>
    <row r="1984" spans="1:24" x14ac:dyDescent="0.15">
      <c r="A1984">
        <v>1983</v>
      </c>
      <c r="B1984" t="s">
        <v>20</v>
      </c>
      <c r="C1984" t="s">
        <v>20</v>
      </c>
      <c r="D1984" t="s">
        <v>22</v>
      </c>
      <c r="E1984">
        <v>30650</v>
      </c>
      <c r="F1984">
        <v>424</v>
      </c>
      <c r="G1984">
        <v>29</v>
      </c>
      <c r="H1984">
        <v>-8</v>
      </c>
      <c r="I1984" t="s">
        <v>20</v>
      </c>
      <c r="J1984">
        <v>1</v>
      </c>
      <c r="K1984">
        <v>0</v>
      </c>
      <c r="L1984">
        <v>1</v>
      </c>
      <c r="M1984">
        <v>0</v>
      </c>
      <c r="N1984">
        <v>0</v>
      </c>
      <c r="O1984">
        <v>0</v>
      </c>
      <c r="P1984">
        <v>0</v>
      </c>
      <c r="Q1984">
        <v>0</v>
      </c>
      <c r="R1984">
        <v>4000</v>
      </c>
      <c r="S1984">
        <v>4000</v>
      </c>
      <c r="T1984">
        <v>0</v>
      </c>
      <c r="U1984" t="str">
        <f>IF(SeismicData[[#This Row],[class]]=1,"Dangerous","Safe")</f>
        <v>Safe</v>
      </c>
      <c r="V1984" t="str">
        <f>IF(SeismicData[[#This Row],[shift]]="W","Production","Non-Production")</f>
        <v>Production</v>
      </c>
      <c r="W1984" t="str">
        <f>IF(SeismicData[[#This Row],[genergy]]=0,"0","10^"&amp;INT(LOG10(SeismicData[[#This Row],[genergy]])))</f>
        <v>10^4</v>
      </c>
      <c r="X1984" t="str">
        <f>IF(OR(SeismicData[[#This Row],[genergy]]&lt;$AA$6,SeismicData[[#This Row],[genergy]]&gt;$AA$5),"Outlier","Normal")</f>
        <v>Normal</v>
      </c>
    </row>
    <row r="1985" spans="1:24" x14ac:dyDescent="0.15">
      <c r="A1985">
        <v>1984</v>
      </c>
      <c r="B1985" t="s">
        <v>20</v>
      </c>
      <c r="C1985" t="s">
        <v>20</v>
      </c>
      <c r="D1985" t="s">
        <v>22</v>
      </c>
      <c r="E1985">
        <v>38400</v>
      </c>
      <c r="F1985">
        <v>555</v>
      </c>
      <c r="G1985">
        <v>62</v>
      </c>
      <c r="H1985">
        <v>21</v>
      </c>
      <c r="I1985" t="s">
        <v>20</v>
      </c>
      <c r="J1985">
        <v>2</v>
      </c>
      <c r="K1985">
        <v>0</v>
      </c>
      <c r="L1985">
        <v>2</v>
      </c>
      <c r="M1985">
        <v>0</v>
      </c>
      <c r="N1985">
        <v>0</v>
      </c>
      <c r="O1985">
        <v>0</v>
      </c>
      <c r="P1985">
        <v>0</v>
      </c>
      <c r="Q1985">
        <v>0</v>
      </c>
      <c r="R1985">
        <v>12000</v>
      </c>
      <c r="S1985">
        <v>8000</v>
      </c>
      <c r="T1985">
        <v>0</v>
      </c>
      <c r="U1985" t="str">
        <f>IF(SeismicData[[#This Row],[class]]=1,"Dangerous","Safe")</f>
        <v>Safe</v>
      </c>
      <c r="V1985" t="str">
        <f>IF(SeismicData[[#This Row],[shift]]="W","Production","Non-Production")</f>
        <v>Production</v>
      </c>
      <c r="W1985" t="str">
        <f>IF(SeismicData[[#This Row],[genergy]]=0,"0","10^"&amp;INT(LOG10(SeismicData[[#This Row],[genergy]])))</f>
        <v>10^4</v>
      </c>
      <c r="X1985" t="str">
        <f>IF(OR(SeismicData[[#This Row],[genergy]]&lt;$AA$6,SeismicData[[#This Row],[genergy]]&gt;$AA$5),"Outlier","Normal")</f>
        <v>Normal</v>
      </c>
    </row>
    <row r="1986" spans="1:24" x14ac:dyDescent="0.15">
      <c r="A1986">
        <v>1985</v>
      </c>
      <c r="B1986" t="s">
        <v>20</v>
      </c>
      <c r="C1986" t="s">
        <v>20</v>
      </c>
      <c r="D1986" t="s">
        <v>22</v>
      </c>
      <c r="E1986">
        <v>48560</v>
      </c>
      <c r="F1986">
        <v>726</v>
      </c>
      <c r="G1986">
        <v>105</v>
      </c>
      <c r="H1986">
        <v>58</v>
      </c>
      <c r="I1986" t="s">
        <v>20</v>
      </c>
      <c r="J1986">
        <v>0</v>
      </c>
      <c r="K1986">
        <v>0</v>
      </c>
      <c r="L1986">
        <v>0</v>
      </c>
      <c r="M1986">
        <v>0</v>
      </c>
      <c r="N1986">
        <v>0</v>
      </c>
      <c r="O1986">
        <v>0</v>
      </c>
      <c r="P1986">
        <v>0</v>
      </c>
      <c r="Q1986">
        <v>0</v>
      </c>
      <c r="R1986">
        <v>0</v>
      </c>
      <c r="S1986">
        <v>0</v>
      </c>
      <c r="T1986">
        <v>1</v>
      </c>
      <c r="U1986" t="str">
        <f>IF(SeismicData[[#This Row],[class]]=1,"Dangerous","Safe")</f>
        <v>Dangerous</v>
      </c>
      <c r="V1986" t="str">
        <f>IF(SeismicData[[#This Row],[shift]]="W","Production","Non-Production")</f>
        <v>Production</v>
      </c>
      <c r="W1986" t="str">
        <f>IF(SeismicData[[#This Row],[genergy]]=0,"0","10^"&amp;INT(LOG10(SeismicData[[#This Row],[genergy]])))</f>
        <v>10^4</v>
      </c>
      <c r="X1986" t="str">
        <f>IF(OR(SeismicData[[#This Row],[genergy]]&lt;$AA$6,SeismicData[[#This Row],[genergy]]&gt;$AA$5),"Outlier","Normal")</f>
        <v>Normal</v>
      </c>
    </row>
    <row r="1987" spans="1:24" x14ac:dyDescent="0.15">
      <c r="A1987">
        <v>1986</v>
      </c>
      <c r="B1987" t="s">
        <v>20</v>
      </c>
      <c r="C1987" t="s">
        <v>20</v>
      </c>
      <c r="D1987" t="s">
        <v>22</v>
      </c>
      <c r="E1987">
        <v>42210</v>
      </c>
      <c r="F1987">
        <v>662</v>
      </c>
      <c r="G1987">
        <v>78</v>
      </c>
      <c r="H1987">
        <v>44</v>
      </c>
      <c r="I1987" t="s">
        <v>20</v>
      </c>
      <c r="J1987">
        <v>2</v>
      </c>
      <c r="K1987">
        <v>0</v>
      </c>
      <c r="L1987">
        <v>1</v>
      </c>
      <c r="M1987">
        <v>1</v>
      </c>
      <c r="N1987">
        <v>0</v>
      </c>
      <c r="O1987">
        <v>0</v>
      </c>
      <c r="P1987">
        <v>0</v>
      </c>
      <c r="Q1987">
        <v>0</v>
      </c>
      <c r="R1987">
        <v>33000</v>
      </c>
      <c r="S1987">
        <v>30000</v>
      </c>
      <c r="T1987">
        <v>0</v>
      </c>
      <c r="U1987" t="str">
        <f>IF(SeismicData[[#This Row],[class]]=1,"Dangerous","Safe")</f>
        <v>Safe</v>
      </c>
      <c r="V1987" t="str">
        <f>IF(SeismicData[[#This Row],[shift]]="W","Production","Non-Production")</f>
        <v>Production</v>
      </c>
      <c r="W1987" t="str">
        <f>IF(SeismicData[[#This Row],[genergy]]=0,"0","10^"&amp;INT(LOG10(SeismicData[[#This Row],[genergy]])))</f>
        <v>10^4</v>
      </c>
      <c r="X1987" t="str">
        <f>IF(OR(SeismicData[[#This Row],[genergy]]&lt;$AA$6,SeismicData[[#This Row],[genergy]]&gt;$AA$5),"Outlier","Normal")</f>
        <v>Normal</v>
      </c>
    </row>
    <row r="1988" spans="1:24" x14ac:dyDescent="0.15">
      <c r="A1988">
        <v>1987</v>
      </c>
      <c r="B1988" t="s">
        <v>20</v>
      </c>
      <c r="C1988" t="s">
        <v>20</v>
      </c>
      <c r="D1988" t="s">
        <v>22</v>
      </c>
      <c r="E1988">
        <v>48390</v>
      </c>
      <c r="F1988">
        <v>532</v>
      </c>
      <c r="G1988">
        <v>104</v>
      </c>
      <c r="H1988">
        <v>16</v>
      </c>
      <c r="I1988" t="s">
        <v>20</v>
      </c>
      <c r="J1988">
        <v>0</v>
      </c>
      <c r="K1988">
        <v>0</v>
      </c>
      <c r="L1988">
        <v>0</v>
      </c>
      <c r="M1988">
        <v>0</v>
      </c>
      <c r="N1988">
        <v>0</v>
      </c>
      <c r="O1988">
        <v>0</v>
      </c>
      <c r="P1988">
        <v>0</v>
      </c>
      <c r="Q1988">
        <v>0</v>
      </c>
      <c r="R1988">
        <v>0</v>
      </c>
      <c r="S1988">
        <v>0</v>
      </c>
      <c r="T1988">
        <v>0</v>
      </c>
      <c r="U1988" t="str">
        <f>IF(SeismicData[[#This Row],[class]]=1,"Dangerous","Safe")</f>
        <v>Safe</v>
      </c>
      <c r="V1988" t="str">
        <f>IF(SeismicData[[#This Row],[shift]]="W","Production","Non-Production")</f>
        <v>Production</v>
      </c>
      <c r="W1988" t="str">
        <f>IF(SeismicData[[#This Row],[genergy]]=0,"0","10^"&amp;INT(LOG10(SeismicData[[#This Row],[genergy]])))</f>
        <v>10^4</v>
      </c>
      <c r="X1988" t="str">
        <f>IF(OR(SeismicData[[#This Row],[genergy]]&lt;$AA$6,SeismicData[[#This Row],[genergy]]&gt;$AA$5),"Outlier","Normal")</f>
        <v>Normal</v>
      </c>
    </row>
    <row r="1989" spans="1:24" x14ac:dyDescent="0.15">
      <c r="A1989">
        <v>1988</v>
      </c>
      <c r="B1989" t="s">
        <v>20</v>
      </c>
      <c r="C1989" t="s">
        <v>20</v>
      </c>
      <c r="D1989" t="s">
        <v>22</v>
      </c>
      <c r="E1989">
        <v>33310</v>
      </c>
      <c r="F1989">
        <v>541</v>
      </c>
      <c r="G1989">
        <v>40</v>
      </c>
      <c r="H1989">
        <v>18</v>
      </c>
      <c r="I1989" t="s">
        <v>20</v>
      </c>
      <c r="J1989">
        <v>0</v>
      </c>
      <c r="K1989">
        <v>0</v>
      </c>
      <c r="L1989">
        <v>0</v>
      </c>
      <c r="M1989">
        <v>0</v>
      </c>
      <c r="N1989">
        <v>0</v>
      </c>
      <c r="O1989">
        <v>0</v>
      </c>
      <c r="P1989">
        <v>0</v>
      </c>
      <c r="Q1989">
        <v>0</v>
      </c>
      <c r="R1989">
        <v>0</v>
      </c>
      <c r="S1989">
        <v>0</v>
      </c>
      <c r="T1989">
        <v>0</v>
      </c>
      <c r="U1989" t="str">
        <f>IF(SeismicData[[#This Row],[class]]=1,"Dangerous","Safe")</f>
        <v>Safe</v>
      </c>
      <c r="V1989" t="str">
        <f>IF(SeismicData[[#This Row],[shift]]="W","Production","Non-Production")</f>
        <v>Production</v>
      </c>
      <c r="W1989" t="str">
        <f>IF(SeismicData[[#This Row],[genergy]]=0,"0","10^"&amp;INT(LOG10(SeismicData[[#This Row],[genergy]])))</f>
        <v>10^4</v>
      </c>
      <c r="X1989" t="str">
        <f>IF(OR(SeismicData[[#This Row],[genergy]]&lt;$AA$6,SeismicData[[#This Row],[genergy]]&gt;$AA$5),"Outlier","Normal")</f>
        <v>Normal</v>
      </c>
    </row>
    <row r="1990" spans="1:24" x14ac:dyDescent="0.15">
      <c r="A1990">
        <v>1989</v>
      </c>
      <c r="B1990" t="s">
        <v>20</v>
      </c>
      <c r="C1990" t="s">
        <v>20</v>
      </c>
      <c r="D1990" t="s">
        <v>22</v>
      </c>
      <c r="E1990">
        <v>65760</v>
      </c>
      <c r="F1990">
        <v>772</v>
      </c>
      <c r="G1990">
        <v>177</v>
      </c>
      <c r="H1990">
        <v>68</v>
      </c>
      <c r="I1990" t="s">
        <v>20</v>
      </c>
      <c r="J1990">
        <v>0</v>
      </c>
      <c r="K1990">
        <v>0</v>
      </c>
      <c r="L1990">
        <v>0</v>
      </c>
      <c r="M1990">
        <v>0</v>
      </c>
      <c r="N1990">
        <v>0</v>
      </c>
      <c r="O1990">
        <v>0</v>
      </c>
      <c r="P1990">
        <v>0</v>
      </c>
      <c r="Q1990">
        <v>0</v>
      </c>
      <c r="R1990">
        <v>0</v>
      </c>
      <c r="S1990">
        <v>0</v>
      </c>
      <c r="T1990">
        <v>0</v>
      </c>
      <c r="U1990" t="str">
        <f>IF(SeismicData[[#This Row],[class]]=1,"Dangerous","Safe")</f>
        <v>Safe</v>
      </c>
      <c r="V1990" t="str">
        <f>IF(SeismicData[[#This Row],[shift]]="W","Production","Non-Production")</f>
        <v>Production</v>
      </c>
      <c r="W1990" t="str">
        <f>IF(SeismicData[[#This Row],[genergy]]=0,"0","10^"&amp;INT(LOG10(SeismicData[[#This Row],[genergy]])))</f>
        <v>10^4</v>
      </c>
      <c r="X1990" t="str">
        <f>IF(OR(SeismicData[[#This Row],[genergy]]&lt;$AA$6,SeismicData[[#This Row],[genergy]]&gt;$AA$5),"Outlier","Normal")</f>
        <v>Normal</v>
      </c>
    </row>
    <row r="1991" spans="1:24" x14ac:dyDescent="0.15">
      <c r="A1991">
        <v>1990</v>
      </c>
      <c r="B1991" t="s">
        <v>20</v>
      </c>
      <c r="C1991" t="s">
        <v>20</v>
      </c>
      <c r="D1991" t="s">
        <v>22</v>
      </c>
      <c r="E1991">
        <v>24300</v>
      </c>
      <c r="F1991">
        <v>508</v>
      </c>
      <c r="G1991">
        <v>2</v>
      </c>
      <c r="H1991">
        <v>11</v>
      </c>
      <c r="I1991" t="s">
        <v>20</v>
      </c>
      <c r="J1991">
        <v>0</v>
      </c>
      <c r="K1991">
        <v>0</v>
      </c>
      <c r="L1991">
        <v>0</v>
      </c>
      <c r="M1991">
        <v>0</v>
      </c>
      <c r="N1991">
        <v>0</v>
      </c>
      <c r="O1991">
        <v>0</v>
      </c>
      <c r="P1991">
        <v>0</v>
      </c>
      <c r="Q1991">
        <v>0</v>
      </c>
      <c r="R1991">
        <v>0</v>
      </c>
      <c r="S1991">
        <v>0</v>
      </c>
      <c r="T1991">
        <v>0</v>
      </c>
      <c r="U1991" t="str">
        <f>IF(SeismicData[[#This Row],[class]]=1,"Dangerous","Safe")</f>
        <v>Safe</v>
      </c>
      <c r="V1991" t="str">
        <f>IF(SeismicData[[#This Row],[shift]]="W","Production","Non-Production")</f>
        <v>Production</v>
      </c>
      <c r="W1991" t="str">
        <f>IF(SeismicData[[#This Row],[genergy]]=0,"0","10^"&amp;INT(LOG10(SeismicData[[#This Row],[genergy]])))</f>
        <v>10^4</v>
      </c>
      <c r="X1991" t="str">
        <f>IF(OR(SeismicData[[#This Row],[genergy]]&lt;$AA$6,SeismicData[[#This Row],[genergy]]&gt;$AA$5),"Outlier","Normal")</f>
        <v>Normal</v>
      </c>
    </row>
    <row r="1992" spans="1:24" x14ac:dyDescent="0.15">
      <c r="A1992">
        <v>1991</v>
      </c>
      <c r="B1992" t="s">
        <v>23</v>
      </c>
      <c r="C1992" t="s">
        <v>23</v>
      </c>
      <c r="D1992" t="s">
        <v>22</v>
      </c>
      <c r="E1992">
        <v>22010</v>
      </c>
      <c r="F1992">
        <v>380</v>
      </c>
      <c r="G1992">
        <v>-11</v>
      </c>
      <c r="H1992">
        <v>-16</v>
      </c>
      <c r="I1992" t="s">
        <v>23</v>
      </c>
      <c r="J1992">
        <v>0</v>
      </c>
      <c r="K1992">
        <v>0</v>
      </c>
      <c r="L1992">
        <v>0</v>
      </c>
      <c r="M1992">
        <v>0</v>
      </c>
      <c r="N1992">
        <v>0</v>
      </c>
      <c r="O1992">
        <v>0</v>
      </c>
      <c r="P1992">
        <v>0</v>
      </c>
      <c r="Q1992">
        <v>0</v>
      </c>
      <c r="R1992">
        <v>0</v>
      </c>
      <c r="S1992">
        <v>0</v>
      </c>
      <c r="T1992">
        <v>0</v>
      </c>
      <c r="U1992" t="str">
        <f>IF(SeismicData[[#This Row],[class]]=1,"Dangerous","Safe")</f>
        <v>Safe</v>
      </c>
      <c r="V1992" t="str">
        <f>IF(SeismicData[[#This Row],[shift]]="W","Production","Non-Production")</f>
        <v>Production</v>
      </c>
      <c r="W1992" t="str">
        <f>IF(SeismicData[[#This Row],[genergy]]=0,"0","10^"&amp;INT(LOG10(SeismicData[[#This Row],[genergy]])))</f>
        <v>10^4</v>
      </c>
      <c r="X1992" t="str">
        <f>IF(OR(SeismicData[[#This Row],[genergy]]&lt;$AA$6,SeismicData[[#This Row],[genergy]]&gt;$AA$5),"Outlier","Normal")</f>
        <v>Normal</v>
      </c>
    </row>
    <row r="1993" spans="1:24" x14ac:dyDescent="0.15">
      <c r="A1993">
        <v>1992</v>
      </c>
      <c r="B1993" t="s">
        <v>23</v>
      </c>
      <c r="C1993" t="s">
        <v>23</v>
      </c>
      <c r="D1993" t="s">
        <v>22</v>
      </c>
      <c r="E1993">
        <v>17290</v>
      </c>
      <c r="F1993">
        <v>278</v>
      </c>
      <c r="G1993">
        <v>-30</v>
      </c>
      <c r="H1993">
        <v>-39</v>
      </c>
      <c r="I1993" t="s">
        <v>23</v>
      </c>
      <c r="J1993">
        <v>1</v>
      </c>
      <c r="K1993">
        <v>0</v>
      </c>
      <c r="L1993">
        <v>1</v>
      </c>
      <c r="M1993">
        <v>0</v>
      </c>
      <c r="N1993">
        <v>0</v>
      </c>
      <c r="O1993">
        <v>0</v>
      </c>
      <c r="P1993">
        <v>0</v>
      </c>
      <c r="Q1993">
        <v>0</v>
      </c>
      <c r="R1993">
        <v>4000</v>
      </c>
      <c r="S1993">
        <v>4000</v>
      </c>
      <c r="T1993">
        <v>0</v>
      </c>
      <c r="U1993" t="str">
        <f>IF(SeismicData[[#This Row],[class]]=1,"Dangerous","Safe")</f>
        <v>Safe</v>
      </c>
      <c r="V1993" t="str">
        <f>IF(SeismicData[[#This Row],[shift]]="W","Production","Non-Production")</f>
        <v>Production</v>
      </c>
      <c r="W1993" t="str">
        <f>IF(SeismicData[[#This Row],[genergy]]=0,"0","10^"&amp;INT(LOG10(SeismicData[[#This Row],[genergy]])))</f>
        <v>10^4</v>
      </c>
      <c r="X1993" t="str">
        <f>IF(OR(SeismicData[[#This Row],[genergy]]&lt;$AA$6,SeismicData[[#This Row],[genergy]]&gt;$AA$5),"Outlier","Normal")</f>
        <v>Normal</v>
      </c>
    </row>
    <row r="1994" spans="1:24" x14ac:dyDescent="0.15">
      <c r="A1994">
        <v>1993</v>
      </c>
      <c r="B1994" t="s">
        <v>23</v>
      </c>
      <c r="C1994" t="s">
        <v>23</v>
      </c>
      <c r="D1994" t="s">
        <v>22</v>
      </c>
      <c r="E1994">
        <v>14460</v>
      </c>
      <c r="F1994">
        <v>271</v>
      </c>
      <c r="G1994">
        <v>-42</v>
      </c>
      <c r="H1994">
        <v>-40</v>
      </c>
      <c r="I1994" t="s">
        <v>23</v>
      </c>
      <c r="J1994">
        <v>0</v>
      </c>
      <c r="K1994">
        <v>0</v>
      </c>
      <c r="L1994">
        <v>0</v>
      </c>
      <c r="M1994">
        <v>0</v>
      </c>
      <c r="N1994">
        <v>0</v>
      </c>
      <c r="O1994">
        <v>0</v>
      </c>
      <c r="P1994">
        <v>0</v>
      </c>
      <c r="Q1994">
        <v>0</v>
      </c>
      <c r="R1994">
        <v>0</v>
      </c>
      <c r="S1994">
        <v>0</v>
      </c>
      <c r="T1994">
        <v>0</v>
      </c>
      <c r="U1994" t="str">
        <f>IF(SeismicData[[#This Row],[class]]=1,"Dangerous","Safe")</f>
        <v>Safe</v>
      </c>
      <c r="V1994" t="str">
        <f>IF(SeismicData[[#This Row],[shift]]="W","Production","Non-Production")</f>
        <v>Production</v>
      </c>
      <c r="W1994" t="str">
        <f>IF(SeismicData[[#This Row],[genergy]]=0,"0","10^"&amp;INT(LOG10(SeismicData[[#This Row],[genergy]])))</f>
        <v>10^4</v>
      </c>
      <c r="X1994" t="str">
        <f>IF(OR(SeismicData[[#This Row],[genergy]]&lt;$AA$6,SeismicData[[#This Row],[genergy]]&gt;$AA$5),"Outlier","Normal")</f>
        <v>Normal</v>
      </c>
    </row>
    <row r="1995" spans="1:24" x14ac:dyDescent="0.15">
      <c r="A1995">
        <v>1994</v>
      </c>
      <c r="B1995" t="s">
        <v>23</v>
      </c>
      <c r="C1995" t="s">
        <v>23</v>
      </c>
      <c r="D1995" t="s">
        <v>22</v>
      </c>
      <c r="E1995">
        <v>47200</v>
      </c>
      <c r="F1995">
        <v>562</v>
      </c>
      <c r="G1995">
        <v>91</v>
      </c>
      <c r="H1995">
        <v>24</v>
      </c>
      <c r="I1995" t="s">
        <v>23</v>
      </c>
      <c r="J1995">
        <v>0</v>
      </c>
      <c r="K1995">
        <v>0</v>
      </c>
      <c r="L1995">
        <v>0</v>
      </c>
      <c r="M1995">
        <v>0</v>
      </c>
      <c r="N1995">
        <v>0</v>
      </c>
      <c r="O1995">
        <v>0</v>
      </c>
      <c r="P1995">
        <v>0</v>
      </c>
      <c r="Q1995">
        <v>0</v>
      </c>
      <c r="R1995">
        <v>0</v>
      </c>
      <c r="S1995">
        <v>0</v>
      </c>
      <c r="T1995">
        <v>0</v>
      </c>
      <c r="U1995" t="str">
        <f>IF(SeismicData[[#This Row],[class]]=1,"Dangerous","Safe")</f>
        <v>Safe</v>
      </c>
      <c r="V1995" t="str">
        <f>IF(SeismicData[[#This Row],[shift]]="W","Production","Non-Production")</f>
        <v>Production</v>
      </c>
      <c r="W1995" t="str">
        <f>IF(SeismicData[[#This Row],[genergy]]=0,"0","10^"&amp;INT(LOG10(SeismicData[[#This Row],[genergy]])))</f>
        <v>10^4</v>
      </c>
      <c r="X1995" t="str">
        <f>IF(OR(SeismicData[[#This Row],[genergy]]&lt;$AA$6,SeismicData[[#This Row],[genergy]]&gt;$AA$5),"Outlier","Normal")</f>
        <v>Normal</v>
      </c>
    </row>
    <row r="1996" spans="1:24" x14ac:dyDescent="0.15">
      <c r="A1996">
        <v>1995</v>
      </c>
      <c r="B1996" t="s">
        <v>23</v>
      </c>
      <c r="C1996" t="s">
        <v>23</v>
      </c>
      <c r="D1996" t="s">
        <v>22</v>
      </c>
      <c r="E1996">
        <v>26750</v>
      </c>
      <c r="F1996">
        <v>408</v>
      </c>
      <c r="G1996">
        <v>8</v>
      </c>
      <c r="H1996">
        <v>-10</v>
      </c>
      <c r="I1996" t="s">
        <v>23</v>
      </c>
      <c r="J1996">
        <v>0</v>
      </c>
      <c r="K1996">
        <v>0</v>
      </c>
      <c r="L1996">
        <v>0</v>
      </c>
      <c r="M1996">
        <v>0</v>
      </c>
      <c r="N1996">
        <v>0</v>
      </c>
      <c r="O1996">
        <v>0</v>
      </c>
      <c r="P1996">
        <v>0</v>
      </c>
      <c r="Q1996">
        <v>0</v>
      </c>
      <c r="R1996">
        <v>0</v>
      </c>
      <c r="S1996">
        <v>0</v>
      </c>
      <c r="T1996">
        <v>0</v>
      </c>
      <c r="U1996" t="str">
        <f>IF(SeismicData[[#This Row],[class]]=1,"Dangerous","Safe")</f>
        <v>Safe</v>
      </c>
      <c r="V1996" t="str">
        <f>IF(SeismicData[[#This Row],[shift]]="W","Production","Non-Production")</f>
        <v>Production</v>
      </c>
      <c r="W1996" t="str">
        <f>IF(SeismicData[[#This Row],[genergy]]=0,"0","10^"&amp;INT(LOG10(SeismicData[[#This Row],[genergy]])))</f>
        <v>10^4</v>
      </c>
      <c r="X1996" t="str">
        <f>IF(OR(SeismicData[[#This Row],[genergy]]&lt;$AA$6,SeismicData[[#This Row],[genergy]]&gt;$AA$5),"Outlier","Normal")</f>
        <v>Normal</v>
      </c>
    </row>
    <row r="1997" spans="1:24" x14ac:dyDescent="0.15">
      <c r="A1997">
        <v>1996</v>
      </c>
      <c r="B1997" t="s">
        <v>23</v>
      </c>
      <c r="C1997" t="s">
        <v>23</v>
      </c>
      <c r="D1997" t="s">
        <v>22</v>
      </c>
      <c r="E1997">
        <v>19120</v>
      </c>
      <c r="F1997">
        <v>389</v>
      </c>
      <c r="G1997">
        <v>-23</v>
      </c>
      <c r="H1997">
        <v>-14</v>
      </c>
      <c r="I1997" t="s">
        <v>23</v>
      </c>
      <c r="J1997">
        <v>0</v>
      </c>
      <c r="K1997">
        <v>0</v>
      </c>
      <c r="L1997">
        <v>0</v>
      </c>
      <c r="M1997">
        <v>0</v>
      </c>
      <c r="N1997">
        <v>0</v>
      </c>
      <c r="O1997">
        <v>0</v>
      </c>
      <c r="P1997">
        <v>0</v>
      </c>
      <c r="Q1997">
        <v>0</v>
      </c>
      <c r="R1997">
        <v>0</v>
      </c>
      <c r="S1997">
        <v>0</v>
      </c>
      <c r="T1997">
        <v>0</v>
      </c>
      <c r="U1997" t="str">
        <f>IF(SeismicData[[#This Row],[class]]=1,"Dangerous","Safe")</f>
        <v>Safe</v>
      </c>
      <c r="V1997" t="str">
        <f>IF(SeismicData[[#This Row],[shift]]="W","Production","Non-Production")</f>
        <v>Production</v>
      </c>
      <c r="W1997" t="str">
        <f>IF(SeismicData[[#This Row],[genergy]]=0,"0","10^"&amp;INT(LOG10(SeismicData[[#This Row],[genergy]])))</f>
        <v>10^4</v>
      </c>
      <c r="X1997" t="str">
        <f>IF(OR(SeismicData[[#This Row],[genergy]]&lt;$AA$6,SeismicData[[#This Row],[genergy]]&gt;$AA$5),"Outlier","Normal")</f>
        <v>Normal</v>
      </c>
    </row>
    <row r="1998" spans="1:24" x14ac:dyDescent="0.15">
      <c r="A1998">
        <v>1997</v>
      </c>
      <c r="B1998" t="s">
        <v>23</v>
      </c>
      <c r="C1998" t="s">
        <v>23</v>
      </c>
      <c r="D1998" t="s">
        <v>22</v>
      </c>
      <c r="E1998">
        <v>21400</v>
      </c>
      <c r="F1998">
        <v>391</v>
      </c>
      <c r="G1998">
        <v>-14</v>
      </c>
      <c r="H1998">
        <v>-14</v>
      </c>
      <c r="I1998" t="s">
        <v>23</v>
      </c>
      <c r="J1998">
        <v>1</v>
      </c>
      <c r="K1998">
        <v>1</v>
      </c>
      <c r="L1998">
        <v>0</v>
      </c>
      <c r="M1998">
        <v>0</v>
      </c>
      <c r="N1998">
        <v>0</v>
      </c>
      <c r="O1998">
        <v>0</v>
      </c>
      <c r="P1998">
        <v>0</v>
      </c>
      <c r="Q1998">
        <v>0</v>
      </c>
      <c r="R1998">
        <v>300</v>
      </c>
      <c r="S1998">
        <v>300</v>
      </c>
      <c r="T1998">
        <v>0</v>
      </c>
      <c r="U1998" t="str">
        <f>IF(SeismicData[[#This Row],[class]]=1,"Dangerous","Safe")</f>
        <v>Safe</v>
      </c>
      <c r="V1998" t="str">
        <f>IF(SeismicData[[#This Row],[shift]]="W","Production","Non-Production")</f>
        <v>Production</v>
      </c>
      <c r="W1998" t="str">
        <f>IF(SeismicData[[#This Row],[genergy]]=0,"0","10^"&amp;INT(LOG10(SeismicData[[#This Row],[genergy]])))</f>
        <v>10^4</v>
      </c>
      <c r="X1998" t="str">
        <f>IF(OR(SeismicData[[#This Row],[genergy]]&lt;$AA$6,SeismicData[[#This Row],[genergy]]&gt;$AA$5),"Outlier","Normal")</f>
        <v>Normal</v>
      </c>
    </row>
    <row r="1999" spans="1:24" x14ac:dyDescent="0.15">
      <c r="A1999">
        <v>1998</v>
      </c>
      <c r="B1999" t="s">
        <v>23</v>
      </c>
      <c r="C1999" t="s">
        <v>23</v>
      </c>
      <c r="D1999" t="s">
        <v>22</v>
      </c>
      <c r="E1999">
        <v>62860</v>
      </c>
      <c r="F1999">
        <v>596</v>
      </c>
      <c r="G1999">
        <v>154</v>
      </c>
      <c r="H1999">
        <v>31</v>
      </c>
      <c r="I1999" t="s">
        <v>23</v>
      </c>
      <c r="J1999">
        <v>3</v>
      </c>
      <c r="K1999">
        <v>3</v>
      </c>
      <c r="L1999">
        <v>0</v>
      </c>
      <c r="M1999">
        <v>0</v>
      </c>
      <c r="N1999">
        <v>0</v>
      </c>
      <c r="O1999">
        <v>0</v>
      </c>
      <c r="P1999">
        <v>0</v>
      </c>
      <c r="Q1999">
        <v>0</v>
      </c>
      <c r="R1999">
        <v>1300</v>
      </c>
      <c r="S1999">
        <v>500</v>
      </c>
      <c r="T1999">
        <v>0</v>
      </c>
      <c r="U1999" t="str">
        <f>IF(SeismicData[[#This Row],[class]]=1,"Dangerous","Safe")</f>
        <v>Safe</v>
      </c>
      <c r="V1999" t="str">
        <f>IF(SeismicData[[#This Row],[shift]]="W","Production","Non-Production")</f>
        <v>Production</v>
      </c>
      <c r="W1999" t="str">
        <f>IF(SeismicData[[#This Row],[genergy]]=0,"0","10^"&amp;INT(LOG10(SeismicData[[#This Row],[genergy]])))</f>
        <v>10^4</v>
      </c>
      <c r="X1999" t="str">
        <f>IF(OR(SeismicData[[#This Row],[genergy]]&lt;$AA$6,SeismicData[[#This Row],[genergy]]&gt;$AA$5),"Outlier","Normal")</f>
        <v>Normal</v>
      </c>
    </row>
    <row r="2000" spans="1:24" x14ac:dyDescent="0.15">
      <c r="A2000">
        <v>1999</v>
      </c>
      <c r="B2000" t="s">
        <v>23</v>
      </c>
      <c r="C2000" t="s">
        <v>23</v>
      </c>
      <c r="D2000" t="s">
        <v>22</v>
      </c>
      <c r="E2000">
        <v>60490</v>
      </c>
      <c r="F2000">
        <v>788</v>
      </c>
      <c r="G2000">
        <v>129</v>
      </c>
      <c r="H2000">
        <v>70</v>
      </c>
      <c r="I2000" t="s">
        <v>23</v>
      </c>
      <c r="J2000">
        <v>1</v>
      </c>
      <c r="K2000">
        <v>1</v>
      </c>
      <c r="L2000">
        <v>0</v>
      </c>
      <c r="M2000">
        <v>0</v>
      </c>
      <c r="N2000">
        <v>0</v>
      </c>
      <c r="O2000">
        <v>0</v>
      </c>
      <c r="P2000">
        <v>0</v>
      </c>
      <c r="Q2000">
        <v>0</v>
      </c>
      <c r="R2000">
        <v>600</v>
      </c>
      <c r="S2000">
        <v>600</v>
      </c>
      <c r="T2000">
        <v>0</v>
      </c>
      <c r="U2000" t="str">
        <f>IF(SeismicData[[#This Row],[class]]=1,"Dangerous","Safe")</f>
        <v>Safe</v>
      </c>
      <c r="V2000" t="str">
        <f>IF(SeismicData[[#This Row],[shift]]="W","Production","Non-Production")</f>
        <v>Production</v>
      </c>
      <c r="W2000" t="str">
        <f>IF(SeismicData[[#This Row],[genergy]]=0,"0","10^"&amp;INT(LOG10(SeismicData[[#This Row],[genergy]])))</f>
        <v>10^4</v>
      </c>
      <c r="X2000" t="str">
        <f>IF(OR(SeismicData[[#This Row],[genergy]]&lt;$AA$6,SeismicData[[#This Row],[genergy]]&gt;$AA$5),"Outlier","Normal")</f>
        <v>Normal</v>
      </c>
    </row>
    <row r="2001" spans="1:24" x14ac:dyDescent="0.15">
      <c r="A2001">
        <v>2000</v>
      </c>
      <c r="B2001" t="s">
        <v>23</v>
      </c>
      <c r="C2001" t="s">
        <v>23</v>
      </c>
      <c r="D2001" t="s">
        <v>22</v>
      </c>
      <c r="E2001">
        <v>33960</v>
      </c>
      <c r="F2001">
        <v>593</v>
      </c>
      <c r="G2001">
        <v>29</v>
      </c>
      <c r="H2001">
        <v>28</v>
      </c>
      <c r="I2001" t="s">
        <v>23</v>
      </c>
      <c r="J2001">
        <v>1</v>
      </c>
      <c r="K2001">
        <v>0</v>
      </c>
      <c r="L2001">
        <v>1</v>
      </c>
      <c r="M2001">
        <v>0</v>
      </c>
      <c r="N2001">
        <v>0</v>
      </c>
      <c r="O2001">
        <v>0</v>
      </c>
      <c r="P2001">
        <v>0</v>
      </c>
      <c r="Q2001">
        <v>0</v>
      </c>
      <c r="R2001">
        <v>4000</v>
      </c>
      <c r="S2001">
        <v>4000</v>
      </c>
      <c r="T2001">
        <v>0</v>
      </c>
      <c r="U2001" t="str">
        <f>IF(SeismicData[[#This Row],[class]]=1,"Dangerous","Safe")</f>
        <v>Safe</v>
      </c>
      <c r="V2001" t="str">
        <f>IF(SeismicData[[#This Row],[shift]]="W","Production","Non-Production")</f>
        <v>Production</v>
      </c>
      <c r="W2001" t="str">
        <f>IF(SeismicData[[#This Row],[genergy]]=0,"0","10^"&amp;INT(LOG10(SeismicData[[#This Row],[genergy]])))</f>
        <v>10^4</v>
      </c>
      <c r="X2001" t="str">
        <f>IF(OR(SeismicData[[#This Row],[genergy]]&lt;$AA$6,SeismicData[[#This Row],[genergy]]&gt;$AA$5),"Outlier","Normal")</f>
        <v>Normal</v>
      </c>
    </row>
    <row r="2002" spans="1:24" x14ac:dyDescent="0.15">
      <c r="A2002">
        <v>2001</v>
      </c>
      <c r="B2002" t="s">
        <v>23</v>
      </c>
      <c r="C2002" t="s">
        <v>23</v>
      </c>
      <c r="D2002" t="s">
        <v>22</v>
      </c>
      <c r="E2002">
        <v>20080</v>
      </c>
      <c r="F2002">
        <v>370</v>
      </c>
      <c r="G2002">
        <v>-24</v>
      </c>
      <c r="H2002">
        <v>-20</v>
      </c>
      <c r="I2002" t="s">
        <v>23</v>
      </c>
      <c r="J2002">
        <v>0</v>
      </c>
      <c r="K2002">
        <v>0</v>
      </c>
      <c r="L2002">
        <v>0</v>
      </c>
      <c r="M2002">
        <v>0</v>
      </c>
      <c r="N2002">
        <v>0</v>
      </c>
      <c r="O2002">
        <v>0</v>
      </c>
      <c r="P2002">
        <v>0</v>
      </c>
      <c r="Q2002">
        <v>0</v>
      </c>
      <c r="R2002">
        <v>0</v>
      </c>
      <c r="S2002">
        <v>0</v>
      </c>
      <c r="T2002">
        <v>0</v>
      </c>
      <c r="U2002" t="str">
        <f>IF(SeismicData[[#This Row],[class]]=1,"Dangerous","Safe")</f>
        <v>Safe</v>
      </c>
      <c r="V2002" t="str">
        <f>IF(SeismicData[[#This Row],[shift]]="W","Production","Non-Production")</f>
        <v>Production</v>
      </c>
      <c r="W2002" t="str">
        <f>IF(SeismicData[[#This Row],[genergy]]=0,"0","10^"&amp;INT(LOG10(SeismicData[[#This Row],[genergy]])))</f>
        <v>10^4</v>
      </c>
      <c r="X2002" t="str">
        <f>IF(OR(SeismicData[[#This Row],[genergy]]&lt;$AA$6,SeismicData[[#This Row],[genergy]]&gt;$AA$5),"Outlier","Normal")</f>
        <v>Normal</v>
      </c>
    </row>
    <row r="2003" spans="1:24" x14ac:dyDescent="0.15">
      <c r="A2003">
        <v>2002</v>
      </c>
      <c r="B2003" t="s">
        <v>23</v>
      </c>
      <c r="C2003" t="s">
        <v>23</v>
      </c>
      <c r="D2003" t="s">
        <v>22</v>
      </c>
      <c r="E2003">
        <v>45330</v>
      </c>
      <c r="F2003">
        <v>648</v>
      </c>
      <c r="G2003">
        <v>72</v>
      </c>
      <c r="H2003">
        <v>40</v>
      </c>
      <c r="I2003" t="s">
        <v>23</v>
      </c>
      <c r="J2003">
        <v>2</v>
      </c>
      <c r="K2003">
        <v>2</v>
      </c>
      <c r="L2003">
        <v>0</v>
      </c>
      <c r="M2003">
        <v>0</v>
      </c>
      <c r="N2003">
        <v>0</v>
      </c>
      <c r="O2003">
        <v>0</v>
      </c>
      <c r="P2003">
        <v>0</v>
      </c>
      <c r="Q2003">
        <v>0</v>
      </c>
      <c r="R2003">
        <v>900</v>
      </c>
      <c r="S2003">
        <v>600</v>
      </c>
      <c r="T2003">
        <v>1</v>
      </c>
      <c r="U2003" t="str">
        <f>IF(SeismicData[[#This Row],[class]]=1,"Dangerous","Safe")</f>
        <v>Dangerous</v>
      </c>
      <c r="V2003" t="str">
        <f>IF(SeismicData[[#This Row],[shift]]="W","Production","Non-Production")</f>
        <v>Production</v>
      </c>
      <c r="W2003" t="str">
        <f>IF(SeismicData[[#This Row],[genergy]]=0,"0","10^"&amp;INT(LOG10(SeismicData[[#This Row],[genergy]])))</f>
        <v>10^4</v>
      </c>
      <c r="X2003" t="str">
        <f>IF(OR(SeismicData[[#This Row],[genergy]]&lt;$AA$6,SeismicData[[#This Row],[genergy]]&gt;$AA$5),"Outlier","Normal")</f>
        <v>Normal</v>
      </c>
    </row>
    <row r="2004" spans="1:24" x14ac:dyDescent="0.15">
      <c r="A2004">
        <v>2003</v>
      </c>
      <c r="B2004" t="s">
        <v>23</v>
      </c>
      <c r="C2004" t="s">
        <v>23</v>
      </c>
      <c r="D2004" t="s">
        <v>22</v>
      </c>
      <c r="E2004">
        <v>69230</v>
      </c>
      <c r="F2004">
        <v>955</v>
      </c>
      <c r="G2004">
        <v>162</v>
      </c>
      <c r="H2004">
        <v>106</v>
      </c>
      <c r="I2004" t="s">
        <v>23</v>
      </c>
      <c r="J2004">
        <v>2</v>
      </c>
      <c r="K2004">
        <v>0</v>
      </c>
      <c r="L2004">
        <v>1</v>
      </c>
      <c r="M2004">
        <v>1</v>
      </c>
      <c r="N2004">
        <v>0</v>
      </c>
      <c r="O2004">
        <v>0</v>
      </c>
      <c r="P2004">
        <v>0</v>
      </c>
      <c r="Q2004">
        <v>0</v>
      </c>
      <c r="R2004">
        <v>34000</v>
      </c>
      <c r="S2004">
        <v>30000</v>
      </c>
      <c r="T2004">
        <v>0</v>
      </c>
      <c r="U2004" t="str">
        <f>IF(SeismicData[[#This Row],[class]]=1,"Dangerous","Safe")</f>
        <v>Safe</v>
      </c>
      <c r="V2004" t="str">
        <f>IF(SeismicData[[#This Row],[shift]]="W","Production","Non-Production")</f>
        <v>Production</v>
      </c>
      <c r="W2004" t="str">
        <f>IF(SeismicData[[#This Row],[genergy]]=0,"0","10^"&amp;INT(LOG10(SeismicData[[#This Row],[genergy]])))</f>
        <v>10^4</v>
      </c>
      <c r="X2004" t="str">
        <f>IF(OR(SeismicData[[#This Row],[genergy]]&lt;$AA$6,SeismicData[[#This Row],[genergy]]&gt;$AA$5),"Outlier","Normal")</f>
        <v>Normal</v>
      </c>
    </row>
    <row r="2005" spans="1:24" x14ac:dyDescent="0.15">
      <c r="A2005">
        <v>2004</v>
      </c>
      <c r="B2005" t="s">
        <v>23</v>
      </c>
      <c r="C2005" t="s">
        <v>23</v>
      </c>
      <c r="D2005" t="s">
        <v>22</v>
      </c>
      <c r="E2005">
        <v>28360</v>
      </c>
      <c r="F2005">
        <v>781</v>
      </c>
      <c r="G2005">
        <v>7</v>
      </c>
      <c r="H2005">
        <v>68</v>
      </c>
      <c r="I2005" t="s">
        <v>23</v>
      </c>
      <c r="J2005">
        <v>0</v>
      </c>
      <c r="K2005">
        <v>0</v>
      </c>
      <c r="L2005">
        <v>0</v>
      </c>
      <c r="M2005">
        <v>0</v>
      </c>
      <c r="N2005">
        <v>0</v>
      </c>
      <c r="O2005">
        <v>0</v>
      </c>
      <c r="P2005">
        <v>0</v>
      </c>
      <c r="Q2005">
        <v>0</v>
      </c>
      <c r="R2005">
        <v>0</v>
      </c>
      <c r="S2005">
        <v>0</v>
      </c>
      <c r="T2005">
        <v>0</v>
      </c>
      <c r="U2005" t="str">
        <f>IF(SeismicData[[#This Row],[class]]=1,"Dangerous","Safe")</f>
        <v>Safe</v>
      </c>
      <c r="V2005" t="str">
        <f>IF(SeismicData[[#This Row],[shift]]="W","Production","Non-Production")</f>
        <v>Production</v>
      </c>
      <c r="W2005" t="str">
        <f>IF(SeismicData[[#This Row],[genergy]]=0,"0","10^"&amp;INT(LOG10(SeismicData[[#This Row],[genergy]])))</f>
        <v>10^4</v>
      </c>
      <c r="X2005" t="str">
        <f>IF(OR(SeismicData[[#This Row],[genergy]]&lt;$AA$6,SeismicData[[#This Row],[genergy]]&gt;$AA$5),"Outlier","Normal")</f>
        <v>Normal</v>
      </c>
    </row>
    <row r="2006" spans="1:24" x14ac:dyDescent="0.15">
      <c r="A2006">
        <v>2005</v>
      </c>
      <c r="B2006" t="s">
        <v>23</v>
      </c>
      <c r="C2006" t="s">
        <v>23</v>
      </c>
      <c r="D2006" t="s">
        <v>22</v>
      </c>
      <c r="E2006">
        <v>14190</v>
      </c>
      <c r="F2006">
        <v>453</v>
      </c>
      <c r="G2006">
        <v>-46</v>
      </c>
      <c r="H2006">
        <v>-2</v>
      </c>
      <c r="I2006" t="s">
        <v>23</v>
      </c>
      <c r="J2006">
        <v>0</v>
      </c>
      <c r="K2006">
        <v>0</v>
      </c>
      <c r="L2006">
        <v>0</v>
      </c>
      <c r="M2006">
        <v>0</v>
      </c>
      <c r="N2006">
        <v>0</v>
      </c>
      <c r="O2006">
        <v>0</v>
      </c>
      <c r="P2006">
        <v>0</v>
      </c>
      <c r="Q2006">
        <v>0</v>
      </c>
      <c r="R2006">
        <v>0</v>
      </c>
      <c r="S2006">
        <v>0</v>
      </c>
      <c r="T2006">
        <v>0</v>
      </c>
      <c r="U2006" t="str">
        <f>IF(SeismicData[[#This Row],[class]]=1,"Dangerous","Safe")</f>
        <v>Safe</v>
      </c>
      <c r="V2006" t="str">
        <f>IF(SeismicData[[#This Row],[shift]]="W","Production","Non-Production")</f>
        <v>Production</v>
      </c>
      <c r="W2006" t="str">
        <f>IF(SeismicData[[#This Row],[genergy]]=0,"0","10^"&amp;INT(LOG10(SeismicData[[#This Row],[genergy]])))</f>
        <v>10^4</v>
      </c>
      <c r="X2006" t="str">
        <f>IF(OR(SeismicData[[#This Row],[genergy]]&lt;$AA$6,SeismicData[[#This Row],[genergy]]&gt;$AA$5),"Outlier","Normal")</f>
        <v>Normal</v>
      </c>
    </row>
    <row r="2007" spans="1:24" x14ac:dyDescent="0.15">
      <c r="A2007">
        <v>2006</v>
      </c>
      <c r="B2007" t="s">
        <v>23</v>
      </c>
      <c r="C2007" t="s">
        <v>23</v>
      </c>
      <c r="D2007" t="s">
        <v>22</v>
      </c>
      <c r="E2007">
        <v>15760</v>
      </c>
      <c r="F2007">
        <v>570</v>
      </c>
      <c r="G2007">
        <v>-40</v>
      </c>
      <c r="H2007">
        <v>23</v>
      </c>
      <c r="I2007" t="s">
        <v>23</v>
      </c>
      <c r="J2007">
        <v>1</v>
      </c>
      <c r="K2007">
        <v>1</v>
      </c>
      <c r="L2007">
        <v>0</v>
      </c>
      <c r="M2007">
        <v>0</v>
      </c>
      <c r="N2007">
        <v>0</v>
      </c>
      <c r="O2007">
        <v>0</v>
      </c>
      <c r="P2007">
        <v>0</v>
      </c>
      <c r="Q2007">
        <v>0</v>
      </c>
      <c r="R2007">
        <v>300</v>
      </c>
      <c r="S2007">
        <v>300</v>
      </c>
      <c r="T2007">
        <v>0</v>
      </c>
      <c r="U2007" t="str">
        <f>IF(SeismicData[[#This Row],[class]]=1,"Dangerous","Safe")</f>
        <v>Safe</v>
      </c>
      <c r="V2007" t="str">
        <f>IF(SeismicData[[#This Row],[shift]]="W","Production","Non-Production")</f>
        <v>Production</v>
      </c>
      <c r="W2007" t="str">
        <f>IF(SeismicData[[#This Row],[genergy]]=0,"0","10^"&amp;INT(LOG10(SeismicData[[#This Row],[genergy]])))</f>
        <v>10^4</v>
      </c>
      <c r="X2007" t="str">
        <f>IF(OR(SeismicData[[#This Row],[genergy]]&lt;$AA$6,SeismicData[[#This Row],[genergy]]&gt;$AA$5),"Outlier","Normal")</f>
        <v>Normal</v>
      </c>
    </row>
    <row r="2008" spans="1:24" x14ac:dyDescent="0.15">
      <c r="A2008">
        <v>2007</v>
      </c>
      <c r="B2008" t="s">
        <v>23</v>
      </c>
      <c r="C2008" t="s">
        <v>23</v>
      </c>
      <c r="D2008" t="s">
        <v>22</v>
      </c>
      <c r="E2008">
        <v>20640</v>
      </c>
      <c r="F2008">
        <v>517</v>
      </c>
      <c r="G2008">
        <v>-23</v>
      </c>
      <c r="H2008">
        <v>14</v>
      </c>
      <c r="I2008" t="s">
        <v>20</v>
      </c>
      <c r="J2008">
        <v>0</v>
      </c>
      <c r="K2008">
        <v>0</v>
      </c>
      <c r="L2008">
        <v>0</v>
      </c>
      <c r="M2008">
        <v>0</v>
      </c>
      <c r="N2008">
        <v>0</v>
      </c>
      <c r="O2008">
        <v>0</v>
      </c>
      <c r="P2008">
        <v>0</v>
      </c>
      <c r="Q2008">
        <v>0</v>
      </c>
      <c r="R2008">
        <v>0</v>
      </c>
      <c r="S2008">
        <v>0</v>
      </c>
      <c r="T2008">
        <v>0</v>
      </c>
      <c r="U2008" t="str">
        <f>IF(SeismicData[[#This Row],[class]]=1,"Dangerous","Safe")</f>
        <v>Safe</v>
      </c>
      <c r="V2008" t="str">
        <f>IF(SeismicData[[#This Row],[shift]]="W","Production","Non-Production")</f>
        <v>Production</v>
      </c>
      <c r="W2008" t="str">
        <f>IF(SeismicData[[#This Row],[genergy]]=0,"0","10^"&amp;INT(LOG10(SeismicData[[#This Row],[genergy]])))</f>
        <v>10^4</v>
      </c>
      <c r="X2008" t="str">
        <f>IF(OR(SeismicData[[#This Row],[genergy]]&lt;$AA$6,SeismicData[[#This Row],[genergy]]&gt;$AA$5),"Outlier","Normal")</f>
        <v>Normal</v>
      </c>
    </row>
    <row r="2009" spans="1:24" x14ac:dyDescent="0.15">
      <c r="A2009">
        <v>2008</v>
      </c>
      <c r="B2009" t="s">
        <v>23</v>
      </c>
      <c r="C2009" t="s">
        <v>23</v>
      </c>
      <c r="D2009" t="s">
        <v>22</v>
      </c>
      <c r="E2009">
        <v>32500</v>
      </c>
      <c r="F2009">
        <v>566</v>
      </c>
      <c r="G2009">
        <v>21</v>
      </c>
      <c r="H2009">
        <v>24</v>
      </c>
      <c r="I2009" t="s">
        <v>20</v>
      </c>
      <c r="J2009">
        <v>0</v>
      </c>
      <c r="K2009">
        <v>0</v>
      </c>
      <c r="L2009">
        <v>0</v>
      </c>
      <c r="M2009">
        <v>0</v>
      </c>
      <c r="N2009">
        <v>0</v>
      </c>
      <c r="O2009">
        <v>0</v>
      </c>
      <c r="P2009">
        <v>0</v>
      </c>
      <c r="Q2009">
        <v>0</v>
      </c>
      <c r="R2009">
        <v>0</v>
      </c>
      <c r="S2009">
        <v>0</v>
      </c>
      <c r="T2009">
        <v>0</v>
      </c>
      <c r="U2009" t="str">
        <f>IF(SeismicData[[#This Row],[class]]=1,"Dangerous","Safe")</f>
        <v>Safe</v>
      </c>
      <c r="V2009" t="str">
        <f>IF(SeismicData[[#This Row],[shift]]="W","Production","Non-Production")</f>
        <v>Production</v>
      </c>
      <c r="W2009" t="str">
        <f>IF(SeismicData[[#This Row],[genergy]]=0,"0","10^"&amp;INT(LOG10(SeismicData[[#This Row],[genergy]])))</f>
        <v>10^4</v>
      </c>
      <c r="X2009" t="str">
        <f>IF(OR(SeismicData[[#This Row],[genergy]]&lt;$AA$6,SeismicData[[#This Row],[genergy]]&gt;$AA$5),"Outlier","Normal")</f>
        <v>Normal</v>
      </c>
    </row>
    <row r="2010" spans="1:24" x14ac:dyDescent="0.15">
      <c r="A2010">
        <v>2009</v>
      </c>
      <c r="B2010" t="s">
        <v>23</v>
      </c>
      <c r="C2010" t="s">
        <v>23</v>
      </c>
      <c r="D2010" t="s">
        <v>22</v>
      </c>
      <c r="E2010">
        <v>47600</v>
      </c>
      <c r="F2010">
        <v>763</v>
      </c>
      <c r="G2010">
        <v>78</v>
      </c>
      <c r="H2010">
        <v>68</v>
      </c>
      <c r="I2010" t="s">
        <v>20</v>
      </c>
      <c r="J2010">
        <v>0</v>
      </c>
      <c r="K2010">
        <v>0</v>
      </c>
      <c r="L2010">
        <v>0</v>
      </c>
      <c r="M2010">
        <v>0</v>
      </c>
      <c r="N2010">
        <v>0</v>
      </c>
      <c r="O2010">
        <v>0</v>
      </c>
      <c r="P2010">
        <v>0</v>
      </c>
      <c r="Q2010">
        <v>0</v>
      </c>
      <c r="R2010">
        <v>0</v>
      </c>
      <c r="S2010">
        <v>0</v>
      </c>
      <c r="T2010">
        <v>0</v>
      </c>
      <c r="U2010" t="str">
        <f>IF(SeismicData[[#This Row],[class]]=1,"Dangerous","Safe")</f>
        <v>Safe</v>
      </c>
      <c r="V2010" t="str">
        <f>IF(SeismicData[[#This Row],[shift]]="W","Production","Non-Production")</f>
        <v>Production</v>
      </c>
      <c r="W2010" t="str">
        <f>IF(SeismicData[[#This Row],[genergy]]=0,"0","10^"&amp;INT(LOG10(SeismicData[[#This Row],[genergy]])))</f>
        <v>10^4</v>
      </c>
      <c r="X2010" t="str">
        <f>IF(OR(SeismicData[[#This Row],[genergy]]&lt;$AA$6,SeismicData[[#This Row],[genergy]]&gt;$AA$5),"Outlier","Normal")</f>
        <v>Normal</v>
      </c>
    </row>
    <row r="2011" spans="1:24" x14ac:dyDescent="0.15">
      <c r="A2011">
        <v>2010</v>
      </c>
      <c r="B2011" t="s">
        <v>23</v>
      </c>
      <c r="C2011" t="s">
        <v>23</v>
      </c>
      <c r="D2011" t="s">
        <v>22</v>
      </c>
      <c r="E2011">
        <v>24750</v>
      </c>
      <c r="F2011">
        <v>548</v>
      </c>
      <c r="G2011">
        <v>-8</v>
      </c>
      <c r="H2011">
        <v>21</v>
      </c>
      <c r="I2011" t="s">
        <v>20</v>
      </c>
      <c r="J2011">
        <v>0</v>
      </c>
      <c r="K2011">
        <v>0</v>
      </c>
      <c r="L2011">
        <v>0</v>
      </c>
      <c r="M2011">
        <v>0</v>
      </c>
      <c r="N2011">
        <v>0</v>
      </c>
      <c r="O2011">
        <v>0</v>
      </c>
      <c r="P2011">
        <v>0</v>
      </c>
      <c r="Q2011">
        <v>0</v>
      </c>
      <c r="R2011">
        <v>0</v>
      </c>
      <c r="S2011">
        <v>0</v>
      </c>
      <c r="T2011">
        <v>0</v>
      </c>
      <c r="U2011" t="str">
        <f>IF(SeismicData[[#This Row],[class]]=1,"Dangerous","Safe")</f>
        <v>Safe</v>
      </c>
      <c r="V2011" t="str">
        <f>IF(SeismicData[[#This Row],[shift]]="W","Production","Non-Production")</f>
        <v>Production</v>
      </c>
      <c r="W2011" t="str">
        <f>IF(SeismicData[[#This Row],[genergy]]=0,"0","10^"&amp;INT(LOG10(SeismicData[[#This Row],[genergy]])))</f>
        <v>10^4</v>
      </c>
      <c r="X2011" t="str">
        <f>IF(OR(SeismicData[[#This Row],[genergy]]&lt;$AA$6,SeismicData[[#This Row],[genergy]]&gt;$AA$5),"Outlier","Normal")</f>
        <v>Normal</v>
      </c>
    </row>
    <row r="2012" spans="1:24" x14ac:dyDescent="0.15">
      <c r="A2012">
        <v>2011</v>
      </c>
      <c r="B2012" t="s">
        <v>23</v>
      </c>
      <c r="C2012" t="s">
        <v>23</v>
      </c>
      <c r="D2012" t="s">
        <v>22</v>
      </c>
      <c r="E2012">
        <v>24500</v>
      </c>
      <c r="F2012">
        <v>488</v>
      </c>
      <c r="G2012">
        <v>-9</v>
      </c>
      <c r="H2012">
        <v>7</v>
      </c>
      <c r="I2012" t="s">
        <v>20</v>
      </c>
      <c r="J2012">
        <v>0</v>
      </c>
      <c r="K2012">
        <v>0</v>
      </c>
      <c r="L2012">
        <v>0</v>
      </c>
      <c r="M2012">
        <v>0</v>
      </c>
      <c r="N2012">
        <v>0</v>
      </c>
      <c r="O2012">
        <v>0</v>
      </c>
      <c r="P2012">
        <v>0</v>
      </c>
      <c r="Q2012">
        <v>0</v>
      </c>
      <c r="R2012">
        <v>0</v>
      </c>
      <c r="S2012">
        <v>0</v>
      </c>
      <c r="T2012">
        <v>0</v>
      </c>
      <c r="U2012" t="str">
        <f>IF(SeismicData[[#This Row],[class]]=1,"Dangerous","Safe")</f>
        <v>Safe</v>
      </c>
      <c r="V2012" t="str">
        <f>IF(SeismicData[[#This Row],[shift]]="W","Production","Non-Production")</f>
        <v>Production</v>
      </c>
      <c r="W2012" t="str">
        <f>IF(SeismicData[[#This Row],[genergy]]=0,"0","10^"&amp;INT(LOG10(SeismicData[[#This Row],[genergy]])))</f>
        <v>10^4</v>
      </c>
      <c r="X2012" t="str">
        <f>IF(OR(SeismicData[[#This Row],[genergy]]&lt;$AA$6,SeismicData[[#This Row],[genergy]]&gt;$AA$5),"Outlier","Normal")</f>
        <v>Normal</v>
      </c>
    </row>
    <row r="2013" spans="1:24" x14ac:dyDescent="0.15">
      <c r="A2013">
        <v>2012</v>
      </c>
      <c r="B2013" t="s">
        <v>23</v>
      </c>
      <c r="C2013" t="s">
        <v>23</v>
      </c>
      <c r="D2013" t="s">
        <v>22</v>
      </c>
      <c r="E2013">
        <v>63670</v>
      </c>
      <c r="F2013">
        <v>846</v>
      </c>
      <c r="G2013">
        <v>138</v>
      </c>
      <c r="H2013">
        <v>86</v>
      </c>
      <c r="I2013" t="s">
        <v>20</v>
      </c>
      <c r="J2013">
        <v>0</v>
      </c>
      <c r="K2013">
        <v>0</v>
      </c>
      <c r="L2013">
        <v>0</v>
      </c>
      <c r="M2013">
        <v>0</v>
      </c>
      <c r="N2013">
        <v>0</v>
      </c>
      <c r="O2013">
        <v>0</v>
      </c>
      <c r="P2013">
        <v>0</v>
      </c>
      <c r="Q2013">
        <v>0</v>
      </c>
      <c r="R2013">
        <v>0</v>
      </c>
      <c r="S2013">
        <v>0</v>
      </c>
      <c r="T2013">
        <v>0</v>
      </c>
      <c r="U2013" t="str">
        <f>IF(SeismicData[[#This Row],[class]]=1,"Dangerous","Safe")</f>
        <v>Safe</v>
      </c>
      <c r="V2013" t="str">
        <f>IF(SeismicData[[#This Row],[shift]]="W","Production","Non-Production")</f>
        <v>Production</v>
      </c>
      <c r="W2013" t="str">
        <f>IF(SeismicData[[#This Row],[genergy]]=0,"0","10^"&amp;INT(LOG10(SeismicData[[#This Row],[genergy]])))</f>
        <v>10^4</v>
      </c>
      <c r="X2013" t="str">
        <f>IF(OR(SeismicData[[#This Row],[genergy]]&lt;$AA$6,SeismicData[[#This Row],[genergy]]&gt;$AA$5),"Outlier","Normal")</f>
        <v>Normal</v>
      </c>
    </row>
    <row r="2014" spans="1:24" x14ac:dyDescent="0.15">
      <c r="A2014">
        <v>2013</v>
      </c>
      <c r="B2014" t="s">
        <v>23</v>
      </c>
      <c r="C2014" t="s">
        <v>23</v>
      </c>
      <c r="D2014" t="s">
        <v>22</v>
      </c>
      <c r="E2014">
        <v>67810</v>
      </c>
      <c r="F2014">
        <v>1002</v>
      </c>
      <c r="G2014">
        <v>153</v>
      </c>
      <c r="H2014">
        <v>120</v>
      </c>
      <c r="I2014" t="s">
        <v>20</v>
      </c>
      <c r="J2014">
        <v>0</v>
      </c>
      <c r="K2014">
        <v>0</v>
      </c>
      <c r="L2014">
        <v>0</v>
      </c>
      <c r="M2014">
        <v>0</v>
      </c>
      <c r="N2014">
        <v>0</v>
      </c>
      <c r="O2014">
        <v>0</v>
      </c>
      <c r="P2014">
        <v>0</v>
      </c>
      <c r="Q2014">
        <v>0</v>
      </c>
      <c r="R2014">
        <v>0</v>
      </c>
      <c r="S2014">
        <v>0</v>
      </c>
      <c r="T2014">
        <v>0</v>
      </c>
      <c r="U2014" t="str">
        <f>IF(SeismicData[[#This Row],[class]]=1,"Dangerous","Safe")</f>
        <v>Safe</v>
      </c>
      <c r="V2014" t="str">
        <f>IF(SeismicData[[#This Row],[shift]]="W","Production","Non-Production")</f>
        <v>Production</v>
      </c>
      <c r="W2014" t="str">
        <f>IF(SeismicData[[#This Row],[genergy]]=0,"0","10^"&amp;INT(LOG10(SeismicData[[#This Row],[genergy]])))</f>
        <v>10^4</v>
      </c>
      <c r="X2014" t="str">
        <f>IF(OR(SeismicData[[#This Row],[genergy]]&lt;$AA$6,SeismicData[[#This Row],[genergy]]&gt;$AA$5),"Outlier","Normal")</f>
        <v>Normal</v>
      </c>
    </row>
    <row r="2015" spans="1:24" x14ac:dyDescent="0.15">
      <c r="A2015">
        <v>2014</v>
      </c>
      <c r="B2015" t="s">
        <v>23</v>
      </c>
      <c r="C2015" t="s">
        <v>23</v>
      </c>
      <c r="D2015" t="s">
        <v>22</v>
      </c>
      <c r="E2015">
        <v>30150</v>
      </c>
      <c r="F2015">
        <v>691</v>
      </c>
      <c r="G2015">
        <v>13</v>
      </c>
      <c r="H2015">
        <v>52</v>
      </c>
      <c r="I2015" t="s">
        <v>20</v>
      </c>
      <c r="J2015">
        <v>0</v>
      </c>
      <c r="K2015">
        <v>0</v>
      </c>
      <c r="L2015">
        <v>0</v>
      </c>
      <c r="M2015">
        <v>0</v>
      </c>
      <c r="N2015">
        <v>0</v>
      </c>
      <c r="O2015">
        <v>0</v>
      </c>
      <c r="P2015">
        <v>0</v>
      </c>
      <c r="Q2015">
        <v>0</v>
      </c>
      <c r="R2015">
        <v>0</v>
      </c>
      <c r="S2015">
        <v>0</v>
      </c>
      <c r="T2015">
        <v>0</v>
      </c>
      <c r="U2015" t="str">
        <f>IF(SeismicData[[#This Row],[class]]=1,"Dangerous","Safe")</f>
        <v>Safe</v>
      </c>
      <c r="V2015" t="str">
        <f>IF(SeismicData[[#This Row],[shift]]="W","Production","Non-Production")</f>
        <v>Production</v>
      </c>
      <c r="W2015" t="str">
        <f>IF(SeismicData[[#This Row],[genergy]]=0,"0","10^"&amp;INT(LOG10(SeismicData[[#This Row],[genergy]])))</f>
        <v>10^4</v>
      </c>
      <c r="X2015" t="str">
        <f>IF(OR(SeismicData[[#This Row],[genergy]]&lt;$AA$6,SeismicData[[#This Row],[genergy]]&gt;$AA$5),"Outlier","Normal")</f>
        <v>Normal</v>
      </c>
    </row>
    <row r="2016" spans="1:24" x14ac:dyDescent="0.15">
      <c r="A2016">
        <v>2015</v>
      </c>
      <c r="B2016" t="s">
        <v>23</v>
      </c>
      <c r="C2016" t="s">
        <v>23</v>
      </c>
      <c r="D2016" t="s">
        <v>22</v>
      </c>
      <c r="E2016">
        <v>18490</v>
      </c>
      <c r="F2016">
        <v>451</v>
      </c>
      <c r="G2016">
        <v>-34</v>
      </c>
      <c r="H2016">
        <v>-4</v>
      </c>
      <c r="I2016" t="s">
        <v>20</v>
      </c>
      <c r="J2016">
        <v>0</v>
      </c>
      <c r="K2016">
        <v>0</v>
      </c>
      <c r="L2016">
        <v>0</v>
      </c>
      <c r="M2016">
        <v>0</v>
      </c>
      <c r="N2016">
        <v>0</v>
      </c>
      <c r="O2016">
        <v>0</v>
      </c>
      <c r="P2016">
        <v>0</v>
      </c>
      <c r="Q2016">
        <v>0</v>
      </c>
      <c r="R2016">
        <v>0</v>
      </c>
      <c r="S2016">
        <v>0</v>
      </c>
      <c r="T2016">
        <v>0</v>
      </c>
      <c r="U2016" t="str">
        <f>IF(SeismicData[[#This Row],[class]]=1,"Dangerous","Safe")</f>
        <v>Safe</v>
      </c>
      <c r="V2016" t="str">
        <f>IF(SeismicData[[#This Row],[shift]]="W","Production","Non-Production")</f>
        <v>Production</v>
      </c>
      <c r="W2016" t="str">
        <f>IF(SeismicData[[#This Row],[genergy]]=0,"0","10^"&amp;INT(LOG10(SeismicData[[#This Row],[genergy]])))</f>
        <v>10^4</v>
      </c>
      <c r="X2016" t="str">
        <f>IF(OR(SeismicData[[#This Row],[genergy]]&lt;$AA$6,SeismicData[[#This Row],[genergy]]&gt;$AA$5),"Outlier","Normal")</f>
        <v>Normal</v>
      </c>
    </row>
    <row r="2017" spans="1:24" x14ac:dyDescent="0.15">
      <c r="A2017">
        <v>2016</v>
      </c>
      <c r="B2017" t="s">
        <v>23</v>
      </c>
      <c r="C2017" t="s">
        <v>23</v>
      </c>
      <c r="D2017" t="s">
        <v>22</v>
      </c>
      <c r="E2017">
        <v>12670</v>
      </c>
      <c r="F2017">
        <v>350</v>
      </c>
      <c r="G2017">
        <v>-55</v>
      </c>
      <c r="H2017">
        <v>-25</v>
      </c>
      <c r="I2017" t="s">
        <v>20</v>
      </c>
      <c r="J2017">
        <v>0</v>
      </c>
      <c r="K2017">
        <v>0</v>
      </c>
      <c r="L2017">
        <v>0</v>
      </c>
      <c r="M2017">
        <v>0</v>
      </c>
      <c r="N2017">
        <v>0</v>
      </c>
      <c r="O2017">
        <v>0</v>
      </c>
      <c r="P2017">
        <v>0</v>
      </c>
      <c r="Q2017">
        <v>0</v>
      </c>
      <c r="R2017">
        <v>0</v>
      </c>
      <c r="S2017">
        <v>0</v>
      </c>
      <c r="T2017">
        <v>0</v>
      </c>
      <c r="U2017" t="str">
        <f>IF(SeismicData[[#This Row],[class]]=1,"Dangerous","Safe")</f>
        <v>Safe</v>
      </c>
      <c r="V2017" t="str">
        <f>IF(SeismicData[[#This Row],[shift]]="W","Production","Non-Production")</f>
        <v>Production</v>
      </c>
      <c r="W2017" t="str">
        <f>IF(SeismicData[[#This Row],[genergy]]=0,"0","10^"&amp;INT(LOG10(SeismicData[[#This Row],[genergy]])))</f>
        <v>10^4</v>
      </c>
      <c r="X2017" t="str">
        <f>IF(OR(SeismicData[[#This Row],[genergy]]&lt;$AA$6,SeismicData[[#This Row],[genergy]]&gt;$AA$5),"Outlier","Normal")</f>
        <v>Normal</v>
      </c>
    </row>
    <row r="2018" spans="1:24" x14ac:dyDescent="0.15">
      <c r="A2018">
        <v>2017</v>
      </c>
      <c r="B2018" t="s">
        <v>23</v>
      </c>
      <c r="C2018" t="s">
        <v>23</v>
      </c>
      <c r="D2018" t="s">
        <v>22</v>
      </c>
      <c r="E2018">
        <v>13590</v>
      </c>
      <c r="F2018">
        <v>359</v>
      </c>
      <c r="G2018">
        <v>-51</v>
      </c>
      <c r="H2018">
        <v>-23</v>
      </c>
      <c r="I2018" t="s">
        <v>20</v>
      </c>
      <c r="J2018">
        <v>1</v>
      </c>
      <c r="K2018">
        <v>0</v>
      </c>
      <c r="L2018">
        <v>1</v>
      </c>
      <c r="M2018">
        <v>0</v>
      </c>
      <c r="N2018">
        <v>0</v>
      </c>
      <c r="O2018">
        <v>0</v>
      </c>
      <c r="P2018">
        <v>0</v>
      </c>
      <c r="Q2018">
        <v>0</v>
      </c>
      <c r="R2018">
        <v>1000</v>
      </c>
      <c r="S2018">
        <v>1000</v>
      </c>
      <c r="T2018">
        <v>0</v>
      </c>
      <c r="U2018" t="str">
        <f>IF(SeismicData[[#This Row],[class]]=1,"Dangerous","Safe")</f>
        <v>Safe</v>
      </c>
      <c r="V2018" t="str">
        <f>IF(SeismicData[[#This Row],[shift]]="W","Production","Non-Production")</f>
        <v>Production</v>
      </c>
      <c r="W2018" t="str">
        <f>IF(SeismicData[[#This Row],[genergy]]=0,"0","10^"&amp;INT(LOG10(SeismicData[[#This Row],[genergy]])))</f>
        <v>10^4</v>
      </c>
      <c r="X2018" t="str">
        <f>IF(OR(SeismicData[[#This Row],[genergy]]&lt;$AA$6,SeismicData[[#This Row],[genergy]]&gt;$AA$5),"Outlier","Normal")</f>
        <v>Normal</v>
      </c>
    </row>
    <row r="2019" spans="1:24" x14ac:dyDescent="0.15">
      <c r="A2019">
        <v>2018</v>
      </c>
      <c r="B2019" t="s">
        <v>23</v>
      </c>
      <c r="C2019" t="s">
        <v>23</v>
      </c>
      <c r="D2019" t="s">
        <v>22</v>
      </c>
      <c r="E2019">
        <v>27040</v>
      </c>
      <c r="F2019">
        <v>347</v>
      </c>
      <c r="G2019">
        <v>-3</v>
      </c>
      <c r="H2019">
        <v>-26</v>
      </c>
      <c r="I2019" t="s">
        <v>20</v>
      </c>
      <c r="J2019">
        <v>1</v>
      </c>
      <c r="K2019">
        <v>1</v>
      </c>
      <c r="L2019">
        <v>0</v>
      </c>
      <c r="M2019">
        <v>0</v>
      </c>
      <c r="N2019">
        <v>0</v>
      </c>
      <c r="O2019">
        <v>0</v>
      </c>
      <c r="P2019">
        <v>0</v>
      </c>
      <c r="Q2019">
        <v>0</v>
      </c>
      <c r="R2019">
        <v>200</v>
      </c>
      <c r="S2019">
        <v>200</v>
      </c>
      <c r="T2019">
        <v>0</v>
      </c>
      <c r="U2019" t="str">
        <f>IF(SeismicData[[#This Row],[class]]=1,"Dangerous","Safe")</f>
        <v>Safe</v>
      </c>
      <c r="V2019" t="str">
        <f>IF(SeismicData[[#This Row],[shift]]="W","Production","Non-Production")</f>
        <v>Production</v>
      </c>
      <c r="W2019" t="str">
        <f>IF(SeismicData[[#This Row],[genergy]]=0,"0","10^"&amp;INT(LOG10(SeismicData[[#This Row],[genergy]])))</f>
        <v>10^4</v>
      </c>
      <c r="X2019" t="str">
        <f>IF(OR(SeismicData[[#This Row],[genergy]]&lt;$AA$6,SeismicData[[#This Row],[genergy]]&gt;$AA$5),"Outlier","Normal")</f>
        <v>Normal</v>
      </c>
    </row>
    <row r="2020" spans="1:24" x14ac:dyDescent="0.15">
      <c r="A2020">
        <v>2019</v>
      </c>
      <c r="B2020" t="s">
        <v>23</v>
      </c>
      <c r="C2020" t="s">
        <v>23</v>
      </c>
      <c r="D2020" t="s">
        <v>22</v>
      </c>
      <c r="E2020">
        <v>20890</v>
      </c>
      <c r="F2020">
        <v>386</v>
      </c>
      <c r="G2020">
        <v>-25</v>
      </c>
      <c r="H2020">
        <v>-18</v>
      </c>
      <c r="I2020" t="s">
        <v>20</v>
      </c>
      <c r="J2020">
        <v>0</v>
      </c>
      <c r="K2020">
        <v>0</v>
      </c>
      <c r="L2020">
        <v>0</v>
      </c>
      <c r="M2020">
        <v>0</v>
      </c>
      <c r="N2020">
        <v>0</v>
      </c>
      <c r="O2020">
        <v>0</v>
      </c>
      <c r="P2020">
        <v>0</v>
      </c>
      <c r="Q2020">
        <v>0</v>
      </c>
      <c r="R2020">
        <v>0</v>
      </c>
      <c r="S2020">
        <v>0</v>
      </c>
      <c r="T2020">
        <v>0</v>
      </c>
      <c r="U2020" t="str">
        <f>IF(SeismicData[[#This Row],[class]]=1,"Dangerous","Safe")</f>
        <v>Safe</v>
      </c>
      <c r="V2020" t="str">
        <f>IF(SeismicData[[#This Row],[shift]]="W","Production","Non-Production")</f>
        <v>Production</v>
      </c>
      <c r="W2020" t="str">
        <f>IF(SeismicData[[#This Row],[genergy]]=0,"0","10^"&amp;INT(LOG10(SeismicData[[#This Row],[genergy]])))</f>
        <v>10^4</v>
      </c>
      <c r="X2020" t="str">
        <f>IF(OR(SeismicData[[#This Row],[genergy]]&lt;$AA$6,SeismicData[[#This Row],[genergy]]&gt;$AA$5),"Outlier","Normal")</f>
        <v>Normal</v>
      </c>
    </row>
    <row r="2021" spans="1:24" x14ac:dyDescent="0.15">
      <c r="A2021">
        <v>2020</v>
      </c>
      <c r="B2021" t="s">
        <v>23</v>
      </c>
      <c r="C2021" t="s">
        <v>23</v>
      </c>
      <c r="D2021" t="s">
        <v>22</v>
      </c>
      <c r="E2021">
        <v>42700</v>
      </c>
      <c r="F2021">
        <v>700</v>
      </c>
      <c r="G2021">
        <v>53</v>
      </c>
      <c r="H2021">
        <v>49</v>
      </c>
      <c r="I2021" t="s">
        <v>20</v>
      </c>
      <c r="J2021">
        <v>1</v>
      </c>
      <c r="K2021">
        <v>1</v>
      </c>
      <c r="L2021">
        <v>0</v>
      </c>
      <c r="M2021">
        <v>0</v>
      </c>
      <c r="N2021">
        <v>0</v>
      </c>
      <c r="O2021">
        <v>0</v>
      </c>
      <c r="P2021">
        <v>0</v>
      </c>
      <c r="Q2021">
        <v>0</v>
      </c>
      <c r="R2021">
        <v>400</v>
      </c>
      <c r="S2021">
        <v>400</v>
      </c>
      <c r="T2021">
        <v>0</v>
      </c>
      <c r="U2021" t="str">
        <f>IF(SeismicData[[#This Row],[class]]=1,"Dangerous","Safe")</f>
        <v>Safe</v>
      </c>
      <c r="V2021" t="str">
        <f>IF(SeismicData[[#This Row],[shift]]="W","Production","Non-Production")</f>
        <v>Production</v>
      </c>
      <c r="W2021" t="str">
        <f>IF(SeismicData[[#This Row],[genergy]]=0,"0","10^"&amp;INT(LOG10(SeismicData[[#This Row],[genergy]])))</f>
        <v>10^4</v>
      </c>
      <c r="X2021" t="str">
        <f>IF(OR(SeismicData[[#This Row],[genergy]]&lt;$AA$6,SeismicData[[#This Row],[genergy]]&gt;$AA$5),"Outlier","Normal")</f>
        <v>Normal</v>
      </c>
    </row>
    <row r="2022" spans="1:24" x14ac:dyDescent="0.15">
      <c r="A2022">
        <v>2021</v>
      </c>
      <c r="B2022" t="s">
        <v>23</v>
      </c>
      <c r="C2022" t="s">
        <v>23</v>
      </c>
      <c r="D2022" t="s">
        <v>22</v>
      </c>
      <c r="E2022">
        <v>87060</v>
      </c>
      <c r="F2022">
        <v>1043</v>
      </c>
      <c r="G2022">
        <v>212</v>
      </c>
      <c r="H2022">
        <v>122</v>
      </c>
      <c r="I2022" t="s">
        <v>20</v>
      </c>
      <c r="J2022">
        <v>2</v>
      </c>
      <c r="K2022">
        <v>1</v>
      </c>
      <c r="L2022">
        <v>1</v>
      </c>
      <c r="M2022">
        <v>0</v>
      </c>
      <c r="N2022">
        <v>0</v>
      </c>
      <c r="O2022">
        <v>0</v>
      </c>
      <c r="P2022">
        <v>0</v>
      </c>
      <c r="Q2022">
        <v>0</v>
      </c>
      <c r="R2022">
        <v>2800</v>
      </c>
      <c r="S2022">
        <v>2000</v>
      </c>
      <c r="T2022">
        <v>0</v>
      </c>
      <c r="U2022" t="str">
        <f>IF(SeismicData[[#This Row],[class]]=1,"Dangerous","Safe")</f>
        <v>Safe</v>
      </c>
      <c r="V2022" t="str">
        <f>IF(SeismicData[[#This Row],[shift]]="W","Production","Non-Production")</f>
        <v>Production</v>
      </c>
      <c r="W2022" t="str">
        <f>IF(SeismicData[[#This Row],[genergy]]=0,"0","10^"&amp;INT(LOG10(SeismicData[[#This Row],[genergy]])))</f>
        <v>10^4</v>
      </c>
      <c r="X2022" t="str">
        <f>IF(OR(SeismicData[[#This Row],[genergy]]&lt;$AA$6,SeismicData[[#This Row],[genergy]]&gt;$AA$5),"Outlier","Normal")</f>
        <v>Normal</v>
      </c>
    </row>
    <row r="2023" spans="1:24" x14ac:dyDescent="0.15">
      <c r="A2023">
        <v>2022</v>
      </c>
      <c r="B2023" t="s">
        <v>23</v>
      </c>
      <c r="C2023" t="s">
        <v>23</v>
      </c>
      <c r="D2023" t="s">
        <v>22</v>
      </c>
      <c r="E2023">
        <v>43420</v>
      </c>
      <c r="F2023">
        <v>623</v>
      </c>
      <c r="G2023">
        <v>56</v>
      </c>
      <c r="H2023">
        <v>33</v>
      </c>
      <c r="I2023" t="s">
        <v>20</v>
      </c>
      <c r="J2023">
        <v>2</v>
      </c>
      <c r="K2023">
        <v>2</v>
      </c>
      <c r="L2023">
        <v>0</v>
      </c>
      <c r="M2023">
        <v>0</v>
      </c>
      <c r="N2023">
        <v>0</v>
      </c>
      <c r="O2023">
        <v>0</v>
      </c>
      <c r="P2023">
        <v>0</v>
      </c>
      <c r="Q2023">
        <v>0</v>
      </c>
      <c r="R2023">
        <v>500</v>
      </c>
      <c r="S2023">
        <v>400</v>
      </c>
      <c r="T2023">
        <v>0</v>
      </c>
      <c r="U2023" t="str">
        <f>IF(SeismicData[[#This Row],[class]]=1,"Dangerous","Safe")</f>
        <v>Safe</v>
      </c>
      <c r="V2023" t="str">
        <f>IF(SeismicData[[#This Row],[shift]]="W","Production","Non-Production")</f>
        <v>Production</v>
      </c>
      <c r="W2023" t="str">
        <f>IF(SeismicData[[#This Row],[genergy]]=0,"0","10^"&amp;INT(LOG10(SeismicData[[#This Row],[genergy]])))</f>
        <v>10^4</v>
      </c>
      <c r="X2023" t="str">
        <f>IF(OR(SeismicData[[#This Row],[genergy]]&lt;$AA$6,SeismicData[[#This Row],[genergy]]&gt;$AA$5),"Outlier","Normal")</f>
        <v>Normal</v>
      </c>
    </row>
    <row r="2024" spans="1:24" x14ac:dyDescent="0.15">
      <c r="A2024">
        <v>2023</v>
      </c>
      <c r="B2024" t="s">
        <v>23</v>
      </c>
      <c r="C2024" t="s">
        <v>23</v>
      </c>
      <c r="D2024" t="s">
        <v>22</v>
      </c>
      <c r="E2024">
        <v>34930</v>
      </c>
      <c r="F2024">
        <v>459</v>
      </c>
      <c r="G2024">
        <v>19</v>
      </c>
      <c r="H2024">
        <v>-6</v>
      </c>
      <c r="I2024" t="s">
        <v>20</v>
      </c>
      <c r="J2024">
        <v>0</v>
      </c>
      <c r="K2024">
        <v>0</v>
      </c>
      <c r="L2024">
        <v>0</v>
      </c>
      <c r="M2024">
        <v>0</v>
      </c>
      <c r="N2024">
        <v>0</v>
      </c>
      <c r="O2024">
        <v>0</v>
      </c>
      <c r="P2024">
        <v>0</v>
      </c>
      <c r="Q2024">
        <v>0</v>
      </c>
      <c r="R2024">
        <v>0</v>
      </c>
      <c r="S2024">
        <v>0</v>
      </c>
      <c r="T2024">
        <v>0</v>
      </c>
      <c r="U2024" t="str">
        <f>IF(SeismicData[[#This Row],[class]]=1,"Dangerous","Safe")</f>
        <v>Safe</v>
      </c>
      <c r="V2024" t="str">
        <f>IF(SeismicData[[#This Row],[shift]]="W","Production","Non-Production")</f>
        <v>Production</v>
      </c>
      <c r="W2024" t="str">
        <f>IF(SeismicData[[#This Row],[genergy]]=0,"0","10^"&amp;INT(LOG10(SeismicData[[#This Row],[genergy]])))</f>
        <v>10^4</v>
      </c>
      <c r="X2024" t="str">
        <f>IF(OR(SeismicData[[#This Row],[genergy]]&lt;$AA$6,SeismicData[[#This Row],[genergy]]&gt;$AA$5),"Outlier","Normal")</f>
        <v>Normal</v>
      </c>
    </row>
    <row r="2025" spans="1:24" x14ac:dyDescent="0.15">
      <c r="A2025">
        <v>2024</v>
      </c>
      <c r="B2025" t="s">
        <v>23</v>
      </c>
      <c r="C2025" t="s">
        <v>23</v>
      </c>
      <c r="D2025" t="s">
        <v>22</v>
      </c>
      <c r="E2025">
        <v>64830</v>
      </c>
      <c r="F2025">
        <v>916</v>
      </c>
      <c r="G2025">
        <v>121</v>
      </c>
      <c r="H2025">
        <v>88</v>
      </c>
      <c r="I2025" t="s">
        <v>20</v>
      </c>
      <c r="J2025">
        <v>1</v>
      </c>
      <c r="K2025">
        <v>0</v>
      </c>
      <c r="L2025">
        <v>1</v>
      </c>
      <c r="M2025">
        <v>0</v>
      </c>
      <c r="N2025">
        <v>0</v>
      </c>
      <c r="O2025">
        <v>0</v>
      </c>
      <c r="P2025">
        <v>0</v>
      </c>
      <c r="Q2025">
        <v>0</v>
      </c>
      <c r="R2025">
        <v>6000</v>
      </c>
      <c r="S2025">
        <v>6000</v>
      </c>
      <c r="T2025">
        <v>0</v>
      </c>
      <c r="U2025" t="str">
        <f>IF(SeismicData[[#This Row],[class]]=1,"Dangerous","Safe")</f>
        <v>Safe</v>
      </c>
      <c r="V2025" t="str">
        <f>IF(SeismicData[[#This Row],[shift]]="W","Production","Non-Production")</f>
        <v>Production</v>
      </c>
      <c r="W2025" t="str">
        <f>IF(SeismicData[[#This Row],[genergy]]=0,"0","10^"&amp;INT(LOG10(SeismicData[[#This Row],[genergy]])))</f>
        <v>10^4</v>
      </c>
      <c r="X2025" t="str">
        <f>IF(OR(SeismicData[[#This Row],[genergy]]&lt;$AA$6,SeismicData[[#This Row],[genergy]]&gt;$AA$5),"Outlier","Normal")</f>
        <v>Normal</v>
      </c>
    </row>
    <row r="2026" spans="1:24" x14ac:dyDescent="0.15">
      <c r="A2026">
        <v>2025</v>
      </c>
      <c r="B2026" t="s">
        <v>23</v>
      </c>
      <c r="C2026" t="s">
        <v>23</v>
      </c>
      <c r="D2026" t="s">
        <v>22</v>
      </c>
      <c r="E2026">
        <v>64490</v>
      </c>
      <c r="F2026">
        <v>755</v>
      </c>
      <c r="G2026">
        <v>120</v>
      </c>
      <c r="H2026">
        <v>55</v>
      </c>
      <c r="I2026" t="s">
        <v>20</v>
      </c>
      <c r="J2026">
        <v>0</v>
      </c>
      <c r="K2026">
        <v>0</v>
      </c>
      <c r="L2026">
        <v>0</v>
      </c>
      <c r="M2026">
        <v>0</v>
      </c>
      <c r="N2026">
        <v>0</v>
      </c>
      <c r="O2026">
        <v>0</v>
      </c>
      <c r="P2026">
        <v>0</v>
      </c>
      <c r="Q2026">
        <v>0</v>
      </c>
      <c r="R2026">
        <v>0</v>
      </c>
      <c r="S2026">
        <v>0</v>
      </c>
      <c r="T2026">
        <v>0</v>
      </c>
      <c r="U2026" t="str">
        <f>IF(SeismicData[[#This Row],[class]]=1,"Dangerous","Safe")</f>
        <v>Safe</v>
      </c>
      <c r="V2026" t="str">
        <f>IF(SeismicData[[#This Row],[shift]]="W","Production","Non-Production")</f>
        <v>Production</v>
      </c>
      <c r="W2026" t="str">
        <f>IF(SeismicData[[#This Row],[genergy]]=0,"0","10^"&amp;INT(LOG10(SeismicData[[#This Row],[genergy]])))</f>
        <v>10^4</v>
      </c>
      <c r="X2026" t="str">
        <f>IF(OR(SeismicData[[#This Row],[genergy]]&lt;$AA$6,SeismicData[[#This Row],[genergy]]&gt;$AA$5),"Outlier","Normal")</f>
        <v>Normal</v>
      </c>
    </row>
    <row r="2027" spans="1:24" x14ac:dyDescent="0.15">
      <c r="A2027">
        <v>2026</v>
      </c>
      <c r="B2027" t="s">
        <v>23</v>
      </c>
      <c r="C2027" t="s">
        <v>23</v>
      </c>
      <c r="D2027" t="s">
        <v>22</v>
      </c>
      <c r="E2027">
        <v>34620</v>
      </c>
      <c r="F2027">
        <v>661</v>
      </c>
      <c r="G2027">
        <v>18</v>
      </c>
      <c r="H2027">
        <v>36</v>
      </c>
      <c r="I2027" t="s">
        <v>20</v>
      </c>
      <c r="J2027">
        <v>0</v>
      </c>
      <c r="K2027">
        <v>0</v>
      </c>
      <c r="L2027">
        <v>0</v>
      </c>
      <c r="M2027">
        <v>0</v>
      </c>
      <c r="N2027">
        <v>0</v>
      </c>
      <c r="O2027">
        <v>0</v>
      </c>
      <c r="P2027">
        <v>0</v>
      </c>
      <c r="Q2027">
        <v>0</v>
      </c>
      <c r="R2027">
        <v>0</v>
      </c>
      <c r="S2027">
        <v>0</v>
      </c>
      <c r="T2027">
        <v>0</v>
      </c>
      <c r="U2027" t="str">
        <f>IF(SeismicData[[#This Row],[class]]=1,"Dangerous","Safe")</f>
        <v>Safe</v>
      </c>
      <c r="V2027" t="str">
        <f>IF(SeismicData[[#This Row],[shift]]="W","Production","Non-Production")</f>
        <v>Production</v>
      </c>
      <c r="W2027" t="str">
        <f>IF(SeismicData[[#This Row],[genergy]]=0,"0","10^"&amp;INT(LOG10(SeismicData[[#This Row],[genergy]])))</f>
        <v>10^4</v>
      </c>
      <c r="X2027" t="str">
        <f>IF(OR(SeismicData[[#This Row],[genergy]]&lt;$AA$6,SeismicData[[#This Row],[genergy]]&gt;$AA$5),"Outlier","Normal")</f>
        <v>Normal</v>
      </c>
    </row>
    <row r="2028" spans="1:24" x14ac:dyDescent="0.15">
      <c r="A2028">
        <v>2027</v>
      </c>
      <c r="B2028" t="s">
        <v>23</v>
      </c>
      <c r="C2028" t="s">
        <v>23</v>
      </c>
      <c r="D2028" t="s">
        <v>22</v>
      </c>
      <c r="E2028">
        <v>48950</v>
      </c>
      <c r="F2028">
        <v>744</v>
      </c>
      <c r="G2028">
        <v>67</v>
      </c>
      <c r="H2028">
        <v>53</v>
      </c>
      <c r="I2028" t="s">
        <v>20</v>
      </c>
      <c r="J2028">
        <v>0</v>
      </c>
      <c r="K2028">
        <v>0</v>
      </c>
      <c r="L2028">
        <v>0</v>
      </c>
      <c r="M2028">
        <v>0</v>
      </c>
      <c r="N2028">
        <v>0</v>
      </c>
      <c r="O2028">
        <v>0</v>
      </c>
      <c r="P2028">
        <v>0</v>
      </c>
      <c r="Q2028">
        <v>0</v>
      </c>
      <c r="R2028">
        <v>0</v>
      </c>
      <c r="S2028">
        <v>0</v>
      </c>
      <c r="T2028">
        <v>0</v>
      </c>
      <c r="U2028" t="str">
        <f>IF(SeismicData[[#This Row],[class]]=1,"Dangerous","Safe")</f>
        <v>Safe</v>
      </c>
      <c r="V2028" t="str">
        <f>IF(SeismicData[[#This Row],[shift]]="W","Production","Non-Production")</f>
        <v>Production</v>
      </c>
      <c r="W2028" t="str">
        <f>IF(SeismicData[[#This Row],[genergy]]=0,"0","10^"&amp;INT(LOG10(SeismicData[[#This Row],[genergy]])))</f>
        <v>10^4</v>
      </c>
      <c r="X2028" t="str">
        <f>IF(OR(SeismicData[[#This Row],[genergy]]&lt;$AA$6,SeismicData[[#This Row],[genergy]]&gt;$AA$5),"Outlier","Normal")</f>
        <v>Normal</v>
      </c>
    </row>
    <row r="2029" spans="1:24" x14ac:dyDescent="0.15">
      <c r="A2029">
        <v>2028</v>
      </c>
      <c r="B2029" t="s">
        <v>23</v>
      </c>
      <c r="C2029" t="s">
        <v>23</v>
      </c>
      <c r="D2029" t="s">
        <v>22</v>
      </c>
      <c r="E2029">
        <v>59950</v>
      </c>
      <c r="F2029">
        <v>815</v>
      </c>
      <c r="G2029">
        <v>105</v>
      </c>
      <c r="H2029">
        <v>67</v>
      </c>
      <c r="I2029" t="s">
        <v>20</v>
      </c>
      <c r="J2029">
        <v>0</v>
      </c>
      <c r="K2029">
        <v>0</v>
      </c>
      <c r="L2029">
        <v>0</v>
      </c>
      <c r="M2029">
        <v>0</v>
      </c>
      <c r="N2029">
        <v>0</v>
      </c>
      <c r="O2029">
        <v>0</v>
      </c>
      <c r="P2029">
        <v>0</v>
      </c>
      <c r="Q2029">
        <v>0</v>
      </c>
      <c r="R2029">
        <v>0</v>
      </c>
      <c r="S2029">
        <v>0</v>
      </c>
      <c r="T2029">
        <v>0</v>
      </c>
      <c r="U2029" t="str">
        <f>IF(SeismicData[[#This Row],[class]]=1,"Dangerous","Safe")</f>
        <v>Safe</v>
      </c>
      <c r="V2029" t="str">
        <f>IF(SeismicData[[#This Row],[shift]]="W","Production","Non-Production")</f>
        <v>Production</v>
      </c>
      <c r="W2029" t="str">
        <f>IF(SeismicData[[#This Row],[genergy]]=0,"0","10^"&amp;INT(LOG10(SeismicData[[#This Row],[genergy]])))</f>
        <v>10^4</v>
      </c>
      <c r="X2029" t="str">
        <f>IF(OR(SeismicData[[#This Row],[genergy]]&lt;$AA$6,SeismicData[[#This Row],[genergy]]&gt;$AA$5),"Outlier","Normal")</f>
        <v>Normal</v>
      </c>
    </row>
    <row r="2030" spans="1:24" x14ac:dyDescent="0.15">
      <c r="A2030">
        <v>2029</v>
      </c>
      <c r="B2030" t="s">
        <v>23</v>
      </c>
      <c r="C2030" t="s">
        <v>23</v>
      </c>
      <c r="D2030" t="s">
        <v>22</v>
      </c>
      <c r="E2030">
        <v>38590</v>
      </c>
      <c r="F2030">
        <v>716</v>
      </c>
      <c r="G2030">
        <v>32</v>
      </c>
      <c r="H2030">
        <v>47</v>
      </c>
      <c r="I2030" t="s">
        <v>20</v>
      </c>
      <c r="J2030">
        <v>0</v>
      </c>
      <c r="K2030">
        <v>0</v>
      </c>
      <c r="L2030">
        <v>0</v>
      </c>
      <c r="M2030">
        <v>0</v>
      </c>
      <c r="N2030">
        <v>0</v>
      </c>
      <c r="O2030">
        <v>0</v>
      </c>
      <c r="P2030">
        <v>0</v>
      </c>
      <c r="Q2030">
        <v>0</v>
      </c>
      <c r="R2030">
        <v>0</v>
      </c>
      <c r="S2030">
        <v>0</v>
      </c>
      <c r="T2030">
        <v>0</v>
      </c>
      <c r="U2030" t="str">
        <f>IF(SeismicData[[#This Row],[class]]=1,"Dangerous","Safe")</f>
        <v>Safe</v>
      </c>
      <c r="V2030" t="str">
        <f>IF(SeismicData[[#This Row],[shift]]="W","Production","Non-Production")</f>
        <v>Production</v>
      </c>
      <c r="W2030" t="str">
        <f>IF(SeismicData[[#This Row],[genergy]]=0,"0","10^"&amp;INT(LOG10(SeismicData[[#This Row],[genergy]])))</f>
        <v>10^4</v>
      </c>
      <c r="X2030" t="str">
        <f>IF(OR(SeismicData[[#This Row],[genergy]]&lt;$AA$6,SeismicData[[#This Row],[genergy]]&gt;$AA$5),"Outlier","Normal")</f>
        <v>Normal</v>
      </c>
    </row>
    <row r="2031" spans="1:24" x14ac:dyDescent="0.15">
      <c r="A2031">
        <v>2030</v>
      </c>
      <c r="B2031" t="s">
        <v>23</v>
      </c>
      <c r="C2031" t="s">
        <v>23</v>
      </c>
      <c r="D2031" t="s">
        <v>22</v>
      </c>
      <c r="E2031">
        <v>25050</v>
      </c>
      <c r="F2031">
        <v>451</v>
      </c>
      <c r="G2031">
        <v>-14</v>
      </c>
      <c r="H2031">
        <v>-7</v>
      </c>
      <c r="I2031" t="s">
        <v>20</v>
      </c>
      <c r="J2031">
        <v>0</v>
      </c>
      <c r="K2031">
        <v>0</v>
      </c>
      <c r="L2031">
        <v>0</v>
      </c>
      <c r="M2031">
        <v>0</v>
      </c>
      <c r="N2031">
        <v>0</v>
      </c>
      <c r="O2031">
        <v>0</v>
      </c>
      <c r="P2031">
        <v>0</v>
      </c>
      <c r="Q2031">
        <v>0</v>
      </c>
      <c r="R2031">
        <v>0</v>
      </c>
      <c r="S2031">
        <v>0</v>
      </c>
      <c r="T2031">
        <v>0</v>
      </c>
      <c r="U2031" t="str">
        <f>IF(SeismicData[[#This Row],[class]]=1,"Dangerous","Safe")</f>
        <v>Safe</v>
      </c>
      <c r="V2031" t="str">
        <f>IF(SeismicData[[#This Row],[shift]]="W","Production","Non-Production")</f>
        <v>Production</v>
      </c>
      <c r="W2031" t="str">
        <f>IF(SeismicData[[#This Row],[genergy]]=0,"0","10^"&amp;INT(LOG10(SeismicData[[#This Row],[genergy]])))</f>
        <v>10^4</v>
      </c>
      <c r="X2031" t="str">
        <f>IF(OR(SeismicData[[#This Row],[genergy]]&lt;$AA$6,SeismicData[[#This Row],[genergy]]&gt;$AA$5),"Outlier","Normal")</f>
        <v>Normal</v>
      </c>
    </row>
    <row r="2032" spans="1:24" x14ac:dyDescent="0.15">
      <c r="A2032">
        <v>2031</v>
      </c>
      <c r="B2032" t="s">
        <v>20</v>
      </c>
      <c r="C2032" t="s">
        <v>20</v>
      </c>
      <c r="D2032" t="s">
        <v>22</v>
      </c>
      <c r="E2032">
        <v>23930</v>
      </c>
      <c r="F2032">
        <v>426</v>
      </c>
      <c r="G2032">
        <v>-20</v>
      </c>
      <c r="H2032">
        <v>-13</v>
      </c>
      <c r="I2032" t="s">
        <v>20</v>
      </c>
      <c r="J2032">
        <v>0</v>
      </c>
      <c r="K2032">
        <v>0</v>
      </c>
      <c r="L2032">
        <v>0</v>
      </c>
      <c r="M2032">
        <v>0</v>
      </c>
      <c r="N2032">
        <v>0</v>
      </c>
      <c r="O2032">
        <v>0</v>
      </c>
      <c r="P2032">
        <v>0</v>
      </c>
      <c r="Q2032">
        <v>0</v>
      </c>
      <c r="R2032">
        <v>0</v>
      </c>
      <c r="S2032">
        <v>0</v>
      </c>
      <c r="T2032">
        <v>0</v>
      </c>
      <c r="U2032" t="str">
        <f>IF(SeismicData[[#This Row],[class]]=1,"Dangerous","Safe")</f>
        <v>Safe</v>
      </c>
      <c r="V2032" t="str">
        <f>IF(SeismicData[[#This Row],[shift]]="W","Production","Non-Production")</f>
        <v>Production</v>
      </c>
      <c r="W2032" t="str">
        <f>IF(SeismicData[[#This Row],[genergy]]=0,"0","10^"&amp;INT(LOG10(SeismicData[[#This Row],[genergy]])))</f>
        <v>10^4</v>
      </c>
      <c r="X2032" t="str">
        <f>IF(OR(SeismicData[[#This Row],[genergy]]&lt;$AA$6,SeismicData[[#This Row],[genergy]]&gt;$AA$5),"Outlier","Normal")</f>
        <v>Normal</v>
      </c>
    </row>
    <row r="2033" spans="1:24" x14ac:dyDescent="0.15">
      <c r="A2033">
        <v>2032</v>
      </c>
      <c r="B2033" t="s">
        <v>20</v>
      </c>
      <c r="C2033" t="s">
        <v>20</v>
      </c>
      <c r="D2033" t="s">
        <v>22</v>
      </c>
      <c r="E2033">
        <v>37480</v>
      </c>
      <c r="F2033">
        <v>660</v>
      </c>
      <c r="G2033">
        <v>25</v>
      </c>
      <c r="H2033">
        <v>35</v>
      </c>
      <c r="I2033" t="s">
        <v>20</v>
      </c>
      <c r="J2033">
        <v>0</v>
      </c>
      <c r="K2033">
        <v>0</v>
      </c>
      <c r="L2033">
        <v>0</v>
      </c>
      <c r="M2033">
        <v>0</v>
      </c>
      <c r="N2033">
        <v>0</v>
      </c>
      <c r="O2033">
        <v>0</v>
      </c>
      <c r="P2033">
        <v>0</v>
      </c>
      <c r="Q2033">
        <v>0</v>
      </c>
      <c r="R2033">
        <v>0</v>
      </c>
      <c r="S2033">
        <v>0</v>
      </c>
      <c r="T2033">
        <v>0</v>
      </c>
      <c r="U2033" t="str">
        <f>IF(SeismicData[[#This Row],[class]]=1,"Dangerous","Safe")</f>
        <v>Safe</v>
      </c>
      <c r="V2033" t="str">
        <f>IF(SeismicData[[#This Row],[shift]]="W","Production","Non-Production")</f>
        <v>Production</v>
      </c>
      <c r="W2033" t="str">
        <f>IF(SeismicData[[#This Row],[genergy]]=0,"0","10^"&amp;INT(LOG10(SeismicData[[#This Row],[genergy]])))</f>
        <v>10^4</v>
      </c>
      <c r="X2033" t="str">
        <f>IF(OR(SeismicData[[#This Row],[genergy]]&lt;$AA$6,SeismicData[[#This Row],[genergy]]&gt;$AA$5),"Outlier","Normal")</f>
        <v>Normal</v>
      </c>
    </row>
    <row r="2034" spans="1:24" x14ac:dyDescent="0.15">
      <c r="A2034">
        <v>2033</v>
      </c>
      <c r="B2034" t="s">
        <v>20</v>
      </c>
      <c r="C2034" t="s">
        <v>20</v>
      </c>
      <c r="D2034" t="s">
        <v>22</v>
      </c>
      <c r="E2034">
        <v>41410</v>
      </c>
      <c r="F2034">
        <v>630</v>
      </c>
      <c r="G2034">
        <v>38</v>
      </c>
      <c r="H2034">
        <v>29</v>
      </c>
      <c r="I2034" t="s">
        <v>20</v>
      </c>
      <c r="J2034">
        <v>0</v>
      </c>
      <c r="K2034">
        <v>0</v>
      </c>
      <c r="L2034">
        <v>0</v>
      </c>
      <c r="M2034">
        <v>0</v>
      </c>
      <c r="N2034">
        <v>0</v>
      </c>
      <c r="O2034">
        <v>0</v>
      </c>
      <c r="P2034">
        <v>0</v>
      </c>
      <c r="Q2034">
        <v>0</v>
      </c>
      <c r="R2034">
        <v>0</v>
      </c>
      <c r="S2034">
        <v>0</v>
      </c>
      <c r="T2034">
        <v>0</v>
      </c>
      <c r="U2034" t="str">
        <f>IF(SeismicData[[#This Row],[class]]=1,"Dangerous","Safe")</f>
        <v>Safe</v>
      </c>
      <c r="V2034" t="str">
        <f>IF(SeismicData[[#This Row],[shift]]="W","Production","Non-Production")</f>
        <v>Production</v>
      </c>
      <c r="W2034" t="str">
        <f>IF(SeismicData[[#This Row],[genergy]]=0,"0","10^"&amp;INT(LOG10(SeismicData[[#This Row],[genergy]])))</f>
        <v>10^4</v>
      </c>
      <c r="X2034" t="str">
        <f>IF(OR(SeismicData[[#This Row],[genergy]]&lt;$AA$6,SeismicData[[#This Row],[genergy]]&gt;$AA$5),"Outlier","Normal")</f>
        <v>Normal</v>
      </c>
    </row>
    <row r="2035" spans="1:24" x14ac:dyDescent="0.15">
      <c r="A2035">
        <v>2034</v>
      </c>
      <c r="B2035" t="s">
        <v>20</v>
      </c>
      <c r="C2035" t="s">
        <v>20</v>
      </c>
      <c r="D2035" t="s">
        <v>22</v>
      </c>
      <c r="E2035">
        <v>59640</v>
      </c>
      <c r="F2035">
        <v>722</v>
      </c>
      <c r="G2035">
        <v>98</v>
      </c>
      <c r="H2035">
        <v>47</v>
      </c>
      <c r="I2035" t="s">
        <v>20</v>
      </c>
      <c r="J2035">
        <v>2</v>
      </c>
      <c r="K2035">
        <v>2</v>
      </c>
      <c r="L2035">
        <v>0</v>
      </c>
      <c r="M2035">
        <v>0</v>
      </c>
      <c r="N2035">
        <v>0</v>
      </c>
      <c r="O2035">
        <v>0</v>
      </c>
      <c r="P2035">
        <v>0</v>
      </c>
      <c r="Q2035">
        <v>0</v>
      </c>
      <c r="R2035">
        <v>600</v>
      </c>
      <c r="S2035">
        <v>400</v>
      </c>
      <c r="T2035">
        <v>0</v>
      </c>
      <c r="U2035" t="str">
        <f>IF(SeismicData[[#This Row],[class]]=1,"Dangerous","Safe")</f>
        <v>Safe</v>
      </c>
      <c r="V2035" t="str">
        <f>IF(SeismicData[[#This Row],[shift]]="W","Production","Non-Production")</f>
        <v>Production</v>
      </c>
      <c r="W2035" t="str">
        <f>IF(SeismicData[[#This Row],[genergy]]=0,"0","10^"&amp;INT(LOG10(SeismicData[[#This Row],[genergy]])))</f>
        <v>10^4</v>
      </c>
      <c r="X2035" t="str">
        <f>IF(OR(SeismicData[[#This Row],[genergy]]&lt;$AA$6,SeismicData[[#This Row],[genergy]]&gt;$AA$5),"Outlier","Normal")</f>
        <v>Normal</v>
      </c>
    </row>
    <row r="2036" spans="1:24" x14ac:dyDescent="0.15">
      <c r="A2036">
        <v>2035</v>
      </c>
      <c r="B2036" t="s">
        <v>20</v>
      </c>
      <c r="C2036" t="s">
        <v>20</v>
      </c>
      <c r="D2036" t="s">
        <v>22</v>
      </c>
      <c r="E2036">
        <v>26210</v>
      </c>
      <c r="F2036">
        <v>512</v>
      </c>
      <c r="G2036">
        <v>-13</v>
      </c>
      <c r="H2036">
        <v>4</v>
      </c>
      <c r="I2036" t="s">
        <v>20</v>
      </c>
      <c r="J2036">
        <v>0</v>
      </c>
      <c r="K2036">
        <v>0</v>
      </c>
      <c r="L2036">
        <v>0</v>
      </c>
      <c r="M2036">
        <v>0</v>
      </c>
      <c r="N2036">
        <v>0</v>
      </c>
      <c r="O2036">
        <v>0</v>
      </c>
      <c r="P2036">
        <v>0</v>
      </c>
      <c r="Q2036">
        <v>0</v>
      </c>
      <c r="R2036">
        <v>0</v>
      </c>
      <c r="S2036">
        <v>0</v>
      </c>
      <c r="T2036">
        <v>0</v>
      </c>
      <c r="U2036" t="str">
        <f>IF(SeismicData[[#This Row],[class]]=1,"Dangerous","Safe")</f>
        <v>Safe</v>
      </c>
      <c r="V2036" t="str">
        <f>IF(SeismicData[[#This Row],[shift]]="W","Production","Non-Production")</f>
        <v>Production</v>
      </c>
      <c r="W2036" t="str">
        <f>IF(SeismicData[[#This Row],[genergy]]=0,"0","10^"&amp;INT(LOG10(SeismicData[[#This Row],[genergy]])))</f>
        <v>10^4</v>
      </c>
      <c r="X2036" t="str">
        <f>IF(OR(SeismicData[[#This Row],[genergy]]&lt;$AA$6,SeismicData[[#This Row],[genergy]]&gt;$AA$5),"Outlier","Normal")</f>
        <v>Normal</v>
      </c>
    </row>
    <row r="2037" spans="1:24" x14ac:dyDescent="0.15">
      <c r="A2037">
        <v>2036</v>
      </c>
      <c r="B2037" t="s">
        <v>20</v>
      </c>
      <c r="C2037" t="s">
        <v>20</v>
      </c>
      <c r="D2037" t="s">
        <v>22</v>
      </c>
      <c r="E2037">
        <v>29730</v>
      </c>
      <c r="F2037">
        <v>539</v>
      </c>
      <c r="G2037">
        <v>-1</v>
      </c>
      <c r="H2037">
        <v>10</v>
      </c>
      <c r="I2037" t="s">
        <v>20</v>
      </c>
      <c r="J2037">
        <v>1</v>
      </c>
      <c r="K2037">
        <v>1</v>
      </c>
      <c r="L2037">
        <v>0</v>
      </c>
      <c r="M2037">
        <v>0</v>
      </c>
      <c r="N2037">
        <v>0</v>
      </c>
      <c r="O2037">
        <v>0</v>
      </c>
      <c r="P2037">
        <v>0</v>
      </c>
      <c r="Q2037">
        <v>0</v>
      </c>
      <c r="R2037">
        <v>200</v>
      </c>
      <c r="S2037">
        <v>200</v>
      </c>
      <c r="T2037">
        <v>0</v>
      </c>
      <c r="U2037" t="str">
        <f>IF(SeismicData[[#This Row],[class]]=1,"Dangerous","Safe")</f>
        <v>Safe</v>
      </c>
      <c r="V2037" t="str">
        <f>IF(SeismicData[[#This Row],[shift]]="W","Production","Non-Production")</f>
        <v>Production</v>
      </c>
      <c r="W2037" t="str">
        <f>IF(SeismicData[[#This Row],[genergy]]=0,"0","10^"&amp;INT(LOG10(SeismicData[[#This Row],[genergy]])))</f>
        <v>10^4</v>
      </c>
      <c r="X2037" t="str">
        <f>IF(OR(SeismicData[[#This Row],[genergy]]&lt;$AA$6,SeismicData[[#This Row],[genergy]]&gt;$AA$5),"Outlier","Normal")</f>
        <v>Normal</v>
      </c>
    </row>
    <row r="2038" spans="1:24" x14ac:dyDescent="0.15">
      <c r="A2038">
        <v>2037</v>
      </c>
      <c r="B2038" t="s">
        <v>20</v>
      </c>
      <c r="C2038" t="s">
        <v>20</v>
      </c>
      <c r="D2038" t="s">
        <v>22</v>
      </c>
      <c r="E2038">
        <v>26280</v>
      </c>
      <c r="F2038">
        <v>404</v>
      </c>
      <c r="G2038">
        <v>-13</v>
      </c>
      <c r="H2038">
        <v>-18</v>
      </c>
      <c r="I2038" t="s">
        <v>20</v>
      </c>
      <c r="J2038">
        <v>0</v>
      </c>
      <c r="K2038">
        <v>0</v>
      </c>
      <c r="L2038">
        <v>0</v>
      </c>
      <c r="M2038">
        <v>0</v>
      </c>
      <c r="N2038">
        <v>0</v>
      </c>
      <c r="O2038">
        <v>0</v>
      </c>
      <c r="P2038">
        <v>0</v>
      </c>
      <c r="Q2038">
        <v>0</v>
      </c>
      <c r="R2038">
        <v>0</v>
      </c>
      <c r="S2038">
        <v>0</v>
      </c>
      <c r="T2038">
        <v>0</v>
      </c>
      <c r="U2038" t="str">
        <f>IF(SeismicData[[#This Row],[class]]=1,"Dangerous","Safe")</f>
        <v>Safe</v>
      </c>
      <c r="V2038" t="str">
        <f>IF(SeismicData[[#This Row],[shift]]="W","Production","Non-Production")</f>
        <v>Production</v>
      </c>
      <c r="W2038" t="str">
        <f>IF(SeismicData[[#This Row],[genergy]]=0,"0","10^"&amp;INT(LOG10(SeismicData[[#This Row],[genergy]])))</f>
        <v>10^4</v>
      </c>
      <c r="X2038" t="str">
        <f>IF(OR(SeismicData[[#This Row],[genergy]]&lt;$AA$6,SeismicData[[#This Row],[genergy]]&gt;$AA$5),"Outlier","Normal")</f>
        <v>Normal</v>
      </c>
    </row>
    <row r="2039" spans="1:24" x14ac:dyDescent="0.15">
      <c r="A2039">
        <v>2038</v>
      </c>
      <c r="B2039" t="s">
        <v>20</v>
      </c>
      <c r="C2039" t="s">
        <v>20</v>
      </c>
      <c r="D2039" t="s">
        <v>21</v>
      </c>
      <c r="E2039">
        <v>40370</v>
      </c>
      <c r="F2039">
        <v>755</v>
      </c>
      <c r="G2039">
        <v>223</v>
      </c>
      <c r="H2039">
        <v>202</v>
      </c>
      <c r="I2039" t="s">
        <v>20</v>
      </c>
      <c r="J2039">
        <v>0</v>
      </c>
      <c r="K2039">
        <v>0</v>
      </c>
      <c r="L2039">
        <v>0</v>
      </c>
      <c r="M2039">
        <v>0</v>
      </c>
      <c r="N2039">
        <v>0</v>
      </c>
      <c r="O2039">
        <v>0</v>
      </c>
      <c r="P2039">
        <v>0</v>
      </c>
      <c r="Q2039">
        <v>0</v>
      </c>
      <c r="R2039">
        <v>0</v>
      </c>
      <c r="S2039">
        <v>0</v>
      </c>
      <c r="T2039">
        <v>0</v>
      </c>
      <c r="U2039" t="str">
        <f>IF(SeismicData[[#This Row],[class]]=1,"Dangerous","Safe")</f>
        <v>Safe</v>
      </c>
      <c r="V2039" t="str">
        <f>IF(SeismicData[[#This Row],[shift]]="W","Production","Non-Production")</f>
        <v>Non-Production</v>
      </c>
      <c r="W2039" t="str">
        <f>IF(SeismicData[[#This Row],[genergy]]=0,"0","10^"&amp;INT(LOG10(SeismicData[[#This Row],[genergy]])))</f>
        <v>10^4</v>
      </c>
      <c r="X2039" t="str">
        <f>IF(OR(SeismicData[[#This Row],[genergy]]&lt;$AA$6,SeismicData[[#This Row],[genergy]]&gt;$AA$5),"Outlier","Normal")</f>
        <v>Normal</v>
      </c>
    </row>
    <row r="2040" spans="1:24" x14ac:dyDescent="0.15">
      <c r="A2040">
        <v>2039</v>
      </c>
      <c r="B2040" t="s">
        <v>20</v>
      </c>
      <c r="C2040" t="s">
        <v>20</v>
      </c>
      <c r="D2040" t="s">
        <v>21</v>
      </c>
      <c r="E2040">
        <v>20740</v>
      </c>
      <c r="F2040">
        <v>510</v>
      </c>
      <c r="G2040">
        <v>66</v>
      </c>
      <c r="H2040">
        <v>104</v>
      </c>
      <c r="I2040" t="s">
        <v>20</v>
      </c>
      <c r="J2040">
        <v>0</v>
      </c>
      <c r="K2040">
        <v>0</v>
      </c>
      <c r="L2040">
        <v>0</v>
      </c>
      <c r="M2040">
        <v>0</v>
      </c>
      <c r="N2040">
        <v>0</v>
      </c>
      <c r="O2040">
        <v>0</v>
      </c>
      <c r="P2040">
        <v>0</v>
      </c>
      <c r="Q2040">
        <v>0</v>
      </c>
      <c r="R2040">
        <v>0</v>
      </c>
      <c r="S2040">
        <v>0</v>
      </c>
      <c r="T2040">
        <v>0</v>
      </c>
      <c r="U2040" t="str">
        <f>IF(SeismicData[[#This Row],[class]]=1,"Dangerous","Safe")</f>
        <v>Safe</v>
      </c>
      <c r="V2040" t="str">
        <f>IF(SeismicData[[#This Row],[shift]]="W","Production","Non-Production")</f>
        <v>Non-Production</v>
      </c>
      <c r="W2040" t="str">
        <f>IF(SeismicData[[#This Row],[genergy]]=0,"0","10^"&amp;INT(LOG10(SeismicData[[#This Row],[genergy]])))</f>
        <v>10^4</v>
      </c>
      <c r="X2040" t="str">
        <f>IF(OR(SeismicData[[#This Row],[genergy]]&lt;$AA$6,SeismicData[[#This Row],[genergy]]&gt;$AA$5),"Outlier","Normal")</f>
        <v>Normal</v>
      </c>
    </row>
    <row r="2041" spans="1:24" x14ac:dyDescent="0.15">
      <c r="A2041">
        <v>2040</v>
      </c>
      <c r="B2041" t="s">
        <v>20</v>
      </c>
      <c r="C2041" t="s">
        <v>20</v>
      </c>
      <c r="D2041" t="s">
        <v>21</v>
      </c>
      <c r="E2041">
        <v>13520</v>
      </c>
      <c r="F2041">
        <v>363</v>
      </c>
      <c r="G2041">
        <v>8</v>
      </c>
      <c r="H2041">
        <v>45</v>
      </c>
      <c r="I2041" t="s">
        <v>20</v>
      </c>
      <c r="J2041">
        <v>0</v>
      </c>
      <c r="K2041">
        <v>0</v>
      </c>
      <c r="L2041">
        <v>0</v>
      </c>
      <c r="M2041">
        <v>0</v>
      </c>
      <c r="N2041">
        <v>0</v>
      </c>
      <c r="O2041">
        <v>0</v>
      </c>
      <c r="P2041">
        <v>0</v>
      </c>
      <c r="Q2041">
        <v>0</v>
      </c>
      <c r="R2041">
        <v>0</v>
      </c>
      <c r="S2041">
        <v>0</v>
      </c>
      <c r="T2041">
        <v>0</v>
      </c>
      <c r="U2041" t="str">
        <f>IF(SeismicData[[#This Row],[class]]=1,"Dangerous","Safe")</f>
        <v>Safe</v>
      </c>
      <c r="V2041" t="str">
        <f>IF(SeismicData[[#This Row],[shift]]="W","Production","Non-Production")</f>
        <v>Non-Production</v>
      </c>
      <c r="W2041" t="str">
        <f>IF(SeismicData[[#This Row],[genergy]]=0,"0","10^"&amp;INT(LOG10(SeismicData[[#This Row],[genergy]])))</f>
        <v>10^4</v>
      </c>
      <c r="X2041" t="str">
        <f>IF(OR(SeismicData[[#This Row],[genergy]]&lt;$AA$6,SeismicData[[#This Row],[genergy]]&gt;$AA$5),"Outlier","Normal")</f>
        <v>Normal</v>
      </c>
    </row>
    <row r="2042" spans="1:24" x14ac:dyDescent="0.15">
      <c r="A2042">
        <v>2041</v>
      </c>
      <c r="B2042" t="s">
        <v>20</v>
      </c>
      <c r="C2042" t="s">
        <v>20</v>
      </c>
      <c r="D2042" t="s">
        <v>22</v>
      </c>
      <c r="E2042">
        <v>24890</v>
      </c>
      <c r="F2042">
        <v>363</v>
      </c>
      <c r="G2042">
        <v>-26</v>
      </c>
      <c r="H2042">
        <v>-32</v>
      </c>
      <c r="I2042" t="s">
        <v>20</v>
      </c>
      <c r="J2042">
        <v>1</v>
      </c>
      <c r="K2042">
        <v>1</v>
      </c>
      <c r="L2042">
        <v>0</v>
      </c>
      <c r="M2042">
        <v>0</v>
      </c>
      <c r="N2042">
        <v>0</v>
      </c>
      <c r="O2042">
        <v>0</v>
      </c>
      <c r="P2042">
        <v>0</v>
      </c>
      <c r="Q2042">
        <v>0</v>
      </c>
      <c r="R2042">
        <v>500</v>
      </c>
      <c r="S2042">
        <v>500</v>
      </c>
      <c r="T2042">
        <v>0</v>
      </c>
      <c r="U2042" t="str">
        <f>IF(SeismicData[[#This Row],[class]]=1,"Dangerous","Safe")</f>
        <v>Safe</v>
      </c>
      <c r="V2042" t="str">
        <f>IF(SeismicData[[#This Row],[shift]]="W","Production","Non-Production")</f>
        <v>Production</v>
      </c>
      <c r="W2042" t="str">
        <f>IF(SeismicData[[#This Row],[genergy]]=0,"0","10^"&amp;INT(LOG10(SeismicData[[#This Row],[genergy]])))</f>
        <v>10^4</v>
      </c>
      <c r="X2042" t="str">
        <f>IF(OR(SeismicData[[#This Row],[genergy]]&lt;$AA$6,SeismicData[[#This Row],[genergy]]&gt;$AA$5),"Outlier","Normal")</f>
        <v>Normal</v>
      </c>
    </row>
    <row r="2043" spans="1:24" x14ac:dyDescent="0.15">
      <c r="A2043">
        <v>2042</v>
      </c>
      <c r="B2043" t="s">
        <v>20</v>
      </c>
      <c r="C2043" t="s">
        <v>20</v>
      </c>
      <c r="D2043" t="s">
        <v>22</v>
      </c>
      <c r="E2043">
        <v>31720</v>
      </c>
      <c r="F2043">
        <v>423</v>
      </c>
      <c r="G2043">
        <v>-6</v>
      </c>
      <c r="H2043">
        <v>-21</v>
      </c>
      <c r="I2043" t="s">
        <v>20</v>
      </c>
      <c r="J2043">
        <v>1</v>
      </c>
      <c r="K2043">
        <v>1</v>
      </c>
      <c r="L2043">
        <v>0</v>
      </c>
      <c r="M2043">
        <v>0</v>
      </c>
      <c r="N2043">
        <v>0</v>
      </c>
      <c r="O2043">
        <v>0</v>
      </c>
      <c r="P2043">
        <v>0</v>
      </c>
      <c r="Q2043">
        <v>0</v>
      </c>
      <c r="R2043">
        <v>300</v>
      </c>
      <c r="S2043">
        <v>300</v>
      </c>
      <c r="T2043">
        <v>0</v>
      </c>
      <c r="U2043" t="str">
        <f>IF(SeismicData[[#This Row],[class]]=1,"Dangerous","Safe")</f>
        <v>Safe</v>
      </c>
      <c r="V2043" t="str">
        <f>IF(SeismicData[[#This Row],[shift]]="W","Production","Non-Production")</f>
        <v>Production</v>
      </c>
      <c r="W2043" t="str">
        <f>IF(SeismicData[[#This Row],[genergy]]=0,"0","10^"&amp;INT(LOG10(SeismicData[[#This Row],[genergy]])))</f>
        <v>10^4</v>
      </c>
      <c r="X2043" t="str">
        <f>IF(OR(SeismicData[[#This Row],[genergy]]&lt;$AA$6,SeismicData[[#This Row],[genergy]]&gt;$AA$5),"Outlier","Normal")</f>
        <v>Normal</v>
      </c>
    </row>
    <row r="2044" spans="1:24" x14ac:dyDescent="0.15">
      <c r="A2044">
        <v>2043</v>
      </c>
      <c r="B2044" t="s">
        <v>20</v>
      </c>
      <c r="C2044" t="s">
        <v>20</v>
      </c>
      <c r="D2044" t="s">
        <v>22</v>
      </c>
      <c r="E2044">
        <v>19240</v>
      </c>
      <c r="F2044">
        <v>370</v>
      </c>
      <c r="G2044">
        <v>-43</v>
      </c>
      <c r="H2044">
        <v>-31</v>
      </c>
      <c r="I2044" t="s">
        <v>20</v>
      </c>
      <c r="J2044">
        <v>0</v>
      </c>
      <c r="K2044">
        <v>0</v>
      </c>
      <c r="L2044">
        <v>0</v>
      </c>
      <c r="M2044">
        <v>0</v>
      </c>
      <c r="N2044">
        <v>0</v>
      </c>
      <c r="O2044">
        <v>0</v>
      </c>
      <c r="P2044">
        <v>0</v>
      </c>
      <c r="Q2044">
        <v>0</v>
      </c>
      <c r="R2044">
        <v>0</v>
      </c>
      <c r="S2044">
        <v>0</v>
      </c>
      <c r="T2044">
        <v>0</v>
      </c>
      <c r="U2044" t="str">
        <f>IF(SeismicData[[#This Row],[class]]=1,"Dangerous","Safe")</f>
        <v>Safe</v>
      </c>
      <c r="V2044" t="str">
        <f>IF(SeismicData[[#This Row],[shift]]="W","Production","Non-Production")</f>
        <v>Production</v>
      </c>
      <c r="W2044" t="str">
        <f>IF(SeismicData[[#This Row],[genergy]]=0,"0","10^"&amp;INT(LOG10(SeismicData[[#This Row],[genergy]])))</f>
        <v>10^4</v>
      </c>
      <c r="X2044" t="str">
        <f>IF(OR(SeismicData[[#This Row],[genergy]]&lt;$AA$6,SeismicData[[#This Row],[genergy]]&gt;$AA$5),"Outlier","Normal")</f>
        <v>Normal</v>
      </c>
    </row>
    <row r="2045" spans="1:24" x14ac:dyDescent="0.15">
      <c r="A2045">
        <v>2044</v>
      </c>
      <c r="B2045" t="s">
        <v>20</v>
      </c>
      <c r="C2045" t="s">
        <v>20</v>
      </c>
      <c r="D2045" t="s">
        <v>22</v>
      </c>
      <c r="E2045">
        <v>25630</v>
      </c>
      <c r="F2045">
        <v>423</v>
      </c>
      <c r="G2045">
        <v>-24</v>
      </c>
      <c r="H2045">
        <v>-21</v>
      </c>
      <c r="I2045" t="s">
        <v>20</v>
      </c>
      <c r="J2045">
        <v>0</v>
      </c>
      <c r="K2045">
        <v>0</v>
      </c>
      <c r="L2045">
        <v>0</v>
      </c>
      <c r="M2045">
        <v>0</v>
      </c>
      <c r="N2045">
        <v>0</v>
      </c>
      <c r="O2045">
        <v>0</v>
      </c>
      <c r="P2045">
        <v>0</v>
      </c>
      <c r="Q2045">
        <v>0</v>
      </c>
      <c r="R2045">
        <v>0</v>
      </c>
      <c r="S2045">
        <v>0</v>
      </c>
      <c r="T2045">
        <v>0</v>
      </c>
      <c r="U2045" t="str">
        <f>IF(SeismicData[[#This Row],[class]]=1,"Dangerous","Safe")</f>
        <v>Safe</v>
      </c>
      <c r="V2045" t="str">
        <f>IF(SeismicData[[#This Row],[shift]]="W","Production","Non-Production")</f>
        <v>Production</v>
      </c>
      <c r="W2045" t="str">
        <f>IF(SeismicData[[#This Row],[genergy]]=0,"0","10^"&amp;INT(LOG10(SeismicData[[#This Row],[genergy]])))</f>
        <v>10^4</v>
      </c>
      <c r="X2045" t="str">
        <f>IF(OR(SeismicData[[#This Row],[genergy]]&lt;$AA$6,SeismicData[[#This Row],[genergy]]&gt;$AA$5),"Outlier","Normal")</f>
        <v>Normal</v>
      </c>
    </row>
    <row r="2046" spans="1:24" x14ac:dyDescent="0.15">
      <c r="A2046">
        <v>2045</v>
      </c>
      <c r="B2046" t="s">
        <v>20</v>
      </c>
      <c r="C2046" t="s">
        <v>20</v>
      </c>
      <c r="D2046" t="s">
        <v>22</v>
      </c>
      <c r="E2046">
        <v>21040</v>
      </c>
      <c r="F2046">
        <v>402</v>
      </c>
      <c r="G2046">
        <v>-38</v>
      </c>
      <c r="H2046">
        <v>-25</v>
      </c>
      <c r="I2046" t="s">
        <v>20</v>
      </c>
      <c r="J2046">
        <v>1</v>
      </c>
      <c r="K2046">
        <v>1</v>
      </c>
      <c r="L2046">
        <v>0</v>
      </c>
      <c r="M2046">
        <v>0</v>
      </c>
      <c r="N2046">
        <v>0</v>
      </c>
      <c r="O2046">
        <v>0</v>
      </c>
      <c r="P2046">
        <v>0</v>
      </c>
      <c r="Q2046">
        <v>0</v>
      </c>
      <c r="R2046">
        <v>300</v>
      </c>
      <c r="S2046">
        <v>300</v>
      </c>
      <c r="T2046">
        <v>0</v>
      </c>
      <c r="U2046" t="str">
        <f>IF(SeismicData[[#This Row],[class]]=1,"Dangerous","Safe")</f>
        <v>Safe</v>
      </c>
      <c r="V2046" t="str">
        <f>IF(SeismicData[[#This Row],[shift]]="W","Production","Non-Production")</f>
        <v>Production</v>
      </c>
      <c r="W2046" t="str">
        <f>IF(SeismicData[[#This Row],[genergy]]=0,"0","10^"&amp;INT(LOG10(SeismicData[[#This Row],[genergy]])))</f>
        <v>10^4</v>
      </c>
      <c r="X2046" t="str">
        <f>IF(OR(SeismicData[[#This Row],[genergy]]&lt;$AA$6,SeismicData[[#This Row],[genergy]]&gt;$AA$5),"Outlier","Normal")</f>
        <v>Normal</v>
      </c>
    </row>
    <row r="2047" spans="1:24" x14ac:dyDescent="0.15">
      <c r="A2047">
        <v>2046</v>
      </c>
      <c r="B2047" t="s">
        <v>20</v>
      </c>
      <c r="C2047" t="s">
        <v>20</v>
      </c>
      <c r="D2047" t="s">
        <v>22</v>
      </c>
      <c r="E2047">
        <v>32810</v>
      </c>
      <c r="F2047">
        <v>524</v>
      </c>
      <c r="G2047">
        <v>-3</v>
      </c>
      <c r="H2047">
        <v>-2</v>
      </c>
      <c r="I2047" t="s">
        <v>20</v>
      </c>
      <c r="J2047">
        <v>0</v>
      </c>
      <c r="K2047">
        <v>0</v>
      </c>
      <c r="L2047">
        <v>0</v>
      </c>
      <c r="M2047">
        <v>0</v>
      </c>
      <c r="N2047">
        <v>0</v>
      </c>
      <c r="O2047">
        <v>0</v>
      </c>
      <c r="P2047">
        <v>0</v>
      </c>
      <c r="Q2047">
        <v>0</v>
      </c>
      <c r="R2047">
        <v>0</v>
      </c>
      <c r="S2047">
        <v>0</v>
      </c>
      <c r="T2047">
        <v>1</v>
      </c>
      <c r="U2047" t="str">
        <f>IF(SeismicData[[#This Row],[class]]=1,"Dangerous","Safe")</f>
        <v>Dangerous</v>
      </c>
      <c r="V2047" t="str">
        <f>IF(SeismicData[[#This Row],[shift]]="W","Production","Non-Production")</f>
        <v>Production</v>
      </c>
      <c r="W2047" t="str">
        <f>IF(SeismicData[[#This Row],[genergy]]=0,"0","10^"&amp;INT(LOG10(SeismicData[[#This Row],[genergy]])))</f>
        <v>10^4</v>
      </c>
      <c r="X2047" t="str">
        <f>IF(OR(SeismicData[[#This Row],[genergy]]&lt;$AA$6,SeismicData[[#This Row],[genergy]]&gt;$AA$5),"Outlier","Normal")</f>
        <v>Normal</v>
      </c>
    </row>
    <row r="2048" spans="1:24" x14ac:dyDescent="0.15">
      <c r="A2048">
        <v>2047</v>
      </c>
      <c r="B2048" t="s">
        <v>20</v>
      </c>
      <c r="C2048" t="s">
        <v>20</v>
      </c>
      <c r="D2048" t="s">
        <v>22</v>
      </c>
      <c r="E2048">
        <v>33330</v>
      </c>
      <c r="F2048">
        <v>482</v>
      </c>
      <c r="G2048">
        <v>-5</v>
      </c>
      <c r="H2048">
        <v>-12</v>
      </c>
      <c r="I2048" t="s">
        <v>20</v>
      </c>
      <c r="J2048">
        <v>2</v>
      </c>
      <c r="K2048">
        <v>1</v>
      </c>
      <c r="L2048">
        <v>0</v>
      </c>
      <c r="M2048">
        <v>1</v>
      </c>
      <c r="N2048">
        <v>0</v>
      </c>
      <c r="O2048">
        <v>0</v>
      </c>
      <c r="P2048">
        <v>0</v>
      </c>
      <c r="Q2048">
        <v>0</v>
      </c>
      <c r="R2048">
        <v>40200</v>
      </c>
      <c r="S2048">
        <v>40000</v>
      </c>
      <c r="T2048">
        <v>0</v>
      </c>
      <c r="U2048" t="str">
        <f>IF(SeismicData[[#This Row],[class]]=1,"Dangerous","Safe")</f>
        <v>Safe</v>
      </c>
      <c r="V2048" t="str">
        <f>IF(SeismicData[[#This Row],[shift]]="W","Production","Non-Production")</f>
        <v>Production</v>
      </c>
      <c r="W2048" t="str">
        <f>IF(SeismicData[[#This Row],[genergy]]=0,"0","10^"&amp;INT(LOG10(SeismicData[[#This Row],[genergy]])))</f>
        <v>10^4</v>
      </c>
      <c r="X2048" t="str">
        <f>IF(OR(SeismicData[[#This Row],[genergy]]&lt;$AA$6,SeismicData[[#This Row],[genergy]]&gt;$AA$5),"Outlier","Normal")</f>
        <v>Normal</v>
      </c>
    </row>
    <row r="2049" spans="1:24" x14ac:dyDescent="0.15">
      <c r="A2049">
        <v>2048</v>
      </c>
      <c r="B2049" t="s">
        <v>20</v>
      </c>
      <c r="C2049" t="s">
        <v>20</v>
      </c>
      <c r="D2049" t="s">
        <v>22</v>
      </c>
      <c r="E2049">
        <v>50840</v>
      </c>
      <c r="F2049">
        <v>719</v>
      </c>
      <c r="G2049">
        <v>46</v>
      </c>
      <c r="H2049">
        <v>32</v>
      </c>
      <c r="I2049" t="s">
        <v>20</v>
      </c>
      <c r="J2049">
        <v>1</v>
      </c>
      <c r="K2049">
        <v>0</v>
      </c>
      <c r="L2049">
        <v>1</v>
      </c>
      <c r="M2049">
        <v>0</v>
      </c>
      <c r="N2049">
        <v>0</v>
      </c>
      <c r="O2049">
        <v>0</v>
      </c>
      <c r="P2049">
        <v>0</v>
      </c>
      <c r="Q2049">
        <v>0</v>
      </c>
      <c r="R2049">
        <v>7000</v>
      </c>
      <c r="S2049">
        <v>7000</v>
      </c>
      <c r="T2049">
        <v>0</v>
      </c>
      <c r="U2049" t="str">
        <f>IF(SeismicData[[#This Row],[class]]=1,"Dangerous","Safe")</f>
        <v>Safe</v>
      </c>
      <c r="V2049" t="str">
        <f>IF(SeismicData[[#This Row],[shift]]="W","Production","Non-Production")</f>
        <v>Production</v>
      </c>
      <c r="W2049" t="str">
        <f>IF(SeismicData[[#This Row],[genergy]]=0,"0","10^"&amp;INT(LOG10(SeismicData[[#This Row],[genergy]])))</f>
        <v>10^4</v>
      </c>
      <c r="X2049" t="str">
        <f>IF(OR(SeismicData[[#This Row],[genergy]]&lt;$AA$6,SeismicData[[#This Row],[genergy]]&gt;$AA$5),"Outlier","Normal")</f>
        <v>Normal</v>
      </c>
    </row>
    <row r="2050" spans="1:24" x14ac:dyDescent="0.15">
      <c r="A2050">
        <v>2049</v>
      </c>
      <c r="B2050" t="s">
        <v>20</v>
      </c>
      <c r="C2050" t="s">
        <v>20</v>
      </c>
      <c r="D2050" t="s">
        <v>22</v>
      </c>
      <c r="E2050">
        <v>31430</v>
      </c>
      <c r="F2050">
        <v>484</v>
      </c>
      <c r="G2050">
        <v>-10</v>
      </c>
      <c r="H2050">
        <v>-11</v>
      </c>
      <c r="I2050" t="s">
        <v>20</v>
      </c>
      <c r="J2050">
        <v>0</v>
      </c>
      <c r="K2050">
        <v>0</v>
      </c>
      <c r="L2050">
        <v>0</v>
      </c>
      <c r="M2050">
        <v>0</v>
      </c>
      <c r="N2050">
        <v>0</v>
      </c>
      <c r="O2050">
        <v>0</v>
      </c>
      <c r="P2050">
        <v>0</v>
      </c>
      <c r="Q2050">
        <v>0</v>
      </c>
      <c r="R2050">
        <v>0</v>
      </c>
      <c r="S2050">
        <v>0</v>
      </c>
      <c r="T2050">
        <v>0</v>
      </c>
      <c r="U2050" t="str">
        <f>IF(SeismicData[[#This Row],[class]]=1,"Dangerous","Safe")</f>
        <v>Safe</v>
      </c>
      <c r="V2050" t="str">
        <f>IF(SeismicData[[#This Row],[shift]]="W","Production","Non-Production")</f>
        <v>Production</v>
      </c>
      <c r="W2050" t="str">
        <f>IF(SeismicData[[#This Row],[genergy]]=0,"0","10^"&amp;INT(LOG10(SeismicData[[#This Row],[genergy]])))</f>
        <v>10^4</v>
      </c>
      <c r="X2050" t="str">
        <f>IF(OR(SeismicData[[#This Row],[genergy]]&lt;$AA$6,SeismicData[[#This Row],[genergy]]&gt;$AA$5),"Outlier","Normal")</f>
        <v>Normal</v>
      </c>
    </row>
    <row r="2051" spans="1:24" x14ac:dyDescent="0.15">
      <c r="A2051">
        <v>2050</v>
      </c>
      <c r="B2051" t="s">
        <v>20</v>
      </c>
      <c r="C2051" t="s">
        <v>20</v>
      </c>
      <c r="D2051" t="s">
        <v>22</v>
      </c>
      <c r="E2051">
        <v>22810</v>
      </c>
      <c r="F2051">
        <v>508</v>
      </c>
      <c r="G2051">
        <v>-35</v>
      </c>
      <c r="H2051">
        <v>-7</v>
      </c>
      <c r="I2051" t="s">
        <v>20</v>
      </c>
      <c r="J2051">
        <v>0</v>
      </c>
      <c r="K2051">
        <v>0</v>
      </c>
      <c r="L2051">
        <v>0</v>
      </c>
      <c r="M2051">
        <v>0</v>
      </c>
      <c r="N2051">
        <v>0</v>
      </c>
      <c r="O2051">
        <v>0</v>
      </c>
      <c r="P2051">
        <v>0</v>
      </c>
      <c r="Q2051">
        <v>0</v>
      </c>
      <c r="R2051">
        <v>0</v>
      </c>
      <c r="S2051">
        <v>0</v>
      </c>
      <c r="T2051">
        <v>0</v>
      </c>
      <c r="U2051" t="str">
        <f>IF(SeismicData[[#This Row],[class]]=1,"Dangerous","Safe")</f>
        <v>Safe</v>
      </c>
      <c r="V2051" t="str">
        <f>IF(SeismicData[[#This Row],[shift]]="W","Production","Non-Production")</f>
        <v>Production</v>
      </c>
      <c r="W2051" t="str">
        <f>IF(SeismicData[[#This Row],[genergy]]=0,"0","10^"&amp;INT(LOG10(SeismicData[[#This Row],[genergy]])))</f>
        <v>10^4</v>
      </c>
      <c r="X2051" t="str">
        <f>IF(OR(SeismicData[[#This Row],[genergy]]&lt;$AA$6,SeismicData[[#This Row],[genergy]]&gt;$AA$5),"Outlier","Normal")</f>
        <v>Normal</v>
      </c>
    </row>
    <row r="2052" spans="1:24" x14ac:dyDescent="0.15">
      <c r="A2052">
        <v>2051</v>
      </c>
      <c r="B2052" t="s">
        <v>20</v>
      </c>
      <c r="C2052" t="s">
        <v>20</v>
      </c>
      <c r="D2052" t="s">
        <v>22</v>
      </c>
      <c r="E2052">
        <v>32220</v>
      </c>
      <c r="F2052">
        <v>513</v>
      </c>
      <c r="G2052">
        <v>-8</v>
      </c>
      <c r="H2052">
        <v>-6</v>
      </c>
      <c r="I2052" t="s">
        <v>20</v>
      </c>
      <c r="J2052">
        <v>2</v>
      </c>
      <c r="K2052">
        <v>1</v>
      </c>
      <c r="L2052">
        <v>1</v>
      </c>
      <c r="M2052">
        <v>0</v>
      </c>
      <c r="N2052">
        <v>0</v>
      </c>
      <c r="O2052">
        <v>0</v>
      </c>
      <c r="P2052">
        <v>0</v>
      </c>
      <c r="Q2052">
        <v>0</v>
      </c>
      <c r="R2052">
        <v>2300</v>
      </c>
      <c r="S2052">
        <v>2000</v>
      </c>
      <c r="T2052">
        <v>0</v>
      </c>
      <c r="U2052" t="str">
        <f>IF(SeismicData[[#This Row],[class]]=1,"Dangerous","Safe")</f>
        <v>Safe</v>
      </c>
      <c r="V2052" t="str">
        <f>IF(SeismicData[[#This Row],[shift]]="W","Production","Non-Production")</f>
        <v>Production</v>
      </c>
      <c r="W2052" t="str">
        <f>IF(SeismicData[[#This Row],[genergy]]=0,"0","10^"&amp;INT(LOG10(SeismicData[[#This Row],[genergy]])))</f>
        <v>10^4</v>
      </c>
      <c r="X2052" t="str">
        <f>IF(OR(SeismicData[[#This Row],[genergy]]&lt;$AA$6,SeismicData[[#This Row],[genergy]]&gt;$AA$5),"Outlier","Normal")</f>
        <v>Normal</v>
      </c>
    </row>
    <row r="2053" spans="1:24" x14ac:dyDescent="0.15">
      <c r="A2053">
        <v>2052</v>
      </c>
      <c r="B2053" t="s">
        <v>20</v>
      </c>
      <c r="C2053" t="s">
        <v>20</v>
      </c>
      <c r="D2053" t="s">
        <v>22</v>
      </c>
      <c r="E2053">
        <v>49480</v>
      </c>
      <c r="F2053">
        <v>579</v>
      </c>
      <c r="G2053">
        <v>42</v>
      </c>
      <c r="H2053">
        <v>6</v>
      </c>
      <c r="I2053" t="s">
        <v>20</v>
      </c>
      <c r="J2053">
        <v>0</v>
      </c>
      <c r="K2053">
        <v>0</v>
      </c>
      <c r="L2053">
        <v>0</v>
      </c>
      <c r="M2053">
        <v>0</v>
      </c>
      <c r="N2053">
        <v>0</v>
      </c>
      <c r="O2053">
        <v>0</v>
      </c>
      <c r="P2053">
        <v>0</v>
      </c>
      <c r="Q2053">
        <v>0</v>
      </c>
      <c r="R2053">
        <v>0</v>
      </c>
      <c r="S2053">
        <v>0</v>
      </c>
      <c r="T2053">
        <v>0</v>
      </c>
      <c r="U2053" t="str">
        <f>IF(SeismicData[[#This Row],[class]]=1,"Dangerous","Safe")</f>
        <v>Safe</v>
      </c>
      <c r="V2053" t="str">
        <f>IF(SeismicData[[#This Row],[shift]]="W","Production","Non-Production")</f>
        <v>Production</v>
      </c>
      <c r="W2053" t="str">
        <f>IF(SeismicData[[#This Row],[genergy]]=0,"0","10^"&amp;INT(LOG10(SeismicData[[#This Row],[genergy]])))</f>
        <v>10^4</v>
      </c>
      <c r="X2053" t="str">
        <f>IF(OR(SeismicData[[#This Row],[genergy]]&lt;$AA$6,SeismicData[[#This Row],[genergy]]&gt;$AA$5),"Outlier","Normal")</f>
        <v>Normal</v>
      </c>
    </row>
    <row r="2054" spans="1:24" x14ac:dyDescent="0.15">
      <c r="A2054">
        <v>2053</v>
      </c>
      <c r="B2054" t="s">
        <v>20</v>
      </c>
      <c r="C2054" t="s">
        <v>20</v>
      </c>
      <c r="D2054" t="s">
        <v>22</v>
      </c>
      <c r="E2054">
        <v>28350</v>
      </c>
      <c r="F2054">
        <v>467</v>
      </c>
      <c r="G2054">
        <v>-19</v>
      </c>
      <c r="H2054">
        <v>-15</v>
      </c>
      <c r="I2054" t="s">
        <v>20</v>
      </c>
      <c r="J2054">
        <v>0</v>
      </c>
      <c r="K2054">
        <v>0</v>
      </c>
      <c r="L2054">
        <v>0</v>
      </c>
      <c r="M2054">
        <v>0</v>
      </c>
      <c r="N2054">
        <v>0</v>
      </c>
      <c r="O2054">
        <v>0</v>
      </c>
      <c r="P2054">
        <v>0</v>
      </c>
      <c r="Q2054">
        <v>0</v>
      </c>
      <c r="R2054">
        <v>0</v>
      </c>
      <c r="S2054">
        <v>0</v>
      </c>
      <c r="T2054">
        <v>0</v>
      </c>
      <c r="U2054" t="str">
        <f>IF(SeismicData[[#This Row],[class]]=1,"Dangerous","Safe")</f>
        <v>Safe</v>
      </c>
      <c r="V2054" t="str">
        <f>IF(SeismicData[[#This Row],[shift]]="W","Production","Non-Production")</f>
        <v>Production</v>
      </c>
      <c r="W2054" t="str">
        <f>IF(SeismicData[[#This Row],[genergy]]=0,"0","10^"&amp;INT(LOG10(SeismicData[[#This Row],[genergy]])))</f>
        <v>10^4</v>
      </c>
      <c r="X2054" t="str">
        <f>IF(OR(SeismicData[[#This Row],[genergy]]&lt;$AA$6,SeismicData[[#This Row],[genergy]]&gt;$AA$5),"Outlier","Normal")</f>
        <v>Normal</v>
      </c>
    </row>
    <row r="2055" spans="1:24" x14ac:dyDescent="0.15">
      <c r="A2055">
        <v>2054</v>
      </c>
      <c r="B2055" t="s">
        <v>20</v>
      </c>
      <c r="C2055" t="s">
        <v>20</v>
      </c>
      <c r="D2055" t="s">
        <v>22</v>
      </c>
      <c r="E2055">
        <v>23160</v>
      </c>
      <c r="F2055">
        <v>393</v>
      </c>
      <c r="G2055">
        <v>-34</v>
      </c>
      <c r="H2055">
        <v>-28</v>
      </c>
      <c r="I2055" t="s">
        <v>20</v>
      </c>
      <c r="J2055">
        <v>0</v>
      </c>
      <c r="K2055">
        <v>0</v>
      </c>
      <c r="L2055">
        <v>0</v>
      </c>
      <c r="M2055">
        <v>0</v>
      </c>
      <c r="N2055">
        <v>0</v>
      </c>
      <c r="O2055">
        <v>0</v>
      </c>
      <c r="P2055">
        <v>0</v>
      </c>
      <c r="Q2055">
        <v>0</v>
      </c>
      <c r="R2055">
        <v>0</v>
      </c>
      <c r="S2055">
        <v>0</v>
      </c>
      <c r="T2055">
        <v>0</v>
      </c>
      <c r="U2055" t="str">
        <f>IF(SeismicData[[#This Row],[class]]=1,"Dangerous","Safe")</f>
        <v>Safe</v>
      </c>
      <c r="V2055" t="str">
        <f>IF(SeismicData[[#This Row],[shift]]="W","Production","Non-Production")</f>
        <v>Production</v>
      </c>
      <c r="W2055" t="str">
        <f>IF(SeismicData[[#This Row],[genergy]]=0,"0","10^"&amp;INT(LOG10(SeismicData[[#This Row],[genergy]])))</f>
        <v>10^4</v>
      </c>
      <c r="X2055" t="str">
        <f>IF(OR(SeismicData[[#This Row],[genergy]]&lt;$AA$6,SeismicData[[#This Row],[genergy]]&gt;$AA$5),"Outlier","Normal")</f>
        <v>Normal</v>
      </c>
    </row>
    <row r="2056" spans="1:24" x14ac:dyDescent="0.15">
      <c r="A2056">
        <v>2055</v>
      </c>
      <c r="B2056" t="s">
        <v>23</v>
      </c>
      <c r="C2056" t="s">
        <v>20</v>
      </c>
      <c r="D2056" t="s">
        <v>22</v>
      </c>
      <c r="E2056">
        <v>37570</v>
      </c>
      <c r="F2056">
        <v>539</v>
      </c>
      <c r="G2056">
        <v>8</v>
      </c>
      <c r="H2056">
        <v>0</v>
      </c>
      <c r="I2056" t="s">
        <v>20</v>
      </c>
      <c r="J2056">
        <v>0</v>
      </c>
      <c r="K2056">
        <v>0</v>
      </c>
      <c r="L2056">
        <v>0</v>
      </c>
      <c r="M2056">
        <v>0</v>
      </c>
      <c r="N2056">
        <v>0</v>
      </c>
      <c r="O2056">
        <v>0</v>
      </c>
      <c r="P2056">
        <v>0</v>
      </c>
      <c r="Q2056">
        <v>0</v>
      </c>
      <c r="R2056">
        <v>0</v>
      </c>
      <c r="S2056">
        <v>0</v>
      </c>
      <c r="T2056">
        <v>0</v>
      </c>
      <c r="U2056" t="str">
        <f>IF(SeismicData[[#This Row],[class]]=1,"Dangerous","Safe")</f>
        <v>Safe</v>
      </c>
      <c r="V2056" t="str">
        <f>IF(SeismicData[[#This Row],[shift]]="W","Production","Non-Production")</f>
        <v>Production</v>
      </c>
      <c r="W2056" t="str">
        <f>IF(SeismicData[[#This Row],[genergy]]=0,"0","10^"&amp;INT(LOG10(SeismicData[[#This Row],[genergy]])))</f>
        <v>10^4</v>
      </c>
      <c r="X2056" t="str">
        <f>IF(OR(SeismicData[[#This Row],[genergy]]&lt;$AA$6,SeismicData[[#This Row],[genergy]]&gt;$AA$5),"Outlier","Normal")</f>
        <v>Normal</v>
      </c>
    </row>
    <row r="2057" spans="1:24" x14ac:dyDescent="0.15">
      <c r="A2057">
        <v>2056</v>
      </c>
      <c r="B2057" t="s">
        <v>23</v>
      </c>
      <c r="C2057" t="s">
        <v>20</v>
      </c>
      <c r="D2057" t="s">
        <v>22</v>
      </c>
      <c r="E2057">
        <v>27480</v>
      </c>
      <c r="F2057">
        <v>441</v>
      </c>
      <c r="G2057">
        <v>-21</v>
      </c>
      <c r="H2057">
        <v>-18</v>
      </c>
      <c r="I2057" t="s">
        <v>20</v>
      </c>
      <c r="J2057">
        <v>1</v>
      </c>
      <c r="K2057">
        <v>0</v>
      </c>
      <c r="L2057">
        <v>1</v>
      </c>
      <c r="M2057">
        <v>0</v>
      </c>
      <c r="N2057">
        <v>0</v>
      </c>
      <c r="O2057">
        <v>0</v>
      </c>
      <c r="P2057">
        <v>0</v>
      </c>
      <c r="Q2057">
        <v>0</v>
      </c>
      <c r="R2057">
        <v>4000</v>
      </c>
      <c r="S2057">
        <v>4000</v>
      </c>
      <c r="T2057">
        <v>0</v>
      </c>
      <c r="U2057" t="str">
        <f>IF(SeismicData[[#This Row],[class]]=1,"Dangerous","Safe")</f>
        <v>Safe</v>
      </c>
      <c r="V2057" t="str">
        <f>IF(SeismicData[[#This Row],[shift]]="W","Production","Non-Production")</f>
        <v>Production</v>
      </c>
      <c r="W2057" t="str">
        <f>IF(SeismicData[[#This Row],[genergy]]=0,"0","10^"&amp;INT(LOG10(SeismicData[[#This Row],[genergy]])))</f>
        <v>10^4</v>
      </c>
      <c r="X2057" t="str">
        <f>IF(OR(SeismicData[[#This Row],[genergy]]&lt;$AA$6,SeismicData[[#This Row],[genergy]]&gt;$AA$5),"Outlier","Normal")</f>
        <v>Normal</v>
      </c>
    </row>
    <row r="2058" spans="1:24" x14ac:dyDescent="0.15">
      <c r="A2058">
        <v>2057</v>
      </c>
      <c r="B2058" t="s">
        <v>23</v>
      </c>
      <c r="C2058" t="s">
        <v>20</v>
      </c>
      <c r="D2058" t="s">
        <v>22</v>
      </c>
      <c r="E2058">
        <v>16830</v>
      </c>
      <c r="F2058">
        <v>396</v>
      </c>
      <c r="G2058">
        <v>-14</v>
      </c>
      <c r="H2058">
        <v>-18</v>
      </c>
      <c r="I2058" t="s">
        <v>20</v>
      </c>
      <c r="J2058">
        <v>0</v>
      </c>
      <c r="K2058">
        <v>0</v>
      </c>
      <c r="L2058">
        <v>0</v>
      </c>
      <c r="M2058">
        <v>0</v>
      </c>
      <c r="N2058">
        <v>0</v>
      </c>
      <c r="O2058">
        <v>0</v>
      </c>
      <c r="P2058">
        <v>0</v>
      </c>
      <c r="Q2058">
        <v>0</v>
      </c>
      <c r="R2058">
        <v>0</v>
      </c>
      <c r="S2058">
        <v>0</v>
      </c>
      <c r="T2058">
        <v>0</v>
      </c>
      <c r="U2058" t="str">
        <f>IF(SeismicData[[#This Row],[class]]=1,"Dangerous","Safe")</f>
        <v>Safe</v>
      </c>
      <c r="V2058" t="str">
        <f>IF(SeismicData[[#This Row],[shift]]="W","Production","Non-Production")</f>
        <v>Production</v>
      </c>
      <c r="W2058" t="str">
        <f>IF(SeismicData[[#This Row],[genergy]]=0,"0","10^"&amp;INT(LOG10(SeismicData[[#This Row],[genergy]])))</f>
        <v>10^4</v>
      </c>
      <c r="X2058" t="str">
        <f>IF(OR(SeismicData[[#This Row],[genergy]]&lt;$AA$6,SeismicData[[#This Row],[genergy]]&gt;$AA$5),"Outlier","Normal")</f>
        <v>Normal</v>
      </c>
    </row>
    <row r="2059" spans="1:24" x14ac:dyDescent="0.15">
      <c r="A2059">
        <v>2058</v>
      </c>
      <c r="B2059" t="s">
        <v>23</v>
      </c>
      <c r="C2059" t="s">
        <v>20</v>
      </c>
      <c r="D2059" t="s">
        <v>22</v>
      </c>
      <c r="E2059">
        <v>44330</v>
      </c>
      <c r="F2059">
        <v>485</v>
      </c>
      <c r="G2059">
        <v>27</v>
      </c>
      <c r="H2059">
        <v>-10</v>
      </c>
      <c r="I2059" t="s">
        <v>20</v>
      </c>
      <c r="J2059">
        <v>0</v>
      </c>
      <c r="K2059">
        <v>0</v>
      </c>
      <c r="L2059">
        <v>0</v>
      </c>
      <c r="M2059">
        <v>0</v>
      </c>
      <c r="N2059">
        <v>0</v>
      </c>
      <c r="O2059">
        <v>0</v>
      </c>
      <c r="P2059">
        <v>0</v>
      </c>
      <c r="Q2059">
        <v>0</v>
      </c>
      <c r="R2059">
        <v>0</v>
      </c>
      <c r="S2059">
        <v>0</v>
      </c>
      <c r="T2059">
        <v>0</v>
      </c>
      <c r="U2059" t="str">
        <f>IF(SeismicData[[#This Row],[class]]=1,"Dangerous","Safe")</f>
        <v>Safe</v>
      </c>
      <c r="V2059" t="str">
        <f>IF(SeismicData[[#This Row],[shift]]="W","Production","Non-Production")</f>
        <v>Production</v>
      </c>
      <c r="W2059" t="str">
        <f>IF(SeismicData[[#This Row],[genergy]]=0,"0","10^"&amp;INT(LOG10(SeismicData[[#This Row],[genergy]])))</f>
        <v>10^4</v>
      </c>
      <c r="X2059" t="str">
        <f>IF(OR(SeismicData[[#This Row],[genergy]]&lt;$AA$6,SeismicData[[#This Row],[genergy]]&gt;$AA$5),"Outlier","Normal")</f>
        <v>Normal</v>
      </c>
    </row>
    <row r="2060" spans="1:24" x14ac:dyDescent="0.15">
      <c r="A2060">
        <v>2059</v>
      </c>
      <c r="B2060" t="s">
        <v>23</v>
      </c>
      <c r="C2060" t="s">
        <v>20</v>
      </c>
      <c r="D2060" t="s">
        <v>22</v>
      </c>
      <c r="E2060">
        <v>28360</v>
      </c>
      <c r="F2060">
        <v>434</v>
      </c>
      <c r="G2060">
        <v>-19</v>
      </c>
      <c r="H2060">
        <v>-20</v>
      </c>
      <c r="I2060" t="s">
        <v>20</v>
      </c>
      <c r="J2060">
        <v>0</v>
      </c>
      <c r="K2060">
        <v>0</v>
      </c>
      <c r="L2060">
        <v>0</v>
      </c>
      <c r="M2060">
        <v>0</v>
      </c>
      <c r="N2060">
        <v>0</v>
      </c>
      <c r="O2060">
        <v>0</v>
      </c>
      <c r="P2060">
        <v>0</v>
      </c>
      <c r="Q2060">
        <v>0</v>
      </c>
      <c r="R2060">
        <v>0</v>
      </c>
      <c r="S2060">
        <v>0</v>
      </c>
      <c r="T2060">
        <v>0</v>
      </c>
      <c r="U2060" t="str">
        <f>IF(SeismicData[[#This Row],[class]]=1,"Dangerous","Safe")</f>
        <v>Safe</v>
      </c>
      <c r="V2060" t="str">
        <f>IF(SeismicData[[#This Row],[shift]]="W","Production","Non-Production")</f>
        <v>Production</v>
      </c>
      <c r="W2060" t="str">
        <f>IF(SeismicData[[#This Row],[genergy]]=0,"0","10^"&amp;INT(LOG10(SeismicData[[#This Row],[genergy]])))</f>
        <v>10^4</v>
      </c>
      <c r="X2060" t="str">
        <f>IF(OR(SeismicData[[#This Row],[genergy]]&lt;$AA$6,SeismicData[[#This Row],[genergy]]&gt;$AA$5),"Outlier","Normal")</f>
        <v>Normal</v>
      </c>
    </row>
    <row r="2061" spans="1:24" x14ac:dyDescent="0.15">
      <c r="A2061">
        <v>2060</v>
      </c>
      <c r="B2061" t="s">
        <v>23</v>
      </c>
      <c r="C2061" t="s">
        <v>20</v>
      </c>
      <c r="D2061" t="s">
        <v>22</v>
      </c>
      <c r="E2061">
        <v>28240</v>
      </c>
      <c r="F2061">
        <v>460</v>
      </c>
      <c r="G2061">
        <v>-19</v>
      </c>
      <c r="H2061">
        <v>-15</v>
      </c>
      <c r="I2061" t="s">
        <v>20</v>
      </c>
      <c r="J2061">
        <v>0</v>
      </c>
      <c r="K2061">
        <v>0</v>
      </c>
      <c r="L2061">
        <v>0</v>
      </c>
      <c r="M2061">
        <v>0</v>
      </c>
      <c r="N2061">
        <v>0</v>
      </c>
      <c r="O2061">
        <v>0</v>
      </c>
      <c r="P2061">
        <v>0</v>
      </c>
      <c r="Q2061">
        <v>0</v>
      </c>
      <c r="R2061">
        <v>0</v>
      </c>
      <c r="S2061">
        <v>0</v>
      </c>
      <c r="T2061">
        <v>0</v>
      </c>
      <c r="U2061" t="str">
        <f>IF(SeismicData[[#This Row],[class]]=1,"Dangerous","Safe")</f>
        <v>Safe</v>
      </c>
      <c r="V2061" t="str">
        <f>IF(SeismicData[[#This Row],[shift]]="W","Production","Non-Production")</f>
        <v>Production</v>
      </c>
      <c r="W2061" t="str">
        <f>IF(SeismicData[[#This Row],[genergy]]=0,"0","10^"&amp;INT(LOG10(SeismicData[[#This Row],[genergy]])))</f>
        <v>10^4</v>
      </c>
      <c r="X2061" t="str">
        <f>IF(OR(SeismicData[[#This Row],[genergy]]&lt;$AA$6,SeismicData[[#This Row],[genergy]]&gt;$AA$5),"Outlier","Normal")</f>
        <v>Normal</v>
      </c>
    </row>
    <row r="2062" spans="1:24" x14ac:dyDescent="0.15">
      <c r="A2062">
        <v>2061</v>
      </c>
      <c r="B2062" t="s">
        <v>23</v>
      </c>
      <c r="C2062" t="s">
        <v>20</v>
      </c>
      <c r="D2062" t="s">
        <v>22</v>
      </c>
      <c r="E2062">
        <v>31620</v>
      </c>
      <c r="F2062">
        <v>520</v>
      </c>
      <c r="G2062">
        <v>-9</v>
      </c>
      <c r="H2062">
        <v>-4</v>
      </c>
      <c r="I2062" t="s">
        <v>20</v>
      </c>
      <c r="J2062">
        <v>0</v>
      </c>
      <c r="K2062">
        <v>0</v>
      </c>
      <c r="L2062">
        <v>0</v>
      </c>
      <c r="M2062">
        <v>0</v>
      </c>
      <c r="N2062">
        <v>0</v>
      </c>
      <c r="O2062">
        <v>0</v>
      </c>
      <c r="P2062">
        <v>0</v>
      </c>
      <c r="Q2062">
        <v>0</v>
      </c>
      <c r="R2062">
        <v>0</v>
      </c>
      <c r="S2062">
        <v>0</v>
      </c>
      <c r="T2062">
        <v>0</v>
      </c>
      <c r="U2062" t="str">
        <f>IF(SeismicData[[#This Row],[class]]=1,"Dangerous","Safe")</f>
        <v>Safe</v>
      </c>
      <c r="V2062" t="str">
        <f>IF(SeismicData[[#This Row],[shift]]="W","Production","Non-Production")</f>
        <v>Production</v>
      </c>
      <c r="W2062" t="str">
        <f>IF(SeismicData[[#This Row],[genergy]]=0,"0","10^"&amp;INT(LOG10(SeismicData[[#This Row],[genergy]])))</f>
        <v>10^4</v>
      </c>
      <c r="X2062" t="str">
        <f>IF(OR(SeismicData[[#This Row],[genergy]]&lt;$AA$6,SeismicData[[#This Row],[genergy]]&gt;$AA$5),"Outlier","Normal")</f>
        <v>Normal</v>
      </c>
    </row>
    <row r="2063" spans="1:24" x14ac:dyDescent="0.15">
      <c r="A2063">
        <v>2062</v>
      </c>
      <c r="B2063" t="s">
        <v>23</v>
      </c>
      <c r="C2063" t="s">
        <v>20</v>
      </c>
      <c r="D2063" t="s">
        <v>22</v>
      </c>
      <c r="E2063">
        <v>22850</v>
      </c>
      <c r="F2063">
        <v>515</v>
      </c>
      <c r="G2063">
        <v>-13</v>
      </c>
      <c r="H2063">
        <v>-10</v>
      </c>
      <c r="I2063" t="s">
        <v>20</v>
      </c>
      <c r="J2063">
        <v>0</v>
      </c>
      <c r="K2063">
        <v>0</v>
      </c>
      <c r="L2063">
        <v>0</v>
      </c>
      <c r="M2063">
        <v>0</v>
      </c>
      <c r="N2063">
        <v>0</v>
      </c>
      <c r="O2063">
        <v>0</v>
      </c>
      <c r="P2063">
        <v>0</v>
      </c>
      <c r="Q2063">
        <v>0</v>
      </c>
      <c r="R2063">
        <v>0</v>
      </c>
      <c r="S2063">
        <v>0</v>
      </c>
      <c r="T2063">
        <v>0</v>
      </c>
      <c r="U2063" t="str">
        <f>IF(SeismicData[[#This Row],[class]]=1,"Dangerous","Safe")</f>
        <v>Safe</v>
      </c>
      <c r="V2063" t="str">
        <f>IF(SeismicData[[#This Row],[shift]]="W","Production","Non-Production")</f>
        <v>Production</v>
      </c>
      <c r="W2063" t="str">
        <f>IF(SeismicData[[#This Row],[genergy]]=0,"0","10^"&amp;INT(LOG10(SeismicData[[#This Row],[genergy]])))</f>
        <v>10^4</v>
      </c>
      <c r="X2063" t="str">
        <f>IF(OR(SeismicData[[#This Row],[genergy]]&lt;$AA$6,SeismicData[[#This Row],[genergy]]&gt;$AA$5),"Outlier","Normal")</f>
        <v>Normal</v>
      </c>
    </row>
    <row r="2064" spans="1:24" x14ac:dyDescent="0.15">
      <c r="A2064">
        <v>2063</v>
      </c>
      <c r="B2064" t="s">
        <v>23</v>
      </c>
      <c r="C2064" t="s">
        <v>20</v>
      </c>
      <c r="D2064" t="s">
        <v>22</v>
      </c>
      <c r="E2064">
        <v>14710</v>
      </c>
      <c r="F2064">
        <v>321</v>
      </c>
      <c r="G2064">
        <v>-58</v>
      </c>
      <c r="H2064">
        <v>-42</v>
      </c>
      <c r="I2064" t="s">
        <v>20</v>
      </c>
      <c r="J2064">
        <v>1</v>
      </c>
      <c r="K2064">
        <v>0</v>
      </c>
      <c r="L2064">
        <v>1</v>
      </c>
      <c r="M2064">
        <v>0</v>
      </c>
      <c r="N2064">
        <v>0</v>
      </c>
      <c r="O2064">
        <v>0</v>
      </c>
      <c r="P2064">
        <v>0</v>
      </c>
      <c r="Q2064">
        <v>0</v>
      </c>
      <c r="R2064">
        <v>2000</v>
      </c>
      <c r="S2064">
        <v>2000</v>
      </c>
      <c r="T2064">
        <v>0</v>
      </c>
      <c r="U2064" t="str">
        <f>IF(SeismicData[[#This Row],[class]]=1,"Dangerous","Safe")</f>
        <v>Safe</v>
      </c>
      <c r="V2064" t="str">
        <f>IF(SeismicData[[#This Row],[shift]]="W","Production","Non-Production")</f>
        <v>Production</v>
      </c>
      <c r="W2064" t="str">
        <f>IF(SeismicData[[#This Row],[genergy]]=0,"0","10^"&amp;INT(LOG10(SeismicData[[#This Row],[genergy]])))</f>
        <v>10^4</v>
      </c>
      <c r="X2064" t="str">
        <f>IF(OR(SeismicData[[#This Row],[genergy]]&lt;$AA$6,SeismicData[[#This Row],[genergy]]&gt;$AA$5),"Outlier","Normal")</f>
        <v>Normal</v>
      </c>
    </row>
    <row r="2065" spans="1:24" x14ac:dyDescent="0.15">
      <c r="A2065">
        <v>2064</v>
      </c>
      <c r="B2065" t="s">
        <v>23</v>
      </c>
      <c r="C2065" t="s">
        <v>20</v>
      </c>
      <c r="D2065" t="s">
        <v>21</v>
      </c>
      <c r="E2065">
        <v>11210</v>
      </c>
      <c r="F2065">
        <v>323</v>
      </c>
      <c r="G2065">
        <v>-10</v>
      </c>
      <c r="H2065">
        <v>29</v>
      </c>
      <c r="I2065" t="s">
        <v>20</v>
      </c>
      <c r="J2065">
        <v>0</v>
      </c>
      <c r="K2065">
        <v>0</v>
      </c>
      <c r="L2065">
        <v>0</v>
      </c>
      <c r="M2065">
        <v>0</v>
      </c>
      <c r="N2065">
        <v>0</v>
      </c>
      <c r="O2065">
        <v>0</v>
      </c>
      <c r="P2065">
        <v>0</v>
      </c>
      <c r="Q2065">
        <v>0</v>
      </c>
      <c r="R2065">
        <v>0</v>
      </c>
      <c r="S2065">
        <v>0</v>
      </c>
      <c r="T2065">
        <v>0</v>
      </c>
      <c r="U2065" t="str">
        <f>IF(SeismicData[[#This Row],[class]]=1,"Dangerous","Safe")</f>
        <v>Safe</v>
      </c>
      <c r="V2065" t="str">
        <f>IF(SeismicData[[#This Row],[shift]]="W","Production","Non-Production")</f>
        <v>Non-Production</v>
      </c>
      <c r="W2065" t="str">
        <f>IF(SeismicData[[#This Row],[genergy]]=0,"0","10^"&amp;INT(LOG10(SeismicData[[#This Row],[genergy]])))</f>
        <v>10^4</v>
      </c>
      <c r="X2065" t="str">
        <f>IF(OR(SeismicData[[#This Row],[genergy]]&lt;$AA$6,SeismicData[[#This Row],[genergy]]&gt;$AA$5),"Outlier","Normal")</f>
        <v>Normal</v>
      </c>
    </row>
    <row r="2066" spans="1:24" x14ac:dyDescent="0.15">
      <c r="A2066">
        <v>2065</v>
      </c>
      <c r="B2066" t="s">
        <v>23</v>
      </c>
      <c r="C2066" t="s">
        <v>20</v>
      </c>
      <c r="D2066" t="s">
        <v>21</v>
      </c>
      <c r="E2066">
        <v>16690</v>
      </c>
      <c r="F2066">
        <v>267</v>
      </c>
      <c r="G2066">
        <v>34</v>
      </c>
      <c r="H2066">
        <v>7</v>
      </c>
      <c r="I2066" t="s">
        <v>20</v>
      </c>
      <c r="J2066">
        <v>1</v>
      </c>
      <c r="K2066">
        <v>1</v>
      </c>
      <c r="L2066">
        <v>0</v>
      </c>
      <c r="M2066">
        <v>0</v>
      </c>
      <c r="N2066">
        <v>0</v>
      </c>
      <c r="O2066">
        <v>0</v>
      </c>
      <c r="P2066">
        <v>0</v>
      </c>
      <c r="Q2066">
        <v>0</v>
      </c>
      <c r="R2066">
        <v>800</v>
      </c>
      <c r="S2066">
        <v>800</v>
      </c>
      <c r="T2066">
        <v>0</v>
      </c>
      <c r="U2066" t="str">
        <f>IF(SeismicData[[#This Row],[class]]=1,"Dangerous","Safe")</f>
        <v>Safe</v>
      </c>
      <c r="V2066" t="str">
        <f>IF(SeismicData[[#This Row],[shift]]="W","Production","Non-Production")</f>
        <v>Non-Production</v>
      </c>
      <c r="W2066" t="str">
        <f>IF(SeismicData[[#This Row],[genergy]]=0,"0","10^"&amp;INT(LOG10(SeismicData[[#This Row],[genergy]])))</f>
        <v>10^4</v>
      </c>
      <c r="X2066" t="str">
        <f>IF(OR(SeismicData[[#This Row],[genergy]]&lt;$AA$6,SeismicData[[#This Row],[genergy]]&gt;$AA$5),"Outlier","Normal")</f>
        <v>Normal</v>
      </c>
    </row>
    <row r="2067" spans="1:24" x14ac:dyDescent="0.15">
      <c r="A2067">
        <v>2066</v>
      </c>
      <c r="B2067" t="s">
        <v>23</v>
      </c>
      <c r="C2067" t="s">
        <v>20</v>
      </c>
      <c r="D2067" t="s">
        <v>21</v>
      </c>
      <c r="E2067">
        <v>15610</v>
      </c>
      <c r="F2067">
        <v>246</v>
      </c>
      <c r="G2067">
        <v>25</v>
      </c>
      <c r="H2067">
        <v>-2</v>
      </c>
      <c r="I2067" t="s">
        <v>20</v>
      </c>
      <c r="J2067">
        <v>0</v>
      </c>
      <c r="K2067">
        <v>0</v>
      </c>
      <c r="L2067">
        <v>0</v>
      </c>
      <c r="M2067">
        <v>0</v>
      </c>
      <c r="N2067">
        <v>0</v>
      </c>
      <c r="O2067">
        <v>0</v>
      </c>
      <c r="P2067">
        <v>0</v>
      </c>
      <c r="Q2067">
        <v>0</v>
      </c>
      <c r="R2067">
        <v>0</v>
      </c>
      <c r="S2067">
        <v>0</v>
      </c>
      <c r="T2067">
        <v>0</v>
      </c>
      <c r="U2067" t="str">
        <f>IF(SeismicData[[#This Row],[class]]=1,"Dangerous","Safe")</f>
        <v>Safe</v>
      </c>
      <c r="V2067" t="str">
        <f>IF(SeismicData[[#This Row],[shift]]="W","Production","Non-Production")</f>
        <v>Non-Production</v>
      </c>
      <c r="W2067" t="str">
        <f>IF(SeismicData[[#This Row],[genergy]]=0,"0","10^"&amp;INT(LOG10(SeismicData[[#This Row],[genergy]])))</f>
        <v>10^4</v>
      </c>
      <c r="X2067" t="str">
        <f>IF(OR(SeismicData[[#This Row],[genergy]]&lt;$AA$6,SeismicData[[#This Row],[genergy]]&gt;$AA$5),"Outlier","Normal")</f>
        <v>Normal</v>
      </c>
    </row>
    <row r="2068" spans="1:24" x14ac:dyDescent="0.15">
      <c r="A2068">
        <v>2067</v>
      </c>
      <c r="B2068" t="s">
        <v>23</v>
      </c>
      <c r="C2068" t="s">
        <v>20</v>
      </c>
      <c r="D2068" t="s">
        <v>22</v>
      </c>
      <c r="E2068">
        <v>20330</v>
      </c>
      <c r="F2068">
        <v>413</v>
      </c>
      <c r="G2068">
        <v>-42</v>
      </c>
      <c r="H2068">
        <v>-25</v>
      </c>
      <c r="I2068" t="s">
        <v>20</v>
      </c>
      <c r="J2068">
        <v>0</v>
      </c>
      <c r="K2068">
        <v>0</v>
      </c>
      <c r="L2068">
        <v>0</v>
      </c>
      <c r="M2068">
        <v>0</v>
      </c>
      <c r="N2068">
        <v>0</v>
      </c>
      <c r="O2068">
        <v>0</v>
      </c>
      <c r="P2068">
        <v>0</v>
      </c>
      <c r="Q2068">
        <v>0</v>
      </c>
      <c r="R2068">
        <v>0</v>
      </c>
      <c r="S2068">
        <v>0</v>
      </c>
      <c r="T2068">
        <v>0</v>
      </c>
      <c r="U2068" t="str">
        <f>IF(SeismicData[[#This Row],[class]]=1,"Dangerous","Safe")</f>
        <v>Safe</v>
      </c>
      <c r="V2068" t="str">
        <f>IF(SeismicData[[#This Row],[shift]]="W","Production","Non-Production")</f>
        <v>Production</v>
      </c>
      <c r="W2068" t="str">
        <f>IF(SeismicData[[#This Row],[genergy]]=0,"0","10^"&amp;INT(LOG10(SeismicData[[#This Row],[genergy]])))</f>
        <v>10^4</v>
      </c>
      <c r="X2068" t="str">
        <f>IF(OR(SeismicData[[#This Row],[genergy]]&lt;$AA$6,SeismicData[[#This Row],[genergy]]&gt;$AA$5),"Outlier","Normal")</f>
        <v>Normal</v>
      </c>
    </row>
    <row r="2069" spans="1:24" x14ac:dyDescent="0.15">
      <c r="A2069">
        <v>2068</v>
      </c>
      <c r="B2069" t="s">
        <v>23</v>
      </c>
      <c r="C2069" t="s">
        <v>20</v>
      </c>
      <c r="D2069" t="s">
        <v>22</v>
      </c>
      <c r="E2069">
        <v>18920</v>
      </c>
      <c r="F2069">
        <v>330</v>
      </c>
      <c r="G2069">
        <v>-46</v>
      </c>
      <c r="H2069">
        <v>-40</v>
      </c>
      <c r="I2069" t="s">
        <v>20</v>
      </c>
      <c r="J2069">
        <v>1</v>
      </c>
      <c r="K2069">
        <v>1</v>
      </c>
      <c r="L2069">
        <v>0</v>
      </c>
      <c r="M2069">
        <v>0</v>
      </c>
      <c r="N2069">
        <v>0</v>
      </c>
      <c r="O2069">
        <v>0</v>
      </c>
      <c r="P2069">
        <v>0</v>
      </c>
      <c r="Q2069">
        <v>0</v>
      </c>
      <c r="R2069">
        <v>200</v>
      </c>
      <c r="S2069">
        <v>200</v>
      </c>
      <c r="T2069">
        <v>0</v>
      </c>
      <c r="U2069" t="str">
        <f>IF(SeismicData[[#This Row],[class]]=1,"Dangerous","Safe")</f>
        <v>Safe</v>
      </c>
      <c r="V2069" t="str">
        <f>IF(SeismicData[[#This Row],[shift]]="W","Production","Non-Production")</f>
        <v>Production</v>
      </c>
      <c r="W2069" t="str">
        <f>IF(SeismicData[[#This Row],[genergy]]=0,"0","10^"&amp;INT(LOG10(SeismicData[[#This Row],[genergy]])))</f>
        <v>10^4</v>
      </c>
      <c r="X2069" t="str">
        <f>IF(OR(SeismicData[[#This Row],[genergy]]&lt;$AA$6,SeismicData[[#This Row],[genergy]]&gt;$AA$5),"Outlier","Normal")</f>
        <v>Normal</v>
      </c>
    </row>
    <row r="2070" spans="1:24" x14ac:dyDescent="0.15">
      <c r="A2070">
        <v>2069</v>
      </c>
      <c r="B2070" t="s">
        <v>23</v>
      </c>
      <c r="C2070" t="s">
        <v>20</v>
      </c>
      <c r="D2070" t="s">
        <v>22</v>
      </c>
      <c r="E2070">
        <v>30130</v>
      </c>
      <c r="F2070">
        <v>403</v>
      </c>
      <c r="G2070">
        <v>-15</v>
      </c>
      <c r="H2070">
        <v>-27</v>
      </c>
      <c r="I2070" t="s">
        <v>20</v>
      </c>
      <c r="J2070">
        <v>0</v>
      </c>
      <c r="K2070">
        <v>0</v>
      </c>
      <c r="L2070">
        <v>0</v>
      </c>
      <c r="M2070">
        <v>0</v>
      </c>
      <c r="N2070">
        <v>0</v>
      </c>
      <c r="O2070">
        <v>0</v>
      </c>
      <c r="P2070">
        <v>0</v>
      </c>
      <c r="Q2070">
        <v>0</v>
      </c>
      <c r="R2070">
        <v>0</v>
      </c>
      <c r="S2070">
        <v>0</v>
      </c>
      <c r="T2070">
        <v>0</v>
      </c>
      <c r="U2070" t="str">
        <f>IF(SeismicData[[#This Row],[class]]=1,"Dangerous","Safe")</f>
        <v>Safe</v>
      </c>
      <c r="V2070" t="str">
        <f>IF(SeismicData[[#This Row],[shift]]="W","Production","Non-Production")</f>
        <v>Production</v>
      </c>
      <c r="W2070" t="str">
        <f>IF(SeismicData[[#This Row],[genergy]]=0,"0","10^"&amp;INT(LOG10(SeismicData[[#This Row],[genergy]])))</f>
        <v>10^4</v>
      </c>
      <c r="X2070" t="str">
        <f>IF(OR(SeismicData[[#This Row],[genergy]]&lt;$AA$6,SeismicData[[#This Row],[genergy]]&gt;$AA$5),"Outlier","Normal")</f>
        <v>Normal</v>
      </c>
    </row>
    <row r="2071" spans="1:24" x14ac:dyDescent="0.15">
      <c r="A2071">
        <v>2070</v>
      </c>
      <c r="B2071" t="s">
        <v>23</v>
      </c>
      <c r="C2071" t="s">
        <v>20</v>
      </c>
      <c r="D2071" t="s">
        <v>22</v>
      </c>
      <c r="E2071">
        <v>20660</v>
      </c>
      <c r="F2071">
        <v>335</v>
      </c>
      <c r="G2071">
        <v>-42</v>
      </c>
      <c r="H2071">
        <v>-39</v>
      </c>
      <c r="I2071" t="s">
        <v>20</v>
      </c>
      <c r="J2071">
        <v>1</v>
      </c>
      <c r="K2071">
        <v>1</v>
      </c>
      <c r="L2071">
        <v>0</v>
      </c>
      <c r="M2071">
        <v>0</v>
      </c>
      <c r="N2071">
        <v>0</v>
      </c>
      <c r="O2071">
        <v>0</v>
      </c>
      <c r="P2071">
        <v>0</v>
      </c>
      <c r="Q2071">
        <v>0</v>
      </c>
      <c r="R2071">
        <v>200</v>
      </c>
      <c r="S2071">
        <v>200</v>
      </c>
      <c r="T2071">
        <v>0</v>
      </c>
      <c r="U2071" t="str">
        <f>IF(SeismicData[[#This Row],[class]]=1,"Dangerous","Safe")</f>
        <v>Safe</v>
      </c>
      <c r="V2071" t="str">
        <f>IF(SeismicData[[#This Row],[shift]]="W","Production","Non-Production")</f>
        <v>Production</v>
      </c>
      <c r="W2071" t="str">
        <f>IF(SeismicData[[#This Row],[genergy]]=0,"0","10^"&amp;INT(LOG10(SeismicData[[#This Row],[genergy]])))</f>
        <v>10^4</v>
      </c>
      <c r="X2071" t="str">
        <f>IF(OR(SeismicData[[#This Row],[genergy]]&lt;$AA$6,SeismicData[[#This Row],[genergy]]&gt;$AA$5),"Outlier","Normal")</f>
        <v>Normal</v>
      </c>
    </row>
    <row r="2072" spans="1:24" x14ac:dyDescent="0.15">
      <c r="A2072">
        <v>2071</v>
      </c>
      <c r="B2072" t="s">
        <v>23</v>
      </c>
      <c r="C2072" t="s">
        <v>20</v>
      </c>
      <c r="D2072" t="s">
        <v>22</v>
      </c>
      <c r="E2072">
        <v>14110</v>
      </c>
      <c r="F2072">
        <v>280</v>
      </c>
      <c r="G2072">
        <v>-59</v>
      </c>
      <c r="H2072">
        <v>-49</v>
      </c>
      <c r="I2072" t="s">
        <v>20</v>
      </c>
      <c r="J2072">
        <v>0</v>
      </c>
      <c r="K2072">
        <v>0</v>
      </c>
      <c r="L2072">
        <v>0</v>
      </c>
      <c r="M2072">
        <v>0</v>
      </c>
      <c r="N2072">
        <v>0</v>
      </c>
      <c r="O2072">
        <v>0</v>
      </c>
      <c r="P2072">
        <v>0</v>
      </c>
      <c r="Q2072">
        <v>0</v>
      </c>
      <c r="R2072">
        <v>0</v>
      </c>
      <c r="S2072">
        <v>0</v>
      </c>
      <c r="T2072">
        <v>0</v>
      </c>
      <c r="U2072" t="str">
        <f>IF(SeismicData[[#This Row],[class]]=1,"Dangerous","Safe")</f>
        <v>Safe</v>
      </c>
      <c r="V2072" t="str">
        <f>IF(SeismicData[[#This Row],[shift]]="W","Production","Non-Production")</f>
        <v>Production</v>
      </c>
      <c r="W2072" t="str">
        <f>IF(SeismicData[[#This Row],[genergy]]=0,"0","10^"&amp;INT(LOG10(SeismicData[[#This Row],[genergy]])))</f>
        <v>10^4</v>
      </c>
      <c r="X2072" t="str">
        <f>IF(OR(SeismicData[[#This Row],[genergy]]&lt;$AA$6,SeismicData[[#This Row],[genergy]]&gt;$AA$5),"Outlier","Normal")</f>
        <v>Normal</v>
      </c>
    </row>
    <row r="2073" spans="1:24" x14ac:dyDescent="0.15">
      <c r="A2073">
        <v>2072</v>
      </c>
      <c r="B2073" t="s">
        <v>23</v>
      </c>
      <c r="C2073" t="s">
        <v>20</v>
      </c>
      <c r="D2073" t="s">
        <v>22</v>
      </c>
      <c r="E2073">
        <v>36910</v>
      </c>
      <c r="F2073">
        <v>455</v>
      </c>
      <c r="G2073">
        <v>6</v>
      </c>
      <c r="H2073">
        <v>-18</v>
      </c>
      <c r="I2073" t="s">
        <v>20</v>
      </c>
      <c r="J2073">
        <v>0</v>
      </c>
      <c r="K2073">
        <v>0</v>
      </c>
      <c r="L2073">
        <v>0</v>
      </c>
      <c r="M2073">
        <v>0</v>
      </c>
      <c r="N2073">
        <v>0</v>
      </c>
      <c r="O2073">
        <v>0</v>
      </c>
      <c r="P2073">
        <v>0</v>
      </c>
      <c r="Q2073">
        <v>0</v>
      </c>
      <c r="R2073">
        <v>0</v>
      </c>
      <c r="S2073">
        <v>0</v>
      </c>
      <c r="T2073">
        <v>0</v>
      </c>
      <c r="U2073" t="str">
        <f>IF(SeismicData[[#This Row],[class]]=1,"Dangerous","Safe")</f>
        <v>Safe</v>
      </c>
      <c r="V2073" t="str">
        <f>IF(SeismicData[[#This Row],[shift]]="W","Production","Non-Production")</f>
        <v>Production</v>
      </c>
      <c r="W2073" t="str">
        <f>IF(SeismicData[[#This Row],[genergy]]=0,"0","10^"&amp;INT(LOG10(SeismicData[[#This Row],[genergy]])))</f>
        <v>10^4</v>
      </c>
      <c r="X2073" t="str">
        <f>IF(OR(SeismicData[[#This Row],[genergy]]&lt;$AA$6,SeismicData[[#This Row],[genergy]]&gt;$AA$5),"Outlier","Normal")</f>
        <v>Normal</v>
      </c>
    </row>
    <row r="2074" spans="1:24" x14ac:dyDescent="0.15">
      <c r="A2074">
        <v>2073</v>
      </c>
      <c r="B2074" t="s">
        <v>23</v>
      </c>
      <c r="C2074" t="s">
        <v>20</v>
      </c>
      <c r="D2074" t="s">
        <v>22</v>
      </c>
      <c r="E2074">
        <v>37620</v>
      </c>
      <c r="F2074">
        <v>520</v>
      </c>
      <c r="G2074">
        <v>8</v>
      </c>
      <c r="H2074">
        <v>-6</v>
      </c>
      <c r="I2074" t="s">
        <v>20</v>
      </c>
      <c r="J2074">
        <v>0</v>
      </c>
      <c r="K2074">
        <v>0</v>
      </c>
      <c r="L2074">
        <v>0</v>
      </c>
      <c r="M2074">
        <v>0</v>
      </c>
      <c r="N2074">
        <v>0</v>
      </c>
      <c r="O2074">
        <v>0</v>
      </c>
      <c r="P2074">
        <v>0</v>
      </c>
      <c r="Q2074">
        <v>0</v>
      </c>
      <c r="R2074">
        <v>0</v>
      </c>
      <c r="S2074">
        <v>0</v>
      </c>
      <c r="T2074">
        <v>0</v>
      </c>
      <c r="U2074" t="str">
        <f>IF(SeismicData[[#This Row],[class]]=1,"Dangerous","Safe")</f>
        <v>Safe</v>
      </c>
      <c r="V2074" t="str">
        <f>IF(SeismicData[[#This Row],[shift]]="W","Production","Non-Production")</f>
        <v>Production</v>
      </c>
      <c r="W2074" t="str">
        <f>IF(SeismicData[[#This Row],[genergy]]=0,"0","10^"&amp;INT(LOG10(SeismicData[[#This Row],[genergy]])))</f>
        <v>10^4</v>
      </c>
      <c r="X2074" t="str">
        <f>IF(OR(SeismicData[[#This Row],[genergy]]&lt;$AA$6,SeismicData[[#This Row],[genergy]]&gt;$AA$5),"Outlier","Normal")</f>
        <v>Normal</v>
      </c>
    </row>
    <row r="2075" spans="1:24" x14ac:dyDescent="0.15">
      <c r="A2075">
        <v>2074</v>
      </c>
      <c r="B2075" t="s">
        <v>23</v>
      </c>
      <c r="C2075" t="s">
        <v>20</v>
      </c>
      <c r="D2075" t="s">
        <v>22</v>
      </c>
      <c r="E2075">
        <v>24100</v>
      </c>
      <c r="F2075">
        <v>392</v>
      </c>
      <c r="G2075">
        <v>-31</v>
      </c>
      <c r="H2075">
        <v>-29</v>
      </c>
      <c r="I2075" t="s">
        <v>20</v>
      </c>
      <c r="J2075">
        <v>0</v>
      </c>
      <c r="K2075">
        <v>0</v>
      </c>
      <c r="L2075">
        <v>0</v>
      </c>
      <c r="M2075">
        <v>0</v>
      </c>
      <c r="N2075">
        <v>0</v>
      </c>
      <c r="O2075">
        <v>0</v>
      </c>
      <c r="P2075">
        <v>0</v>
      </c>
      <c r="Q2075">
        <v>0</v>
      </c>
      <c r="R2075">
        <v>0</v>
      </c>
      <c r="S2075">
        <v>0</v>
      </c>
      <c r="T2075">
        <v>0</v>
      </c>
      <c r="U2075" t="str">
        <f>IF(SeismicData[[#This Row],[class]]=1,"Dangerous","Safe")</f>
        <v>Safe</v>
      </c>
      <c r="V2075" t="str">
        <f>IF(SeismicData[[#This Row],[shift]]="W","Production","Non-Production")</f>
        <v>Production</v>
      </c>
      <c r="W2075" t="str">
        <f>IF(SeismicData[[#This Row],[genergy]]=0,"0","10^"&amp;INT(LOG10(SeismicData[[#This Row],[genergy]])))</f>
        <v>10^4</v>
      </c>
      <c r="X2075" t="str">
        <f>IF(OR(SeismicData[[#This Row],[genergy]]&lt;$AA$6,SeismicData[[#This Row],[genergy]]&gt;$AA$5),"Outlier","Normal")</f>
        <v>Normal</v>
      </c>
    </row>
    <row r="2076" spans="1:24" x14ac:dyDescent="0.15">
      <c r="A2076">
        <v>2075</v>
      </c>
      <c r="B2076" t="s">
        <v>23</v>
      </c>
      <c r="C2076" t="s">
        <v>20</v>
      </c>
      <c r="D2076" t="s">
        <v>22</v>
      </c>
      <c r="E2076">
        <v>39120</v>
      </c>
      <c r="F2076">
        <v>651</v>
      </c>
      <c r="G2076">
        <v>13</v>
      </c>
      <c r="H2076">
        <v>18</v>
      </c>
      <c r="I2076" t="s">
        <v>20</v>
      </c>
      <c r="J2076">
        <v>2</v>
      </c>
      <c r="K2076">
        <v>2</v>
      </c>
      <c r="L2076">
        <v>0</v>
      </c>
      <c r="M2076">
        <v>0</v>
      </c>
      <c r="N2076">
        <v>0</v>
      </c>
      <c r="O2076">
        <v>0</v>
      </c>
      <c r="P2076">
        <v>0</v>
      </c>
      <c r="Q2076">
        <v>0</v>
      </c>
      <c r="R2076">
        <v>1000</v>
      </c>
      <c r="S2076">
        <v>900</v>
      </c>
      <c r="T2076">
        <v>0</v>
      </c>
      <c r="U2076" t="str">
        <f>IF(SeismicData[[#This Row],[class]]=1,"Dangerous","Safe")</f>
        <v>Safe</v>
      </c>
      <c r="V2076" t="str">
        <f>IF(SeismicData[[#This Row],[shift]]="W","Production","Non-Production")</f>
        <v>Production</v>
      </c>
      <c r="W2076" t="str">
        <f>IF(SeismicData[[#This Row],[genergy]]=0,"0","10^"&amp;INT(LOG10(SeismicData[[#This Row],[genergy]])))</f>
        <v>10^4</v>
      </c>
      <c r="X2076" t="str">
        <f>IF(OR(SeismicData[[#This Row],[genergy]]&lt;$AA$6,SeismicData[[#This Row],[genergy]]&gt;$AA$5),"Outlier","Normal")</f>
        <v>Normal</v>
      </c>
    </row>
    <row r="2077" spans="1:24" x14ac:dyDescent="0.15">
      <c r="A2077">
        <v>2076</v>
      </c>
      <c r="B2077" t="s">
        <v>23</v>
      </c>
      <c r="C2077" t="s">
        <v>20</v>
      </c>
      <c r="D2077" t="s">
        <v>22</v>
      </c>
      <c r="E2077">
        <v>54070</v>
      </c>
      <c r="F2077">
        <v>696</v>
      </c>
      <c r="G2077">
        <v>56</v>
      </c>
      <c r="H2077">
        <v>26</v>
      </c>
      <c r="I2077" t="s">
        <v>20</v>
      </c>
      <c r="J2077">
        <v>0</v>
      </c>
      <c r="K2077">
        <v>0</v>
      </c>
      <c r="L2077">
        <v>0</v>
      </c>
      <c r="M2077">
        <v>0</v>
      </c>
      <c r="N2077">
        <v>0</v>
      </c>
      <c r="O2077">
        <v>0</v>
      </c>
      <c r="P2077">
        <v>0</v>
      </c>
      <c r="Q2077">
        <v>0</v>
      </c>
      <c r="R2077">
        <v>0</v>
      </c>
      <c r="S2077">
        <v>0</v>
      </c>
      <c r="T2077">
        <v>0</v>
      </c>
      <c r="U2077" t="str">
        <f>IF(SeismicData[[#This Row],[class]]=1,"Dangerous","Safe")</f>
        <v>Safe</v>
      </c>
      <c r="V2077" t="str">
        <f>IF(SeismicData[[#This Row],[shift]]="W","Production","Non-Production")</f>
        <v>Production</v>
      </c>
      <c r="W2077" t="str">
        <f>IF(SeismicData[[#This Row],[genergy]]=0,"0","10^"&amp;INT(LOG10(SeismicData[[#This Row],[genergy]])))</f>
        <v>10^4</v>
      </c>
      <c r="X2077" t="str">
        <f>IF(OR(SeismicData[[#This Row],[genergy]]&lt;$AA$6,SeismicData[[#This Row],[genergy]]&gt;$AA$5),"Outlier","Normal")</f>
        <v>Normal</v>
      </c>
    </row>
    <row r="2078" spans="1:24" x14ac:dyDescent="0.15">
      <c r="A2078">
        <v>2077</v>
      </c>
      <c r="B2078" t="s">
        <v>23</v>
      </c>
      <c r="C2078" t="s">
        <v>20</v>
      </c>
      <c r="D2078" t="s">
        <v>22</v>
      </c>
      <c r="E2078">
        <v>32490</v>
      </c>
      <c r="F2078">
        <v>595</v>
      </c>
      <c r="G2078">
        <v>-7</v>
      </c>
      <c r="H2078">
        <v>7</v>
      </c>
      <c r="I2078" t="s">
        <v>20</v>
      </c>
      <c r="J2078">
        <v>0</v>
      </c>
      <c r="K2078">
        <v>0</v>
      </c>
      <c r="L2078">
        <v>0</v>
      </c>
      <c r="M2078">
        <v>0</v>
      </c>
      <c r="N2078">
        <v>0</v>
      </c>
      <c r="O2078">
        <v>0</v>
      </c>
      <c r="P2078">
        <v>0</v>
      </c>
      <c r="Q2078">
        <v>0</v>
      </c>
      <c r="R2078">
        <v>0</v>
      </c>
      <c r="S2078">
        <v>0</v>
      </c>
      <c r="T2078">
        <v>0</v>
      </c>
      <c r="U2078" t="str">
        <f>IF(SeismicData[[#This Row],[class]]=1,"Dangerous","Safe")</f>
        <v>Safe</v>
      </c>
      <c r="V2078" t="str">
        <f>IF(SeismicData[[#This Row],[shift]]="W","Production","Non-Production")</f>
        <v>Production</v>
      </c>
      <c r="W2078" t="str">
        <f>IF(SeismicData[[#This Row],[genergy]]=0,"0","10^"&amp;INT(LOG10(SeismicData[[#This Row],[genergy]])))</f>
        <v>10^4</v>
      </c>
      <c r="X2078" t="str">
        <f>IF(OR(SeismicData[[#This Row],[genergy]]&lt;$AA$6,SeismicData[[#This Row],[genergy]]&gt;$AA$5),"Outlier","Normal")</f>
        <v>Normal</v>
      </c>
    </row>
    <row r="2079" spans="1:24" x14ac:dyDescent="0.15">
      <c r="A2079">
        <v>2078</v>
      </c>
      <c r="B2079" t="s">
        <v>23</v>
      </c>
      <c r="C2079" t="s">
        <v>20</v>
      </c>
      <c r="D2079" t="s">
        <v>22</v>
      </c>
      <c r="E2079">
        <v>31800</v>
      </c>
      <c r="F2079">
        <v>585</v>
      </c>
      <c r="G2079">
        <v>-9</v>
      </c>
      <c r="H2079">
        <v>6</v>
      </c>
      <c r="I2079" t="s">
        <v>20</v>
      </c>
      <c r="J2079">
        <v>1</v>
      </c>
      <c r="K2079">
        <v>1</v>
      </c>
      <c r="L2079">
        <v>0</v>
      </c>
      <c r="M2079">
        <v>0</v>
      </c>
      <c r="N2079">
        <v>0</v>
      </c>
      <c r="O2079">
        <v>0</v>
      </c>
      <c r="P2079">
        <v>0</v>
      </c>
      <c r="Q2079">
        <v>0</v>
      </c>
      <c r="R2079">
        <v>100</v>
      </c>
      <c r="S2079">
        <v>100</v>
      </c>
      <c r="T2079">
        <v>0</v>
      </c>
      <c r="U2079" t="str">
        <f>IF(SeismicData[[#This Row],[class]]=1,"Dangerous","Safe")</f>
        <v>Safe</v>
      </c>
      <c r="V2079" t="str">
        <f>IF(SeismicData[[#This Row],[shift]]="W","Production","Non-Production")</f>
        <v>Production</v>
      </c>
      <c r="W2079" t="str">
        <f>IF(SeismicData[[#This Row],[genergy]]=0,"0","10^"&amp;INT(LOG10(SeismicData[[#This Row],[genergy]])))</f>
        <v>10^4</v>
      </c>
      <c r="X2079" t="str">
        <f>IF(OR(SeismicData[[#This Row],[genergy]]&lt;$AA$6,SeismicData[[#This Row],[genergy]]&gt;$AA$5),"Outlier","Normal")</f>
        <v>Normal</v>
      </c>
    </row>
    <row r="2080" spans="1:24" x14ac:dyDescent="0.15">
      <c r="A2080">
        <v>2079</v>
      </c>
      <c r="B2080" t="s">
        <v>20</v>
      </c>
      <c r="C2080" t="s">
        <v>20</v>
      </c>
      <c r="D2080" t="s">
        <v>22</v>
      </c>
      <c r="E2080">
        <v>28060</v>
      </c>
      <c r="F2080">
        <v>470</v>
      </c>
      <c r="G2080">
        <v>-14</v>
      </c>
      <c r="H2080">
        <v>-11</v>
      </c>
      <c r="I2080" t="s">
        <v>20</v>
      </c>
      <c r="J2080">
        <v>0</v>
      </c>
      <c r="K2080">
        <v>0</v>
      </c>
      <c r="L2080">
        <v>0</v>
      </c>
      <c r="M2080">
        <v>0</v>
      </c>
      <c r="N2080">
        <v>0</v>
      </c>
      <c r="O2080">
        <v>0</v>
      </c>
      <c r="P2080">
        <v>0</v>
      </c>
      <c r="Q2080">
        <v>0</v>
      </c>
      <c r="R2080">
        <v>0</v>
      </c>
      <c r="S2080">
        <v>0</v>
      </c>
      <c r="T2080">
        <v>0</v>
      </c>
      <c r="U2080" t="str">
        <f>IF(SeismicData[[#This Row],[class]]=1,"Dangerous","Safe")</f>
        <v>Safe</v>
      </c>
      <c r="V2080" t="str">
        <f>IF(SeismicData[[#This Row],[shift]]="W","Production","Non-Production")</f>
        <v>Production</v>
      </c>
      <c r="W2080" t="str">
        <f>IF(SeismicData[[#This Row],[genergy]]=0,"0","10^"&amp;INT(LOG10(SeismicData[[#This Row],[genergy]])))</f>
        <v>10^4</v>
      </c>
      <c r="X2080" t="str">
        <f>IF(OR(SeismicData[[#This Row],[genergy]]&lt;$AA$6,SeismicData[[#This Row],[genergy]]&gt;$AA$5),"Outlier","Normal")</f>
        <v>Normal</v>
      </c>
    </row>
    <row r="2081" spans="1:24" x14ac:dyDescent="0.15">
      <c r="A2081">
        <v>2080</v>
      </c>
      <c r="B2081" t="s">
        <v>20</v>
      </c>
      <c r="C2081" t="s">
        <v>20</v>
      </c>
      <c r="D2081" t="s">
        <v>22</v>
      </c>
      <c r="E2081">
        <v>42090</v>
      </c>
      <c r="F2081">
        <v>794</v>
      </c>
      <c r="G2081">
        <v>30</v>
      </c>
      <c r="H2081">
        <v>50</v>
      </c>
      <c r="I2081" t="s">
        <v>20</v>
      </c>
      <c r="J2081">
        <v>2</v>
      </c>
      <c r="K2081">
        <v>2</v>
      </c>
      <c r="L2081">
        <v>0</v>
      </c>
      <c r="M2081">
        <v>0</v>
      </c>
      <c r="N2081">
        <v>0</v>
      </c>
      <c r="O2081">
        <v>0</v>
      </c>
      <c r="P2081">
        <v>0</v>
      </c>
      <c r="Q2081">
        <v>0</v>
      </c>
      <c r="R2081">
        <v>400</v>
      </c>
      <c r="S2081">
        <v>200</v>
      </c>
      <c r="T2081">
        <v>0</v>
      </c>
      <c r="U2081" t="str">
        <f>IF(SeismicData[[#This Row],[class]]=1,"Dangerous","Safe")</f>
        <v>Safe</v>
      </c>
      <c r="V2081" t="str">
        <f>IF(SeismicData[[#This Row],[shift]]="W","Production","Non-Production")</f>
        <v>Production</v>
      </c>
      <c r="W2081" t="str">
        <f>IF(SeismicData[[#This Row],[genergy]]=0,"0","10^"&amp;INT(LOG10(SeismicData[[#This Row],[genergy]])))</f>
        <v>10^4</v>
      </c>
      <c r="X2081" t="str">
        <f>IF(OR(SeismicData[[#This Row],[genergy]]&lt;$AA$6,SeismicData[[#This Row],[genergy]]&gt;$AA$5),"Outlier","Normal")</f>
        <v>Normal</v>
      </c>
    </row>
    <row r="2082" spans="1:24" x14ac:dyDescent="0.15">
      <c r="A2082">
        <v>2081</v>
      </c>
      <c r="B2082" t="s">
        <v>20</v>
      </c>
      <c r="C2082" t="s">
        <v>20</v>
      </c>
      <c r="D2082" t="s">
        <v>22</v>
      </c>
      <c r="E2082">
        <v>34390</v>
      </c>
      <c r="F2082">
        <v>646</v>
      </c>
      <c r="G2082">
        <v>6</v>
      </c>
      <c r="H2082">
        <v>22</v>
      </c>
      <c r="I2082" t="s">
        <v>20</v>
      </c>
      <c r="J2082">
        <v>0</v>
      </c>
      <c r="K2082">
        <v>0</v>
      </c>
      <c r="L2082">
        <v>0</v>
      </c>
      <c r="M2082">
        <v>0</v>
      </c>
      <c r="N2082">
        <v>0</v>
      </c>
      <c r="O2082">
        <v>0</v>
      </c>
      <c r="P2082">
        <v>0</v>
      </c>
      <c r="Q2082">
        <v>0</v>
      </c>
      <c r="R2082">
        <v>0</v>
      </c>
      <c r="S2082">
        <v>0</v>
      </c>
      <c r="T2082">
        <v>0</v>
      </c>
      <c r="U2082" t="str">
        <f>IF(SeismicData[[#This Row],[class]]=1,"Dangerous","Safe")</f>
        <v>Safe</v>
      </c>
      <c r="V2082" t="str">
        <f>IF(SeismicData[[#This Row],[shift]]="W","Production","Non-Production")</f>
        <v>Production</v>
      </c>
      <c r="W2082" t="str">
        <f>IF(SeismicData[[#This Row],[genergy]]=0,"0","10^"&amp;INT(LOG10(SeismicData[[#This Row],[genergy]])))</f>
        <v>10^4</v>
      </c>
      <c r="X2082" t="str">
        <f>IF(OR(SeismicData[[#This Row],[genergy]]&lt;$AA$6,SeismicData[[#This Row],[genergy]]&gt;$AA$5),"Outlier","Normal")</f>
        <v>Normal</v>
      </c>
    </row>
    <row r="2083" spans="1:24" x14ac:dyDescent="0.15">
      <c r="A2083">
        <v>2082</v>
      </c>
      <c r="B2083" t="s">
        <v>20</v>
      </c>
      <c r="C2083" t="s">
        <v>20</v>
      </c>
      <c r="D2083" t="s">
        <v>21</v>
      </c>
      <c r="E2083">
        <v>39770</v>
      </c>
      <c r="F2083">
        <v>870</v>
      </c>
      <c r="G2083">
        <v>218</v>
      </c>
      <c r="H2083">
        <v>248</v>
      </c>
      <c r="I2083" t="s">
        <v>20</v>
      </c>
      <c r="J2083">
        <v>0</v>
      </c>
      <c r="K2083">
        <v>0</v>
      </c>
      <c r="L2083">
        <v>0</v>
      </c>
      <c r="M2083">
        <v>0</v>
      </c>
      <c r="N2083">
        <v>0</v>
      </c>
      <c r="O2083">
        <v>0</v>
      </c>
      <c r="P2083">
        <v>0</v>
      </c>
      <c r="Q2083">
        <v>0</v>
      </c>
      <c r="R2083">
        <v>0</v>
      </c>
      <c r="S2083">
        <v>0</v>
      </c>
      <c r="T2083">
        <v>0</v>
      </c>
      <c r="U2083" t="str">
        <f>IF(SeismicData[[#This Row],[class]]=1,"Dangerous","Safe")</f>
        <v>Safe</v>
      </c>
      <c r="V2083" t="str">
        <f>IF(SeismicData[[#This Row],[shift]]="W","Production","Non-Production")</f>
        <v>Non-Production</v>
      </c>
      <c r="W2083" t="str">
        <f>IF(SeismicData[[#This Row],[genergy]]=0,"0","10^"&amp;INT(LOG10(SeismicData[[#This Row],[genergy]])))</f>
        <v>10^4</v>
      </c>
      <c r="X2083" t="str">
        <f>IF(OR(SeismicData[[#This Row],[genergy]]&lt;$AA$6,SeismicData[[#This Row],[genergy]]&gt;$AA$5),"Outlier","Normal")</f>
        <v>Normal</v>
      </c>
    </row>
    <row r="2084" spans="1:24" x14ac:dyDescent="0.15">
      <c r="A2084">
        <v>2083</v>
      </c>
      <c r="B2084" t="s">
        <v>20</v>
      </c>
      <c r="C2084" t="s">
        <v>20</v>
      </c>
      <c r="D2084" t="s">
        <v>21</v>
      </c>
      <c r="E2084">
        <v>12560</v>
      </c>
      <c r="F2084">
        <v>469</v>
      </c>
      <c r="G2084">
        <v>0</v>
      </c>
      <c r="H2084">
        <v>88</v>
      </c>
      <c r="I2084" t="s">
        <v>20</v>
      </c>
      <c r="J2084">
        <v>0</v>
      </c>
      <c r="K2084">
        <v>0</v>
      </c>
      <c r="L2084">
        <v>0</v>
      </c>
      <c r="M2084">
        <v>0</v>
      </c>
      <c r="N2084">
        <v>0</v>
      </c>
      <c r="O2084">
        <v>0</v>
      </c>
      <c r="P2084">
        <v>0</v>
      </c>
      <c r="Q2084">
        <v>0</v>
      </c>
      <c r="R2084">
        <v>0</v>
      </c>
      <c r="S2084">
        <v>0</v>
      </c>
      <c r="T2084">
        <v>0</v>
      </c>
      <c r="U2084" t="str">
        <f>IF(SeismicData[[#This Row],[class]]=1,"Dangerous","Safe")</f>
        <v>Safe</v>
      </c>
      <c r="V2084" t="str">
        <f>IF(SeismicData[[#This Row],[shift]]="W","Production","Non-Production")</f>
        <v>Non-Production</v>
      </c>
      <c r="W2084" t="str">
        <f>IF(SeismicData[[#This Row],[genergy]]=0,"0","10^"&amp;INT(LOG10(SeismicData[[#This Row],[genergy]])))</f>
        <v>10^4</v>
      </c>
      <c r="X2084" t="str">
        <f>IF(OR(SeismicData[[#This Row],[genergy]]&lt;$AA$6,SeismicData[[#This Row],[genergy]]&gt;$AA$5),"Outlier","Normal")</f>
        <v>Normal</v>
      </c>
    </row>
    <row r="2085" spans="1:24" x14ac:dyDescent="0.15">
      <c r="A2085">
        <v>2084</v>
      </c>
      <c r="B2085" t="s">
        <v>20</v>
      </c>
      <c r="C2085" t="s">
        <v>20</v>
      </c>
      <c r="D2085" t="s">
        <v>21</v>
      </c>
      <c r="E2085">
        <v>15840</v>
      </c>
      <c r="F2085">
        <v>436</v>
      </c>
      <c r="G2085">
        <v>27</v>
      </c>
      <c r="H2085">
        <v>74</v>
      </c>
      <c r="I2085" t="s">
        <v>20</v>
      </c>
      <c r="J2085">
        <v>0</v>
      </c>
      <c r="K2085">
        <v>0</v>
      </c>
      <c r="L2085">
        <v>0</v>
      </c>
      <c r="M2085">
        <v>0</v>
      </c>
      <c r="N2085">
        <v>0</v>
      </c>
      <c r="O2085">
        <v>0</v>
      </c>
      <c r="P2085">
        <v>0</v>
      </c>
      <c r="Q2085">
        <v>0</v>
      </c>
      <c r="R2085">
        <v>0</v>
      </c>
      <c r="S2085">
        <v>0</v>
      </c>
      <c r="T2085">
        <v>0</v>
      </c>
      <c r="U2085" t="str">
        <f>IF(SeismicData[[#This Row],[class]]=1,"Dangerous","Safe")</f>
        <v>Safe</v>
      </c>
      <c r="V2085" t="str">
        <f>IF(SeismicData[[#This Row],[shift]]="W","Production","Non-Production")</f>
        <v>Non-Production</v>
      </c>
      <c r="W2085" t="str">
        <f>IF(SeismicData[[#This Row],[genergy]]=0,"0","10^"&amp;INT(LOG10(SeismicData[[#This Row],[genergy]])))</f>
        <v>10^4</v>
      </c>
      <c r="X2085" t="str">
        <f>IF(OR(SeismicData[[#This Row],[genergy]]&lt;$AA$6,SeismicData[[#This Row],[genergy]]&gt;$AA$5),"Outlier","Normal")</f>
        <v>Normal</v>
      </c>
    </row>
    <row r="2086" spans="1:24" x14ac:dyDescent="0.15">
      <c r="A2086">
        <v>2085</v>
      </c>
      <c r="B2086" t="s">
        <v>20</v>
      </c>
      <c r="C2086" t="s">
        <v>20</v>
      </c>
      <c r="D2086" t="s">
        <v>21</v>
      </c>
      <c r="E2086">
        <v>10690</v>
      </c>
      <c r="F2086">
        <v>297</v>
      </c>
      <c r="G2086">
        <v>-14</v>
      </c>
      <c r="H2086">
        <v>19</v>
      </c>
      <c r="I2086" t="s">
        <v>20</v>
      </c>
      <c r="J2086">
        <v>0</v>
      </c>
      <c r="K2086">
        <v>0</v>
      </c>
      <c r="L2086">
        <v>0</v>
      </c>
      <c r="M2086">
        <v>0</v>
      </c>
      <c r="N2086">
        <v>0</v>
      </c>
      <c r="O2086">
        <v>0</v>
      </c>
      <c r="P2086">
        <v>0</v>
      </c>
      <c r="Q2086">
        <v>0</v>
      </c>
      <c r="R2086">
        <v>0</v>
      </c>
      <c r="S2086">
        <v>0</v>
      </c>
      <c r="T2086">
        <v>0</v>
      </c>
      <c r="U2086" t="str">
        <f>IF(SeismicData[[#This Row],[class]]=1,"Dangerous","Safe")</f>
        <v>Safe</v>
      </c>
      <c r="V2086" t="str">
        <f>IF(SeismicData[[#This Row],[shift]]="W","Production","Non-Production")</f>
        <v>Non-Production</v>
      </c>
      <c r="W2086" t="str">
        <f>IF(SeismicData[[#This Row],[genergy]]=0,"0","10^"&amp;INT(LOG10(SeismicData[[#This Row],[genergy]])))</f>
        <v>10^4</v>
      </c>
      <c r="X2086" t="str">
        <f>IF(OR(SeismicData[[#This Row],[genergy]]&lt;$AA$6,SeismicData[[#This Row],[genergy]]&gt;$AA$5),"Outlier","Normal")</f>
        <v>Normal</v>
      </c>
    </row>
    <row r="2087" spans="1:24" x14ac:dyDescent="0.15">
      <c r="A2087">
        <v>2086</v>
      </c>
      <c r="B2087" t="s">
        <v>20</v>
      </c>
      <c r="C2087" t="s">
        <v>20</v>
      </c>
      <c r="D2087" t="s">
        <v>21</v>
      </c>
      <c r="E2087">
        <v>8460</v>
      </c>
      <c r="F2087">
        <v>223</v>
      </c>
      <c r="G2087">
        <v>-32</v>
      </c>
      <c r="H2087">
        <v>-11</v>
      </c>
      <c r="I2087" t="s">
        <v>20</v>
      </c>
      <c r="J2087">
        <v>0</v>
      </c>
      <c r="K2087">
        <v>0</v>
      </c>
      <c r="L2087">
        <v>0</v>
      </c>
      <c r="M2087">
        <v>0</v>
      </c>
      <c r="N2087">
        <v>0</v>
      </c>
      <c r="O2087">
        <v>0</v>
      </c>
      <c r="P2087">
        <v>0</v>
      </c>
      <c r="Q2087">
        <v>0</v>
      </c>
      <c r="R2087">
        <v>0</v>
      </c>
      <c r="S2087">
        <v>0</v>
      </c>
      <c r="T2087">
        <v>0</v>
      </c>
      <c r="U2087" t="str">
        <f>IF(SeismicData[[#This Row],[class]]=1,"Dangerous","Safe")</f>
        <v>Safe</v>
      </c>
      <c r="V2087" t="str">
        <f>IF(SeismicData[[#This Row],[shift]]="W","Production","Non-Production")</f>
        <v>Non-Production</v>
      </c>
      <c r="W2087" t="str">
        <f>IF(SeismicData[[#This Row],[genergy]]=0,"0","10^"&amp;INT(LOG10(SeismicData[[#This Row],[genergy]])))</f>
        <v>10^3</v>
      </c>
      <c r="X2087" t="str">
        <f>IF(OR(SeismicData[[#This Row],[genergy]]&lt;$AA$6,SeismicData[[#This Row],[genergy]]&gt;$AA$5),"Outlier","Normal")</f>
        <v>Normal</v>
      </c>
    </row>
    <row r="2088" spans="1:24" x14ac:dyDescent="0.15">
      <c r="A2088">
        <v>2087</v>
      </c>
      <c r="B2088" t="s">
        <v>20</v>
      </c>
      <c r="C2088" t="s">
        <v>20</v>
      </c>
      <c r="D2088" t="s">
        <v>21</v>
      </c>
      <c r="E2088">
        <v>6530</v>
      </c>
      <c r="F2088">
        <v>266</v>
      </c>
      <c r="G2088">
        <v>-48</v>
      </c>
      <c r="H2088">
        <v>6</v>
      </c>
      <c r="I2088" t="s">
        <v>20</v>
      </c>
      <c r="J2088">
        <v>0</v>
      </c>
      <c r="K2088">
        <v>0</v>
      </c>
      <c r="L2088">
        <v>0</v>
      </c>
      <c r="M2088">
        <v>0</v>
      </c>
      <c r="N2088">
        <v>0</v>
      </c>
      <c r="O2088">
        <v>0</v>
      </c>
      <c r="P2088">
        <v>0</v>
      </c>
      <c r="Q2088">
        <v>0</v>
      </c>
      <c r="R2088">
        <v>0</v>
      </c>
      <c r="S2088">
        <v>0</v>
      </c>
      <c r="T2088">
        <v>0</v>
      </c>
      <c r="U2088" t="str">
        <f>IF(SeismicData[[#This Row],[class]]=1,"Dangerous","Safe")</f>
        <v>Safe</v>
      </c>
      <c r="V2088" t="str">
        <f>IF(SeismicData[[#This Row],[shift]]="W","Production","Non-Production")</f>
        <v>Non-Production</v>
      </c>
      <c r="W2088" t="str">
        <f>IF(SeismicData[[#This Row],[genergy]]=0,"0","10^"&amp;INT(LOG10(SeismicData[[#This Row],[genergy]])))</f>
        <v>10^3</v>
      </c>
      <c r="X2088" t="str">
        <f>IF(OR(SeismicData[[#This Row],[genergy]]&lt;$AA$6,SeismicData[[#This Row],[genergy]]&gt;$AA$5),"Outlier","Normal")</f>
        <v>Normal</v>
      </c>
    </row>
    <row r="2089" spans="1:24" x14ac:dyDescent="0.15">
      <c r="A2089">
        <v>2088</v>
      </c>
      <c r="B2089" t="s">
        <v>20</v>
      </c>
      <c r="C2089" t="s">
        <v>20</v>
      </c>
      <c r="D2089" t="s">
        <v>21</v>
      </c>
      <c r="E2089">
        <v>9010</v>
      </c>
      <c r="F2089">
        <v>255</v>
      </c>
      <c r="G2089">
        <v>-28</v>
      </c>
      <c r="H2089">
        <v>2</v>
      </c>
      <c r="I2089" t="s">
        <v>20</v>
      </c>
      <c r="J2089">
        <v>0</v>
      </c>
      <c r="K2089">
        <v>0</v>
      </c>
      <c r="L2089">
        <v>0</v>
      </c>
      <c r="M2089">
        <v>0</v>
      </c>
      <c r="N2089">
        <v>0</v>
      </c>
      <c r="O2089">
        <v>0</v>
      </c>
      <c r="P2089">
        <v>0</v>
      </c>
      <c r="Q2089">
        <v>0</v>
      </c>
      <c r="R2089">
        <v>0</v>
      </c>
      <c r="S2089">
        <v>0</v>
      </c>
      <c r="T2089">
        <v>0</v>
      </c>
      <c r="U2089" t="str">
        <f>IF(SeismicData[[#This Row],[class]]=1,"Dangerous","Safe")</f>
        <v>Safe</v>
      </c>
      <c r="V2089" t="str">
        <f>IF(SeismicData[[#This Row],[shift]]="W","Production","Non-Production")</f>
        <v>Non-Production</v>
      </c>
      <c r="W2089" t="str">
        <f>IF(SeismicData[[#This Row],[genergy]]=0,"0","10^"&amp;INT(LOG10(SeismicData[[#This Row],[genergy]])))</f>
        <v>10^3</v>
      </c>
      <c r="X2089" t="str">
        <f>IF(OR(SeismicData[[#This Row],[genergy]]&lt;$AA$6,SeismicData[[#This Row],[genergy]]&gt;$AA$5),"Outlier","Normal")</f>
        <v>Normal</v>
      </c>
    </row>
    <row r="2090" spans="1:24" x14ac:dyDescent="0.15">
      <c r="A2090">
        <v>2089</v>
      </c>
      <c r="B2090" t="s">
        <v>20</v>
      </c>
      <c r="C2090" t="s">
        <v>20</v>
      </c>
      <c r="D2090" t="s">
        <v>21</v>
      </c>
      <c r="E2090">
        <v>4720</v>
      </c>
      <c r="F2090">
        <v>186</v>
      </c>
      <c r="G2090">
        <v>-62</v>
      </c>
      <c r="H2090">
        <v>-26</v>
      </c>
      <c r="I2090" t="s">
        <v>20</v>
      </c>
      <c r="J2090">
        <v>0</v>
      </c>
      <c r="K2090">
        <v>0</v>
      </c>
      <c r="L2090">
        <v>0</v>
      </c>
      <c r="M2090">
        <v>0</v>
      </c>
      <c r="N2090">
        <v>0</v>
      </c>
      <c r="O2090">
        <v>0</v>
      </c>
      <c r="P2090">
        <v>0</v>
      </c>
      <c r="Q2090">
        <v>0</v>
      </c>
      <c r="R2090">
        <v>0</v>
      </c>
      <c r="S2090">
        <v>0</v>
      </c>
      <c r="T2090">
        <v>0</v>
      </c>
      <c r="U2090" t="str">
        <f>IF(SeismicData[[#This Row],[class]]=1,"Dangerous","Safe")</f>
        <v>Safe</v>
      </c>
      <c r="V2090" t="str">
        <f>IF(SeismicData[[#This Row],[shift]]="W","Production","Non-Production")</f>
        <v>Non-Production</v>
      </c>
      <c r="W2090" t="str">
        <f>IF(SeismicData[[#This Row],[genergy]]=0,"0","10^"&amp;INT(LOG10(SeismicData[[#This Row],[genergy]])))</f>
        <v>10^3</v>
      </c>
      <c r="X2090" t="str">
        <f>IF(OR(SeismicData[[#This Row],[genergy]]&lt;$AA$6,SeismicData[[#This Row],[genergy]]&gt;$AA$5),"Outlier","Normal")</f>
        <v>Normal</v>
      </c>
    </row>
    <row r="2091" spans="1:24" x14ac:dyDescent="0.15">
      <c r="A2091">
        <v>2090</v>
      </c>
      <c r="B2091" t="s">
        <v>20</v>
      </c>
      <c r="C2091" t="s">
        <v>20</v>
      </c>
      <c r="D2091" t="s">
        <v>21</v>
      </c>
      <c r="E2091">
        <v>10250</v>
      </c>
      <c r="F2091">
        <v>177</v>
      </c>
      <c r="G2091">
        <v>-18</v>
      </c>
      <c r="H2091">
        <v>-29</v>
      </c>
      <c r="I2091" t="s">
        <v>20</v>
      </c>
      <c r="J2091">
        <v>0</v>
      </c>
      <c r="K2091">
        <v>0</v>
      </c>
      <c r="L2091">
        <v>0</v>
      </c>
      <c r="M2091">
        <v>0</v>
      </c>
      <c r="N2091">
        <v>0</v>
      </c>
      <c r="O2091">
        <v>0</v>
      </c>
      <c r="P2091">
        <v>0</v>
      </c>
      <c r="Q2091">
        <v>0</v>
      </c>
      <c r="R2091">
        <v>0</v>
      </c>
      <c r="S2091">
        <v>0</v>
      </c>
      <c r="T2091">
        <v>0</v>
      </c>
      <c r="U2091" t="str">
        <f>IF(SeismicData[[#This Row],[class]]=1,"Dangerous","Safe")</f>
        <v>Safe</v>
      </c>
      <c r="V2091" t="str">
        <f>IF(SeismicData[[#This Row],[shift]]="W","Production","Non-Production")</f>
        <v>Non-Production</v>
      </c>
      <c r="W2091" t="str">
        <f>IF(SeismicData[[#This Row],[genergy]]=0,"0","10^"&amp;INT(LOG10(SeismicData[[#This Row],[genergy]])))</f>
        <v>10^4</v>
      </c>
      <c r="X2091" t="str">
        <f>IF(OR(SeismicData[[#This Row],[genergy]]&lt;$AA$6,SeismicData[[#This Row],[genergy]]&gt;$AA$5),"Outlier","Normal")</f>
        <v>Normal</v>
      </c>
    </row>
    <row r="2092" spans="1:24" x14ac:dyDescent="0.15">
      <c r="A2092">
        <v>2091</v>
      </c>
      <c r="B2092" t="s">
        <v>20</v>
      </c>
      <c r="C2092" t="s">
        <v>20</v>
      </c>
      <c r="D2092" t="s">
        <v>21</v>
      </c>
      <c r="E2092">
        <v>9890</v>
      </c>
      <c r="F2092">
        <v>210</v>
      </c>
      <c r="G2092">
        <v>-21</v>
      </c>
      <c r="H2092">
        <v>-16</v>
      </c>
      <c r="I2092" t="s">
        <v>20</v>
      </c>
      <c r="J2092">
        <v>0</v>
      </c>
      <c r="K2092">
        <v>0</v>
      </c>
      <c r="L2092">
        <v>0</v>
      </c>
      <c r="M2092">
        <v>0</v>
      </c>
      <c r="N2092">
        <v>0</v>
      </c>
      <c r="O2092">
        <v>0</v>
      </c>
      <c r="P2092">
        <v>0</v>
      </c>
      <c r="Q2092">
        <v>0</v>
      </c>
      <c r="R2092">
        <v>0</v>
      </c>
      <c r="S2092">
        <v>0</v>
      </c>
      <c r="T2092">
        <v>0</v>
      </c>
      <c r="U2092" t="str">
        <f>IF(SeismicData[[#This Row],[class]]=1,"Dangerous","Safe")</f>
        <v>Safe</v>
      </c>
      <c r="V2092" t="str">
        <f>IF(SeismicData[[#This Row],[shift]]="W","Production","Non-Production")</f>
        <v>Non-Production</v>
      </c>
      <c r="W2092" t="str">
        <f>IF(SeismicData[[#This Row],[genergy]]=0,"0","10^"&amp;INT(LOG10(SeismicData[[#This Row],[genergy]])))</f>
        <v>10^3</v>
      </c>
      <c r="X2092" t="str">
        <f>IF(OR(SeismicData[[#This Row],[genergy]]&lt;$AA$6,SeismicData[[#This Row],[genergy]]&gt;$AA$5),"Outlier","Normal")</f>
        <v>Normal</v>
      </c>
    </row>
    <row r="2093" spans="1:24" x14ac:dyDescent="0.15">
      <c r="A2093">
        <v>2092</v>
      </c>
      <c r="B2093" t="s">
        <v>20</v>
      </c>
      <c r="C2093" t="s">
        <v>20</v>
      </c>
      <c r="D2093" t="s">
        <v>21</v>
      </c>
      <c r="E2093">
        <v>11330</v>
      </c>
      <c r="F2093">
        <v>246</v>
      </c>
      <c r="G2093">
        <v>-9</v>
      </c>
      <c r="H2093">
        <v>-2</v>
      </c>
      <c r="I2093" t="s">
        <v>20</v>
      </c>
      <c r="J2093">
        <v>0</v>
      </c>
      <c r="K2093">
        <v>0</v>
      </c>
      <c r="L2093">
        <v>0</v>
      </c>
      <c r="M2093">
        <v>0</v>
      </c>
      <c r="N2093">
        <v>0</v>
      </c>
      <c r="O2093">
        <v>0</v>
      </c>
      <c r="P2093">
        <v>0</v>
      </c>
      <c r="Q2093">
        <v>0</v>
      </c>
      <c r="R2093">
        <v>0</v>
      </c>
      <c r="S2093">
        <v>0</v>
      </c>
      <c r="T2093">
        <v>0</v>
      </c>
      <c r="U2093" t="str">
        <f>IF(SeismicData[[#This Row],[class]]=1,"Dangerous","Safe")</f>
        <v>Safe</v>
      </c>
      <c r="V2093" t="str">
        <f>IF(SeismicData[[#This Row],[shift]]="W","Production","Non-Production")</f>
        <v>Non-Production</v>
      </c>
      <c r="W2093" t="str">
        <f>IF(SeismicData[[#This Row],[genergy]]=0,"0","10^"&amp;INT(LOG10(SeismicData[[#This Row],[genergy]])))</f>
        <v>10^4</v>
      </c>
      <c r="X2093" t="str">
        <f>IF(OR(SeismicData[[#This Row],[genergy]]&lt;$AA$6,SeismicData[[#This Row],[genergy]]&gt;$AA$5),"Outlier","Normal")</f>
        <v>Normal</v>
      </c>
    </row>
    <row r="2094" spans="1:24" x14ac:dyDescent="0.15">
      <c r="A2094">
        <v>2093</v>
      </c>
      <c r="B2094" t="s">
        <v>20</v>
      </c>
      <c r="C2094" t="s">
        <v>20</v>
      </c>
      <c r="D2094" t="s">
        <v>21</v>
      </c>
      <c r="E2094">
        <v>4140</v>
      </c>
      <c r="F2094">
        <v>186</v>
      </c>
      <c r="G2094">
        <v>-67</v>
      </c>
      <c r="H2094">
        <v>-26</v>
      </c>
      <c r="I2094" t="s">
        <v>20</v>
      </c>
      <c r="J2094">
        <v>0</v>
      </c>
      <c r="K2094">
        <v>0</v>
      </c>
      <c r="L2094">
        <v>0</v>
      </c>
      <c r="M2094">
        <v>0</v>
      </c>
      <c r="N2094">
        <v>0</v>
      </c>
      <c r="O2094">
        <v>0</v>
      </c>
      <c r="P2094">
        <v>0</v>
      </c>
      <c r="Q2094">
        <v>0</v>
      </c>
      <c r="R2094">
        <v>0</v>
      </c>
      <c r="S2094">
        <v>0</v>
      </c>
      <c r="T2094">
        <v>0</v>
      </c>
      <c r="U2094" t="str">
        <f>IF(SeismicData[[#This Row],[class]]=1,"Dangerous","Safe")</f>
        <v>Safe</v>
      </c>
      <c r="V2094" t="str">
        <f>IF(SeismicData[[#This Row],[shift]]="W","Production","Non-Production")</f>
        <v>Non-Production</v>
      </c>
      <c r="W2094" t="str">
        <f>IF(SeismicData[[#This Row],[genergy]]=0,"0","10^"&amp;INT(LOG10(SeismicData[[#This Row],[genergy]])))</f>
        <v>10^3</v>
      </c>
      <c r="X2094" t="str">
        <f>IF(OR(SeismicData[[#This Row],[genergy]]&lt;$AA$6,SeismicData[[#This Row],[genergy]]&gt;$AA$5),"Outlier","Normal")</f>
        <v>Normal</v>
      </c>
    </row>
    <row r="2095" spans="1:24" x14ac:dyDescent="0.15">
      <c r="A2095">
        <v>2094</v>
      </c>
      <c r="B2095" t="s">
        <v>20</v>
      </c>
      <c r="C2095" t="s">
        <v>20</v>
      </c>
      <c r="D2095" t="s">
        <v>21</v>
      </c>
      <c r="E2095">
        <v>9700</v>
      </c>
      <c r="F2095">
        <v>216</v>
      </c>
      <c r="G2095">
        <v>-22</v>
      </c>
      <c r="H2095">
        <v>-14</v>
      </c>
      <c r="I2095" t="s">
        <v>20</v>
      </c>
      <c r="J2095">
        <v>0</v>
      </c>
      <c r="K2095">
        <v>0</v>
      </c>
      <c r="L2095">
        <v>0</v>
      </c>
      <c r="M2095">
        <v>0</v>
      </c>
      <c r="N2095">
        <v>0</v>
      </c>
      <c r="O2095">
        <v>0</v>
      </c>
      <c r="P2095">
        <v>0</v>
      </c>
      <c r="Q2095">
        <v>0</v>
      </c>
      <c r="R2095">
        <v>0</v>
      </c>
      <c r="S2095">
        <v>0</v>
      </c>
      <c r="T2095">
        <v>0</v>
      </c>
      <c r="U2095" t="str">
        <f>IF(SeismicData[[#This Row],[class]]=1,"Dangerous","Safe")</f>
        <v>Safe</v>
      </c>
      <c r="V2095" t="str">
        <f>IF(SeismicData[[#This Row],[shift]]="W","Production","Non-Production")</f>
        <v>Non-Production</v>
      </c>
      <c r="W2095" t="str">
        <f>IF(SeismicData[[#This Row],[genergy]]=0,"0","10^"&amp;INT(LOG10(SeismicData[[#This Row],[genergy]])))</f>
        <v>10^3</v>
      </c>
      <c r="X2095" t="str">
        <f>IF(OR(SeismicData[[#This Row],[genergy]]&lt;$AA$6,SeismicData[[#This Row],[genergy]]&gt;$AA$5),"Outlier","Normal")</f>
        <v>Normal</v>
      </c>
    </row>
    <row r="2096" spans="1:24" x14ac:dyDescent="0.15">
      <c r="A2096">
        <v>2095</v>
      </c>
      <c r="B2096" t="s">
        <v>20</v>
      </c>
      <c r="C2096" t="s">
        <v>20</v>
      </c>
      <c r="D2096" t="s">
        <v>21</v>
      </c>
      <c r="E2096">
        <v>6860</v>
      </c>
      <c r="F2096">
        <v>282</v>
      </c>
      <c r="G2096">
        <v>-45</v>
      </c>
      <c r="H2096">
        <v>13</v>
      </c>
      <c r="I2096" t="s">
        <v>20</v>
      </c>
      <c r="J2096">
        <v>0</v>
      </c>
      <c r="K2096">
        <v>0</v>
      </c>
      <c r="L2096">
        <v>0</v>
      </c>
      <c r="M2096">
        <v>0</v>
      </c>
      <c r="N2096">
        <v>0</v>
      </c>
      <c r="O2096">
        <v>0</v>
      </c>
      <c r="P2096">
        <v>0</v>
      </c>
      <c r="Q2096">
        <v>0</v>
      </c>
      <c r="R2096">
        <v>0</v>
      </c>
      <c r="S2096">
        <v>0</v>
      </c>
      <c r="T2096">
        <v>0</v>
      </c>
      <c r="U2096" t="str">
        <f>IF(SeismicData[[#This Row],[class]]=1,"Dangerous","Safe")</f>
        <v>Safe</v>
      </c>
      <c r="V2096" t="str">
        <f>IF(SeismicData[[#This Row],[shift]]="W","Production","Non-Production")</f>
        <v>Non-Production</v>
      </c>
      <c r="W2096" t="str">
        <f>IF(SeismicData[[#This Row],[genergy]]=0,"0","10^"&amp;INT(LOG10(SeismicData[[#This Row],[genergy]])))</f>
        <v>10^3</v>
      </c>
      <c r="X2096" t="str">
        <f>IF(OR(SeismicData[[#This Row],[genergy]]&lt;$AA$6,SeismicData[[#This Row],[genergy]]&gt;$AA$5),"Outlier","Normal")</f>
        <v>Normal</v>
      </c>
    </row>
    <row r="2097" spans="1:24" x14ac:dyDescent="0.15">
      <c r="A2097">
        <v>2096</v>
      </c>
      <c r="B2097" t="s">
        <v>20</v>
      </c>
      <c r="C2097" t="s">
        <v>20</v>
      </c>
      <c r="D2097" t="s">
        <v>21</v>
      </c>
      <c r="E2097">
        <v>5470</v>
      </c>
      <c r="F2097">
        <v>237</v>
      </c>
      <c r="G2097">
        <v>-56</v>
      </c>
      <c r="H2097">
        <v>-5</v>
      </c>
      <c r="I2097" t="s">
        <v>20</v>
      </c>
      <c r="J2097">
        <v>0</v>
      </c>
      <c r="K2097">
        <v>0</v>
      </c>
      <c r="L2097">
        <v>0</v>
      </c>
      <c r="M2097">
        <v>0</v>
      </c>
      <c r="N2097">
        <v>0</v>
      </c>
      <c r="O2097">
        <v>0</v>
      </c>
      <c r="P2097">
        <v>0</v>
      </c>
      <c r="Q2097">
        <v>0</v>
      </c>
      <c r="R2097">
        <v>0</v>
      </c>
      <c r="S2097">
        <v>0</v>
      </c>
      <c r="T2097">
        <v>0</v>
      </c>
      <c r="U2097" t="str">
        <f>IF(SeismicData[[#This Row],[class]]=1,"Dangerous","Safe")</f>
        <v>Safe</v>
      </c>
      <c r="V2097" t="str">
        <f>IF(SeismicData[[#This Row],[shift]]="W","Production","Non-Production")</f>
        <v>Non-Production</v>
      </c>
      <c r="W2097" t="str">
        <f>IF(SeismicData[[#This Row],[genergy]]=0,"0","10^"&amp;INT(LOG10(SeismicData[[#This Row],[genergy]])))</f>
        <v>10^3</v>
      </c>
      <c r="X2097" t="str">
        <f>IF(OR(SeismicData[[#This Row],[genergy]]&lt;$AA$6,SeismicData[[#This Row],[genergy]]&gt;$AA$5),"Outlier","Normal")</f>
        <v>Normal</v>
      </c>
    </row>
    <row r="2098" spans="1:24" x14ac:dyDescent="0.15">
      <c r="A2098">
        <v>2097</v>
      </c>
      <c r="B2098" t="s">
        <v>20</v>
      </c>
      <c r="C2098" t="s">
        <v>20</v>
      </c>
      <c r="D2098" t="s">
        <v>21</v>
      </c>
      <c r="E2098">
        <v>4620</v>
      </c>
      <c r="F2098">
        <v>175</v>
      </c>
      <c r="G2098">
        <v>-63</v>
      </c>
      <c r="H2098">
        <v>-30</v>
      </c>
      <c r="I2098" t="s">
        <v>20</v>
      </c>
      <c r="J2098">
        <v>0</v>
      </c>
      <c r="K2098">
        <v>0</v>
      </c>
      <c r="L2098">
        <v>0</v>
      </c>
      <c r="M2098">
        <v>0</v>
      </c>
      <c r="N2098">
        <v>0</v>
      </c>
      <c r="O2098">
        <v>0</v>
      </c>
      <c r="P2098">
        <v>0</v>
      </c>
      <c r="Q2098">
        <v>0</v>
      </c>
      <c r="R2098">
        <v>0</v>
      </c>
      <c r="S2098">
        <v>0</v>
      </c>
      <c r="T2098">
        <v>0</v>
      </c>
      <c r="U2098" t="str">
        <f>IF(SeismicData[[#This Row],[class]]=1,"Dangerous","Safe")</f>
        <v>Safe</v>
      </c>
      <c r="V2098" t="str">
        <f>IF(SeismicData[[#This Row],[shift]]="W","Production","Non-Production")</f>
        <v>Non-Production</v>
      </c>
      <c r="W2098" t="str">
        <f>IF(SeismicData[[#This Row],[genergy]]=0,"0","10^"&amp;INT(LOG10(SeismicData[[#This Row],[genergy]])))</f>
        <v>10^3</v>
      </c>
      <c r="X2098" t="str">
        <f>IF(OR(SeismicData[[#This Row],[genergy]]&lt;$AA$6,SeismicData[[#This Row],[genergy]]&gt;$AA$5),"Outlier","Normal")</f>
        <v>Normal</v>
      </c>
    </row>
    <row r="2099" spans="1:24" x14ac:dyDescent="0.15">
      <c r="A2099">
        <v>2098</v>
      </c>
      <c r="B2099" t="s">
        <v>20</v>
      </c>
      <c r="C2099" t="s">
        <v>20</v>
      </c>
      <c r="D2099" t="s">
        <v>21</v>
      </c>
      <c r="E2099">
        <v>3120</v>
      </c>
      <c r="F2099">
        <v>190</v>
      </c>
      <c r="G2099">
        <v>-75</v>
      </c>
      <c r="H2099">
        <v>-24</v>
      </c>
      <c r="I2099" t="s">
        <v>20</v>
      </c>
      <c r="J2099">
        <v>0</v>
      </c>
      <c r="K2099">
        <v>0</v>
      </c>
      <c r="L2099">
        <v>0</v>
      </c>
      <c r="M2099">
        <v>0</v>
      </c>
      <c r="N2099">
        <v>0</v>
      </c>
      <c r="O2099">
        <v>0</v>
      </c>
      <c r="P2099">
        <v>0</v>
      </c>
      <c r="Q2099">
        <v>0</v>
      </c>
      <c r="R2099">
        <v>0</v>
      </c>
      <c r="S2099">
        <v>0</v>
      </c>
      <c r="T2099">
        <v>0</v>
      </c>
      <c r="U2099" t="str">
        <f>IF(SeismicData[[#This Row],[class]]=1,"Dangerous","Safe")</f>
        <v>Safe</v>
      </c>
      <c r="V2099" t="str">
        <f>IF(SeismicData[[#This Row],[shift]]="W","Production","Non-Production")</f>
        <v>Non-Production</v>
      </c>
      <c r="W2099" t="str">
        <f>IF(SeismicData[[#This Row],[genergy]]=0,"0","10^"&amp;INT(LOG10(SeismicData[[#This Row],[genergy]])))</f>
        <v>10^3</v>
      </c>
      <c r="X2099" t="str">
        <f>IF(OR(SeismicData[[#This Row],[genergy]]&lt;$AA$6,SeismicData[[#This Row],[genergy]]&gt;$AA$5),"Outlier","Normal")</f>
        <v>Normal</v>
      </c>
    </row>
    <row r="2100" spans="1:24" x14ac:dyDescent="0.15">
      <c r="A2100">
        <v>2099</v>
      </c>
      <c r="B2100" t="s">
        <v>20</v>
      </c>
      <c r="C2100" t="s">
        <v>20</v>
      </c>
      <c r="D2100" t="s">
        <v>21</v>
      </c>
      <c r="E2100">
        <v>4160</v>
      </c>
      <c r="F2100">
        <v>189</v>
      </c>
      <c r="G2100">
        <v>-67</v>
      </c>
      <c r="H2100">
        <v>-24</v>
      </c>
      <c r="I2100" t="s">
        <v>20</v>
      </c>
      <c r="J2100">
        <v>0</v>
      </c>
      <c r="K2100">
        <v>0</v>
      </c>
      <c r="L2100">
        <v>0</v>
      </c>
      <c r="M2100">
        <v>0</v>
      </c>
      <c r="N2100">
        <v>0</v>
      </c>
      <c r="O2100">
        <v>0</v>
      </c>
      <c r="P2100">
        <v>0</v>
      </c>
      <c r="Q2100">
        <v>0</v>
      </c>
      <c r="R2100">
        <v>0</v>
      </c>
      <c r="S2100">
        <v>0</v>
      </c>
      <c r="T2100">
        <v>0</v>
      </c>
      <c r="U2100" t="str">
        <f>IF(SeismicData[[#This Row],[class]]=1,"Dangerous","Safe")</f>
        <v>Safe</v>
      </c>
      <c r="V2100" t="str">
        <f>IF(SeismicData[[#This Row],[shift]]="W","Production","Non-Production")</f>
        <v>Non-Production</v>
      </c>
      <c r="W2100" t="str">
        <f>IF(SeismicData[[#This Row],[genergy]]=0,"0","10^"&amp;INT(LOG10(SeismicData[[#This Row],[genergy]])))</f>
        <v>10^3</v>
      </c>
      <c r="X2100" t="str">
        <f>IF(OR(SeismicData[[#This Row],[genergy]]&lt;$AA$6,SeismicData[[#This Row],[genergy]]&gt;$AA$5),"Outlier","Normal")</f>
        <v>Normal</v>
      </c>
    </row>
    <row r="2101" spans="1:24" x14ac:dyDescent="0.15">
      <c r="A2101">
        <v>2100</v>
      </c>
      <c r="B2101" t="s">
        <v>20</v>
      </c>
      <c r="C2101" t="s">
        <v>20</v>
      </c>
      <c r="D2101" t="s">
        <v>21</v>
      </c>
      <c r="E2101">
        <v>5280</v>
      </c>
      <c r="F2101">
        <v>178</v>
      </c>
      <c r="G2101">
        <v>-29</v>
      </c>
      <c r="H2101">
        <v>-16</v>
      </c>
      <c r="I2101" t="s">
        <v>20</v>
      </c>
      <c r="J2101">
        <v>0</v>
      </c>
      <c r="K2101">
        <v>0</v>
      </c>
      <c r="L2101">
        <v>0</v>
      </c>
      <c r="M2101">
        <v>0</v>
      </c>
      <c r="N2101">
        <v>0</v>
      </c>
      <c r="O2101">
        <v>0</v>
      </c>
      <c r="P2101">
        <v>0</v>
      </c>
      <c r="Q2101">
        <v>0</v>
      </c>
      <c r="R2101">
        <v>0</v>
      </c>
      <c r="S2101">
        <v>0</v>
      </c>
      <c r="T2101">
        <v>0</v>
      </c>
      <c r="U2101" t="str">
        <f>IF(SeismicData[[#This Row],[class]]=1,"Dangerous","Safe")</f>
        <v>Safe</v>
      </c>
      <c r="V2101" t="str">
        <f>IF(SeismicData[[#This Row],[shift]]="W","Production","Non-Production")</f>
        <v>Non-Production</v>
      </c>
      <c r="W2101" t="str">
        <f>IF(SeismicData[[#This Row],[genergy]]=0,"0","10^"&amp;INT(LOG10(SeismicData[[#This Row],[genergy]])))</f>
        <v>10^3</v>
      </c>
      <c r="X2101" t="str">
        <f>IF(OR(SeismicData[[#This Row],[genergy]]&lt;$AA$6,SeismicData[[#This Row],[genergy]]&gt;$AA$5),"Outlier","Normal")</f>
        <v>Normal</v>
      </c>
    </row>
    <row r="2102" spans="1:24" x14ac:dyDescent="0.15">
      <c r="A2102">
        <v>2101</v>
      </c>
      <c r="B2102" t="s">
        <v>20</v>
      </c>
      <c r="C2102" t="s">
        <v>20</v>
      </c>
      <c r="D2102" t="s">
        <v>21</v>
      </c>
      <c r="E2102">
        <v>5310</v>
      </c>
      <c r="F2102">
        <v>287</v>
      </c>
      <c r="G2102">
        <v>-58</v>
      </c>
      <c r="H2102">
        <v>15</v>
      </c>
      <c r="I2102" t="s">
        <v>20</v>
      </c>
      <c r="J2102">
        <v>0</v>
      </c>
      <c r="K2102">
        <v>0</v>
      </c>
      <c r="L2102">
        <v>0</v>
      </c>
      <c r="M2102">
        <v>0</v>
      </c>
      <c r="N2102">
        <v>0</v>
      </c>
      <c r="O2102">
        <v>0</v>
      </c>
      <c r="P2102">
        <v>0</v>
      </c>
      <c r="Q2102">
        <v>0</v>
      </c>
      <c r="R2102">
        <v>0</v>
      </c>
      <c r="S2102">
        <v>0</v>
      </c>
      <c r="T2102">
        <v>0</v>
      </c>
      <c r="U2102" t="str">
        <f>IF(SeismicData[[#This Row],[class]]=1,"Dangerous","Safe")</f>
        <v>Safe</v>
      </c>
      <c r="V2102" t="str">
        <f>IF(SeismicData[[#This Row],[shift]]="W","Production","Non-Production")</f>
        <v>Non-Production</v>
      </c>
      <c r="W2102" t="str">
        <f>IF(SeismicData[[#This Row],[genergy]]=0,"0","10^"&amp;INT(LOG10(SeismicData[[#This Row],[genergy]])))</f>
        <v>10^3</v>
      </c>
      <c r="X2102" t="str">
        <f>IF(OR(SeismicData[[#This Row],[genergy]]&lt;$AA$6,SeismicData[[#This Row],[genergy]]&gt;$AA$5),"Outlier","Normal")</f>
        <v>Normal</v>
      </c>
    </row>
    <row r="2103" spans="1:24" x14ac:dyDescent="0.15">
      <c r="A2103">
        <v>2102</v>
      </c>
      <c r="B2103" t="s">
        <v>20</v>
      </c>
      <c r="C2103" t="s">
        <v>20</v>
      </c>
      <c r="D2103" t="s">
        <v>21</v>
      </c>
      <c r="E2103">
        <v>7060</v>
      </c>
      <c r="F2103">
        <v>241</v>
      </c>
      <c r="G2103">
        <v>-44</v>
      </c>
      <c r="H2103">
        <v>-4</v>
      </c>
      <c r="I2103" t="s">
        <v>20</v>
      </c>
      <c r="J2103">
        <v>0</v>
      </c>
      <c r="K2103">
        <v>0</v>
      </c>
      <c r="L2103">
        <v>0</v>
      </c>
      <c r="M2103">
        <v>0</v>
      </c>
      <c r="N2103">
        <v>0</v>
      </c>
      <c r="O2103">
        <v>0</v>
      </c>
      <c r="P2103">
        <v>0</v>
      </c>
      <c r="Q2103">
        <v>0</v>
      </c>
      <c r="R2103">
        <v>0</v>
      </c>
      <c r="S2103">
        <v>0</v>
      </c>
      <c r="T2103">
        <v>0</v>
      </c>
      <c r="U2103" t="str">
        <f>IF(SeismicData[[#This Row],[class]]=1,"Dangerous","Safe")</f>
        <v>Safe</v>
      </c>
      <c r="V2103" t="str">
        <f>IF(SeismicData[[#This Row],[shift]]="W","Production","Non-Production")</f>
        <v>Non-Production</v>
      </c>
      <c r="W2103" t="str">
        <f>IF(SeismicData[[#This Row],[genergy]]=0,"0","10^"&amp;INT(LOG10(SeismicData[[#This Row],[genergy]])))</f>
        <v>10^3</v>
      </c>
      <c r="X2103" t="str">
        <f>IF(OR(SeismicData[[#This Row],[genergy]]&lt;$AA$6,SeismicData[[#This Row],[genergy]]&gt;$AA$5),"Outlier","Normal")</f>
        <v>Normal</v>
      </c>
    </row>
    <row r="2104" spans="1:24" x14ac:dyDescent="0.15">
      <c r="A2104">
        <v>2103</v>
      </c>
      <c r="B2104" t="s">
        <v>20</v>
      </c>
      <c r="C2104" t="s">
        <v>20</v>
      </c>
      <c r="D2104" t="s">
        <v>21</v>
      </c>
      <c r="E2104">
        <v>8810</v>
      </c>
      <c r="F2104">
        <v>262</v>
      </c>
      <c r="G2104">
        <v>-27</v>
      </c>
      <c r="H2104">
        <v>6</v>
      </c>
      <c r="I2104" t="s">
        <v>20</v>
      </c>
      <c r="J2104">
        <v>0</v>
      </c>
      <c r="K2104">
        <v>0</v>
      </c>
      <c r="L2104">
        <v>0</v>
      </c>
      <c r="M2104">
        <v>0</v>
      </c>
      <c r="N2104">
        <v>0</v>
      </c>
      <c r="O2104">
        <v>0</v>
      </c>
      <c r="P2104">
        <v>0</v>
      </c>
      <c r="Q2104">
        <v>0</v>
      </c>
      <c r="R2104">
        <v>0</v>
      </c>
      <c r="S2104">
        <v>0</v>
      </c>
      <c r="T2104">
        <v>0</v>
      </c>
      <c r="U2104" t="str">
        <f>IF(SeismicData[[#This Row],[class]]=1,"Dangerous","Safe")</f>
        <v>Safe</v>
      </c>
      <c r="V2104" t="str">
        <f>IF(SeismicData[[#This Row],[shift]]="W","Production","Non-Production")</f>
        <v>Non-Production</v>
      </c>
      <c r="W2104" t="str">
        <f>IF(SeismicData[[#This Row],[genergy]]=0,"0","10^"&amp;INT(LOG10(SeismicData[[#This Row],[genergy]])))</f>
        <v>10^3</v>
      </c>
      <c r="X2104" t="str">
        <f>IF(OR(SeismicData[[#This Row],[genergy]]&lt;$AA$6,SeismicData[[#This Row],[genergy]]&gt;$AA$5),"Outlier","Normal")</f>
        <v>Normal</v>
      </c>
    </row>
    <row r="2105" spans="1:24" x14ac:dyDescent="0.15">
      <c r="A2105">
        <v>2104</v>
      </c>
      <c r="B2105" t="s">
        <v>20</v>
      </c>
      <c r="C2105" t="s">
        <v>20</v>
      </c>
      <c r="D2105" t="s">
        <v>21</v>
      </c>
      <c r="E2105">
        <v>8170</v>
      </c>
      <c r="F2105">
        <v>274</v>
      </c>
      <c r="G2105">
        <v>-32</v>
      </c>
      <c r="H2105">
        <v>11</v>
      </c>
      <c r="I2105" t="s">
        <v>20</v>
      </c>
      <c r="J2105">
        <v>0</v>
      </c>
      <c r="K2105">
        <v>0</v>
      </c>
      <c r="L2105">
        <v>0</v>
      </c>
      <c r="M2105">
        <v>0</v>
      </c>
      <c r="N2105">
        <v>0</v>
      </c>
      <c r="O2105">
        <v>0</v>
      </c>
      <c r="P2105">
        <v>0</v>
      </c>
      <c r="Q2105">
        <v>0</v>
      </c>
      <c r="R2105">
        <v>0</v>
      </c>
      <c r="S2105">
        <v>0</v>
      </c>
      <c r="T2105">
        <v>0</v>
      </c>
      <c r="U2105" t="str">
        <f>IF(SeismicData[[#This Row],[class]]=1,"Dangerous","Safe")</f>
        <v>Safe</v>
      </c>
      <c r="V2105" t="str">
        <f>IF(SeismicData[[#This Row],[shift]]="W","Production","Non-Production")</f>
        <v>Non-Production</v>
      </c>
      <c r="W2105" t="str">
        <f>IF(SeismicData[[#This Row],[genergy]]=0,"0","10^"&amp;INT(LOG10(SeismicData[[#This Row],[genergy]])))</f>
        <v>10^3</v>
      </c>
      <c r="X2105" t="str">
        <f>IF(OR(SeismicData[[#This Row],[genergy]]&lt;$AA$6,SeismicData[[#This Row],[genergy]]&gt;$AA$5),"Outlier","Normal")</f>
        <v>Normal</v>
      </c>
    </row>
    <row r="2106" spans="1:24" x14ac:dyDescent="0.15">
      <c r="A2106">
        <v>2105</v>
      </c>
      <c r="B2106" t="s">
        <v>20</v>
      </c>
      <c r="C2106" t="s">
        <v>20</v>
      </c>
      <c r="D2106" t="s">
        <v>21</v>
      </c>
      <c r="E2106">
        <v>7080</v>
      </c>
      <c r="F2106">
        <v>260</v>
      </c>
      <c r="G2106">
        <v>-41</v>
      </c>
      <c r="H2106">
        <v>5</v>
      </c>
      <c r="I2106" t="s">
        <v>20</v>
      </c>
      <c r="J2106">
        <v>0</v>
      </c>
      <c r="K2106">
        <v>0</v>
      </c>
      <c r="L2106">
        <v>0</v>
      </c>
      <c r="M2106">
        <v>0</v>
      </c>
      <c r="N2106">
        <v>0</v>
      </c>
      <c r="O2106">
        <v>0</v>
      </c>
      <c r="P2106">
        <v>0</v>
      </c>
      <c r="Q2106">
        <v>0</v>
      </c>
      <c r="R2106">
        <v>0</v>
      </c>
      <c r="S2106">
        <v>0</v>
      </c>
      <c r="T2106">
        <v>0</v>
      </c>
      <c r="U2106" t="str">
        <f>IF(SeismicData[[#This Row],[class]]=1,"Dangerous","Safe")</f>
        <v>Safe</v>
      </c>
      <c r="V2106" t="str">
        <f>IF(SeismicData[[#This Row],[shift]]="W","Production","Non-Production")</f>
        <v>Non-Production</v>
      </c>
      <c r="W2106" t="str">
        <f>IF(SeismicData[[#This Row],[genergy]]=0,"0","10^"&amp;INT(LOG10(SeismicData[[#This Row],[genergy]])))</f>
        <v>10^3</v>
      </c>
      <c r="X2106" t="str">
        <f>IF(OR(SeismicData[[#This Row],[genergy]]&lt;$AA$6,SeismicData[[#This Row],[genergy]]&gt;$AA$5),"Outlier","Normal")</f>
        <v>Normal</v>
      </c>
    </row>
    <row r="2107" spans="1:24" x14ac:dyDescent="0.15">
      <c r="A2107">
        <v>2106</v>
      </c>
      <c r="B2107" t="s">
        <v>20</v>
      </c>
      <c r="C2107" t="s">
        <v>20</v>
      </c>
      <c r="D2107" t="s">
        <v>21</v>
      </c>
      <c r="E2107">
        <v>9260</v>
      </c>
      <c r="F2107">
        <v>266</v>
      </c>
      <c r="G2107">
        <v>-23</v>
      </c>
      <c r="H2107">
        <v>8</v>
      </c>
      <c r="I2107" t="s">
        <v>20</v>
      </c>
      <c r="J2107">
        <v>0</v>
      </c>
      <c r="K2107">
        <v>0</v>
      </c>
      <c r="L2107">
        <v>0</v>
      </c>
      <c r="M2107">
        <v>0</v>
      </c>
      <c r="N2107">
        <v>0</v>
      </c>
      <c r="O2107">
        <v>0</v>
      </c>
      <c r="P2107">
        <v>0</v>
      </c>
      <c r="Q2107">
        <v>0</v>
      </c>
      <c r="R2107">
        <v>0</v>
      </c>
      <c r="S2107">
        <v>0</v>
      </c>
      <c r="T2107">
        <v>0</v>
      </c>
      <c r="U2107" t="str">
        <f>IF(SeismicData[[#This Row],[class]]=1,"Dangerous","Safe")</f>
        <v>Safe</v>
      </c>
      <c r="V2107" t="str">
        <f>IF(SeismicData[[#This Row],[shift]]="W","Production","Non-Production")</f>
        <v>Non-Production</v>
      </c>
      <c r="W2107" t="str">
        <f>IF(SeismicData[[#This Row],[genergy]]=0,"0","10^"&amp;INT(LOG10(SeismicData[[#This Row],[genergy]])))</f>
        <v>10^3</v>
      </c>
      <c r="X2107" t="str">
        <f>IF(OR(SeismicData[[#This Row],[genergy]]&lt;$AA$6,SeismicData[[#This Row],[genergy]]&gt;$AA$5),"Outlier","Normal")</f>
        <v>Normal</v>
      </c>
    </row>
    <row r="2108" spans="1:24" x14ac:dyDescent="0.15">
      <c r="A2108">
        <v>2107</v>
      </c>
      <c r="B2108" t="s">
        <v>20</v>
      </c>
      <c r="C2108" t="s">
        <v>20</v>
      </c>
      <c r="D2108" t="s">
        <v>21</v>
      </c>
      <c r="E2108">
        <v>12070</v>
      </c>
      <c r="F2108">
        <v>296</v>
      </c>
      <c r="G2108">
        <v>0</v>
      </c>
      <c r="H2108">
        <v>20</v>
      </c>
      <c r="I2108" t="s">
        <v>20</v>
      </c>
      <c r="J2108">
        <v>1</v>
      </c>
      <c r="K2108">
        <v>1</v>
      </c>
      <c r="L2108">
        <v>0</v>
      </c>
      <c r="M2108">
        <v>0</v>
      </c>
      <c r="N2108">
        <v>0</v>
      </c>
      <c r="O2108">
        <v>0</v>
      </c>
      <c r="P2108">
        <v>0</v>
      </c>
      <c r="Q2108">
        <v>0</v>
      </c>
      <c r="R2108">
        <v>100</v>
      </c>
      <c r="S2108">
        <v>100</v>
      </c>
      <c r="T2108">
        <v>0</v>
      </c>
      <c r="U2108" t="str">
        <f>IF(SeismicData[[#This Row],[class]]=1,"Dangerous","Safe")</f>
        <v>Safe</v>
      </c>
      <c r="V2108" t="str">
        <f>IF(SeismicData[[#This Row],[shift]]="W","Production","Non-Production")</f>
        <v>Non-Production</v>
      </c>
      <c r="W2108" t="str">
        <f>IF(SeismicData[[#This Row],[genergy]]=0,"0","10^"&amp;INT(LOG10(SeismicData[[#This Row],[genergy]])))</f>
        <v>10^4</v>
      </c>
      <c r="X2108" t="str">
        <f>IF(OR(SeismicData[[#This Row],[genergy]]&lt;$AA$6,SeismicData[[#This Row],[genergy]]&gt;$AA$5),"Outlier","Normal")</f>
        <v>Normal</v>
      </c>
    </row>
    <row r="2109" spans="1:24" x14ac:dyDescent="0.15">
      <c r="A2109">
        <v>2108</v>
      </c>
      <c r="B2109" t="s">
        <v>20</v>
      </c>
      <c r="C2109" t="s">
        <v>20</v>
      </c>
      <c r="D2109" t="s">
        <v>21</v>
      </c>
      <c r="E2109">
        <v>8440</v>
      </c>
      <c r="F2109">
        <v>261</v>
      </c>
      <c r="G2109">
        <v>-30</v>
      </c>
      <c r="H2109">
        <v>6</v>
      </c>
      <c r="I2109" t="s">
        <v>20</v>
      </c>
      <c r="J2109">
        <v>0</v>
      </c>
      <c r="K2109">
        <v>0</v>
      </c>
      <c r="L2109">
        <v>0</v>
      </c>
      <c r="M2109">
        <v>0</v>
      </c>
      <c r="N2109">
        <v>0</v>
      </c>
      <c r="O2109">
        <v>0</v>
      </c>
      <c r="P2109">
        <v>0</v>
      </c>
      <c r="Q2109">
        <v>0</v>
      </c>
      <c r="R2109">
        <v>0</v>
      </c>
      <c r="S2109">
        <v>0</v>
      </c>
      <c r="T2109">
        <v>0</v>
      </c>
      <c r="U2109" t="str">
        <f>IF(SeismicData[[#This Row],[class]]=1,"Dangerous","Safe")</f>
        <v>Safe</v>
      </c>
      <c r="V2109" t="str">
        <f>IF(SeismicData[[#This Row],[shift]]="W","Production","Non-Production")</f>
        <v>Non-Production</v>
      </c>
      <c r="W2109" t="str">
        <f>IF(SeismicData[[#This Row],[genergy]]=0,"0","10^"&amp;INT(LOG10(SeismicData[[#This Row],[genergy]])))</f>
        <v>10^3</v>
      </c>
      <c r="X2109" t="str">
        <f>IF(OR(SeismicData[[#This Row],[genergy]]&lt;$AA$6,SeismicData[[#This Row],[genergy]]&gt;$AA$5),"Outlier","Normal")</f>
        <v>Normal</v>
      </c>
    </row>
    <row r="2110" spans="1:24" x14ac:dyDescent="0.15">
      <c r="A2110">
        <v>2109</v>
      </c>
      <c r="B2110" t="s">
        <v>20</v>
      </c>
      <c r="C2110" t="s">
        <v>20</v>
      </c>
      <c r="D2110" t="s">
        <v>21</v>
      </c>
      <c r="E2110">
        <v>6880</v>
      </c>
      <c r="F2110">
        <v>250</v>
      </c>
      <c r="G2110">
        <v>-43</v>
      </c>
      <c r="H2110">
        <v>1</v>
      </c>
      <c r="I2110" t="s">
        <v>20</v>
      </c>
      <c r="J2110">
        <v>0</v>
      </c>
      <c r="K2110">
        <v>0</v>
      </c>
      <c r="L2110">
        <v>0</v>
      </c>
      <c r="M2110">
        <v>0</v>
      </c>
      <c r="N2110">
        <v>0</v>
      </c>
      <c r="O2110">
        <v>0</v>
      </c>
      <c r="P2110">
        <v>0</v>
      </c>
      <c r="Q2110">
        <v>0</v>
      </c>
      <c r="R2110">
        <v>0</v>
      </c>
      <c r="S2110">
        <v>0</v>
      </c>
      <c r="T2110">
        <v>0</v>
      </c>
      <c r="U2110" t="str">
        <f>IF(SeismicData[[#This Row],[class]]=1,"Dangerous","Safe")</f>
        <v>Safe</v>
      </c>
      <c r="V2110" t="str">
        <f>IF(SeismicData[[#This Row],[shift]]="W","Production","Non-Production")</f>
        <v>Non-Production</v>
      </c>
      <c r="W2110" t="str">
        <f>IF(SeismicData[[#This Row],[genergy]]=0,"0","10^"&amp;INT(LOG10(SeismicData[[#This Row],[genergy]])))</f>
        <v>10^3</v>
      </c>
      <c r="X2110" t="str">
        <f>IF(OR(SeismicData[[#This Row],[genergy]]&lt;$AA$6,SeismicData[[#This Row],[genergy]]&gt;$AA$5),"Outlier","Normal")</f>
        <v>Normal</v>
      </c>
    </row>
    <row r="2111" spans="1:24" x14ac:dyDescent="0.15">
      <c r="A2111">
        <v>2110</v>
      </c>
      <c r="B2111" t="s">
        <v>20</v>
      </c>
      <c r="C2111" t="s">
        <v>20</v>
      </c>
      <c r="D2111" t="s">
        <v>21</v>
      </c>
      <c r="E2111">
        <v>15870</v>
      </c>
      <c r="F2111">
        <v>312</v>
      </c>
      <c r="G2111">
        <v>31</v>
      </c>
      <c r="H2111">
        <v>26</v>
      </c>
      <c r="I2111" t="s">
        <v>20</v>
      </c>
      <c r="J2111">
        <v>1</v>
      </c>
      <c r="K2111">
        <v>0</v>
      </c>
      <c r="L2111">
        <v>1</v>
      </c>
      <c r="M2111">
        <v>0</v>
      </c>
      <c r="N2111">
        <v>0</v>
      </c>
      <c r="O2111">
        <v>0</v>
      </c>
      <c r="P2111">
        <v>0</v>
      </c>
      <c r="Q2111">
        <v>0</v>
      </c>
      <c r="R2111">
        <v>4000</v>
      </c>
      <c r="S2111">
        <v>4000</v>
      </c>
      <c r="T2111">
        <v>0</v>
      </c>
      <c r="U2111" t="str">
        <f>IF(SeismicData[[#This Row],[class]]=1,"Dangerous","Safe")</f>
        <v>Safe</v>
      </c>
      <c r="V2111" t="str">
        <f>IF(SeismicData[[#This Row],[shift]]="W","Production","Non-Production")</f>
        <v>Non-Production</v>
      </c>
      <c r="W2111" t="str">
        <f>IF(SeismicData[[#This Row],[genergy]]=0,"0","10^"&amp;INT(LOG10(SeismicData[[#This Row],[genergy]])))</f>
        <v>10^4</v>
      </c>
      <c r="X2111" t="str">
        <f>IF(OR(SeismicData[[#This Row],[genergy]]&lt;$AA$6,SeismicData[[#This Row],[genergy]]&gt;$AA$5),"Outlier","Normal")</f>
        <v>Normal</v>
      </c>
    </row>
    <row r="2112" spans="1:24" x14ac:dyDescent="0.15">
      <c r="A2112">
        <v>2111</v>
      </c>
      <c r="B2112" t="s">
        <v>20</v>
      </c>
      <c r="C2112" t="s">
        <v>20</v>
      </c>
      <c r="D2112" t="s">
        <v>21</v>
      </c>
      <c r="E2112">
        <v>12400</v>
      </c>
      <c r="F2112">
        <v>313</v>
      </c>
      <c r="G2112">
        <v>9</v>
      </c>
      <c r="H2112">
        <v>28</v>
      </c>
      <c r="I2112" t="s">
        <v>20</v>
      </c>
      <c r="J2112">
        <v>0</v>
      </c>
      <c r="K2112">
        <v>0</v>
      </c>
      <c r="L2112">
        <v>0</v>
      </c>
      <c r="M2112">
        <v>0</v>
      </c>
      <c r="N2112">
        <v>0</v>
      </c>
      <c r="O2112">
        <v>0</v>
      </c>
      <c r="P2112">
        <v>0</v>
      </c>
      <c r="Q2112">
        <v>0</v>
      </c>
      <c r="R2112">
        <v>0</v>
      </c>
      <c r="S2112">
        <v>0</v>
      </c>
      <c r="T2112">
        <v>0</v>
      </c>
      <c r="U2112" t="str">
        <f>IF(SeismicData[[#This Row],[class]]=1,"Dangerous","Safe")</f>
        <v>Safe</v>
      </c>
      <c r="V2112" t="str">
        <f>IF(SeismicData[[#This Row],[shift]]="W","Production","Non-Production")</f>
        <v>Non-Production</v>
      </c>
      <c r="W2112" t="str">
        <f>IF(SeismicData[[#This Row],[genergy]]=0,"0","10^"&amp;INT(LOG10(SeismicData[[#This Row],[genergy]])))</f>
        <v>10^4</v>
      </c>
      <c r="X2112" t="str">
        <f>IF(OR(SeismicData[[#This Row],[genergy]]&lt;$AA$6,SeismicData[[#This Row],[genergy]]&gt;$AA$5),"Outlier","Normal")</f>
        <v>Normal</v>
      </c>
    </row>
    <row r="2113" spans="1:24" x14ac:dyDescent="0.15">
      <c r="A2113">
        <v>2112</v>
      </c>
      <c r="B2113" t="s">
        <v>20</v>
      </c>
      <c r="C2113" t="s">
        <v>20</v>
      </c>
      <c r="D2113" t="s">
        <v>21</v>
      </c>
      <c r="E2113">
        <v>6160</v>
      </c>
      <c r="F2113">
        <v>258</v>
      </c>
      <c r="G2113">
        <v>-46</v>
      </c>
      <c r="H2113">
        <v>6</v>
      </c>
      <c r="I2113" t="s">
        <v>20</v>
      </c>
      <c r="J2113">
        <v>0</v>
      </c>
      <c r="K2113">
        <v>0</v>
      </c>
      <c r="L2113">
        <v>0</v>
      </c>
      <c r="M2113">
        <v>0</v>
      </c>
      <c r="N2113">
        <v>0</v>
      </c>
      <c r="O2113">
        <v>0</v>
      </c>
      <c r="P2113">
        <v>0</v>
      </c>
      <c r="Q2113">
        <v>0</v>
      </c>
      <c r="R2113">
        <v>0</v>
      </c>
      <c r="S2113">
        <v>0</v>
      </c>
      <c r="T2113">
        <v>0</v>
      </c>
      <c r="U2113" t="str">
        <f>IF(SeismicData[[#This Row],[class]]=1,"Dangerous","Safe")</f>
        <v>Safe</v>
      </c>
      <c r="V2113" t="str">
        <f>IF(SeismicData[[#This Row],[shift]]="W","Production","Non-Production")</f>
        <v>Non-Production</v>
      </c>
      <c r="W2113" t="str">
        <f>IF(SeismicData[[#This Row],[genergy]]=0,"0","10^"&amp;INT(LOG10(SeismicData[[#This Row],[genergy]])))</f>
        <v>10^3</v>
      </c>
      <c r="X2113" t="str">
        <f>IF(OR(SeismicData[[#This Row],[genergy]]&lt;$AA$6,SeismicData[[#This Row],[genergy]]&gt;$AA$5),"Outlier","Normal")</f>
        <v>Normal</v>
      </c>
    </row>
    <row r="2114" spans="1:24" x14ac:dyDescent="0.15">
      <c r="A2114">
        <v>2113</v>
      </c>
      <c r="B2114" t="s">
        <v>20</v>
      </c>
      <c r="C2114" t="s">
        <v>20</v>
      </c>
      <c r="D2114" t="s">
        <v>21</v>
      </c>
      <c r="E2114">
        <v>22470</v>
      </c>
      <c r="F2114">
        <v>307</v>
      </c>
      <c r="G2114">
        <v>98</v>
      </c>
      <c r="H2114">
        <v>26</v>
      </c>
      <c r="I2114" t="s">
        <v>20</v>
      </c>
      <c r="J2114">
        <v>1</v>
      </c>
      <c r="K2114">
        <v>1</v>
      </c>
      <c r="L2114">
        <v>0</v>
      </c>
      <c r="M2114">
        <v>0</v>
      </c>
      <c r="N2114">
        <v>0</v>
      </c>
      <c r="O2114">
        <v>0</v>
      </c>
      <c r="P2114">
        <v>0</v>
      </c>
      <c r="Q2114">
        <v>0</v>
      </c>
      <c r="R2114">
        <v>300</v>
      </c>
      <c r="S2114">
        <v>300</v>
      </c>
      <c r="T2114">
        <v>0</v>
      </c>
      <c r="U2114" t="str">
        <f>IF(SeismicData[[#This Row],[class]]=1,"Dangerous","Safe")</f>
        <v>Safe</v>
      </c>
      <c r="V2114" t="str">
        <f>IF(SeismicData[[#This Row],[shift]]="W","Production","Non-Production")</f>
        <v>Non-Production</v>
      </c>
      <c r="W2114" t="str">
        <f>IF(SeismicData[[#This Row],[genergy]]=0,"0","10^"&amp;INT(LOG10(SeismicData[[#This Row],[genergy]])))</f>
        <v>10^4</v>
      </c>
      <c r="X2114" t="str">
        <f>IF(OR(SeismicData[[#This Row],[genergy]]&lt;$AA$6,SeismicData[[#This Row],[genergy]]&gt;$AA$5),"Outlier","Normal")</f>
        <v>Normal</v>
      </c>
    </row>
    <row r="2115" spans="1:24" x14ac:dyDescent="0.15">
      <c r="A2115">
        <v>2114</v>
      </c>
      <c r="B2115" t="s">
        <v>20</v>
      </c>
      <c r="C2115" t="s">
        <v>20</v>
      </c>
      <c r="D2115" t="s">
        <v>21</v>
      </c>
      <c r="E2115">
        <v>8180</v>
      </c>
      <c r="F2115">
        <v>273</v>
      </c>
      <c r="G2115">
        <v>-28</v>
      </c>
      <c r="H2115">
        <v>12</v>
      </c>
      <c r="I2115" t="s">
        <v>20</v>
      </c>
      <c r="J2115">
        <v>0</v>
      </c>
      <c r="K2115">
        <v>0</v>
      </c>
      <c r="L2115">
        <v>0</v>
      </c>
      <c r="M2115">
        <v>0</v>
      </c>
      <c r="N2115">
        <v>0</v>
      </c>
      <c r="O2115">
        <v>0</v>
      </c>
      <c r="P2115">
        <v>0</v>
      </c>
      <c r="Q2115">
        <v>0</v>
      </c>
      <c r="R2115">
        <v>0</v>
      </c>
      <c r="S2115">
        <v>0</v>
      </c>
      <c r="T2115">
        <v>0</v>
      </c>
      <c r="U2115" t="str">
        <f>IF(SeismicData[[#This Row],[class]]=1,"Dangerous","Safe")</f>
        <v>Safe</v>
      </c>
      <c r="V2115" t="str">
        <f>IF(SeismicData[[#This Row],[shift]]="W","Production","Non-Production")</f>
        <v>Non-Production</v>
      </c>
      <c r="W2115" t="str">
        <f>IF(SeismicData[[#This Row],[genergy]]=0,"0","10^"&amp;INT(LOG10(SeismicData[[#This Row],[genergy]])))</f>
        <v>10^3</v>
      </c>
      <c r="X2115" t="str">
        <f>IF(OR(SeismicData[[#This Row],[genergy]]&lt;$AA$6,SeismicData[[#This Row],[genergy]]&gt;$AA$5),"Outlier","Normal")</f>
        <v>Normal</v>
      </c>
    </row>
    <row r="2116" spans="1:24" x14ac:dyDescent="0.15">
      <c r="A2116">
        <v>2115</v>
      </c>
      <c r="B2116" t="s">
        <v>20</v>
      </c>
      <c r="C2116" t="s">
        <v>20</v>
      </c>
      <c r="D2116" t="s">
        <v>21</v>
      </c>
      <c r="E2116">
        <v>10730</v>
      </c>
      <c r="F2116">
        <v>205</v>
      </c>
      <c r="G2116">
        <v>-5</v>
      </c>
      <c r="H2116">
        <v>-16</v>
      </c>
      <c r="I2116" t="s">
        <v>20</v>
      </c>
      <c r="J2116">
        <v>0</v>
      </c>
      <c r="K2116">
        <v>0</v>
      </c>
      <c r="L2116">
        <v>0</v>
      </c>
      <c r="M2116">
        <v>0</v>
      </c>
      <c r="N2116">
        <v>0</v>
      </c>
      <c r="O2116">
        <v>0</v>
      </c>
      <c r="P2116">
        <v>0</v>
      </c>
      <c r="Q2116">
        <v>0</v>
      </c>
      <c r="R2116">
        <v>0</v>
      </c>
      <c r="S2116">
        <v>0</v>
      </c>
      <c r="T2116">
        <v>0</v>
      </c>
      <c r="U2116" t="str">
        <f>IF(SeismicData[[#This Row],[class]]=1,"Dangerous","Safe")</f>
        <v>Safe</v>
      </c>
      <c r="V2116" t="str">
        <f>IF(SeismicData[[#This Row],[shift]]="W","Production","Non-Production")</f>
        <v>Non-Production</v>
      </c>
      <c r="W2116" t="str">
        <f>IF(SeismicData[[#This Row],[genergy]]=0,"0","10^"&amp;INT(LOG10(SeismicData[[#This Row],[genergy]])))</f>
        <v>10^4</v>
      </c>
      <c r="X2116" t="str">
        <f>IF(OR(SeismicData[[#This Row],[genergy]]&lt;$AA$6,SeismicData[[#This Row],[genergy]]&gt;$AA$5),"Outlier","Normal")</f>
        <v>Normal</v>
      </c>
    </row>
    <row r="2117" spans="1:24" x14ac:dyDescent="0.15">
      <c r="A2117">
        <v>2116</v>
      </c>
      <c r="B2117" t="s">
        <v>20</v>
      </c>
      <c r="C2117" t="s">
        <v>20</v>
      </c>
      <c r="D2117" t="s">
        <v>21</v>
      </c>
      <c r="E2117">
        <v>7090</v>
      </c>
      <c r="F2117">
        <v>220</v>
      </c>
      <c r="G2117">
        <v>-38</v>
      </c>
      <c r="H2117">
        <v>-10</v>
      </c>
      <c r="I2117" t="s">
        <v>20</v>
      </c>
      <c r="J2117">
        <v>0</v>
      </c>
      <c r="K2117">
        <v>0</v>
      </c>
      <c r="L2117">
        <v>0</v>
      </c>
      <c r="M2117">
        <v>0</v>
      </c>
      <c r="N2117">
        <v>0</v>
      </c>
      <c r="O2117">
        <v>0</v>
      </c>
      <c r="P2117">
        <v>0</v>
      </c>
      <c r="Q2117">
        <v>0</v>
      </c>
      <c r="R2117">
        <v>0</v>
      </c>
      <c r="S2117">
        <v>0</v>
      </c>
      <c r="T2117">
        <v>0</v>
      </c>
      <c r="U2117" t="str">
        <f>IF(SeismicData[[#This Row],[class]]=1,"Dangerous","Safe")</f>
        <v>Safe</v>
      </c>
      <c r="V2117" t="str">
        <f>IF(SeismicData[[#This Row],[shift]]="W","Production","Non-Production")</f>
        <v>Non-Production</v>
      </c>
      <c r="W2117" t="str">
        <f>IF(SeismicData[[#This Row],[genergy]]=0,"0","10^"&amp;INT(LOG10(SeismicData[[#This Row],[genergy]])))</f>
        <v>10^3</v>
      </c>
      <c r="X2117" t="str">
        <f>IF(OR(SeismicData[[#This Row],[genergy]]&lt;$AA$6,SeismicData[[#This Row],[genergy]]&gt;$AA$5),"Outlier","Normal")</f>
        <v>Normal</v>
      </c>
    </row>
    <row r="2118" spans="1:24" x14ac:dyDescent="0.15">
      <c r="A2118">
        <v>2117</v>
      </c>
      <c r="B2118" t="s">
        <v>20</v>
      </c>
      <c r="C2118" t="s">
        <v>20</v>
      </c>
      <c r="D2118" t="s">
        <v>21</v>
      </c>
      <c r="E2118">
        <v>10720</v>
      </c>
      <c r="F2118">
        <v>271</v>
      </c>
      <c r="G2118">
        <v>-5</v>
      </c>
      <c r="H2118">
        <v>11</v>
      </c>
      <c r="I2118" t="s">
        <v>20</v>
      </c>
      <c r="J2118">
        <v>1</v>
      </c>
      <c r="K2118">
        <v>1</v>
      </c>
      <c r="L2118">
        <v>0</v>
      </c>
      <c r="M2118">
        <v>0</v>
      </c>
      <c r="N2118">
        <v>0</v>
      </c>
      <c r="O2118">
        <v>0</v>
      </c>
      <c r="P2118">
        <v>0</v>
      </c>
      <c r="Q2118">
        <v>0</v>
      </c>
      <c r="R2118">
        <v>300</v>
      </c>
      <c r="S2118">
        <v>300</v>
      </c>
      <c r="T2118">
        <v>0</v>
      </c>
      <c r="U2118" t="str">
        <f>IF(SeismicData[[#This Row],[class]]=1,"Dangerous","Safe")</f>
        <v>Safe</v>
      </c>
      <c r="V2118" t="str">
        <f>IF(SeismicData[[#This Row],[shift]]="W","Production","Non-Production")</f>
        <v>Non-Production</v>
      </c>
      <c r="W2118" t="str">
        <f>IF(SeismicData[[#This Row],[genergy]]=0,"0","10^"&amp;INT(LOG10(SeismicData[[#This Row],[genergy]])))</f>
        <v>10^4</v>
      </c>
      <c r="X2118" t="str">
        <f>IF(OR(SeismicData[[#This Row],[genergy]]&lt;$AA$6,SeismicData[[#This Row],[genergy]]&gt;$AA$5),"Outlier","Normal")</f>
        <v>Normal</v>
      </c>
    </row>
    <row r="2119" spans="1:24" x14ac:dyDescent="0.15">
      <c r="A2119">
        <v>2118</v>
      </c>
      <c r="B2119" t="s">
        <v>20</v>
      </c>
      <c r="C2119" t="s">
        <v>20</v>
      </c>
      <c r="D2119" t="s">
        <v>21</v>
      </c>
      <c r="E2119">
        <v>7660</v>
      </c>
      <c r="F2119">
        <v>221</v>
      </c>
      <c r="G2119">
        <v>-32</v>
      </c>
      <c r="H2119">
        <v>-9</v>
      </c>
      <c r="I2119" t="s">
        <v>20</v>
      </c>
      <c r="J2119">
        <v>0</v>
      </c>
      <c r="K2119">
        <v>0</v>
      </c>
      <c r="L2119">
        <v>0</v>
      </c>
      <c r="M2119">
        <v>0</v>
      </c>
      <c r="N2119">
        <v>0</v>
      </c>
      <c r="O2119">
        <v>0</v>
      </c>
      <c r="P2119">
        <v>0</v>
      </c>
      <c r="Q2119">
        <v>0</v>
      </c>
      <c r="R2119">
        <v>0</v>
      </c>
      <c r="S2119">
        <v>0</v>
      </c>
      <c r="T2119">
        <v>0</v>
      </c>
      <c r="U2119" t="str">
        <f>IF(SeismicData[[#This Row],[class]]=1,"Dangerous","Safe")</f>
        <v>Safe</v>
      </c>
      <c r="V2119" t="str">
        <f>IF(SeismicData[[#This Row],[shift]]="W","Production","Non-Production")</f>
        <v>Non-Production</v>
      </c>
      <c r="W2119" t="str">
        <f>IF(SeismicData[[#This Row],[genergy]]=0,"0","10^"&amp;INT(LOG10(SeismicData[[#This Row],[genergy]])))</f>
        <v>10^3</v>
      </c>
      <c r="X2119" t="str">
        <f>IF(OR(SeismicData[[#This Row],[genergy]]&lt;$AA$6,SeismicData[[#This Row],[genergy]]&gt;$AA$5),"Outlier","Normal")</f>
        <v>Normal</v>
      </c>
    </row>
    <row r="2120" spans="1:24" x14ac:dyDescent="0.15">
      <c r="A2120">
        <v>2119</v>
      </c>
      <c r="B2120" t="s">
        <v>20</v>
      </c>
      <c r="C2120" t="s">
        <v>20</v>
      </c>
      <c r="D2120" t="s">
        <v>21</v>
      </c>
      <c r="E2120">
        <v>7360</v>
      </c>
      <c r="F2120">
        <v>213</v>
      </c>
      <c r="G2120">
        <v>-4</v>
      </c>
      <c r="H2120">
        <v>-10</v>
      </c>
      <c r="I2120" t="s">
        <v>20</v>
      </c>
      <c r="J2120">
        <v>0</v>
      </c>
      <c r="K2120">
        <v>0</v>
      </c>
      <c r="L2120">
        <v>0</v>
      </c>
      <c r="M2120">
        <v>0</v>
      </c>
      <c r="N2120">
        <v>0</v>
      </c>
      <c r="O2120">
        <v>0</v>
      </c>
      <c r="P2120">
        <v>0</v>
      </c>
      <c r="Q2120">
        <v>0</v>
      </c>
      <c r="R2120">
        <v>0</v>
      </c>
      <c r="S2120">
        <v>0</v>
      </c>
      <c r="T2120">
        <v>0</v>
      </c>
      <c r="U2120" t="str">
        <f>IF(SeismicData[[#This Row],[class]]=1,"Dangerous","Safe")</f>
        <v>Safe</v>
      </c>
      <c r="V2120" t="str">
        <f>IF(SeismicData[[#This Row],[shift]]="W","Production","Non-Production")</f>
        <v>Non-Production</v>
      </c>
      <c r="W2120" t="str">
        <f>IF(SeismicData[[#This Row],[genergy]]=0,"0","10^"&amp;INT(LOG10(SeismicData[[#This Row],[genergy]])))</f>
        <v>10^3</v>
      </c>
      <c r="X2120" t="str">
        <f>IF(OR(SeismicData[[#This Row],[genergy]]&lt;$AA$6,SeismicData[[#This Row],[genergy]]&gt;$AA$5),"Outlier","Normal")</f>
        <v>Normal</v>
      </c>
    </row>
    <row r="2121" spans="1:24" x14ac:dyDescent="0.15">
      <c r="A2121">
        <v>2120</v>
      </c>
      <c r="B2121" t="s">
        <v>20</v>
      </c>
      <c r="C2121" t="s">
        <v>20</v>
      </c>
      <c r="D2121" t="s">
        <v>21</v>
      </c>
      <c r="E2121">
        <v>8320</v>
      </c>
      <c r="F2121">
        <v>213</v>
      </c>
      <c r="G2121">
        <v>9</v>
      </c>
      <c r="H2121">
        <v>-10</v>
      </c>
      <c r="I2121" t="s">
        <v>20</v>
      </c>
      <c r="J2121">
        <v>0</v>
      </c>
      <c r="K2121">
        <v>0</v>
      </c>
      <c r="L2121">
        <v>0</v>
      </c>
      <c r="M2121">
        <v>0</v>
      </c>
      <c r="N2121">
        <v>0</v>
      </c>
      <c r="O2121">
        <v>0</v>
      </c>
      <c r="P2121">
        <v>0</v>
      </c>
      <c r="Q2121">
        <v>0</v>
      </c>
      <c r="R2121">
        <v>0</v>
      </c>
      <c r="S2121">
        <v>0</v>
      </c>
      <c r="T2121">
        <v>0</v>
      </c>
      <c r="U2121" t="str">
        <f>IF(SeismicData[[#This Row],[class]]=1,"Dangerous","Safe")</f>
        <v>Safe</v>
      </c>
      <c r="V2121" t="str">
        <f>IF(SeismicData[[#This Row],[shift]]="W","Production","Non-Production")</f>
        <v>Non-Production</v>
      </c>
      <c r="W2121" t="str">
        <f>IF(SeismicData[[#This Row],[genergy]]=0,"0","10^"&amp;INT(LOG10(SeismicData[[#This Row],[genergy]])))</f>
        <v>10^3</v>
      </c>
      <c r="X2121" t="str">
        <f>IF(OR(SeismicData[[#This Row],[genergy]]&lt;$AA$6,SeismicData[[#This Row],[genergy]]&gt;$AA$5),"Outlier","Normal")</f>
        <v>Normal</v>
      </c>
    </row>
    <row r="2122" spans="1:24" x14ac:dyDescent="0.15">
      <c r="A2122">
        <v>2121</v>
      </c>
      <c r="B2122" t="s">
        <v>20</v>
      </c>
      <c r="C2122" t="s">
        <v>20</v>
      </c>
      <c r="D2122" t="s">
        <v>21</v>
      </c>
      <c r="E2122">
        <v>7160</v>
      </c>
      <c r="F2122">
        <v>228</v>
      </c>
      <c r="G2122">
        <v>-6</v>
      </c>
      <c r="H2122">
        <v>-4</v>
      </c>
      <c r="I2122" t="s">
        <v>20</v>
      </c>
      <c r="J2122">
        <v>0</v>
      </c>
      <c r="K2122">
        <v>0</v>
      </c>
      <c r="L2122">
        <v>0</v>
      </c>
      <c r="M2122">
        <v>0</v>
      </c>
      <c r="N2122">
        <v>0</v>
      </c>
      <c r="O2122">
        <v>0</v>
      </c>
      <c r="P2122">
        <v>0</v>
      </c>
      <c r="Q2122">
        <v>0</v>
      </c>
      <c r="R2122">
        <v>0</v>
      </c>
      <c r="S2122">
        <v>0</v>
      </c>
      <c r="T2122">
        <v>0</v>
      </c>
      <c r="U2122" t="str">
        <f>IF(SeismicData[[#This Row],[class]]=1,"Dangerous","Safe")</f>
        <v>Safe</v>
      </c>
      <c r="V2122" t="str">
        <f>IF(SeismicData[[#This Row],[shift]]="W","Production","Non-Production")</f>
        <v>Non-Production</v>
      </c>
      <c r="W2122" t="str">
        <f>IF(SeismicData[[#This Row],[genergy]]=0,"0","10^"&amp;INT(LOG10(SeismicData[[#This Row],[genergy]])))</f>
        <v>10^3</v>
      </c>
      <c r="X2122" t="str">
        <f>IF(OR(SeismicData[[#This Row],[genergy]]&lt;$AA$6,SeismicData[[#This Row],[genergy]]&gt;$AA$5),"Outlier","Normal")</f>
        <v>Normal</v>
      </c>
    </row>
    <row r="2123" spans="1:24" x14ac:dyDescent="0.15">
      <c r="A2123">
        <v>2122</v>
      </c>
      <c r="B2123" t="s">
        <v>20</v>
      </c>
      <c r="C2123" t="s">
        <v>20</v>
      </c>
      <c r="D2123" t="s">
        <v>22</v>
      </c>
      <c r="E2123">
        <v>13990</v>
      </c>
      <c r="F2123">
        <v>307</v>
      </c>
      <c r="G2123">
        <v>-58</v>
      </c>
      <c r="H2123">
        <v>-43</v>
      </c>
      <c r="I2123" t="s">
        <v>20</v>
      </c>
      <c r="J2123">
        <v>0</v>
      </c>
      <c r="K2123">
        <v>0</v>
      </c>
      <c r="L2123">
        <v>0</v>
      </c>
      <c r="M2123">
        <v>0</v>
      </c>
      <c r="N2123">
        <v>0</v>
      </c>
      <c r="O2123">
        <v>0</v>
      </c>
      <c r="P2123">
        <v>0</v>
      </c>
      <c r="Q2123">
        <v>0</v>
      </c>
      <c r="R2123">
        <v>0</v>
      </c>
      <c r="S2123">
        <v>0</v>
      </c>
      <c r="T2123">
        <v>0</v>
      </c>
      <c r="U2123" t="str">
        <f>IF(SeismicData[[#This Row],[class]]=1,"Dangerous","Safe")</f>
        <v>Safe</v>
      </c>
      <c r="V2123" t="str">
        <f>IF(SeismicData[[#This Row],[shift]]="W","Production","Non-Production")</f>
        <v>Production</v>
      </c>
      <c r="W2123" t="str">
        <f>IF(SeismicData[[#This Row],[genergy]]=0,"0","10^"&amp;INT(LOG10(SeismicData[[#This Row],[genergy]])))</f>
        <v>10^4</v>
      </c>
      <c r="X2123" t="str">
        <f>IF(OR(SeismicData[[#This Row],[genergy]]&lt;$AA$6,SeismicData[[#This Row],[genergy]]&gt;$AA$5),"Outlier","Normal")</f>
        <v>Normal</v>
      </c>
    </row>
    <row r="2124" spans="1:24" x14ac:dyDescent="0.15">
      <c r="A2124">
        <v>2123</v>
      </c>
      <c r="B2124" t="s">
        <v>20</v>
      </c>
      <c r="C2124" t="s">
        <v>20</v>
      </c>
      <c r="D2124" t="s">
        <v>22</v>
      </c>
      <c r="E2124">
        <v>14650</v>
      </c>
      <c r="F2124">
        <v>325</v>
      </c>
      <c r="G2124">
        <v>-56</v>
      </c>
      <c r="H2124">
        <v>-40</v>
      </c>
      <c r="I2124" t="s">
        <v>20</v>
      </c>
      <c r="J2124">
        <v>1</v>
      </c>
      <c r="K2124">
        <v>1</v>
      </c>
      <c r="L2124">
        <v>0</v>
      </c>
      <c r="M2124">
        <v>0</v>
      </c>
      <c r="N2124">
        <v>0</v>
      </c>
      <c r="O2124">
        <v>0</v>
      </c>
      <c r="P2124">
        <v>0</v>
      </c>
      <c r="Q2124">
        <v>0</v>
      </c>
      <c r="R2124">
        <v>300</v>
      </c>
      <c r="S2124">
        <v>300</v>
      </c>
      <c r="T2124">
        <v>0</v>
      </c>
      <c r="U2124" t="str">
        <f>IF(SeismicData[[#This Row],[class]]=1,"Dangerous","Safe")</f>
        <v>Safe</v>
      </c>
      <c r="V2124" t="str">
        <f>IF(SeismicData[[#This Row],[shift]]="W","Production","Non-Production")</f>
        <v>Production</v>
      </c>
      <c r="W2124" t="str">
        <f>IF(SeismicData[[#This Row],[genergy]]=0,"0","10^"&amp;INT(LOG10(SeismicData[[#This Row],[genergy]])))</f>
        <v>10^4</v>
      </c>
      <c r="X2124" t="str">
        <f>IF(OR(SeismicData[[#This Row],[genergy]]&lt;$AA$6,SeismicData[[#This Row],[genergy]]&gt;$AA$5),"Outlier","Normal")</f>
        <v>Normal</v>
      </c>
    </row>
    <row r="2125" spans="1:24" x14ac:dyDescent="0.15">
      <c r="A2125">
        <v>2124</v>
      </c>
      <c r="B2125" t="s">
        <v>20</v>
      </c>
      <c r="C2125" t="s">
        <v>20</v>
      </c>
      <c r="D2125" t="s">
        <v>22</v>
      </c>
      <c r="E2125">
        <v>30000</v>
      </c>
      <c r="F2125">
        <v>631</v>
      </c>
      <c r="G2125">
        <v>-9</v>
      </c>
      <c r="H2125">
        <v>17</v>
      </c>
      <c r="I2125" t="s">
        <v>20</v>
      </c>
      <c r="J2125">
        <v>2</v>
      </c>
      <c r="K2125">
        <v>1</v>
      </c>
      <c r="L2125">
        <v>1</v>
      </c>
      <c r="M2125">
        <v>0</v>
      </c>
      <c r="N2125">
        <v>0</v>
      </c>
      <c r="O2125">
        <v>0</v>
      </c>
      <c r="P2125">
        <v>0</v>
      </c>
      <c r="Q2125">
        <v>0</v>
      </c>
      <c r="R2125">
        <v>8300</v>
      </c>
      <c r="S2125">
        <v>8000</v>
      </c>
      <c r="T2125">
        <v>0</v>
      </c>
      <c r="U2125" t="str">
        <f>IF(SeismicData[[#This Row],[class]]=1,"Dangerous","Safe")</f>
        <v>Safe</v>
      </c>
      <c r="V2125" t="str">
        <f>IF(SeismicData[[#This Row],[shift]]="W","Production","Non-Production")</f>
        <v>Production</v>
      </c>
      <c r="W2125" t="str">
        <f>IF(SeismicData[[#This Row],[genergy]]=0,"0","10^"&amp;INT(LOG10(SeismicData[[#This Row],[genergy]])))</f>
        <v>10^4</v>
      </c>
      <c r="X2125" t="str">
        <f>IF(OR(SeismicData[[#This Row],[genergy]]&lt;$AA$6,SeismicData[[#This Row],[genergy]]&gt;$AA$5),"Outlier","Normal")</f>
        <v>Normal</v>
      </c>
    </row>
    <row r="2126" spans="1:24" x14ac:dyDescent="0.15">
      <c r="A2126">
        <v>2125</v>
      </c>
      <c r="B2126" t="s">
        <v>20</v>
      </c>
      <c r="C2126" t="s">
        <v>20</v>
      </c>
      <c r="D2126" t="s">
        <v>22</v>
      </c>
      <c r="E2126">
        <v>29690</v>
      </c>
      <c r="F2126">
        <v>636</v>
      </c>
      <c r="G2126">
        <v>-10</v>
      </c>
      <c r="H2126">
        <v>18</v>
      </c>
      <c r="I2126" t="s">
        <v>20</v>
      </c>
      <c r="J2126">
        <v>1</v>
      </c>
      <c r="K2126">
        <v>1</v>
      </c>
      <c r="L2126">
        <v>0</v>
      </c>
      <c r="M2126">
        <v>0</v>
      </c>
      <c r="N2126">
        <v>0</v>
      </c>
      <c r="O2126">
        <v>0</v>
      </c>
      <c r="P2126">
        <v>0</v>
      </c>
      <c r="Q2126">
        <v>0</v>
      </c>
      <c r="R2126">
        <v>800</v>
      </c>
      <c r="S2126">
        <v>800</v>
      </c>
      <c r="T2126">
        <v>0</v>
      </c>
      <c r="U2126" t="str">
        <f>IF(SeismicData[[#This Row],[class]]=1,"Dangerous","Safe")</f>
        <v>Safe</v>
      </c>
      <c r="V2126" t="str">
        <f>IF(SeismicData[[#This Row],[shift]]="W","Production","Non-Production")</f>
        <v>Production</v>
      </c>
      <c r="W2126" t="str">
        <f>IF(SeismicData[[#This Row],[genergy]]=0,"0","10^"&amp;INT(LOG10(SeismicData[[#This Row],[genergy]])))</f>
        <v>10^4</v>
      </c>
      <c r="X2126" t="str">
        <f>IF(OR(SeismicData[[#This Row],[genergy]]&lt;$AA$6,SeismicData[[#This Row],[genergy]]&gt;$AA$5),"Outlier","Normal")</f>
        <v>Normal</v>
      </c>
    </row>
    <row r="2127" spans="1:24" x14ac:dyDescent="0.15">
      <c r="A2127">
        <v>2126</v>
      </c>
      <c r="B2127" t="s">
        <v>20</v>
      </c>
      <c r="C2127" t="s">
        <v>20</v>
      </c>
      <c r="D2127" t="s">
        <v>22</v>
      </c>
      <c r="E2127">
        <v>34900</v>
      </c>
      <c r="F2127">
        <v>946</v>
      </c>
      <c r="G2127">
        <v>6</v>
      </c>
      <c r="H2127">
        <v>76</v>
      </c>
      <c r="I2127" t="s">
        <v>20</v>
      </c>
      <c r="J2127">
        <v>1</v>
      </c>
      <c r="K2127">
        <v>0</v>
      </c>
      <c r="L2127">
        <v>1</v>
      </c>
      <c r="M2127">
        <v>0</v>
      </c>
      <c r="N2127">
        <v>0</v>
      </c>
      <c r="O2127">
        <v>0</v>
      </c>
      <c r="P2127">
        <v>0</v>
      </c>
      <c r="Q2127">
        <v>0</v>
      </c>
      <c r="R2127">
        <v>4000</v>
      </c>
      <c r="S2127">
        <v>4000</v>
      </c>
      <c r="T2127">
        <v>0</v>
      </c>
      <c r="U2127" t="str">
        <f>IF(SeismicData[[#This Row],[class]]=1,"Dangerous","Safe")</f>
        <v>Safe</v>
      </c>
      <c r="V2127" t="str">
        <f>IF(SeismicData[[#This Row],[shift]]="W","Production","Non-Production")</f>
        <v>Production</v>
      </c>
      <c r="W2127" t="str">
        <f>IF(SeismicData[[#This Row],[genergy]]=0,"0","10^"&amp;INT(LOG10(SeismicData[[#This Row],[genergy]])))</f>
        <v>10^4</v>
      </c>
      <c r="X2127" t="str">
        <f>IF(OR(SeismicData[[#This Row],[genergy]]&lt;$AA$6,SeismicData[[#This Row],[genergy]]&gt;$AA$5),"Outlier","Normal")</f>
        <v>Normal</v>
      </c>
    </row>
    <row r="2128" spans="1:24" x14ac:dyDescent="0.15">
      <c r="A2128">
        <v>2127</v>
      </c>
      <c r="B2128" t="s">
        <v>20</v>
      </c>
      <c r="C2128" t="s">
        <v>20</v>
      </c>
      <c r="D2128" t="s">
        <v>22</v>
      </c>
      <c r="E2128">
        <v>48930</v>
      </c>
      <c r="F2128">
        <v>769</v>
      </c>
      <c r="G2128">
        <v>54</v>
      </c>
      <c r="H2128">
        <v>46</v>
      </c>
      <c r="I2128" t="s">
        <v>20</v>
      </c>
      <c r="J2128">
        <v>0</v>
      </c>
      <c r="K2128">
        <v>0</v>
      </c>
      <c r="L2128">
        <v>0</v>
      </c>
      <c r="M2128">
        <v>0</v>
      </c>
      <c r="N2128">
        <v>0</v>
      </c>
      <c r="O2128">
        <v>0</v>
      </c>
      <c r="P2128">
        <v>0</v>
      </c>
      <c r="Q2128">
        <v>0</v>
      </c>
      <c r="R2128">
        <v>0</v>
      </c>
      <c r="S2128">
        <v>0</v>
      </c>
      <c r="T2128">
        <v>0</v>
      </c>
      <c r="U2128" t="str">
        <f>IF(SeismicData[[#This Row],[class]]=1,"Dangerous","Safe")</f>
        <v>Safe</v>
      </c>
      <c r="V2128" t="str">
        <f>IF(SeismicData[[#This Row],[shift]]="W","Production","Non-Production")</f>
        <v>Production</v>
      </c>
      <c r="W2128" t="str">
        <f>IF(SeismicData[[#This Row],[genergy]]=0,"0","10^"&amp;INT(LOG10(SeismicData[[#This Row],[genergy]])))</f>
        <v>10^4</v>
      </c>
      <c r="X2128" t="str">
        <f>IF(OR(SeismicData[[#This Row],[genergy]]&lt;$AA$6,SeismicData[[#This Row],[genergy]]&gt;$AA$5),"Outlier","Normal")</f>
        <v>Normal</v>
      </c>
    </row>
    <row r="2129" spans="1:24" x14ac:dyDescent="0.15">
      <c r="A2129">
        <v>2128</v>
      </c>
      <c r="B2129" t="s">
        <v>20</v>
      </c>
      <c r="C2129" t="s">
        <v>20</v>
      </c>
      <c r="D2129" t="s">
        <v>22</v>
      </c>
      <c r="E2129">
        <v>38530</v>
      </c>
      <c r="F2129">
        <v>952</v>
      </c>
      <c r="G2129">
        <v>21</v>
      </c>
      <c r="H2129">
        <v>81</v>
      </c>
      <c r="I2129" t="s">
        <v>20</v>
      </c>
      <c r="J2129">
        <v>0</v>
      </c>
      <c r="K2129">
        <v>0</v>
      </c>
      <c r="L2129">
        <v>0</v>
      </c>
      <c r="M2129">
        <v>0</v>
      </c>
      <c r="N2129">
        <v>0</v>
      </c>
      <c r="O2129">
        <v>0</v>
      </c>
      <c r="P2129">
        <v>0</v>
      </c>
      <c r="Q2129">
        <v>0</v>
      </c>
      <c r="R2129">
        <v>0</v>
      </c>
      <c r="S2129">
        <v>0</v>
      </c>
      <c r="T2129">
        <v>0</v>
      </c>
      <c r="U2129" t="str">
        <f>IF(SeismicData[[#This Row],[class]]=1,"Dangerous","Safe")</f>
        <v>Safe</v>
      </c>
      <c r="V2129" t="str">
        <f>IF(SeismicData[[#This Row],[shift]]="W","Production","Non-Production")</f>
        <v>Production</v>
      </c>
      <c r="W2129" t="str">
        <f>IF(SeismicData[[#This Row],[genergy]]=0,"0","10^"&amp;INT(LOG10(SeismicData[[#This Row],[genergy]])))</f>
        <v>10^4</v>
      </c>
      <c r="X2129" t="str">
        <f>IF(OR(SeismicData[[#This Row],[genergy]]&lt;$AA$6,SeismicData[[#This Row],[genergy]]&gt;$AA$5),"Outlier","Normal")</f>
        <v>Normal</v>
      </c>
    </row>
    <row r="2130" spans="1:24" x14ac:dyDescent="0.15">
      <c r="A2130">
        <v>2129</v>
      </c>
      <c r="B2130" t="s">
        <v>20</v>
      </c>
      <c r="C2130" t="s">
        <v>20</v>
      </c>
      <c r="D2130" t="s">
        <v>22</v>
      </c>
      <c r="E2130">
        <v>21480</v>
      </c>
      <c r="F2130">
        <v>537</v>
      </c>
      <c r="G2130">
        <v>-32</v>
      </c>
      <c r="H2130">
        <v>2</v>
      </c>
      <c r="I2130" t="s">
        <v>20</v>
      </c>
      <c r="J2130">
        <v>0</v>
      </c>
      <c r="K2130">
        <v>0</v>
      </c>
      <c r="L2130">
        <v>0</v>
      </c>
      <c r="M2130">
        <v>0</v>
      </c>
      <c r="N2130">
        <v>0</v>
      </c>
      <c r="O2130">
        <v>0</v>
      </c>
      <c r="P2130">
        <v>0</v>
      </c>
      <c r="Q2130">
        <v>0</v>
      </c>
      <c r="R2130">
        <v>0</v>
      </c>
      <c r="S2130">
        <v>0</v>
      </c>
      <c r="T2130">
        <v>0</v>
      </c>
      <c r="U2130" t="str">
        <f>IF(SeismicData[[#This Row],[class]]=1,"Dangerous","Safe")</f>
        <v>Safe</v>
      </c>
      <c r="V2130" t="str">
        <f>IF(SeismicData[[#This Row],[shift]]="W","Production","Non-Production")</f>
        <v>Production</v>
      </c>
      <c r="W2130" t="str">
        <f>IF(SeismicData[[#This Row],[genergy]]=0,"0","10^"&amp;INT(LOG10(SeismicData[[#This Row],[genergy]])))</f>
        <v>10^4</v>
      </c>
      <c r="X2130" t="str">
        <f>IF(OR(SeismicData[[#This Row],[genergy]]&lt;$AA$6,SeismicData[[#This Row],[genergy]]&gt;$AA$5),"Outlier","Normal")</f>
        <v>Normal</v>
      </c>
    </row>
    <row r="2131" spans="1:24" x14ac:dyDescent="0.15">
      <c r="A2131">
        <v>2130</v>
      </c>
      <c r="B2131" t="s">
        <v>20</v>
      </c>
      <c r="C2131" t="s">
        <v>20</v>
      </c>
      <c r="D2131" t="s">
        <v>22</v>
      </c>
      <c r="E2131">
        <v>25480</v>
      </c>
      <c r="F2131">
        <v>484</v>
      </c>
      <c r="G2131">
        <v>-20</v>
      </c>
      <c r="H2131">
        <v>-8</v>
      </c>
      <c r="I2131" t="s">
        <v>20</v>
      </c>
      <c r="J2131">
        <v>1</v>
      </c>
      <c r="K2131">
        <v>0</v>
      </c>
      <c r="L2131">
        <v>1</v>
      </c>
      <c r="M2131">
        <v>0</v>
      </c>
      <c r="N2131">
        <v>0</v>
      </c>
      <c r="O2131">
        <v>0</v>
      </c>
      <c r="P2131">
        <v>0</v>
      </c>
      <c r="Q2131">
        <v>0</v>
      </c>
      <c r="R2131">
        <v>7000</v>
      </c>
      <c r="S2131">
        <v>7000</v>
      </c>
      <c r="T2131">
        <v>0</v>
      </c>
      <c r="U2131" t="str">
        <f>IF(SeismicData[[#This Row],[class]]=1,"Dangerous","Safe")</f>
        <v>Safe</v>
      </c>
      <c r="V2131" t="str">
        <f>IF(SeismicData[[#This Row],[shift]]="W","Production","Non-Production")</f>
        <v>Production</v>
      </c>
      <c r="W2131" t="str">
        <f>IF(SeismicData[[#This Row],[genergy]]=0,"0","10^"&amp;INT(LOG10(SeismicData[[#This Row],[genergy]])))</f>
        <v>10^4</v>
      </c>
      <c r="X2131" t="str">
        <f>IF(OR(SeismicData[[#This Row],[genergy]]&lt;$AA$6,SeismicData[[#This Row],[genergy]]&gt;$AA$5),"Outlier","Normal")</f>
        <v>Normal</v>
      </c>
    </row>
    <row r="2132" spans="1:24" x14ac:dyDescent="0.15">
      <c r="A2132">
        <v>2131</v>
      </c>
      <c r="B2132" t="s">
        <v>20</v>
      </c>
      <c r="C2132" t="s">
        <v>20</v>
      </c>
      <c r="D2132" t="s">
        <v>22</v>
      </c>
      <c r="E2132">
        <v>43290</v>
      </c>
      <c r="F2132">
        <v>663</v>
      </c>
      <c r="G2132">
        <v>36</v>
      </c>
      <c r="H2132">
        <v>26</v>
      </c>
      <c r="I2132" t="s">
        <v>20</v>
      </c>
      <c r="J2132">
        <v>0</v>
      </c>
      <c r="K2132">
        <v>0</v>
      </c>
      <c r="L2132">
        <v>0</v>
      </c>
      <c r="M2132">
        <v>0</v>
      </c>
      <c r="N2132">
        <v>0</v>
      </c>
      <c r="O2132">
        <v>0</v>
      </c>
      <c r="P2132">
        <v>0</v>
      </c>
      <c r="Q2132">
        <v>0</v>
      </c>
      <c r="R2132">
        <v>0</v>
      </c>
      <c r="S2132">
        <v>0</v>
      </c>
      <c r="T2132">
        <v>0</v>
      </c>
      <c r="U2132" t="str">
        <f>IF(SeismicData[[#This Row],[class]]=1,"Dangerous","Safe")</f>
        <v>Safe</v>
      </c>
      <c r="V2132" t="str">
        <f>IF(SeismicData[[#This Row],[shift]]="W","Production","Non-Production")</f>
        <v>Production</v>
      </c>
      <c r="W2132" t="str">
        <f>IF(SeismicData[[#This Row],[genergy]]=0,"0","10^"&amp;INT(LOG10(SeismicData[[#This Row],[genergy]])))</f>
        <v>10^4</v>
      </c>
      <c r="X2132" t="str">
        <f>IF(OR(SeismicData[[#This Row],[genergy]]&lt;$AA$6,SeismicData[[#This Row],[genergy]]&gt;$AA$5),"Outlier","Normal")</f>
        <v>Normal</v>
      </c>
    </row>
    <row r="2133" spans="1:24" x14ac:dyDescent="0.15">
      <c r="A2133">
        <v>2132</v>
      </c>
      <c r="B2133" t="s">
        <v>20</v>
      </c>
      <c r="C2133" t="s">
        <v>20</v>
      </c>
      <c r="D2133" t="s">
        <v>22</v>
      </c>
      <c r="E2133">
        <v>27230</v>
      </c>
      <c r="F2133">
        <v>430</v>
      </c>
      <c r="G2133">
        <v>-14</v>
      </c>
      <c r="H2133">
        <v>-18</v>
      </c>
      <c r="I2133" t="s">
        <v>20</v>
      </c>
      <c r="J2133">
        <v>0</v>
      </c>
      <c r="K2133">
        <v>0</v>
      </c>
      <c r="L2133">
        <v>0</v>
      </c>
      <c r="M2133">
        <v>0</v>
      </c>
      <c r="N2133">
        <v>0</v>
      </c>
      <c r="O2133">
        <v>0</v>
      </c>
      <c r="P2133">
        <v>0</v>
      </c>
      <c r="Q2133">
        <v>0</v>
      </c>
      <c r="R2133">
        <v>0</v>
      </c>
      <c r="S2133">
        <v>0</v>
      </c>
      <c r="T2133">
        <v>0</v>
      </c>
      <c r="U2133" t="str">
        <f>IF(SeismicData[[#This Row],[class]]=1,"Dangerous","Safe")</f>
        <v>Safe</v>
      </c>
      <c r="V2133" t="str">
        <f>IF(SeismicData[[#This Row],[shift]]="W","Production","Non-Production")</f>
        <v>Production</v>
      </c>
      <c r="W2133" t="str">
        <f>IF(SeismicData[[#This Row],[genergy]]=0,"0","10^"&amp;INT(LOG10(SeismicData[[#This Row],[genergy]])))</f>
        <v>10^4</v>
      </c>
      <c r="X2133" t="str">
        <f>IF(OR(SeismicData[[#This Row],[genergy]]&lt;$AA$6,SeismicData[[#This Row],[genergy]]&gt;$AA$5),"Outlier","Normal")</f>
        <v>Normal</v>
      </c>
    </row>
    <row r="2134" spans="1:24" x14ac:dyDescent="0.15">
      <c r="A2134">
        <v>2133</v>
      </c>
      <c r="B2134" t="s">
        <v>20</v>
      </c>
      <c r="C2134" t="s">
        <v>20</v>
      </c>
      <c r="D2134" t="s">
        <v>22</v>
      </c>
      <c r="E2134">
        <v>49440</v>
      </c>
      <c r="F2134">
        <v>491</v>
      </c>
      <c r="G2134">
        <v>56</v>
      </c>
      <c r="H2134">
        <v>-7</v>
      </c>
      <c r="I2134" t="s">
        <v>20</v>
      </c>
      <c r="J2134">
        <v>3</v>
      </c>
      <c r="K2134">
        <v>1</v>
      </c>
      <c r="L2134">
        <v>2</v>
      </c>
      <c r="M2134">
        <v>0</v>
      </c>
      <c r="N2134">
        <v>0</v>
      </c>
      <c r="O2134">
        <v>0</v>
      </c>
      <c r="P2134">
        <v>0</v>
      </c>
      <c r="Q2134">
        <v>0</v>
      </c>
      <c r="R2134">
        <v>9300</v>
      </c>
      <c r="S2134">
        <v>6000</v>
      </c>
      <c r="T2134">
        <v>0</v>
      </c>
      <c r="U2134" t="str">
        <f>IF(SeismicData[[#This Row],[class]]=1,"Dangerous","Safe")</f>
        <v>Safe</v>
      </c>
      <c r="V2134" t="str">
        <f>IF(SeismicData[[#This Row],[shift]]="W","Production","Non-Production")</f>
        <v>Production</v>
      </c>
      <c r="W2134" t="str">
        <f>IF(SeismicData[[#This Row],[genergy]]=0,"0","10^"&amp;INT(LOG10(SeismicData[[#This Row],[genergy]])))</f>
        <v>10^4</v>
      </c>
      <c r="X2134" t="str">
        <f>IF(OR(SeismicData[[#This Row],[genergy]]&lt;$AA$6,SeismicData[[#This Row],[genergy]]&gt;$AA$5),"Outlier","Normal")</f>
        <v>Normal</v>
      </c>
    </row>
    <row r="2135" spans="1:24" x14ac:dyDescent="0.15">
      <c r="A2135">
        <v>2134</v>
      </c>
      <c r="B2135" t="s">
        <v>20</v>
      </c>
      <c r="C2135" t="s">
        <v>20</v>
      </c>
      <c r="D2135" t="s">
        <v>22</v>
      </c>
      <c r="E2135">
        <v>33900</v>
      </c>
      <c r="F2135">
        <v>682</v>
      </c>
      <c r="G2135">
        <v>7</v>
      </c>
      <c r="H2135">
        <v>29</v>
      </c>
      <c r="I2135" t="s">
        <v>20</v>
      </c>
      <c r="J2135">
        <v>0</v>
      </c>
      <c r="K2135">
        <v>0</v>
      </c>
      <c r="L2135">
        <v>0</v>
      </c>
      <c r="M2135">
        <v>0</v>
      </c>
      <c r="N2135">
        <v>0</v>
      </c>
      <c r="O2135">
        <v>0</v>
      </c>
      <c r="P2135">
        <v>0</v>
      </c>
      <c r="Q2135">
        <v>0</v>
      </c>
      <c r="R2135">
        <v>0</v>
      </c>
      <c r="S2135">
        <v>0</v>
      </c>
      <c r="T2135">
        <v>0</v>
      </c>
      <c r="U2135" t="str">
        <f>IF(SeismicData[[#This Row],[class]]=1,"Dangerous","Safe")</f>
        <v>Safe</v>
      </c>
      <c r="V2135" t="str">
        <f>IF(SeismicData[[#This Row],[shift]]="W","Production","Non-Production")</f>
        <v>Production</v>
      </c>
      <c r="W2135" t="str">
        <f>IF(SeismicData[[#This Row],[genergy]]=0,"0","10^"&amp;INT(LOG10(SeismicData[[#This Row],[genergy]])))</f>
        <v>10^4</v>
      </c>
      <c r="X2135" t="str">
        <f>IF(OR(SeismicData[[#This Row],[genergy]]&lt;$AA$6,SeismicData[[#This Row],[genergy]]&gt;$AA$5),"Outlier","Normal")</f>
        <v>Normal</v>
      </c>
    </row>
    <row r="2136" spans="1:24" x14ac:dyDescent="0.15">
      <c r="A2136">
        <v>2135</v>
      </c>
      <c r="B2136" t="s">
        <v>20</v>
      </c>
      <c r="C2136" t="s">
        <v>20</v>
      </c>
      <c r="D2136" t="s">
        <v>22</v>
      </c>
      <c r="E2136">
        <v>25680</v>
      </c>
      <c r="F2136">
        <v>515</v>
      </c>
      <c r="G2136">
        <v>-14</v>
      </c>
      <c r="H2136">
        <v>2</v>
      </c>
      <c r="I2136" t="s">
        <v>20</v>
      </c>
      <c r="J2136">
        <v>0</v>
      </c>
      <c r="K2136">
        <v>0</v>
      </c>
      <c r="L2136">
        <v>0</v>
      </c>
      <c r="M2136">
        <v>0</v>
      </c>
      <c r="N2136">
        <v>0</v>
      </c>
      <c r="O2136">
        <v>0</v>
      </c>
      <c r="P2136">
        <v>0</v>
      </c>
      <c r="Q2136">
        <v>0</v>
      </c>
      <c r="R2136">
        <v>0</v>
      </c>
      <c r="S2136">
        <v>0</v>
      </c>
      <c r="T2136">
        <v>0</v>
      </c>
      <c r="U2136" t="str">
        <f>IF(SeismicData[[#This Row],[class]]=1,"Dangerous","Safe")</f>
        <v>Safe</v>
      </c>
      <c r="V2136" t="str">
        <f>IF(SeismicData[[#This Row],[shift]]="W","Production","Non-Production")</f>
        <v>Production</v>
      </c>
      <c r="W2136" t="str">
        <f>IF(SeismicData[[#This Row],[genergy]]=0,"0","10^"&amp;INT(LOG10(SeismicData[[#This Row],[genergy]])))</f>
        <v>10^4</v>
      </c>
      <c r="X2136" t="str">
        <f>IF(OR(SeismicData[[#This Row],[genergy]]&lt;$AA$6,SeismicData[[#This Row],[genergy]]&gt;$AA$5),"Outlier","Normal")</f>
        <v>Normal</v>
      </c>
    </row>
    <row r="2137" spans="1:24" x14ac:dyDescent="0.15">
      <c r="A2137">
        <v>2136</v>
      </c>
      <c r="B2137" t="s">
        <v>20</v>
      </c>
      <c r="C2137" t="s">
        <v>20</v>
      </c>
      <c r="D2137" t="s">
        <v>22</v>
      </c>
      <c r="E2137">
        <v>10320</v>
      </c>
      <c r="F2137">
        <v>311</v>
      </c>
      <c r="G2137">
        <v>-65</v>
      </c>
      <c r="H2137">
        <v>-38</v>
      </c>
      <c r="I2137" t="s">
        <v>20</v>
      </c>
      <c r="J2137">
        <v>0</v>
      </c>
      <c r="K2137">
        <v>0</v>
      </c>
      <c r="L2137">
        <v>0</v>
      </c>
      <c r="M2137">
        <v>0</v>
      </c>
      <c r="N2137">
        <v>0</v>
      </c>
      <c r="O2137">
        <v>0</v>
      </c>
      <c r="P2137">
        <v>0</v>
      </c>
      <c r="Q2137">
        <v>0</v>
      </c>
      <c r="R2137">
        <v>0</v>
      </c>
      <c r="S2137">
        <v>0</v>
      </c>
      <c r="T2137">
        <v>0</v>
      </c>
      <c r="U2137" t="str">
        <f>IF(SeismicData[[#This Row],[class]]=1,"Dangerous","Safe")</f>
        <v>Safe</v>
      </c>
      <c r="V2137" t="str">
        <f>IF(SeismicData[[#This Row],[shift]]="W","Production","Non-Production")</f>
        <v>Production</v>
      </c>
      <c r="W2137" t="str">
        <f>IF(SeismicData[[#This Row],[genergy]]=0,"0","10^"&amp;INT(LOG10(SeismicData[[#This Row],[genergy]])))</f>
        <v>10^4</v>
      </c>
      <c r="X2137" t="str">
        <f>IF(OR(SeismicData[[#This Row],[genergy]]&lt;$AA$6,SeismicData[[#This Row],[genergy]]&gt;$AA$5),"Outlier","Normal")</f>
        <v>Normal</v>
      </c>
    </row>
    <row r="2138" spans="1:24" x14ac:dyDescent="0.15">
      <c r="A2138">
        <v>2137</v>
      </c>
      <c r="B2138" t="s">
        <v>20</v>
      </c>
      <c r="C2138" t="s">
        <v>20</v>
      </c>
      <c r="D2138" t="s">
        <v>22</v>
      </c>
      <c r="E2138">
        <v>11860</v>
      </c>
      <c r="F2138">
        <v>292</v>
      </c>
      <c r="G2138">
        <v>-60</v>
      </c>
      <c r="H2138">
        <v>-42</v>
      </c>
      <c r="I2138" t="s">
        <v>20</v>
      </c>
      <c r="J2138">
        <v>0</v>
      </c>
      <c r="K2138">
        <v>0</v>
      </c>
      <c r="L2138">
        <v>0</v>
      </c>
      <c r="M2138">
        <v>0</v>
      </c>
      <c r="N2138">
        <v>0</v>
      </c>
      <c r="O2138">
        <v>0</v>
      </c>
      <c r="P2138">
        <v>0</v>
      </c>
      <c r="Q2138">
        <v>0</v>
      </c>
      <c r="R2138">
        <v>0</v>
      </c>
      <c r="S2138">
        <v>0</v>
      </c>
      <c r="T2138">
        <v>0</v>
      </c>
      <c r="U2138" t="str">
        <f>IF(SeismicData[[#This Row],[class]]=1,"Dangerous","Safe")</f>
        <v>Safe</v>
      </c>
      <c r="V2138" t="str">
        <f>IF(SeismicData[[#This Row],[shift]]="W","Production","Non-Production")</f>
        <v>Production</v>
      </c>
      <c r="W2138" t="str">
        <f>IF(SeismicData[[#This Row],[genergy]]=0,"0","10^"&amp;INT(LOG10(SeismicData[[#This Row],[genergy]])))</f>
        <v>10^4</v>
      </c>
      <c r="X2138" t="str">
        <f>IF(OR(SeismicData[[#This Row],[genergy]]&lt;$AA$6,SeismicData[[#This Row],[genergy]]&gt;$AA$5),"Outlier","Normal")</f>
        <v>Normal</v>
      </c>
    </row>
    <row r="2139" spans="1:24" x14ac:dyDescent="0.15">
      <c r="A2139">
        <v>2138</v>
      </c>
      <c r="B2139" t="s">
        <v>20</v>
      </c>
      <c r="C2139" t="s">
        <v>20</v>
      </c>
      <c r="D2139" t="s">
        <v>22</v>
      </c>
      <c r="E2139">
        <v>14010</v>
      </c>
      <c r="F2139">
        <v>340</v>
      </c>
      <c r="G2139">
        <v>-53</v>
      </c>
      <c r="H2139">
        <v>-32</v>
      </c>
      <c r="I2139" t="s">
        <v>20</v>
      </c>
      <c r="J2139">
        <v>1</v>
      </c>
      <c r="K2139">
        <v>1</v>
      </c>
      <c r="L2139">
        <v>0</v>
      </c>
      <c r="M2139">
        <v>0</v>
      </c>
      <c r="N2139">
        <v>0</v>
      </c>
      <c r="O2139">
        <v>0</v>
      </c>
      <c r="P2139">
        <v>0</v>
      </c>
      <c r="Q2139">
        <v>0</v>
      </c>
      <c r="R2139">
        <v>600</v>
      </c>
      <c r="S2139">
        <v>600</v>
      </c>
      <c r="T2139">
        <v>0</v>
      </c>
      <c r="U2139" t="str">
        <f>IF(SeismicData[[#This Row],[class]]=1,"Dangerous","Safe")</f>
        <v>Safe</v>
      </c>
      <c r="V2139" t="str">
        <f>IF(SeismicData[[#This Row],[shift]]="W","Production","Non-Production")</f>
        <v>Production</v>
      </c>
      <c r="W2139" t="str">
        <f>IF(SeismicData[[#This Row],[genergy]]=0,"0","10^"&amp;INT(LOG10(SeismicData[[#This Row],[genergy]])))</f>
        <v>10^4</v>
      </c>
      <c r="X2139" t="str">
        <f>IF(OR(SeismicData[[#This Row],[genergy]]&lt;$AA$6,SeismicData[[#This Row],[genergy]]&gt;$AA$5),"Outlier","Normal")</f>
        <v>Normal</v>
      </c>
    </row>
    <row r="2140" spans="1:24" x14ac:dyDescent="0.15">
      <c r="A2140">
        <v>2139</v>
      </c>
      <c r="B2140" t="s">
        <v>20</v>
      </c>
      <c r="C2140" t="s">
        <v>20</v>
      </c>
      <c r="D2140" t="s">
        <v>22</v>
      </c>
      <c r="E2140">
        <v>16320</v>
      </c>
      <c r="F2140">
        <v>297</v>
      </c>
      <c r="G2140">
        <v>-45</v>
      </c>
      <c r="H2140">
        <v>-41</v>
      </c>
      <c r="I2140" t="s">
        <v>20</v>
      </c>
      <c r="J2140">
        <v>0</v>
      </c>
      <c r="K2140">
        <v>0</v>
      </c>
      <c r="L2140">
        <v>0</v>
      </c>
      <c r="M2140">
        <v>0</v>
      </c>
      <c r="N2140">
        <v>0</v>
      </c>
      <c r="O2140">
        <v>0</v>
      </c>
      <c r="P2140">
        <v>0</v>
      </c>
      <c r="Q2140">
        <v>0</v>
      </c>
      <c r="R2140">
        <v>0</v>
      </c>
      <c r="S2140">
        <v>0</v>
      </c>
      <c r="T2140">
        <v>0</v>
      </c>
      <c r="U2140" t="str">
        <f>IF(SeismicData[[#This Row],[class]]=1,"Dangerous","Safe")</f>
        <v>Safe</v>
      </c>
      <c r="V2140" t="str">
        <f>IF(SeismicData[[#This Row],[shift]]="W","Production","Non-Production")</f>
        <v>Production</v>
      </c>
      <c r="W2140" t="str">
        <f>IF(SeismicData[[#This Row],[genergy]]=0,"0","10^"&amp;INT(LOG10(SeismicData[[#This Row],[genergy]])))</f>
        <v>10^4</v>
      </c>
      <c r="X2140" t="str">
        <f>IF(OR(SeismicData[[#This Row],[genergy]]&lt;$AA$6,SeismicData[[#This Row],[genergy]]&gt;$AA$5),"Outlier","Normal")</f>
        <v>Normal</v>
      </c>
    </row>
    <row r="2141" spans="1:24" x14ac:dyDescent="0.15">
      <c r="A2141">
        <v>2140</v>
      </c>
      <c r="B2141" t="s">
        <v>20</v>
      </c>
      <c r="C2141" t="s">
        <v>20</v>
      </c>
      <c r="D2141" t="s">
        <v>22</v>
      </c>
      <c r="E2141">
        <v>23190</v>
      </c>
      <c r="F2141">
        <v>368</v>
      </c>
      <c r="G2141">
        <v>-22</v>
      </c>
      <c r="H2141">
        <v>-27</v>
      </c>
      <c r="I2141" t="s">
        <v>20</v>
      </c>
      <c r="J2141">
        <v>0</v>
      </c>
      <c r="K2141">
        <v>0</v>
      </c>
      <c r="L2141">
        <v>0</v>
      </c>
      <c r="M2141">
        <v>0</v>
      </c>
      <c r="N2141">
        <v>0</v>
      </c>
      <c r="O2141">
        <v>0</v>
      </c>
      <c r="P2141">
        <v>0</v>
      </c>
      <c r="Q2141">
        <v>0</v>
      </c>
      <c r="R2141">
        <v>0</v>
      </c>
      <c r="S2141">
        <v>0</v>
      </c>
      <c r="T2141">
        <v>0</v>
      </c>
      <c r="U2141" t="str">
        <f>IF(SeismicData[[#This Row],[class]]=1,"Dangerous","Safe")</f>
        <v>Safe</v>
      </c>
      <c r="V2141" t="str">
        <f>IF(SeismicData[[#This Row],[shift]]="W","Production","Non-Production")</f>
        <v>Production</v>
      </c>
      <c r="W2141" t="str">
        <f>IF(SeismicData[[#This Row],[genergy]]=0,"0","10^"&amp;INT(LOG10(SeismicData[[#This Row],[genergy]])))</f>
        <v>10^4</v>
      </c>
      <c r="X2141" t="str">
        <f>IF(OR(SeismicData[[#This Row],[genergy]]&lt;$AA$6,SeismicData[[#This Row],[genergy]]&gt;$AA$5),"Outlier","Normal")</f>
        <v>Normal</v>
      </c>
    </row>
    <row r="2142" spans="1:24" x14ac:dyDescent="0.15">
      <c r="A2142">
        <v>2141</v>
      </c>
      <c r="B2142" t="s">
        <v>20</v>
      </c>
      <c r="C2142" t="s">
        <v>20</v>
      </c>
      <c r="D2142" t="s">
        <v>22</v>
      </c>
      <c r="E2142">
        <v>48600</v>
      </c>
      <c r="F2142">
        <v>562</v>
      </c>
      <c r="G2142">
        <v>64</v>
      </c>
      <c r="H2142">
        <v>12</v>
      </c>
      <c r="I2142" t="s">
        <v>20</v>
      </c>
      <c r="J2142">
        <v>0</v>
      </c>
      <c r="K2142">
        <v>0</v>
      </c>
      <c r="L2142">
        <v>0</v>
      </c>
      <c r="M2142">
        <v>0</v>
      </c>
      <c r="N2142">
        <v>0</v>
      </c>
      <c r="O2142">
        <v>0</v>
      </c>
      <c r="P2142">
        <v>0</v>
      </c>
      <c r="Q2142">
        <v>0</v>
      </c>
      <c r="R2142">
        <v>0</v>
      </c>
      <c r="S2142">
        <v>0</v>
      </c>
      <c r="T2142">
        <v>0</v>
      </c>
      <c r="U2142" t="str">
        <f>IF(SeismicData[[#This Row],[class]]=1,"Dangerous","Safe")</f>
        <v>Safe</v>
      </c>
      <c r="V2142" t="str">
        <f>IF(SeismicData[[#This Row],[shift]]="W","Production","Non-Production")</f>
        <v>Production</v>
      </c>
      <c r="W2142" t="str">
        <f>IF(SeismicData[[#This Row],[genergy]]=0,"0","10^"&amp;INT(LOG10(SeismicData[[#This Row],[genergy]])))</f>
        <v>10^4</v>
      </c>
      <c r="X2142" t="str">
        <f>IF(OR(SeismicData[[#This Row],[genergy]]&lt;$AA$6,SeismicData[[#This Row],[genergy]]&gt;$AA$5),"Outlier","Normal")</f>
        <v>Normal</v>
      </c>
    </row>
    <row r="2143" spans="1:24" x14ac:dyDescent="0.15">
      <c r="A2143">
        <v>2142</v>
      </c>
      <c r="B2143" t="s">
        <v>20</v>
      </c>
      <c r="C2143" t="s">
        <v>20</v>
      </c>
      <c r="D2143" t="s">
        <v>22</v>
      </c>
      <c r="E2143">
        <v>28660</v>
      </c>
      <c r="F2143">
        <v>471</v>
      </c>
      <c r="G2143">
        <v>-3</v>
      </c>
      <c r="H2143">
        <v>-6</v>
      </c>
      <c r="I2143" t="s">
        <v>20</v>
      </c>
      <c r="J2143">
        <v>1</v>
      </c>
      <c r="K2143">
        <v>1</v>
      </c>
      <c r="L2143">
        <v>0</v>
      </c>
      <c r="M2143">
        <v>0</v>
      </c>
      <c r="N2143">
        <v>0</v>
      </c>
      <c r="O2143">
        <v>0</v>
      </c>
      <c r="P2143">
        <v>0</v>
      </c>
      <c r="Q2143">
        <v>0</v>
      </c>
      <c r="R2143">
        <v>600</v>
      </c>
      <c r="S2143">
        <v>600</v>
      </c>
      <c r="T2143">
        <v>0</v>
      </c>
      <c r="U2143" t="str">
        <f>IF(SeismicData[[#This Row],[class]]=1,"Dangerous","Safe")</f>
        <v>Safe</v>
      </c>
      <c r="V2143" t="str">
        <f>IF(SeismicData[[#This Row],[shift]]="W","Production","Non-Production")</f>
        <v>Production</v>
      </c>
      <c r="W2143" t="str">
        <f>IF(SeismicData[[#This Row],[genergy]]=0,"0","10^"&amp;INT(LOG10(SeismicData[[#This Row],[genergy]])))</f>
        <v>10^4</v>
      </c>
      <c r="X2143" t="str">
        <f>IF(OR(SeismicData[[#This Row],[genergy]]&lt;$AA$6,SeismicData[[#This Row],[genergy]]&gt;$AA$5),"Outlier","Normal")</f>
        <v>Normal</v>
      </c>
    </row>
    <row r="2144" spans="1:24" x14ac:dyDescent="0.15">
      <c r="A2144">
        <v>2143</v>
      </c>
      <c r="B2144" t="s">
        <v>20</v>
      </c>
      <c r="C2144" t="s">
        <v>20</v>
      </c>
      <c r="D2144" t="s">
        <v>22</v>
      </c>
      <c r="E2144">
        <v>17370</v>
      </c>
      <c r="F2144">
        <v>379</v>
      </c>
      <c r="G2144">
        <v>-42</v>
      </c>
      <c r="H2144">
        <v>-26</v>
      </c>
      <c r="I2144" t="s">
        <v>20</v>
      </c>
      <c r="J2144">
        <v>0</v>
      </c>
      <c r="K2144">
        <v>0</v>
      </c>
      <c r="L2144">
        <v>0</v>
      </c>
      <c r="M2144">
        <v>0</v>
      </c>
      <c r="N2144">
        <v>0</v>
      </c>
      <c r="O2144">
        <v>0</v>
      </c>
      <c r="P2144">
        <v>0</v>
      </c>
      <c r="Q2144">
        <v>0</v>
      </c>
      <c r="R2144">
        <v>0</v>
      </c>
      <c r="S2144">
        <v>0</v>
      </c>
      <c r="T2144">
        <v>0</v>
      </c>
      <c r="U2144" t="str">
        <f>IF(SeismicData[[#This Row],[class]]=1,"Dangerous","Safe")</f>
        <v>Safe</v>
      </c>
      <c r="V2144" t="str">
        <f>IF(SeismicData[[#This Row],[shift]]="W","Production","Non-Production")</f>
        <v>Production</v>
      </c>
      <c r="W2144" t="str">
        <f>IF(SeismicData[[#This Row],[genergy]]=0,"0","10^"&amp;INT(LOG10(SeismicData[[#This Row],[genergy]])))</f>
        <v>10^4</v>
      </c>
      <c r="X2144" t="str">
        <f>IF(OR(SeismicData[[#This Row],[genergy]]&lt;$AA$6,SeismicData[[#This Row],[genergy]]&gt;$AA$5),"Outlier","Normal")</f>
        <v>Normal</v>
      </c>
    </row>
    <row r="2145" spans="1:24" x14ac:dyDescent="0.15">
      <c r="A2145">
        <v>2144</v>
      </c>
      <c r="B2145" t="s">
        <v>20</v>
      </c>
      <c r="C2145" t="s">
        <v>20</v>
      </c>
      <c r="D2145" t="s">
        <v>22</v>
      </c>
      <c r="E2145">
        <v>21900</v>
      </c>
      <c r="F2145">
        <v>370</v>
      </c>
      <c r="G2145">
        <v>-27</v>
      </c>
      <c r="H2145">
        <v>-28</v>
      </c>
      <c r="I2145" t="s">
        <v>20</v>
      </c>
      <c r="J2145">
        <v>0</v>
      </c>
      <c r="K2145">
        <v>0</v>
      </c>
      <c r="L2145">
        <v>0</v>
      </c>
      <c r="M2145">
        <v>0</v>
      </c>
      <c r="N2145">
        <v>0</v>
      </c>
      <c r="O2145">
        <v>0</v>
      </c>
      <c r="P2145">
        <v>0</v>
      </c>
      <c r="Q2145">
        <v>0</v>
      </c>
      <c r="R2145">
        <v>0</v>
      </c>
      <c r="S2145">
        <v>0</v>
      </c>
      <c r="T2145">
        <v>0</v>
      </c>
      <c r="U2145" t="str">
        <f>IF(SeismicData[[#This Row],[class]]=1,"Dangerous","Safe")</f>
        <v>Safe</v>
      </c>
      <c r="V2145" t="str">
        <f>IF(SeismicData[[#This Row],[shift]]="W","Production","Non-Production")</f>
        <v>Production</v>
      </c>
      <c r="W2145" t="str">
        <f>IF(SeismicData[[#This Row],[genergy]]=0,"0","10^"&amp;INT(LOG10(SeismicData[[#This Row],[genergy]])))</f>
        <v>10^4</v>
      </c>
      <c r="X2145" t="str">
        <f>IF(OR(SeismicData[[#This Row],[genergy]]&lt;$AA$6,SeismicData[[#This Row],[genergy]]&gt;$AA$5),"Outlier","Normal")</f>
        <v>Normal</v>
      </c>
    </row>
    <row r="2146" spans="1:24" x14ac:dyDescent="0.15">
      <c r="A2146">
        <v>2145</v>
      </c>
      <c r="B2146" t="s">
        <v>20</v>
      </c>
      <c r="C2146" t="s">
        <v>20</v>
      </c>
      <c r="D2146" t="s">
        <v>22</v>
      </c>
      <c r="E2146">
        <v>74470</v>
      </c>
      <c r="F2146">
        <v>655</v>
      </c>
      <c r="G2146">
        <v>148</v>
      </c>
      <c r="H2146">
        <v>28</v>
      </c>
      <c r="I2146" t="s">
        <v>20</v>
      </c>
      <c r="J2146">
        <v>0</v>
      </c>
      <c r="K2146">
        <v>0</v>
      </c>
      <c r="L2146">
        <v>0</v>
      </c>
      <c r="M2146">
        <v>0</v>
      </c>
      <c r="N2146">
        <v>0</v>
      </c>
      <c r="O2146">
        <v>0</v>
      </c>
      <c r="P2146">
        <v>0</v>
      </c>
      <c r="Q2146">
        <v>0</v>
      </c>
      <c r="R2146">
        <v>0</v>
      </c>
      <c r="S2146">
        <v>0</v>
      </c>
      <c r="T2146">
        <v>0</v>
      </c>
      <c r="U2146" t="str">
        <f>IF(SeismicData[[#This Row],[class]]=1,"Dangerous","Safe")</f>
        <v>Safe</v>
      </c>
      <c r="V2146" t="str">
        <f>IF(SeismicData[[#This Row],[shift]]="W","Production","Non-Production")</f>
        <v>Production</v>
      </c>
      <c r="W2146" t="str">
        <f>IF(SeismicData[[#This Row],[genergy]]=0,"0","10^"&amp;INT(LOG10(SeismicData[[#This Row],[genergy]])))</f>
        <v>10^4</v>
      </c>
      <c r="X2146" t="str">
        <f>IF(OR(SeismicData[[#This Row],[genergy]]&lt;$AA$6,SeismicData[[#This Row],[genergy]]&gt;$AA$5),"Outlier","Normal")</f>
        <v>Normal</v>
      </c>
    </row>
    <row r="2147" spans="1:24" x14ac:dyDescent="0.15">
      <c r="A2147">
        <v>2146</v>
      </c>
      <c r="B2147" t="s">
        <v>20</v>
      </c>
      <c r="C2147" t="s">
        <v>20</v>
      </c>
      <c r="D2147" t="s">
        <v>22</v>
      </c>
      <c r="E2147">
        <v>40770</v>
      </c>
      <c r="F2147">
        <v>522</v>
      </c>
      <c r="G2147">
        <v>36</v>
      </c>
      <c r="H2147">
        <v>2</v>
      </c>
      <c r="I2147" t="s">
        <v>20</v>
      </c>
      <c r="J2147">
        <v>1</v>
      </c>
      <c r="K2147">
        <v>0</v>
      </c>
      <c r="L2147">
        <v>1</v>
      </c>
      <c r="M2147">
        <v>0</v>
      </c>
      <c r="N2147">
        <v>0</v>
      </c>
      <c r="O2147">
        <v>0</v>
      </c>
      <c r="P2147">
        <v>0</v>
      </c>
      <c r="Q2147">
        <v>0</v>
      </c>
      <c r="R2147">
        <v>8000</v>
      </c>
      <c r="S2147">
        <v>8000</v>
      </c>
      <c r="T2147">
        <v>0</v>
      </c>
      <c r="U2147" t="str">
        <f>IF(SeismicData[[#This Row],[class]]=1,"Dangerous","Safe")</f>
        <v>Safe</v>
      </c>
      <c r="V2147" t="str">
        <f>IF(SeismicData[[#This Row],[shift]]="W","Production","Non-Production")</f>
        <v>Production</v>
      </c>
      <c r="W2147" t="str">
        <f>IF(SeismicData[[#This Row],[genergy]]=0,"0","10^"&amp;INT(LOG10(SeismicData[[#This Row],[genergy]])))</f>
        <v>10^4</v>
      </c>
      <c r="X2147" t="str">
        <f>IF(OR(SeismicData[[#This Row],[genergy]]&lt;$AA$6,SeismicData[[#This Row],[genergy]]&gt;$AA$5),"Outlier","Normal")</f>
        <v>Normal</v>
      </c>
    </row>
    <row r="2148" spans="1:24" x14ac:dyDescent="0.15">
      <c r="A2148">
        <v>2147</v>
      </c>
      <c r="B2148" t="s">
        <v>20</v>
      </c>
      <c r="C2148" t="s">
        <v>20</v>
      </c>
      <c r="D2148" t="s">
        <v>22</v>
      </c>
      <c r="E2148">
        <v>14210</v>
      </c>
      <c r="F2148">
        <v>469</v>
      </c>
      <c r="G2148">
        <v>-53</v>
      </c>
      <c r="H2148">
        <v>-8</v>
      </c>
      <c r="I2148" t="s">
        <v>20</v>
      </c>
      <c r="J2148">
        <v>0</v>
      </c>
      <c r="K2148">
        <v>0</v>
      </c>
      <c r="L2148">
        <v>0</v>
      </c>
      <c r="M2148">
        <v>0</v>
      </c>
      <c r="N2148">
        <v>0</v>
      </c>
      <c r="O2148">
        <v>0</v>
      </c>
      <c r="P2148">
        <v>0</v>
      </c>
      <c r="Q2148">
        <v>0</v>
      </c>
      <c r="R2148">
        <v>0</v>
      </c>
      <c r="S2148">
        <v>0</v>
      </c>
      <c r="T2148">
        <v>0</v>
      </c>
      <c r="U2148" t="str">
        <f>IF(SeismicData[[#This Row],[class]]=1,"Dangerous","Safe")</f>
        <v>Safe</v>
      </c>
      <c r="V2148" t="str">
        <f>IF(SeismicData[[#This Row],[shift]]="W","Production","Non-Production")</f>
        <v>Production</v>
      </c>
      <c r="W2148" t="str">
        <f>IF(SeismicData[[#This Row],[genergy]]=0,"0","10^"&amp;INT(LOG10(SeismicData[[#This Row],[genergy]])))</f>
        <v>10^4</v>
      </c>
      <c r="X2148" t="str">
        <f>IF(OR(SeismicData[[#This Row],[genergy]]&lt;$AA$6,SeismicData[[#This Row],[genergy]]&gt;$AA$5),"Outlier","Normal")</f>
        <v>Normal</v>
      </c>
    </row>
    <row r="2149" spans="1:24" x14ac:dyDescent="0.15">
      <c r="A2149">
        <v>2148</v>
      </c>
      <c r="B2149" t="s">
        <v>20</v>
      </c>
      <c r="C2149" t="s">
        <v>20</v>
      </c>
      <c r="D2149" t="s">
        <v>22</v>
      </c>
      <c r="E2149">
        <v>15080</v>
      </c>
      <c r="F2149">
        <v>351</v>
      </c>
      <c r="G2149">
        <v>-50</v>
      </c>
      <c r="H2149">
        <v>-32</v>
      </c>
      <c r="I2149" t="s">
        <v>20</v>
      </c>
      <c r="J2149">
        <v>0</v>
      </c>
      <c r="K2149">
        <v>0</v>
      </c>
      <c r="L2149">
        <v>0</v>
      </c>
      <c r="M2149">
        <v>0</v>
      </c>
      <c r="N2149">
        <v>0</v>
      </c>
      <c r="O2149">
        <v>0</v>
      </c>
      <c r="P2149">
        <v>0</v>
      </c>
      <c r="Q2149">
        <v>0</v>
      </c>
      <c r="R2149">
        <v>0</v>
      </c>
      <c r="S2149">
        <v>0</v>
      </c>
      <c r="T2149">
        <v>0</v>
      </c>
      <c r="U2149" t="str">
        <f>IF(SeismicData[[#This Row],[class]]=1,"Dangerous","Safe")</f>
        <v>Safe</v>
      </c>
      <c r="V2149" t="str">
        <f>IF(SeismicData[[#This Row],[shift]]="W","Production","Non-Production")</f>
        <v>Production</v>
      </c>
      <c r="W2149" t="str">
        <f>IF(SeismicData[[#This Row],[genergy]]=0,"0","10^"&amp;INT(LOG10(SeismicData[[#This Row],[genergy]])))</f>
        <v>10^4</v>
      </c>
      <c r="X2149" t="str">
        <f>IF(OR(SeismicData[[#This Row],[genergy]]&lt;$AA$6,SeismicData[[#This Row],[genergy]]&gt;$AA$5),"Outlier","Normal")</f>
        <v>Normal</v>
      </c>
    </row>
    <row r="2150" spans="1:24" x14ac:dyDescent="0.15">
      <c r="A2150">
        <v>2149</v>
      </c>
      <c r="B2150" t="s">
        <v>20</v>
      </c>
      <c r="C2150" t="s">
        <v>20</v>
      </c>
      <c r="D2150" t="s">
        <v>22</v>
      </c>
      <c r="E2150">
        <v>28140</v>
      </c>
      <c r="F2150">
        <v>443</v>
      </c>
      <c r="G2150">
        <v>-6</v>
      </c>
      <c r="H2150">
        <v>-14</v>
      </c>
      <c r="I2150" t="s">
        <v>20</v>
      </c>
      <c r="J2150">
        <v>0</v>
      </c>
      <c r="K2150">
        <v>0</v>
      </c>
      <c r="L2150">
        <v>0</v>
      </c>
      <c r="M2150">
        <v>0</v>
      </c>
      <c r="N2150">
        <v>0</v>
      </c>
      <c r="O2150">
        <v>0</v>
      </c>
      <c r="P2150">
        <v>0</v>
      </c>
      <c r="Q2150">
        <v>0</v>
      </c>
      <c r="R2150">
        <v>0</v>
      </c>
      <c r="S2150">
        <v>0</v>
      </c>
      <c r="T2150">
        <v>0</v>
      </c>
      <c r="U2150" t="str">
        <f>IF(SeismicData[[#This Row],[class]]=1,"Dangerous","Safe")</f>
        <v>Safe</v>
      </c>
      <c r="V2150" t="str">
        <f>IF(SeismicData[[#This Row],[shift]]="W","Production","Non-Production")</f>
        <v>Production</v>
      </c>
      <c r="W2150" t="str">
        <f>IF(SeismicData[[#This Row],[genergy]]=0,"0","10^"&amp;INT(LOG10(SeismicData[[#This Row],[genergy]])))</f>
        <v>10^4</v>
      </c>
      <c r="X2150" t="str">
        <f>IF(OR(SeismicData[[#This Row],[genergy]]&lt;$AA$6,SeismicData[[#This Row],[genergy]]&gt;$AA$5),"Outlier","Normal")</f>
        <v>Normal</v>
      </c>
    </row>
    <row r="2151" spans="1:24" x14ac:dyDescent="0.15">
      <c r="A2151">
        <v>2150</v>
      </c>
      <c r="B2151" t="s">
        <v>20</v>
      </c>
      <c r="C2151" t="s">
        <v>20</v>
      </c>
      <c r="D2151" t="s">
        <v>22</v>
      </c>
      <c r="E2151">
        <v>42010</v>
      </c>
      <c r="F2151">
        <v>601</v>
      </c>
      <c r="G2151">
        <v>40</v>
      </c>
      <c r="H2151">
        <v>17</v>
      </c>
      <c r="I2151" t="s">
        <v>20</v>
      </c>
      <c r="J2151">
        <v>0</v>
      </c>
      <c r="K2151">
        <v>0</v>
      </c>
      <c r="L2151">
        <v>0</v>
      </c>
      <c r="M2151">
        <v>0</v>
      </c>
      <c r="N2151">
        <v>0</v>
      </c>
      <c r="O2151">
        <v>0</v>
      </c>
      <c r="P2151">
        <v>0</v>
      </c>
      <c r="Q2151">
        <v>0</v>
      </c>
      <c r="R2151">
        <v>0</v>
      </c>
      <c r="S2151">
        <v>0</v>
      </c>
      <c r="T2151">
        <v>0</v>
      </c>
      <c r="U2151" t="str">
        <f>IF(SeismicData[[#This Row],[class]]=1,"Dangerous","Safe")</f>
        <v>Safe</v>
      </c>
      <c r="V2151" t="str">
        <f>IF(SeismicData[[#This Row],[shift]]="W","Production","Non-Production")</f>
        <v>Production</v>
      </c>
      <c r="W2151" t="str">
        <f>IF(SeismicData[[#This Row],[genergy]]=0,"0","10^"&amp;INT(LOG10(SeismicData[[#This Row],[genergy]])))</f>
        <v>10^4</v>
      </c>
      <c r="X2151" t="str">
        <f>IF(OR(SeismicData[[#This Row],[genergy]]&lt;$AA$6,SeismicData[[#This Row],[genergy]]&gt;$AA$5),"Outlier","Normal")</f>
        <v>Normal</v>
      </c>
    </row>
    <row r="2152" spans="1:24" x14ac:dyDescent="0.15">
      <c r="A2152">
        <v>2151</v>
      </c>
      <c r="B2152" t="s">
        <v>20</v>
      </c>
      <c r="C2152" t="s">
        <v>20</v>
      </c>
      <c r="D2152" t="s">
        <v>22</v>
      </c>
      <c r="E2152">
        <v>28450</v>
      </c>
      <c r="F2152">
        <v>528</v>
      </c>
      <c r="G2152">
        <v>3</v>
      </c>
      <c r="H2152">
        <v>9</v>
      </c>
      <c r="I2152" t="s">
        <v>20</v>
      </c>
      <c r="J2152">
        <v>0</v>
      </c>
      <c r="K2152">
        <v>0</v>
      </c>
      <c r="L2152">
        <v>0</v>
      </c>
      <c r="M2152">
        <v>0</v>
      </c>
      <c r="N2152">
        <v>0</v>
      </c>
      <c r="O2152">
        <v>0</v>
      </c>
      <c r="P2152">
        <v>0</v>
      </c>
      <c r="Q2152">
        <v>0</v>
      </c>
      <c r="R2152">
        <v>0</v>
      </c>
      <c r="S2152">
        <v>0</v>
      </c>
      <c r="T2152">
        <v>0</v>
      </c>
      <c r="U2152" t="str">
        <f>IF(SeismicData[[#This Row],[class]]=1,"Dangerous","Safe")</f>
        <v>Safe</v>
      </c>
      <c r="V2152" t="str">
        <f>IF(SeismicData[[#This Row],[shift]]="W","Production","Non-Production")</f>
        <v>Production</v>
      </c>
      <c r="W2152" t="str">
        <f>IF(SeismicData[[#This Row],[genergy]]=0,"0","10^"&amp;INT(LOG10(SeismicData[[#This Row],[genergy]])))</f>
        <v>10^4</v>
      </c>
      <c r="X2152" t="str">
        <f>IF(OR(SeismicData[[#This Row],[genergy]]&lt;$AA$6,SeismicData[[#This Row],[genergy]]&gt;$AA$5),"Outlier","Normal")</f>
        <v>Normal</v>
      </c>
    </row>
    <row r="2153" spans="1:24" x14ac:dyDescent="0.15">
      <c r="A2153">
        <v>2152</v>
      </c>
      <c r="B2153" t="s">
        <v>20</v>
      </c>
      <c r="C2153" t="s">
        <v>20</v>
      </c>
      <c r="D2153" t="s">
        <v>22</v>
      </c>
      <c r="E2153">
        <v>77740</v>
      </c>
      <c r="F2153">
        <v>758</v>
      </c>
      <c r="G2153">
        <v>182</v>
      </c>
      <c r="H2153">
        <v>57</v>
      </c>
      <c r="I2153" t="s">
        <v>20</v>
      </c>
      <c r="J2153">
        <v>2</v>
      </c>
      <c r="K2153">
        <v>1</v>
      </c>
      <c r="L2153">
        <v>1</v>
      </c>
      <c r="M2153">
        <v>0</v>
      </c>
      <c r="N2153">
        <v>0</v>
      </c>
      <c r="O2153">
        <v>0</v>
      </c>
      <c r="P2153">
        <v>0</v>
      </c>
      <c r="Q2153">
        <v>0</v>
      </c>
      <c r="R2153">
        <v>1200</v>
      </c>
      <c r="S2153">
        <v>1000</v>
      </c>
      <c r="T2153">
        <v>1</v>
      </c>
      <c r="U2153" t="str">
        <f>IF(SeismicData[[#This Row],[class]]=1,"Dangerous","Safe")</f>
        <v>Dangerous</v>
      </c>
      <c r="V2153" t="str">
        <f>IF(SeismicData[[#This Row],[shift]]="W","Production","Non-Production")</f>
        <v>Production</v>
      </c>
      <c r="W2153" t="str">
        <f>IF(SeismicData[[#This Row],[genergy]]=0,"0","10^"&amp;INT(LOG10(SeismicData[[#This Row],[genergy]])))</f>
        <v>10^4</v>
      </c>
      <c r="X2153" t="str">
        <f>IF(OR(SeismicData[[#This Row],[genergy]]&lt;$AA$6,SeismicData[[#This Row],[genergy]]&gt;$AA$5),"Outlier","Normal")</f>
        <v>Normal</v>
      </c>
    </row>
    <row r="2154" spans="1:24" x14ac:dyDescent="0.15">
      <c r="A2154">
        <v>2153</v>
      </c>
      <c r="B2154" t="s">
        <v>20</v>
      </c>
      <c r="C2154" t="s">
        <v>20</v>
      </c>
      <c r="D2154" t="s">
        <v>22</v>
      </c>
      <c r="E2154">
        <v>39900</v>
      </c>
      <c r="F2154">
        <v>573</v>
      </c>
      <c r="G2154">
        <v>45</v>
      </c>
      <c r="H2154">
        <v>19</v>
      </c>
      <c r="I2154" t="s">
        <v>20</v>
      </c>
      <c r="J2154">
        <v>1</v>
      </c>
      <c r="K2154">
        <v>0</v>
      </c>
      <c r="L2154">
        <v>0</v>
      </c>
      <c r="M2154">
        <v>1</v>
      </c>
      <c r="N2154">
        <v>0</v>
      </c>
      <c r="O2154">
        <v>0</v>
      </c>
      <c r="P2154">
        <v>0</v>
      </c>
      <c r="Q2154">
        <v>0</v>
      </c>
      <c r="R2154">
        <v>40000</v>
      </c>
      <c r="S2154">
        <v>40000</v>
      </c>
      <c r="T2154">
        <v>0</v>
      </c>
      <c r="U2154" t="str">
        <f>IF(SeismicData[[#This Row],[class]]=1,"Dangerous","Safe")</f>
        <v>Safe</v>
      </c>
      <c r="V2154" t="str">
        <f>IF(SeismicData[[#This Row],[shift]]="W","Production","Non-Production")</f>
        <v>Production</v>
      </c>
      <c r="W2154" t="str">
        <f>IF(SeismicData[[#This Row],[genergy]]=0,"0","10^"&amp;INT(LOG10(SeismicData[[#This Row],[genergy]])))</f>
        <v>10^4</v>
      </c>
      <c r="X2154" t="str">
        <f>IF(OR(SeismicData[[#This Row],[genergy]]&lt;$AA$6,SeismicData[[#This Row],[genergy]]&gt;$AA$5),"Outlier","Normal")</f>
        <v>Normal</v>
      </c>
    </row>
    <row r="2155" spans="1:24" x14ac:dyDescent="0.15">
      <c r="A2155">
        <v>2154</v>
      </c>
      <c r="B2155" t="s">
        <v>20</v>
      </c>
      <c r="C2155" t="s">
        <v>20</v>
      </c>
      <c r="D2155" t="s">
        <v>22</v>
      </c>
      <c r="E2155">
        <v>31220</v>
      </c>
      <c r="F2155">
        <v>530</v>
      </c>
      <c r="G2155">
        <v>13</v>
      </c>
      <c r="H2155">
        <v>10</v>
      </c>
      <c r="I2155" t="s">
        <v>20</v>
      </c>
      <c r="J2155">
        <v>0</v>
      </c>
      <c r="K2155">
        <v>0</v>
      </c>
      <c r="L2155">
        <v>0</v>
      </c>
      <c r="M2155">
        <v>0</v>
      </c>
      <c r="N2155">
        <v>0</v>
      </c>
      <c r="O2155">
        <v>0</v>
      </c>
      <c r="P2155">
        <v>0</v>
      </c>
      <c r="Q2155">
        <v>0</v>
      </c>
      <c r="R2155">
        <v>0</v>
      </c>
      <c r="S2155">
        <v>0</v>
      </c>
      <c r="T2155">
        <v>0</v>
      </c>
      <c r="U2155" t="str">
        <f>IF(SeismicData[[#This Row],[class]]=1,"Dangerous","Safe")</f>
        <v>Safe</v>
      </c>
      <c r="V2155" t="str">
        <f>IF(SeismicData[[#This Row],[shift]]="W","Production","Non-Production")</f>
        <v>Production</v>
      </c>
      <c r="W2155" t="str">
        <f>IF(SeismicData[[#This Row],[genergy]]=0,"0","10^"&amp;INT(LOG10(SeismicData[[#This Row],[genergy]])))</f>
        <v>10^4</v>
      </c>
      <c r="X2155" t="str">
        <f>IF(OR(SeismicData[[#This Row],[genergy]]&lt;$AA$6,SeismicData[[#This Row],[genergy]]&gt;$AA$5),"Outlier","Normal")</f>
        <v>Normal</v>
      </c>
    </row>
    <row r="2156" spans="1:24" x14ac:dyDescent="0.15">
      <c r="A2156">
        <v>2155</v>
      </c>
      <c r="B2156" t="s">
        <v>20</v>
      </c>
      <c r="C2156" t="s">
        <v>20</v>
      </c>
      <c r="D2156" t="s">
        <v>22</v>
      </c>
      <c r="E2156">
        <v>46540</v>
      </c>
      <c r="F2156">
        <v>729</v>
      </c>
      <c r="G2156">
        <v>69</v>
      </c>
      <c r="H2156">
        <v>51</v>
      </c>
      <c r="I2156" t="s">
        <v>20</v>
      </c>
      <c r="J2156">
        <v>1</v>
      </c>
      <c r="K2156">
        <v>1</v>
      </c>
      <c r="L2156">
        <v>0</v>
      </c>
      <c r="M2156">
        <v>0</v>
      </c>
      <c r="N2156">
        <v>0</v>
      </c>
      <c r="O2156">
        <v>0</v>
      </c>
      <c r="P2156">
        <v>0</v>
      </c>
      <c r="Q2156">
        <v>0</v>
      </c>
      <c r="R2156">
        <v>300</v>
      </c>
      <c r="S2156">
        <v>300</v>
      </c>
      <c r="T2156">
        <v>1</v>
      </c>
      <c r="U2156" t="str">
        <f>IF(SeismicData[[#This Row],[class]]=1,"Dangerous","Safe")</f>
        <v>Dangerous</v>
      </c>
      <c r="V2156" t="str">
        <f>IF(SeismicData[[#This Row],[shift]]="W","Production","Non-Production")</f>
        <v>Production</v>
      </c>
      <c r="W2156" t="str">
        <f>IF(SeismicData[[#This Row],[genergy]]=0,"0","10^"&amp;INT(LOG10(SeismicData[[#This Row],[genergy]])))</f>
        <v>10^4</v>
      </c>
      <c r="X2156" t="str">
        <f>IF(OR(SeismicData[[#This Row],[genergy]]&lt;$AA$6,SeismicData[[#This Row],[genergy]]&gt;$AA$5),"Outlier","Normal")</f>
        <v>Normal</v>
      </c>
    </row>
    <row r="2157" spans="1:24" x14ac:dyDescent="0.15">
      <c r="A2157">
        <v>2156</v>
      </c>
      <c r="B2157" t="s">
        <v>20</v>
      </c>
      <c r="C2157" t="s">
        <v>20</v>
      </c>
      <c r="D2157" t="s">
        <v>22</v>
      </c>
      <c r="E2157">
        <v>64150</v>
      </c>
      <c r="F2157">
        <v>872</v>
      </c>
      <c r="G2157">
        <v>133</v>
      </c>
      <c r="H2157">
        <v>81</v>
      </c>
      <c r="I2157" t="s">
        <v>20</v>
      </c>
      <c r="J2157">
        <v>1</v>
      </c>
      <c r="K2157">
        <v>0</v>
      </c>
      <c r="L2157">
        <v>0</v>
      </c>
      <c r="M2157">
        <v>1</v>
      </c>
      <c r="N2157">
        <v>0</v>
      </c>
      <c r="O2157">
        <v>0</v>
      </c>
      <c r="P2157">
        <v>0</v>
      </c>
      <c r="Q2157">
        <v>0</v>
      </c>
      <c r="R2157">
        <v>20000</v>
      </c>
      <c r="S2157">
        <v>20000</v>
      </c>
      <c r="T2157">
        <v>0</v>
      </c>
      <c r="U2157" t="str">
        <f>IF(SeismicData[[#This Row],[class]]=1,"Dangerous","Safe")</f>
        <v>Safe</v>
      </c>
      <c r="V2157" t="str">
        <f>IF(SeismicData[[#This Row],[shift]]="W","Production","Non-Production")</f>
        <v>Production</v>
      </c>
      <c r="W2157" t="str">
        <f>IF(SeismicData[[#This Row],[genergy]]=0,"0","10^"&amp;INT(LOG10(SeismicData[[#This Row],[genergy]])))</f>
        <v>10^4</v>
      </c>
      <c r="X2157" t="str">
        <f>IF(OR(SeismicData[[#This Row],[genergy]]&lt;$AA$6,SeismicData[[#This Row],[genergy]]&gt;$AA$5),"Outlier","Normal")</f>
        <v>Normal</v>
      </c>
    </row>
    <row r="2158" spans="1:24" x14ac:dyDescent="0.15">
      <c r="A2158">
        <v>2157</v>
      </c>
      <c r="B2158" t="s">
        <v>20</v>
      </c>
      <c r="C2158" t="s">
        <v>20</v>
      </c>
      <c r="D2158" t="s">
        <v>22</v>
      </c>
      <c r="E2158">
        <v>45940</v>
      </c>
      <c r="F2158">
        <v>702</v>
      </c>
      <c r="G2158">
        <v>67</v>
      </c>
      <c r="H2158">
        <v>45</v>
      </c>
      <c r="I2158" t="s">
        <v>20</v>
      </c>
      <c r="J2158">
        <v>0</v>
      </c>
      <c r="K2158">
        <v>0</v>
      </c>
      <c r="L2158">
        <v>0</v>
      </c>
      <c r="M2158">
        <v>0</v>
      </c>
      <c r="N2158">
        <v>0</v>
      </c>
      <c r="O2158">
        <v>0</v>
      </c>
      <c r="P2158">
        <v>0</v>
      </c>
      <c r="Q2158">
        <v>0</v>
      </c>
      <c r="R2158">
        <v>0</v>
      </c>
      <c r="S2158">
        <v>0</v>
      </c>
      <c r="T2158">
        <v>0</v>
      </c>
      <c r="U2158" t="str">
        <f>IF(SeismicData[[#This Row],[class]]=1,"Dangerous","Safe")</f>
        <v>Safe</v>
      </c>
      <c r="V2158" t="str">
        <f>IF(SeismicData[[#This Row],[shift]]="W","Production","Non-Production")</f>
        <v>Production</v>
      </c>
      <c r="W2158" t="str">
        <f>IF(SeismicData[[#This Row],[genergy]]=0,"0","10^"&amp;INT(LOG10(SeismicData[[#This Row],[genergy]])))</f>
        <v>10^4</v>
      </c>
      <c r="X2158" t="str">
        <f>IF(OR(SeismicData[[#This Row],[genergy]]&lt;$AA$6,SeismicData[[#This Row],[genergy]]&gt;$AA$5),"Outlier","Normal")</f>
        <v>Normal</v>
      </c>
    </row>
    <row r="2159" spans="1:24" x14ac:dyDescent="0.15">
      <c r="A2159">
        <v>2158</v>
      </c>
      <c r="B2159" t="s">
        <v>20</v>
      </c>
      <c r="C2159" t="s">
        <v>20</v>
      </c>
      <c r="D2159" t="s">
        <v>22</v>
      </c>
      <c r="E2159">
        <v>27350</v>
      </c>
      <c r="F2159">
        <v>602</v>
      </c>
      <c r="G2159">
        <v>-1</v>
      </c>
      <c r="H2159">
        <v>25</v>
      </c>
      <c r="I2159" t="s">
        <v>20</v>
      </c>
      <c r="J2159">
        <v>1</v>
      </c>
      <c r="K2159">
        <v>1</v>
      </c>
      <c r="L2159">
        <v>0</v>
      </c>
      <c r="M2159">
        <v>0</v>
      </c>
      <c r="N2159">
        <v>0</v>
      </c>
      <c r="O2159">
        <v>0</v>
      </c>
      <c r="P2159">
        <v>0</v>
      </c>
      <c r="Q2159">
        <v>0</v>
      </c>
      <c r="R2159">
        <v>200</v>
      </c>
      <c r="S2159">
        <v>200</v>
      </c>
      <c r="T2159">
        <v>0</v>
      </c>
      <c r="U2159" t="str">
        <f>IF(SeismicData[[#This Row],[class]]=1,"Dangerous","Safe")</f>
        <v>Safe</v>
      </c>
      <c r="V2159" t="str">
        <f>IF(SeismicData[[#This Row],[shift]]="W","Production","Non-Production")</f>
        <v>Production</v>
      </c>
      <c r="W2159" t="str">
        <f>IF(SeismicData[[#This Row],[genergy]]=0,"0","10^"&amp;INT(LOG10(SeismicData[[#This Row],[genergy]])))</f>
        <v>10^4</v>
      </c>
      <c r="X2159" t="str">
        <f>IF(OR(SeismicData[[#This Row],[genergy]]&lt;$AA$6,SeismicData[[#This Row],[genergy]]&gt;$AA$5),"Outlier","Normal")</f>
        <v>Normal</v>
      </c>
    </row>
    <row r="2160" spans="1:24" x14ac:dyDescent="0.15">
      <c r="A2160">
        <v>2159</v>
      </c>
      <c r="B2160" t="s">
        <v>23</v>
      </c>
      <c r="C2160" t="s">
        <v>20</v>
      </c>
      <c r="D2160" t="s">
        <v>22</v>
      </c>
      <c r="E2160">
        <v>10220</v>
      </c>
      <c r="F2160">
        <v>408</v>
      </c>
      <c r="G2160">
        <v>-62</v>
      </c>
      <c r="H2160">
        <v>-14</v>
      </c>
      <c r="I2160" t="s">
        <v>20</v>
      </c>
      <c r="J2160">
        <v>0</v>
      </c>
      <c r="K2160">
        <v>0</v>
      </c>
      <c r="L2160">
        <v>0</v>
      </c>
      <c r="M2160">
        <v>0</v>
      </c>
      <c r="N2160">
        <v>0</v>
      </c>
      <c r="O2160">
        <v>0</v>
      </c>
      <c r="P2160">
        <v>0</v>
      </c>
      <c r="Q2160">
        <v>0</v>
      </c>
      <c r="R2160">
        <v>0</v>
      </c>
      <c r="S2160">
        <v>0</v>
      </c>
      <c r="T2160">
        <v>0</v>
      </c>
      <c r="U2160" t="str">
        <f>IF(SeismicData[[#This Row],[class]]=1,"Dangerous","Safe")</f>
        <v>Safe</v>
      </c>
      <c r="V2160" t="str">
        <f>IF(SeismicData[[#This Row],[shift]]="W","Production","Non-Production")</f>
        <v>Production</v>
      </c>
      <c r="W2160" t="str">
        <f>IF(SeismicData[[#This Row],[genergy]]=0,"0","10^"&amp;INT(LOG10(SeismicData[[#This Row],[genergy]])))</f>
        <v>10^4</v>
      </c>
      <c r="X2160" t="str">
        <f>IF(OR(SeismicData[[#This Row],[genergy]]&lt;$AA$6,SeismicData[[#This Row],[genergy]]&gt;$AA$5),"Outlier","Normal")</f>
        <v>Normal</v>
      </c>
    </row>
    <row r="2161" spans="1:24" x14ac:dyDescent="0.15">
      <c r="A2161">
        <v>2160</v>
      </c>
      <c r="B2161" t="s">
        <v>23</v>
      </c>
      <c r="C2161" t="s">
        <v>20</v>
      </c>
      <c r="D2161" t="s">
        <v>22</v>
      </c>
      <c r="E2161">
        <v>24400</v>
      </c>
      <c r="F2161">
        <v>352</v>
      </c>
      <c r="G2161">
        <v>-10</v>
      </c>
      <c r="H2161">
        <v>-25</v>
      </c>
      <c r="I2161" t="s">
        <v>20</v>
      </c>
      <c r="J2161">
        <v>1</v>
      </c>
      <c r="K2161">
        <v>0</v>
      </c>
      <c r="L2161">
        <v>1</v>
      </c>
      <c r="M2161">
        <v>0</v>
      </c>
      <c r="N2161">
        <v>0</v>
      </c>
      <c r="O2161">
        <v>0</v>
      </c>
      <c r="P2161">
        <v>0</v>
      </c>
      <c r="Q2161">
        <v>0</v>
      </c>
      <c r="R2161">
        <v>2000</v>
      </c>
      <c r="S2161">
        <v>2000</v>
      </c>
      <c r="T2161">
        <v>0</v>
      </c>
      <c r="U2161" t="str">
        <f>IF(SeismicData[[#This Row],[class]]=1,"Dangerous","Safe")</f>
        <v>Safe</v>
      </c>
      <c r="V2161" t="str">
        <f>IF(SeismicData[[#This Row],[shift]]="W","Production","Non-Production")</f>
        <v>Production</v>
      </c>
      <c r="W2161" t="str">
        <f>IF(SeismicData[[#This Row],[genergy]]=0,"0","10^"&amp;INT(LOG10(SeismicData[[#This Row],[genergy]])))</f>
        <v>10^4</v>
      </c>
      <c r="X2161" t="str">
        <f>IF(OR(SeismicData[[#This Row],[genergy]]&lt;$AA$6,SeismicData[[#This Row],[genergy]]&gt;$AA$5),"Outlier","Normal")</f>
        <v>Normal</v>
      </c>
    </row>
    <row r="2162" spans="1:24" x14ac:dyDescent="0.15">
      <c r="A2162">
        <v>2161</v>
      </c>
      <c r="B2162" t="s">
        <v>23</v>
      </c>
      <c r="C2162" t="s">
        <v>20</v>
      </c>
      <c r="D2162" t="s">
        <v>22</v>
      </c>
      <c r="E2162">
        <v>17120</v>
      </c>
      <c r="F2162">
        <v>332</v>
      </c>
      <c r="G2162">
        <v>-37</v>
      </c>
      <c r="H2162">
        <v>-30</v>
      </c>
      <c r="I2162" t="s">
        <v>20</v>
      </c>
      <c r="J2162">
        <v>0</v>
      </c>
      <c r="K2162">
        <v>0</v>
      </c>
      <c r="L2162">
        <v>0</v>
      </c>
      <c r="M2162">
        <v>0</v>
      </c>
      <c r="N2162">
        <v>0</v>
      </c>
      <c r="O2162">
        <v>0</v>
      </c>
      <c r="P2162">
        <v>0</v>
      </c>
      <c r="Q2162">
        <v>0</v>
      </c>
      <c r="R2162">
        <v>0</v>
      </c>
      <c r="S2162">
        <v>0</v>
      </c>
      <c r="T2162">
        <v>0</v>
      </c>
      <c r="U2162" t="str">
        <f>IF(SeismicData[[#This Row],[class]]=1,"Dangerous","Safe")</f>
        <v>Safe</v>
      </c>
      <c r="V2162" t="str">
        <f>IF(SeismicData[[#This Row],[shift]]="W","Production","Non-Production")</f>
        <v>Production</v>
      </c>
      <c r="W2162" t="str">
        <f>IF(SeismicData[[#This Row],[genergy]]=0,"0","10^"&amp;INT(LOG10(SeismicData[[#This Row],[genergy]])))</f>
        <v>10^4</v>
      </c>
      <c r="X2162" t="str">
        <f>IF(OR(SeismicData[[#This Row],[genergy]]&lt;$AA$6,SeismicData[[#This Row],[genergy]]&gt;$AA$5),"Outlier","Normal")</f>
        <v>Normal</v>
      </c>
    </row>
    <row r="2163" spans="1:24" x14ac:dyDescent="0.15">
      <c r="A2163">
        <v>2162</v>
      </c>
      <c r="B2163" t="s">
        <v>23</v>
      </c>
      <c r="C2163" t="s">
        <v>20</v>
      </c>
      <c r="D2163" t="s">
        <v>22</v>
      </c>
      <c r="E2163">
        <v>35540</v>
      </c>
      <c r="F2163">
        <v>487</v>
      </c>
      <c r="G2163">
        <v>31</v>
      </c>
      <c r="H2163">
        <v>3</v>
      </c>
      <c r="I2163" t="s">
        <v>20</v>
      </c>
      <c r="J2163">
        <v>0</v>
      </c>
      <c r="K2163">
        <v>0</v>
      </c>
      <c r="L2163">
        <v>0</v>
      </c>
      <c r="M2163">
        <v>0</v>
      </c>
      <c r="N2163">
        <v>0</v>
      </c>
      <c r="O2163">
        <v>0</v>
      </c>
      <c r="P2163">
        <v>0</v>
      </c>
      <c r="Q2163">
        <v>0</v>
      </c>
      <c r="R2163">
        <v>0</v>
      </c>
      <c r="S2163">
        <v>0</v>
      </c>
      <c r="T2163">
        <v>0</v>
      </c>
      <c r="U2163" t="str">
        <f>IF(SeismicData[[#This Row],[class]]=1,"Dangerous","Safe")</f>
        <v>Safe</v>
      </c>
      <c r="V2163" t="str">
        <f>IF(SeismicData[[#This Row],[shift]]="W","Production","Non-Production")</f>
        <v>Production</v>
      </c>
      <c r="W2163" t="str">
        <f>IF(SeismicData[[#This Row],[genergy]]=0,"0","10^"&amp;INT(LOG10(SeismicData[[#This Row],[genergy]])))</f>
        <v>10^4</v>
      </c>
      <c r="X2163" t="str">
        <f>IF(OR(SeismicData[[#This Row],[genergy]]&lt;$AA$6,SeismicData[[#This Row],[genergy]]&gt;$AA$5),"Outlier","Normal")</f>
        <v>Normal</v>
      </c>
    </row>
    <row r="2164" spans="1:24" x14ac:dyDescent="0.15">
      <c r="A2164">
        <v>2163</v>
      </c>
      <c r="B2164" t="s">
        <v>23</v>
      </c>
      <c r="C2164" t="s">
        <v>20</v>
      </c>
      <c r="D2164" t="s">
        <v>22</v>
      </c>
      <c r="E2164">
        <v>53660</v>
      </c>
      <c r="F2164">
        <v>627</v>
      </c>
      <c r="G2164">
        <v>97</v>
      </c>
      <c r="H2164">
        <v>33</v>
      </c>
      <c r="I2164" t="s">
        <v>20</v>
      </c>
      <c r="J2164">
        <v>3</v>
      </c>
      <c r="K2164">
        <v>2</v>
      </c>
      <c r="L2164">
        <v>1</v>
      </c>
      <c r="M2164">
        <v>0</v>
      </c>
      <c r="N2164">
        <v>0</v>
      </c>
      <c r="O2164">
        <v>0</v>
      </c>
      <c r="P2164">
        <v>0</v>
      </c>
      <c r="Q2164">
        <v>0</v>
      </c>
      <c r="R2164">
        <v>2100</v>
      </c>
      <c r="S2164">
        <v>1000</v>
      </c>
      <c r="T2164">
        <v>0</v>
      </c>
      <c r="U2164" t="str">
        <f>IF(SeismicData[[#This Row],[class]]=1,"Dangerous","Safe")</f>
        <v>Safe</v>
      </c>
      <c r="V2164" t="str">
        <f>IF(SeismicData[[#This Row],[shift]]="W","Production","Non-Production")</f>
        <v>Production</v>
      </c>
      <c r="W2164" t="str">
        <f>IF(SeismicData[[#This Row],[genergy]]=0,"0","10^"&amp;INT(LOG10(SeismicData[[#This Row],[genergy]])))</f>
        <v>10^4</v>
      </c>
      <c r="X2164" t="str">
        <f>IF(OR(SeismicData[[#This Row],[genergy]]&lt;$AA$6,SeismicData[[#This Row],[genergy]]&gt;$AA$5),"Outlier","Normal")</f>
        <v>Normal</v>
      </c>
    </row>
    <row r="2165" spans="1:24" x14ac:dyDescent="0.15">
      <c r="A2165">
        <v>2164</v>
      </c>
      <c r="B2165" t="s">
        <v>23</v>
      </c>
      <c r="C2165" t="s">
        <v>20</v>
      </c>
      <c r="D2165" t="s">
        <v>22</v>
      </c>
      <c r="E2165">
        <v>31560</v>
      </c>
      <c r="F2165">
        <v>491</v>
      </c>
      <c r="G2165">
        <v>16</v>
      </c>
      <c r="H2165">
        <v>4</v>
      </c>
      <c r="I2165" t="s">
        <v>20</v>
      </c>
      <c r="J2165">
        <v>1</v>
      </c>
      <c r="K2165">
        <v>0</v>
      </c>
      <c r="L2165">
        <v>1</v>
      </c>
      <c r="M2165">
        <v>0</v>
      </c>
      <c r="N2165">
        <v>0</v>
      </c>
      <c r="O2165">
        <v>0</v>
      </c>
      <c r="P2165">
        <v>0</v>
      </c>
      <c r="Q2165">
        <v>0</v>
      </c>
      <c r="R2165">
        <v>2000</v>
      </c>
      <c r="S2165">
        <v>2000</v>
      </c>
      <c r="T2165">
        <v>0</v>
      </c>
      <c r="U2165" t="str">
        <f>IF(SeismicData[[#This Row],[class]]=1,"Dangerous","Safe")</f>
        <v>Safe</v>
      </c>
      <c r="V2165" t="str">
        <f>IF(SeismicData[[#This Row],[shift]]="W","Production","Non-Production")</f>
        <v>Production</v>
      </c>
      <c r="W2165" t="str">
        <f>IF(SeismicData[[#This Row],[genergy]]=0,"0","10^"&amp;INT(LOG10(SeismicData[[#This Row],[genergy]])))</f>
        <v>10^4</v>
      </c>
      <c r="X2165" t="str">
        <f>IF(OR(SeismicData[[#This Row],[genergy]]&lt;$AA$6,SeismicData[[#This Row],[genergy]]&gt;$AA$5),"Outlier","Normal")</f>
        <v>Normal</v>
      </c>
    </row>
    <row r="2166" spans="1:24" x14ac:dyDescent="0.15">
      <c r="A2166">
        <v>2165</v>
      </c>
      <c r="B2166" t="s">
        <v>23</v>
      </c>
      <c r="C2166" t="s">
        <v>20</v>
      </c>
      <c r="D2166" t="s">
        <v>22</v>
      </c>
      <c r="E2166">
        <v>45910</v>
      </c>
      <c r="F2166">
        <v>656</v>
      </c>
      <c r="G2166">
        <v>69</v>
      </c>
      <c r="H2166">
        <v>39</v>
      </c>
      <c r="I2166" t="s">
        <v>20</v>
      </c>
      <c r="J2166">
        <v>0</v>
      </c>
      <c r="K2166">
        <v>0</v>
      </c>
      <c r="L2166">
        <v>0</v>
      </c>
      <c r="M2166">
        <v>0</v>
      </c>
      <c r="N2166">
        <v>0</v>
      </c>
      <c r="O2166">
        <v>0</v>
      </c>
      <c r="P2166">
        <v>0</v>
      </c>
      <c r="Q2166">
        <v>0</v>
      </c>
      <c r="R2166">
        <v>0</v>
      </c>
      <c r="S2166">
        <v>0</v>
      </c>
      <c r="T2166">
        <v>0</v>
      </c>
      <c r="U2166" t="str">
        <f>IF(SeismicData[[#This Row],[class]]=1,"Dangerous","Safe")</f>
        <v>Safe</v>
      </c>
      <c r="V2166" t="str">
        <f>IF(SeismicData[[#This Row],[shift]]="W","Production","Non-Production")</f>
        <v>Production</v>
      </c>
      <c r="W2166" t="str">
        <f>IF(SeismicData[[#This Row],[genergy]]=0,"0","10^"&amp;INT(LOG10(SeismicData[[#This Row],[genergy]])))</f>
        <v>10^4</v>
      </c>
      <c r="X2166" t="str">
        <f>IF(OR(SeismicData[[#This Row],[genergy]]&lt;$AA$6,SeismicData[[#This Row],[genergy]]&gt;$AA$5),"Outlier","Normal")</f>
        <v>Normal</v>
      </c>
    </row>
    <row r="2167" spans="1:24" x14ac:dyDescent="0.15">
      <c r="A2167">
        <v>2166</v>
      </c>
      <c r="B2167" t="s">
        <v>23</v>
      </c>
      <c r="C2167" t="s">
        <v>20</v>
      </c>
      <c r="D2167" t="s">
        <v>22</v>
      </c>
      <c r="E2167">
        <v>54920</v>
      </c>
      <c r="F2167">
        <v>801</v>
      </c>
      <c r="G2167">
        <v>102</v>
      </c>
      <c r="H2167">
        <v>70</v>
      </c>
      <c r="I2167" t="s">
        <v>20</v>
      </c>
      <c r="J2167">
        <v>1</v>
      </c>
      <c r="K2167">
        <v>1</v>
      </c>
      <c r="L2167">
        <v>0</v>
      </c>
      <c r="M2167">
        <v>0</v>
      </c>
      <c r="N2167">
        <v>0</v>
      </c>
      <c r="O2167">
        <v>0</v>
      </c>
      <c r="P2167">
        <v>0</v>
      </c>
      <c r="Q2167">
        <v>0</v>
      </c>
      <c r="R2167">
        <v>200</v>
      </c>
      <c r="S2167">
        <v>200</v>
      </c>
      <c r="T2167">
        <v>0</v>
      </c>
      <c r="U2167" t="str">
        <f>IF(SeismicData[[#This Row],[class]]=1,"Dangerous","Safe")</f>
        <v>Safe</v>
      </c>
      <c r="V2167" t="str">
        <f>IF(SeismicData[[#This Row],[shift]]="W","Production","Non-Production")</f>
        <v>Production</v>
      </c>
      <c r="W2167" t="str">
        <f>IF(SeismicData[[#This Row],[genergy]]=0,"0","10^"&amp;INT(LOG10(SeismicData[[#This Row],[genergy]])))</f>
        <v>10^4</v>
      </c>
      <c r="X2167" t="str">
        <f>IF(OR(SeismicData[[#This Row],[genergy]]&lt;$AA$6,SeismicData[[#This Row],[genergy]]&gt;$AA$5),"Outlier","Normal")</f>
        <v>Normal</v>
      </c>
    </row>
    <row r="2168" spans="1:24" x14ac:dyDescent="0.15">
      <c r="A2168">
        <v>2167</v>
      </c>
      <c r="B2168" t="s">
        <v>23</v>
      </c>
      <c r="C2168" t="s">
        <v>20</v>
      </c>
      <c r="D2168" t="s">
        <v>22</v>
      </c>
      <c r="E2168">
        <v>71360</v>
      </c>
      <c r="F2168">
        <v>827</v>
      </c>
      <c r="G2168">
        <v>143</v>
      </c>
      <c r="H2168">
        <v>67</v>
      </c>
      <c r="I2168" t="s">
        <v>20</v>
      </c>
      <c r="J2168">
        <v>2</v>
      </c>
      <c r="K2168">
        <v>1</v>
      </c>
      <c r="L2168">
        <v>1</v>
      </c>
      <c r="M2168">
        <v>0</v>
      </c>
      <c r="N2168">
        <v>0</v>
      </c>
      <c r="O2168">
        <v>0</v>
      </c>
      <c r="P2168">
        <v>0</v>
      </c>
      <c r="Q2168">
        <v>0</v>
      </c>
      <c r="R2168">
        <v>4700</v>
      </c>
      <c r="S2168">
        <v>4000</v>
      </c>
      <c r="T2168">
        <v>0</v>
      </c>
      <c r="U2168" t="str">
        <f>IF(SeismicData[[#This Row],[class]]=1,"Dangerous","Safe")</f>
        <v>Safe</v>
      </c>
      <c r="V2168" t="str">
        <f>IF(SeismicData[[#This Row],[shift]]="W","Production","Non-Production")</f>
        <v>Production</v>
      </c>
      <c r="W2168" t="str">
        <f>IF(SeismicData[[#This Row],[genergy]]=0,"0","10^"&amp;INT(LOG10(SeismicData[[#This Row],[genergy]])))</f>
        <v>10^4</v>
      </c>
      <c r="X2168" t="str">
        <f>IF(OR(SeismicData[[#This Row],[genergy]]&lt;$AA$6,SeismicData[[#This Row],[genergy]]&gt;$AA$5),"Outlier","Normal")</f>
        <v>Normal</v>
      </c>
    </row>
    <row r="2169" spans="1:24" x14ac:dyDescent="0.15">
      <c r="A2169">
        <v>2168</v>
      </c>
      <c r="B2169" t="s">
        <v>23</v>
      </c>
      <c r="C2169" t="s">
        <v>20</v>
      </c>
      <c r="D2169" t="s">
        <v>22</v>
      </c>
      <c r="E2169">
        <v>34740</v>
      </c>
      <c r="F2169">
        <v>563</v>
      </c>
      <c r="G2169">
        <v>18</v>
      </c>
      <c r="H2169">
        <v>13</v>
      </c>
      <c r="I2169" t="s">
        <v>20</v>
      </c>
      <c r="J2169">
        <v>0</v>
      </c>
      <c r="K2169">
        <v>0</v>
      </c>
      <c r="L2169">
        <v>0</v>
      </c>
      <c r="M2169">
        <v>0</v>
      </c>
      <c r="N2169">
        <v>0</v>
      </c>
      <c r="O2169">
        <v>0</v>
      </c>
      <c r="P2169">
        <v>0</v>
      </c>
      <c r="Q2169">
        <v>0</v>
      </c>
      <c r="R2169">
        <v>0</v>
      </c>
      <c r="S2169">
        <v>0</v>
      </c>
      <c r="T2169">
        <v>0</v>
      </c>
      <c r="U2169" t="str">
        <f>IF(SeismicData[[#This Row],[class]]=1,"Dangerous","Safe")</f>
        <v>Safe</v>
      </c>
      <c r="V2169" t="str">
        <f>IF(SeismicData[[#This Row],[shift]]="W","Production","Non-Production")</f>
        <v>Production</v>
      </c>
      <c r="W2169" t="str">
        <f>IF(SeismicData[[#This Row],[genergy]]=0,"0","10^"&amp;INT(LOG10(SeismicData[[#This Row],[genergy]])))</f>
        <v>10^4</v>
      </c>
      <c r="X2169" t="str">
        <f>IF(OR(SeismicData[[#This Row],[genergy]]&lt;$AA$6,SeismicData[[#This Row],[genergy]]&gt;$AA$5),"Outlier","Normal")</f>
        <v>Normal</v>
      </c>
    </row>
    <row r="2170" spans="1:24" x14ac:dyDescent="0.15">
      <c r="A2170">
        <v>2169</v>
      </c>
      <c r="B2170" t="s">
        <v>23</v>
      </c>
      <c r="C2170" t="s">
        <v>20</v>
      </c>
      <c r="D2170" t="s">
        <v>22</v>
      </c>
      <c r="E2170">
        <v>39830</v>
      </c>
      <c r="F2170">
        <v>636</v>
      </c>
      <c r="G2170">
        <v>36</v>
      </c>
      <c r="H2170">
        <v>28</v>
      </c>
      <c r="I2170" t="s">
        <v>20</v>
      </c>
      <c r="J2170">
        <v>0</v>
      </c>
      <c r="K2170">
        <v>0</v>
      </c>
      <c r="L2170">
        <v>0</v>
      </c>
      <c r="M2170">
        <v>0</v>
      </c>
      <c r="N2170">
        <v>0</v>
      </c>
      <c r="O2170">
        <v>0</v>
      </c>
      <c r="P2170">
        <v>0</v>
      </c>
      <c r="Q2170">
        <v>0</v>
      </c>
      <c r="R2170">
        <v>0</v>
      </c>
      <c r="S2170">
        <v>0</v>
      </c>
      <c r="T2170">
        <v>0</v>
      </c>
      <c r="U2170" t="str">
        <f>IF(SeismicData[[#This Row],[class]]=1,"Dangerous","Safe")</f>
        <v>Safe</v>
      </c>
      <c r="V2170" t="str">
        <f>IF(SeismicData[[#This Row],[shift]]="W","Production","Non-Production")</f>
        <v>Production</v>
      </c>
      <c r="W2170" t="str">
        <f>IF(SeismicData[[#This Row],[genergy]]=0,"0","10^"&amp;INT(LOG10(SeismicData[[#This Row],[genergy]])))</f>
        <v>10^4</v>
      </c>
      <c r="X2170" t="str">
        <f>IF(OR(SeismicData[[#This Row],[genergy]]&lt;$AA$6,SeismicData[[#This Row],[genergy]]&gt;$AA$5),"Outlier","Normal")</f>
        <v>Normal</v>
      </c>
    </row>
    <row r="2171" spans="1:24" x14ac:dyDescent="0.15">
      <c r="A2171">
        <v>2170</v>
      </c>
      <c r="B2171" t="s">
        <v>23</v>
      </c>
      <c r="C2171" t="s">
        <v>20</v>
      </c>
      <c r="D2171" t="s">
        <v>22</v>
      </c>
      <c r="E2171">
        <v>55130</v>
      </c>
      <c r="F2171">
        <v>800</v>
      </c>
      <c r="G2171">
        <v>88</v>
      </c>
      <c r="H2171">
        <v>61</v>
      </c>
      <c r="I2171" t="s">
        <v>20</v>
      </c>
      <c r="J2171">
        <v>0</v>
      </c>
      <c r="K2171">
        <v>0</v>
      </c>
      <c r="L2171">
        <v>0</v>
      </c>
      <c r="M2171">
        <v>0</v>
      </c>
      <c r="N2171">
        <v>0</v>
      </c>
      <c r="O2171">
        <v>0</v>
      </c>
      <c r="P2171">
        <v>0</v>
      </c>
      <c r="Q2171">
        <v>0</v>
      </c>
      <c r="R2171">
        <v>0</v>
      </c>
      <c r="S2171">
        <v>0</v>
      </c>
      <c r="T2171">
        <v>0</v>
      </c>
      <c r="U2171" t="str">
        <f>IF(SeismicData[[#This Row],[class]]=1,"Dangerous","Safe")</f>
        <v>Safe</v>
      </c>
      <c r="V2171" t="str">
        <f>IF(SeismicData[[#This Row],[shift]]="W","Production","Non-Production")</f>
        <v>Production</v>
      </c>
      <c r="W2171" t="str">
        <f>IF(SeismicData[[#This Row],[genergy]]=0,"0","10^"&amp;INT(LOG10(SeismicData[[#This Row],[genergy]])))</f>
        <v>10^4</v>
      </c>
      <c r="X2171" t="str">
        <f>IF(OR(SeismicData[[#This Row],[genergy]]&lt;$AA$6,SeismicData[[#This Row],[genergy]]&gt;$AA$5),"Outlier","Normal")</f>
        <v>Normal</v>
      </c>
    </row>
    <row r="2172" spans="1:24" x14ac:dyDescent="0.15">
      <c r="A2172">
        <v>2171</v>
      </c>
      <c r="B2172" t="s">
        <v>23</v>
      </c>
      <c r="C2172" t="s">
        <v>20</v>
      </c>
      <c r="D2172" t="s">
        <v>22</v>
      </c>
      <c r="E2172">
        <v>42060</v>
      </c>
      <c r="F2172">
        <v>740</v>
      </c>
      <c r="G2172">
        <v>43</v>
      </c>
      <c r="H2172">
        <v>49</v>
      </c>
      <c r="I2172" t="s">
        <v>20</v>
      </c>
      <c r="J2172">
        <v>0</v>
      </c>
      <c r="K2172">
        <v>0</v>
      </c>
      <c r="L2172">
        <v>0</v>
      </c>
      <c r="M2172">
        <v>0</v>
      </c>
      <c r="N2172">
        <v>0</v>
      </c>
      <c r="O2172">
        <v>0</v>
      </c>
      <c r="P2172">
        <v>0</v>
      </c>
      <c r="Q2172">
        <v>0</v>
      </c>
      <c r="R2172">
        <v>0</v>
      </c>
      <c r="S2172">
        <v>0</v>
      </c>
      <c r="T2172">
        <v>0</v>
      </c>
      <c r="U2172" t="str">
        <f>IF(SeismicData[[#This Row],[class]]=1,"Dangerous","Safe")</f>
        <v>Safe</v>
      </c>
      <c r="V2172" t="str">
        <f>IF(SeismicData[[#This Row],[shift]]="W","Production","Non-Production")</f>
        <v>Production</v>
      </c>
      <c r="W2172" t="str">
        <f>IF(SeismicData[[#This Row],[genergy]]=0,"0","10^"&amp;INT(LOG10(SeismicData[[#This Row],[genergy]])))</f>
        <v>10^4</v>
      </c>
      <c r="X2172" t="str">
        <f>IF(OR(SeismicData[[#This Row],[genergy]]&lt;$AA$6,SeismicData[[#This Row],[genergy]]&gt;$AA$5),"Outlier","Normal")</f>
        <v>Normal</v>
      </c>
    </row>
    <row r="2173" spans="1:24" x14ac:dyDescent="0.15">
      <c r="A2173">
        <v>2172</v>
      </c>
      <c r="B2173" t="s">
        <v>23</v>
      </c>
      <c r="C2173" t="s">
        <v>20</v>
      </c>
      <c r="D2173" t="s">
        <v>22</v>
      </c>
      <c r="E2173">
        <v>56550</v>
      </c>
      <c r="F2173">
        <v>1092</v>
      </c>
      <c r="G2173">
        <v>93</v>
      </c>
      <c r="H2173">
        <v>120</v>
      </c>
      <c r="I2173" t="s">
        <v>20</v>
      </c>
      <c r="J2173">
        <v>0</v>
      </c>
      <c r="K2173">
        <v>0</v>
      </c>
      <c r="L2173">
        <v>0</v>
      </c>
      <c r="M2173">
        <v>0</v>
      </c>
      <c r="N2173">
        <v>0</v>
      </c>
      <c r="O2173">
        <v>0</v>
      </c>
      <c r="P2173">
        <v>0</v>
      </c>
      <c r="Q2173">
        <v>0</v>
      </c>
      <c r="R2173">
        <v>0</v>
      </c>
      <c r="S2173">
        <v>0</v>
      </c>
      <c r="T2173">
        <v>0</v>
      </c>
      <c r="U2173" t="str">
        <f>IF(SeismicData[[#This Row],[class]]=1,"Dangerous","Safe")</f>
        <v>Safe</v>
      </c>
      <c r="V2173" t="str">
        <f>IF(SeismicData[[#This Row],[shift]]="W","Production","Non-Production")</f>
        <v>Production</v>
      </c>
      <c r="W2173" t="str">
        <f>IF(SeismicData[[#This Row],[genergy]]=0,"0","10^"&amp;INT(LOG10(SeismicData[[#This Row],[genergy]])))</f>
        <v>10^4</v>
      </c>
      <c r="X2173" t="str">
        <f>IF(OR(SeismicData[[#This Row],[genergy]]&lt;$AA$6,SeismicData[[#This Row],[genergy]]&gt;$AA$5),"Outlier","Normal")</f>
        <v>Normal</v>
      </c>
    </row>
    <row r="2174" spans="1:24" x14ac:dyDescent="0.15">
      <c r="A2174">
        <v>2173</v>
      </c>
      <c r="B2174" t="s">
        <v>23</v>
      </c>
      <c r="C2174" t="s">
        <v>20</v>
      </c>
      <c r="D2174" t="s">
        <v>22</v>
      </c>
      <c r="E2174">
        <v>65930</v>
      </c>
      <c r="F2174">
        <v>869</v>
      </c>
      <c r="G2174">
        <v>125</v>
      </c>
      <c r="H2174">
        <v>75</v>
      </c>
      <c r="I2174" t="s">
        <v>20</v>
      </c>
      <c r="J2174">
        <v>0</v>
      </c>
      <c r="K2174">
        <v>0</v>
      </c>
      <c r="L2174">
        <v>0</v>
      </c>
      <c r="M2174">
        <v>0</v>
      </c>
      <c r="N2174">
        <v>0</v>
      </c>
      <c r="O2174">
        <v>0</v>
      </c>
      <c r="P2174">
        <v>0</v>
      </c>
      <c r="Q2174">
        <v>0</v>
      </c>
      <c r="R2174">
        <v>0</v>
      </c>
      <c r="S2174">
        <v>0</v>
      </c>
      <c r="T2174">
        <v>0</v>
      </c>
      <c r="U2174" t="str">
        <f>IF(SeismicData[[#This Row],[class]]=1,"Dangerous","Safe")</f>
        <v>Safe</v>
      </c>
      <c r="V2174" t="str">
        <f>IF(SeismicData[[#This Row],[shift]]="W","Production","Non-Production")</f>
        <v>Production</v>
      </c>
      <c r="W2174" t="str">
        <f>IF(SeismicData[[#This Row],[genergy]]=0,"0","10^"&amp;INT(LOG10(SeismicData[[#This Row],[genergy]])))</f>
        <v>10^4</v>
      </c>
      <c r="X2174" t="str">
        <f>IF(OR(SeismicData[[#This Row],[genergy]]&lt;$AA$6,SeismicData[[#This Row],[genergy]]&gt;$AA$5),"Outlier","Normal")</f>
        <v>Normal</v>
      </c>
    </row>
    <row r="2175" spans="1:24" x14ac:dyDescent="0.15">
      <c r="A2175">
        <v>2174</v>
      </c>
      <c r="B2175" t="s">
        <v>23</v>
      </c>
      <c r="C2175" t="s">
        <v>20</v>
      </c>
      <c r="D2175" t="s">
        <v>22</v>
      </c>
      <c r="E2175">
        <v>29370</v>
      </c>
      <c r="F2175">
        <v>694</v>
      </c>
      <c r="G2175">
        <v>0</v>
      </c>
      <c r="H2175">
        <v>40</v>
      </c>
      <c r="I2175" t="s">
        <v>20</v>
      </c>
      <c r="J2175">
        <v>0</v>
      </c>
      <c r="K2175">
        <v>0</v>
      </c>
      <c r="L2175">
        <v>0</v>
      </c>
      <c r="M2175">
        <v>0</v>
      </c>
      <c r="N2175">
        <v>0</v>
      </c>
      <c r="O2175">
        <v>0</v>
      </c>
      <c r="P2175">
        <v>0</v>
      </c>
      <c r="Q2175">
        <v>0</v>
      </c>
      <c r="R2175">
        <v>0</v>
      </c>
      <c r="S2175">
        <v>0</v>
      </c>
      <c r="T2175">
        <v>0</v>
      </c>
      <c r="U2175" t="str">
        <f>IF(SeismicData[[#This Row],[class]]=1,"Dangerous","Safe")</f>
        <v>Safe</v>
      </c>
      <c r="V2175" t="str">
        <f>IF(SeismicData[[#This Row],[shift]]="W","Production","Non-Production")</f>
        <v>Production</v>
      </c>
      <c r="W2175" t="str">
        <f>IF(SeismicData[[#This Row],[genergy]]=0,"0","10^"&amp;INT(LOG10(SeismicData[[#This Row],[genergy]])))</f>
        <v>10^4</v>
      </c>
      <c r="X2175" t="str">
        <f>IF(OR(SeismicData[[#This Row],[genergy]]&lt;$AA$6,SeismicData[[#This Row],[genergy]]&gt;$AA$5),"Outlier","Normal")</f>
        <v>Normal</v>
      </c>
    </row>
    <row r="2176" spans="1:24" x14ac:dyDescent="0.15">
      <c r="A2176">
        <v>2175</v>
      </c>
      <c r="B2176" t="s">
        <v>23</v>
      </c>
      <c r="C2176" t="s">
        <v>23</v>
      </c>
      <c r="D2176" t="s">
        <v>22</v>
      </c>
      <c r="E2176">
        <v>74380</v>
      </c>
      <c r="F2176">
        <v>895</v>
      </c>
      <c r="G2176">
        <v>153</v>
      </c>
      <c r="H2176">
        <v>80</v>
      </c>
      <c r="I2176" t="s">
        <v>20</v>
      </c>
      <c r="J2176">
        <v>0</v>
      </c>
      <c r="K2176">
        <v>0</v>
      </c>
      <c r="L2176">
        <v>0</v>
      </c>
      <c r="M2176">
        <v>0</v>
      </c>
      <c r="N2176">
        <v>0</v>
      </c>
      <c r="O2176">
        <v>0</v>
      </c>
      <c r="P2176">
        <v>0</v>
      </c>
      <c r="Q2176">
        <v>0</v>
      </c>
      <c r="R2176">
        <v>0</v>
      </c>
      <c r="S2176">
        <v>0</v>
      </c>
      <c r="T2176">
        <v>0</v>
      </c>
      <c r="U2176" t="str">
        <f>IF(SeismicData[[#This Row],[class]]=1,"Dangerous","Safe")</f>
        <v>Safe</v>
      </c>
      <c r="V2176" t="str">
        <f>IF(SeismicData[[#This Row],[shift]]="W","Production","Non-Production")</f>
        <v>Production</v>
      </c>
      <c r="W2176" t="str">
        <f>IF(SeismicData[[#This Row],[genergy]]=0,"0","10^"&amp;INT(LOG10(SeismicData[[#This Row],[genergy]])))</f>
        <v>10^4</v>
      </c>
      <c r="X2176" t="str">
        <f>IF(OR(SeismicData[[#This Row],[genergy]]&lt;$AA$6,SeismicData[[#This Row],[genergy]]&gt;$AA$5),"Outlier","Normal")</f>
        <v>Normal</v>
      </c>
    </row>
    <row r="2177" spans="1:24" x14ac:dyDescent="0.15">
      <c r="A2177">
        <v>2176</v>
      </c>
      <c r="B2177" t="s">
        <v>23</v>
      </c>
      <c r="C2177" t="s">
        <v>23</v>
      </c>
      <c r="D2177" t="s">
        <v>22</v>
      </c>
      <c r="E2177">
        <v>63190</v>
      </c>
      <c r="F2177">
        <v>840</v>
      </c>
      <c r="G2177">
        <v>115</v>
      </c>
      <c r="H2177">
        <v>69</v>
      </c>
      <c r="I2177" t="s">
        <v>20</v>
      </c>
      <c r="J2177">
        <v>2</v>
      </c>
      <c r="K2177">
        <v>2</v>
      </c>
      <c r="L2177">
        <v>0</v>
      </c>
      <c r="M2177">
        <v>0</v>
      </c>
      <c r="N2177">
        <v>0</v>
      </c>
      <c r="O2177">
        <v>0</v>
      </c>
      <c r="P2177">
        <v>0</v>
      </c>
      <c r="Q2177">
        <v>0</v>
      </c>
      <c r="R2177">
        <v>600</v>
      </c>
      <c r="S2177">
        <v>400</v>
      </c>
      <c r="T2177">
        <v>0</v>
      </c>
      <c r="U2177" t="str">
        <f>IF(SeismicData[[#This Row],[class]]=1,"Dangerous","Safe")</f>
        <v>Safe</v>
      </c>
      <c r="V2177" t="str">
        <f>IF(SeismicData[[#This Row],[shift]]="W","Production","Non-Production")</f>
        <v>Production</v>
      </c>
      <c r="W2177" t="str">
        <f>IF(SeismicData[[#This Row],[genergy]]=0,"0","10^"&amp;INT(LOG10(SeismicData[[#This Row],[genergy]])))</f>
        <v>10^4</v>
      </c>
      <c r="X2177" t="str">
        <f>IF(OR(SeismicData[[#This Row],[genergy]]&lt;$AA$6,SeismicData[[#This Row],[genergy]]&gt;$AA$5),"Outlier","Normal")</f>
        <v>Normal</v>
      </c>
    </row>
    <row r="2178" spans="1:24" x14ac:dyDescent="0.15">
      <c r="A2178">
        <v>2177</v>
      </c>
      <c r="B2178" t="s">
        <v>23</v>
      </c>
      <c r="C2178" t="s">
        <v>23</v>
      </c>
      <c r="D2178" t="s">
        <v>22</v>
      </c>
      <c r="E2178">
        <v>90090</v>
      </c>
      <c r="F2178">
        <v>1132</v>
      </c>
      <c r="G2178">
        <v>207</v>
      </c>
      <c r="H2178">
        <v>128</v>
      </c>
      <c r="I2178" t="s">
        <v>20</v>
      </c>
      <c r="J2178">
        <v>1</v>
      </c>
      <c r="K2178">
        <v>0</v>
      </c>
      <c r="L2178">
        <v>1</v>
      </c>
      <c r="M2178">
        <v>0</v>
      </c>
      <c r="N2178">
        <v>0</v>
      </c>
      <c r="O2178">
        <v>0</v>
      </c>
      <c r="P2178">
        <v>0</v>
      </c>
      <c r="Q2178">
        <v>0</v>
      </c>
      <c r="R2178">
        <v>4000</v>
      </c>
      <c r="S2178">
        <v>4000</v>
      </c>
      <c r="T2178">
        <v>0</v>
      </c>
      <c r="U2178" t="str">
        <f>IF(SeismicData[[#This Row],[class]]=1,"Dangerous","Safe")</f>
        <v>Safe</v>
      </c>
      <c r="V2178" t="str">
        <f>IF(SeismicData[[#This Row],[shift]]="W","Production","Non-Production")</f>
        <v>Production</v>
      </c>
      <c r="W2178" t="str">
        <f>IF(SeismicData[[#This Row],[genergy]]=0,"0","10^"&amp;INT(LOG10(SeismicData[[#This Row],[genergy]])))</f>
        <v>10^4</v>
      </c>
      <c r="X2178" t="str">
        <f>IF(OR(SeismicData[[#This Row],[genergy]]&lt;$AA$6,SeismicData[[#This Row],[genergy]]&gt;$AA$5),"Outlier","Normal")</f>
        <v>Normal</v>
      </c>
    </row>
    <row r="2179" spans="1:24" x14ac:dyDescent="0.15">
      <c r="A2179">
        <v>2178</v>
      </c>
      <c r="B2179" t="s">
        <v>23</v>
      </c>
      <c r="C2179" t="s">
        <v>23</v>
      </c>
      <c r="D2179" t="s">
        <v>22</v>
      </c>
      <c r="E2179">
        <v>134070</v>
      </c>
      <c r="F2179">
        <v>1283</v>
      </c>
      <c r="G2179">
        <v>357</v>
      </c>
      <c r="H2179">
        <v>159</v>
      </c>
      <c r="I2179" t="s">
        <v>23</v>
      </c>
      <c r="J2179">
        <v>0</v>
      </c>
      <c r="K2179">
        <v>0</v>
      </c>
      <c r="L2179">
        <v>0</v>
      </c>
      <c r="M2179">
        <v>0</v>
      </c>
      <c r="N2179">
        <v>0</v>
      </c>
      <c r="O2179">
        <v>0</v>
      </c>
      <c r="P2179">
        <v>0</v>
      </c>
      <c r="Q2179">
        <v>0</v>
      </c>
      <c r="R2179">
        <v>0</v>
      </c>
      <c r="S2179">
        <v>0</v>
      </c>
      <c r="T2179">
        <v>0</v>
      </c>
      <c r="U2179" t="str">
        <f>IF(SeismicData[[#This Row],[class]]=1,"Dangerous","Safe")</f>
        <v>Safe</v>
      </c>
      <c r="V2179" t="str">
        <f>IF(SeismicData[[#This Row],[shift]]="W","Production","Non-Production")</f>
        <v>Production</v>
      </c>
      <c r="W2179" t="str">
        <f>IF(SeismicData[[#This Row],[genergy]]=0,"0","10^"&amp;INT(LOG10(SeismicData[[#This Row],[genergy]])))</f>
        <v>10^5</v>
      </c>
      <c r="X2179" t="str">
        <f>IF(OR(SeismicData[[#This Row],[genergy]]&lt;$AA$6,SeismicData[[#This Row],[genergy]]&gt;$AA$5),"Outlier","Normal")</f>
        <v>Outlier</v>
      </c>
    </row>
    <row r="2180" spans="1:24" x14ac:dyDescent="0.15">
      <c r="A2180">
        <v>2179</v>
      </c>
      <c r="B2180" t="s">
        <v>23</v>
      </c>
      <c r="C2180" t="s">
        <v>23</v>
      </c>
      <c r="D2180" t="s">
        <v>22</v>
      </c>
      <c r="E2180">
        <v>100960</v>
      </c>
      <c r="F2180">
        <v>1183</v>
      </c>
      <c r="G2180">
        <v>244</v>
      </c>
      <c r="H2180">
        <v>138</v>
      </c>
      <c r="I2180" t="s">
        <v>23</v>
      </c>
      <c r="J2180">
        <v>1</v>
      </c>
      <c r="K2180">
        <v>1</v>
      </c>
      <c r="L2180">
        <v>0</v>
      </c>
      <c r="M2180">
        <v>0</v>
      </c>
      <c r="N2180">
        <v>0</v>
      </c>
      <c r="O2180">
        <v>0</v>
      </c>
      <c r="P2180">
        <v>0</v>
      </c>
      <c r="Q2180">
        <v>0</v>
      </c>
      <c r="R2180">
        <v>100</v>
      </c>
      <c r="S2180">
        <v>100</v>
      </c>
      <c r="T2180">
        <v>0</v>
      </c>
      <c r="U2180" t="str">
        <f>IF(SeismicData[[#This Row],[class]]=1,"Dangerous","Safe")</f>
        <v>Safe</v>
      </c>
      <c r="V2180" t="str">
        <f>IF(SeismicData[[#This Row],[shift]]="W","Production","Non-Production")</f>
        <v>Production</v>
      </c>
      <c r="W2180" t="str">
        <f>IF(SeismicData[[#This Row],[genergy]]=0,"0","10^"&amp;INT(LOG10(SeismicData[[#This Row],[genergy]])))</f>
        <v>10^5</v>
      </c>
      <c r="X2180" t="str">
        <f>IF(OR(SeismicData[[#This Row],[genergy]]&lt;$AA$6,SeismicData[[#This Row],[genergy]]&gt;$AA$5),"Outlier","Normal")</f>
        <v>Normal</v>
      </c>
    </row>
    <row r="2181" spans="1:24" x14ac:dyDescent="0.15">
      <c r="A2181">
        <v>2180</v>
      </c>
      <c r="B2181" t="s">
        <v>23</v>
      </c>
      <c r="C2181" t="s">
        <v>23</v>
      </c>
      <c r="D2181" t="s">
        <v>22</v>
      </c>
      <c r="E2181">
        <v>124380</v>
      </c>
      <c r="F2181">
        <v>1220</v>
      </c>
      <c r="G2181">
        <v>324</v>
      </c>
      <c r="H2181">
        <v>146</v>
      </c>
      <c r="I2181" t="s">
        <v>24</v>
      </c>
      <c r="J2181">
        <v>0</v>
      </c>
      <c r="K2181">
        <v>0</v>
      </c>
      <c r="L2181">
        <v>0</v>
      </c>
      <c r="M2181">
        <v>0</v>
      </c>
      <c r="N2181">
        <v>0</v>
      </c>
      <c r="O2181">
        <v>0</v>
      </c>
      <c r="P2181">
        <v>0</v>
      </c>
      <c r="Q2181">
        <v>0</v>
      </c>
      <c r="R2181">
        <v>0</v>
      </c>
      <c r="S2181">
        <v>0</v>
      </c>
      <c r="T2181">
        <v>0</v>
      </c>
      <c r="U2181" t="str">
        <f>IF(SeismicData[[#This Row],[class]]=1,"Dangerous","Safe")</f>
        <v>Safe</v>
      </c>
      <c r="V2181" t="str">
        <f>IF(SeismicData[[#This Row],[shift]]="W","Production","Non-Production")</f>
        <v>Production</v>
      </c>
      <c r="W2181" t="str">
        <f>IF(SeismicData[[#This Row],[genergy]]=0,"0","10^"&amp;INT(LOG10(SeismicData[[#This Row],[genergy]])))</f>
        <v>10^5</v>
      </c>
      <c r="X2181" t="str">
        <f>IF(OR(SeismicData[[#This Row],[genergy]]&lt;$AA$6,SeismicData[[#This Row],[genergy]]&gt;$AA$5),"Outlier","Normal")</f>
        <v>Outlier</v>
      </c>
    </row>
    <row r="2182" spans="1:24" x14ac:dyDescent="0.15">
      <c r="A2182">
        <v>2181</v>
      </c>
      <c r="B2182" t="s">
        <v>23</v>
      </c>
      <c r="C2182" t="s">
        <v>23</v>
      </c>
      <c r="D2182" t="s">
        <v>22</v>
      </c>
      <c r="E2182">
        <v>162810</v>
      </c>
      <c r="F2182">
        <v>1768</v>
      </c>
      <c r="G2182">
        <v>455</v>
      </c>
      <c r="H2182">
        <v>256</v>
      </c>
      <c r="I2182" t="s">
        <v>24</v>
      </c>
      <c r="J2182">
        <v>2</v>
      </c>
      <c r="K2182">
        <v>2</v>
      </c>
      <c r="L2182">
        <v>0</v>
      </c>
      <c r="M2182">
        <v>0</v>
      </c>
      <c r="N2182">
        <v>0</v>
      </c>
      <c r="O2182">
        <v>0</v>
      </c>
      <c r="P2182">
        <v>0</v>
      </c>
      <c r="Q2182">
        <v>0</v>
      </c>
      <c r="R2182">
        <v>700</v>
      </c>
      <c r="S2182">
        <v>500</v>
      </c>
      <c r="T2182">
        <v>0</v>
      </c>
      <c r="U2182" t="str">
        <f>IF(SeismicData[[#This Row],[class]]=1,"Dangerous","Safe")</f>
        <v>Safe</v>
      </c>
      <c r="V2182" t="str">
        <f>IF(SeismicData[[#This Row],[shift]]="W","Production","Non-Production")</f>
        <v>Production</v>
      </c>
      <c r="W2182" t="str">
        <f>IF(SeismicData[[#This Row],[genergy]]=0,"0","10^"&amp;INT(LOG10(SeismicData[[#This Row],[genergy]])))</f>
        <v>10^5</v>
      </c>
      <c r="X2182" t="str">
        <f>IF(OR(SeismicData[[#This Row],[genergy]]&lt;$AA$6,SeismicData[[#This Row],[genergy]]&gt;$AA$5),"Outlier","Normal")</f>
        <v>Outlier</v>
      </c>
    </row>
    <row r="2183" spans="1:24" x14ac:dyDescent="0.15">
      <c r="A2183">
        <v>2182</v>
      </c>
      <c r="B2183" t="s">
        <v>23</v>
      </c>
      <c r="C2183" t="s">
        <v>23</v>
      </c>
      <c r="D2183" t="s">
        <v>22</v>
      </c>
      <c r="E2183">
        <v>69450</v>
      </c>
      <c r="F2183">
        <v>1412</v>
      </c>
      <c r="G2183">
        <v>137</v>
      </c>
      <c r="H2183">
        <v>185</v>
      </c>
      <c r="I2183" t="s">
        <v>23</v>
      </c>
      <c r="J2183">
        <v>0</v>
      </c>
      <c r="K2183">
        <v>0</v>
      </c>
      <c r="L2183">
        <v>0</v>
      </c>
      <c r="M2183">
        <v>0</v>
      </c>
      <c r="N2183">
        <v>0</v>
      </c>
      <c r="O2183">
        <v>0</v>
      </c>
      <c r="P2183">
        <v>0</v>
      </c>
      <c r="Q2183">
        <v>0</v>
      </c>
      <c r="R2183">
        <v>0</v>
      </c>
      <c r="S2183">
        <v>0</v>
      </c>
      <c r="T2183">
        <v>0</v>
      </c>
      <c r="U2183" t="str">
        <f>IF(SeismicData[[#This Row],[class]]=1,"Dangerous","Safe")</f>
        <v>Safe</v>
      </c>
      <c r="V2183" t="str">
        <f>IF(SeismicData[[#This Row],[shift]]="W","Production","Non-Production")</f>
        <v>Production</v>
      </c>
      <c r="W2183" t="str">
        <f>IF(SeismicData[[#This Row],[genergy]]=0,"0","10^"&amp;INT(LOG10(SeismicData[[#This Row],[genergy]])))</f>
        <v>10^4</v>
      </c>
      <c r="X2183" t="str">
        <f>IF(OR(SeismicData[[#This Row],[genergy]]&lt;$AA$6,SeismicData[[#This Row],[genergy]]&gt;$AA$5),"Outlier","Normal")</f>
        <v>Normal</v>
      </c>
    </row>
    <row r="2184" spans="1:24" x14ac:dyDescent="0.15">
      <c r="A2184">
        <v>2183</v>
      </c>
      <c r="B2184" t="s">
        <v>20</v>
      </c>
      <c r="C2184" t="s">
        <v>24</v>
      </c>
      <c r="D2184" t="s">
        <v>21</v>
      </c>
      <c r="E2184">
        <v>47250</v>
      </c>
      <c r="F2184">
        <v>961</v>
      </c>
      <c r="G2184">
        <v>517</v>
      </c>
      <c r="H2184">
        <v>305</v>
      </c>
      <c r="I2184" t="s">
        <v>24</v>
      </c>
      <c r="J2184">
        <v>1</v>
      </c>
      <c r="K2184">
        <v>1</v>
      </c>
      <c r="L2184">
        <v>0</v>
      </c>
      <c r="M2184">
        <v>0</v>
      </c>
      <c r="N2184">
        <v>0</v>
      </c>
      <c r="O2184">
        <v>0</v>
      </c>
      <c r="P2184">
        <v>0</v>
      </c>
      <c r="Q2184">
        <v>0</v>
      </c>
      <c r="R2184">
        <v>200</v>
      </c>
      <c r="S2184">
        <v>200</v>
      </c>
      <c r="T2184">
        <v>0</v>
      </c>
      <c r="U2184" t="str">
        <f>IF(SeismicData[[#This Row],[class]]=1,"Dangerous","Safe")</f>
        <v>Safe</v>
      </c>
      <c r="V2184" t="str">
        <f>IF(SeismicData[[#This Row],[shift]]="W","Production","Non-Production")</f>
        <v>Non-Production</v>
      </c>
      <c r="W2184" t="str">
        <f>IF(SeismicData[[#This Row],[genergy]]=0,"0","10^"&amp;INT(LOG10(SeismicData[[#This Row],[genergy]])))</f>
        <v>10^4</v>
      </c>
      <c r="X2184" t="str">
        <f>IF(OR(SeismicData[[#This Row],[genergy]]&lt;$AA$6,SeismicData[[#This Row],[genergy]]&gt;$AA$5),"Outlier","Normal")</f>
        <v>Normal</v>
      </c>
    </row>
    <row r="2185" spans="1:24" x14ac:dyDescent="0.15">
      <c r="A2185">
        <v>2184</v>
      </c>
      <c r="B2185" t="s">
        <v>20</v>
      </c>
      <c r="C2185" t="s">
        <v>24</v>
      </c>
      <c r="D2185" t="s">
        <v>21</v>
      </c>
      <c r="E2185">
        <v>33530</v>
      </c>
      <c r="F2185">
        <v>747</v>
      </c>
      <c r="G2185">
        <v>338</v>
      </c>
      <c r="H2185">
        <v>215</v>
      </c>
      <c r="I2185" t="s">
        <v>24</v>
      </c>
      <c r="J2185">
        <v>1</v>
      </c>
      <c r="K2185">
        <v>0</v>
      </c>
      <c r="L2185">
        <v>1</v>
      </c>
      <c r="M2185">
        <v>0</v>
      </c>
      <c r="N2185">
        <v>0</v>
      </c>
      <c r="O2185">
        <v>0</v>
      </c>
      <c r="P2185">
        <v>0</v>
      </c>
      <c r="Q2185">
        <v>0</v>
      </c>
      <c r="R2185">
        <v>1000</v>
      </c>
      <c r="S2185">
        <v>1000</v>
      </c>
      <c r="T2185">
        <v>0</v>
      </c>
      <c r="U2185" t="str">
        <f>IF(SeismicData[[#This Row],[class]]=1,"Dangerous","Safe")</f>
        <v>Safe</v>
      </c>
      <c r="V2185" t="str">
        <f>IF(SeismicData[[#This Row],[shift]]="W","Production","Non-Production")</f>
        <v>Non-Production</v>
      </c>
      <c r="W2185" t="str">
        <f>IF(SeismicData[[#This Row],[genergy]]=0,"0","10^"&amp;INT(LOG10(SeismicData[[#This Row],[genergy]])))</f>
        <v>10^4</v>
      </c>
      <c r="X2185" t="str">
        <f>IF(OR(SeismicData[[#This Row],[genergy]]&lt;$AA$6,SeismicData[[#This Row],[genergy]]&gt;$AA$5),"Outlier","Normal")</f>
        <v>Normal</v>
      </c>
    </row>
    <row r="2186" spans="1:24" x14ac:dyDescent="0.15">
      <c r="A2186">
        <v>2185</v>
      </c>
      <c r="B2186" t="s">
        <v>20</v>
      </c>
      <c r="C2186" t="s">
        <v>24</v>
      </c>
      <c r="D2186" t="s">
        <v>21</v>
      </c>
      <c r="E2186">
        <v>25050</v>
      </c>
      <c r="F2186">
        <v>678</v>
      </c>
      <c r="G2186">
        <v>227</v>
      </c>
      <c r="H2186">
        <v>186</v>
      </c>
      <c r="I2186" t="s">
        <v>24</v>
      </c>
      <c r="J2186">
        <v>0</v>
      </c>
      <c r="K2186">
        <v>0</v>
      </c>
      <c r="L2186">
        <v>0</v>
      </c>
      <c r="M2186">
        <v>0</v>
      </c>
      <c r="N2186">
        <v>0</v>
      </c>
      <c r="O2186">
        <v>0</v>
      </c>
      <c r="P2186">
        <v>0</v>
      </c>
      <c r="Q2186">
        <v>0</v>
      </c>
      <c r="R2186">
        <v>0</v>
      </c>
      <c r="S2186">
        <v>0</v>
      </c>
      <c r="T2186">
        <v>0</v>
      </c>
      <c r="U2186" t="str">
        <f>IF(SeismicData[[#This Row],[class]]=1,"Dangerous","Safe")</f>
        <v>Safe</v>
      </c>
      <c r="V2186" t="str">
        <f>IF(SeismicData[[#This Row],[shift]]="W","Production","Non-Production")</f>
        <v>Non-Production</v>
      </c>
      <c r="W2186" t="str">
        <f>IF(SeismicData[[#This Row],[genergy]]=0,"0","10^"&amp;INT(LOG10(SeismicData[[#This Row],[genergy]])))</f>
        <v>10^4</v>
      </c>
      <c r="X2186" t="str">
        <f>IF(OR(SeismicData[[#This Row],[genergy]]&lt;$AA$6,SeismicData[[#This Row],[genergy]]&gt;$AA$5),"Outlier","Normal")</f>
        <v>Normal</v>
      </c>
    </row>
    <row r="2187" spans="1:24" x14ac:dyDescent="0.15">
      <c r="A2187">
        <v>2186</v>
      </c>
      <c r="B2187" t="s">
        <v>20</v>
      </c>
      <c r="C2187" t="s">
        <v>24</v>
      </c>
      <c r="D2187" t="s">
        <v>21</v>
      </c>
      <c r="E2187">
        <v>24940</v>
      </c>
      <c r="F2187">
        <v>543</v>
      </c>
      <c r="G2187">
        <v>226</v>
      </c>
      <c r="H2187">
        <v>129</v>
      </c>
      <c r="I2187" t="s">
        <v>24</v>
      </c>
      <c r="J2187">
        <v>2</v>
      </c>
      <c r="K2187">
        <v>1</v>
      </c>
      <c r="L2187">
        <v>1</v>
      </c>
      <c r="M2187">
        <v>0</v>
      </c>
      <c r="N2187">
        <v>0</v>
      </c>
      <c r="O2187">
        <v>0</v>
      </c>
      <c r="P2187">
        <v>0</v>
      </c>
      <c r="Q2187">
        <v>0</v>
      </c>
      <c r="R2187">
        <v>2500</v>
      </c>
      <c r="S2187">
        <v>2000</v>
      </c>
      <c r="T2187">
        <v>0</v>
      </c>
      <c r="U2187" t="str">
        <f>IF(SeismicData[[#This Row],[class]]=1,"Dangerous","Safe")</f>
        <v>Safe</v>
      </c>
      <c r="V2187" t="str">
        <f>IF(SeismicData[[#This Row],[shift]]="W","Production","Non-Production")</f>
        <v>Non-Production</v>
      </c>
      <c r="W2187" t="str">
        <f>IF(SeismicData[[#This Row],[genergy]]=0,"0","10^"&amp;INT(LOG10(SeismicData[[#This Row],[genergy]])))</f>
        <v>10^4</v>
      </c>
      <c r="X2187" t="str">
        <f>IF(OR(SeismicData[[#This Row],[genergy]]&lt;$AA$6,SeismicData[[#This Row],[genergy]]&gt;$AA$5),"Outlier","Normal")</f>
        <v>Normal</v>
      </c>
    </row>
    <row r="2188" spans="1:24" x14ac:dyDescent="0.15">
      <c r="A2188">
        <v>2187</v>
      </c>
      <c r="B2188" t="s">
        <v>20</v>
      </c>
      <c r="C2188" t="s">
        <v>24</v>
      </c>
      <c r="D2188" t="s">
        <v>21</v>
      </c>
      <c r="E2188">
        <v>24740</v>
      </c>
      <c r="F2188">
        <v>530</v>
      </c>
      <c r="G2188">
        <v>223</v>
      </c>
      <c r="H2188">
        <v>123</v>
      </c>
      <c r="I2188" t="s">
        <v>24</v>
      </c>
      <c r="J2188">
        <v>1</v>
      </c>
      <c r="K2188">
        <v>0</v>
      </c>
      <c r="L2188">
        <v>1</v>
      </c>
      <c r="M2188">
        <v>0</v>
      </c>
      <c r="N2188">
        <v>0</v>
      </c>
      <c r="O2188">
        <v>0</v>
      </c>
      <c r="P2188">
        <v>0</v>
      </c>
      <c r="Q2188">
        <v>0</v>
      </c>
      <c r="R2188">
        <v>7000</v>
      </c>
      <c r="S2188">
        <v>7000</v>
      </c>
      <c r="T2188">
        <v>0</v>
      </c>
      <c r="U2188" t="str">
        <f>IF(SeismicData[[#This Row],[class]]=1,"Dangerous","Safe")</f>
        <v>Safe</v>
      </c>
      <c r="V2188" t="str">
        <f>IF(SeismicData[[#This Row],[shift]]="W","Production","Non-Production")</f>
        <v>Non-Production</v>
      </c>
      <c r="W2188" t="str">
        <f>IF(SeismicData[[#This Row],[genergy]]=0,"0","10^"&amp;INT(LOG10(SeismicData[[#This Row],[genergy]])))</f>
        <v>10^4</v>
      </c>
      <c r="X2188" t="str">
        <f>IF(OR(SeismicData[[#This Row],[genergy]]&lt;$AA$6,SeismicData[[#This Row],[genergy]]&gt;$AA$5),"Outlier","Normal")</f>
        <v>Normal</v>
      </c>
    </row>
    <row r="2189" spans="1:24" x14ac:dyDescent="0.15">
      <c r="A2189">
        <v>2188</v>
      </c>
      <c r="B2189" t="s">
        <v>20</v>
      </c>
      <c r="C2189" t="s">
        <v>24</v>
      </c>
      <c r="D2189" t="s">
        <v>21</v>
      </c>
      <c r="E2189">
        <v>24620</v>
      </c>
      <c r="F2189">
        <v>490</v>
      </c>
      <c r="G2189">
        <v>222</v>
      </c>
      <c r="H2189">
        <v>106</v>
      </c>
      <c r="I2189" t="s">
        <v>24</v>
      </c>
      <c r="J2189">
        <v>1</v>
      </c>
      <c r="K2189">
        <v>1</v>
      </c>
      <c r="L2189">
        <v>0</v>
      </c>
      <c r="M2189">
        <v>0</v>
      </c>
      <c r="N2189">
        <v>0</v>
      </c>
      <c r="O2189">
        <v>0</v>
      </c>
      <c r="P2189">
        <v>0</v>
      </c>
      <c r="Q2189">
        <v>0</v>
      </c>
      <c r="R2189">
        <v>400</v>
      </c>
      <c r="S2189">
        <v>400</v>
      </c>
      <c r="T2189">
        <v>0</v>
      </c>
      <c r="U2189" t="str">
        <f>IF(SeismicData[[#This Row],[class]]=1,"Dangerous","Safe")</f>
        <v>Safe</v>
      </c>
      <c r="V2189" t="str">
        <f>IF(SeismicData[[#This Row],[shift]]="W","Production","Non-Production")</f>
        <v>Non-Production</v>
      </c>
      <c r="W2189" t="str">
        <f>IF(SeismicData[[#This Row],[genergy]]=0,"0","10^"&amp;INT(LOG10(SeismicData[[#This Row],[genergy]])))</f>
        <v>10^4</v>
      </c>
      <c r="X2189" t="str">
        <f>IF(OR(SeismicData[[#This Row],[genergy]]&lt;$AA$6,SeismicData[[#This Row],[genergy]]&gt;$AA$5),"Outlier","Normal")</f>
        <v>Normal</v>
      </c>
    </row>
    <row r="2190" spans="1:24" x14ac:dyDescent="0.15">
      <c r="A2190">
        <v>2189</v>
      </c>
      <c r="B2190" t="s">
        <v>20</v>
      </c>
      <c r="C2190" t="s">
        <v>24</v>
      </c>
      <c r="D2190" t="s">
        <v>22</v>
      </c>
      <c r="E2190">
        <v>34360</v>
      </c>
      <c r="F2190">
        <v>730</v>
      </c>
      <c r="G2190">
        <v>10</v>
      </c>
      <c r="H2190">
        <v>39</v>
      </c>
      <c r="I2190" t="s">
        <v>24</v>
      </c>
      <c r="J2190">
        <v>0</v>
      </c>
      <c r="K2190">
        <v>0</v>
      </c>
      <c r="L2190">
        <v>0</v>
      </c>
      <c r="M2190">
        <v>0</v>
      </c>
      <c r="N2190">
        <v>0</v>
      </c>
      <c r="O2190">
        <v>0</v>
      </c>
      <c r="P2190">
        <v>0</v>
      </c>
      <c r="Q2190">
        <v>0</v>
      </c>
      <c r="R2190">
        <v>0</v>
      </c>
      <c r="S2190">
        <v>0</v>
      </c>
      <c r="T2190">
        <v>0</v>
      </c>
      <c r="U2190" t="str">
        <f>IF(SeismicData[[#This Row],[class]]=1,"Dangerous","Safe")</f>
        <v>Safe</v>
      </c>
      <c r="V2190" t="str">
        <f>IF(SeismicData[[#This Row],[shift]]="W","Production","Non-Production")</f>
        <v>Production</v>
      </c>
      <c r="W2190" t="str">
        <f>IF(SeismicData[[#This Row],[genergy]]=0,"0","10^"&amp;INT(LOG10(SeismicData[[#This Row],[genergy]])))</f>
        <v>10^4</v>
      </c>
      <c r="X2190" t="str">
        <f>IF(OR(SeismicData[[#This Row],[genergy]]&lt;$AA$6,SeismicData[[#This Row],[genergy]]&gt;$AA$5),"Outlier","Normal")</f>
        <v>Normal</v>
      </c>
    </row>
    <row r="2191" spans="1:24" x14ac:dyDescent="0.15">
      <c r="A2191">
        <v>2190</v>
      </c>
      <c r="B2191" t="s">
        <v>20</v>
      </c>
      <c r="C2191" t="s">
        <v>24</v>
      </c>
      <c r="D2191" t="s">
        <v>22</v>
      </c>
      <c r="E2191">
        <v>101280</v>
      </c>
      <c r="F2191">
        <v>1116</v>
      </c>
      <c r="G2191">
        <v>223</v>
      </c>
      <c r="H2191">
        <v>112</v>
      </c>
      <c r="I2191" t="s">
        <v>24</v>
      </c>
      <c r="J2191">
        <v>1</v>
      </c>
      <c r="K2191">
        <v>1</v>
      </c>
      <c r="L2191">
        <v>0</v>
      </c>
      <c r="M2191">
        <v>0</v>
      </c>
      <c r="N2191">
        <v>0</v>
      </c>
      <c r="O2191">
        <v>0</v>
      </c>
      <c r="P2191">
        <v>0</v>
      </c>
      <c r="Q2191">
        <v>0</v>
      </c>
      <c r="R2191">
        <v>700</v>
      </c>
      <c r="S2191">
        <v>700</v>
      </c>
      <c r="T2191">
        <v>0</v>
      </c>
      <c r="U2191" t="str">
        <f>IF(SeismicData[[#This Row],[class]]=1,"Dangerous","Safe")</f>
        <v>Safe</v>
      </c>
      <c r="V2191" t="str">
        <f>IF(SeismicData[[#This Row],[shift]]="W","Production","Non-Production")</f>
        <v>Production</v>
      </c>
      <c r="W2191" t="str">
        <f>IF(SeismicData[[#This Row],[genergy]]=0,"0","10^"&amp;INT(LOG10(SeismicData[[#This Row],[genergy]])))</f>
        <v>10^5</v>
      </c>
      <c r="X2191" t="str">
        <f>IF(OR(SeismicData[[#This Row],[genergy]]&lt;$AA$6,SeismicData[[#This Row],[genergy]]&gt;$AA$5),"Outlier","Normal")</f>
        <v>Normal</v>
      </c>
    </row>
    <row r="2192" spans="1:24" x14ac:dyDescent="0.15">
      <c r="A2192">
        <v>2191</v>
      </c>
      <c r="B2192" t="s">
        <v>20</v>
      </c>
      <c r="C2192" t="s">
        <v>24</v>
      </c>
      <c r="D2192" t="s">
        <v>22</v>
      </c>
      <c r="E2192">
        <v>53180</v>
      </c>
      <c r="F2192">
        <v>1048</v>
      </c>
      <c r="G2192">
        <v>34</v>
      </c>
      <c r="H2192">
        <v>70</v>
      </c>
      <c r="I2192" t="s">
        <v>24</v>
      </c>
      <c r="J2192">
        <v>0</v>
      </c>
      <c r="K2192">
        <v>0</v>
      </c>
      <c r="L2192">
        <v>0</v>
      </c>
      <c r="M2192">
        <v>0</v>
      </c>
      <c r="N2192">
        <v>0</v>
      </c>
      <c r="O2192">
        <v>0</v>
      </c>
      <c r="P2192">
        <v>0</v>
      </c>
      <c r="Q2192">
        <v>0</v>
      </c>
      <c r="R2192">
        <v>0</v>
      </c>
      <c r="S2192">
        <v>0</v>
      </c>
      <c r="T2192">
        <v>0</v>
      </c>
      <c r="U2192" t="str">
        <f>IF(SeismicData[[#This Row],[class]]=1,"Dangerous","Safe")</f>
        <v>Safe</v>
      </c>
      <c r="V2192" t="str">
        <f>IF(SeismicData[[#This Row],[shift]]="W","Production","Non-Production")</f>
        <v>Production</v>
      </c>
      <c r="W2192" t="str">
        <f>IF(SeismicData[[#This Row],[genergy]]=0,"0","10^"&amp;INT(LOG10(SeismicData[[#This Row],[genergy]])))</f>
        <v>10^4</v>
      </c>
      <c r="X2192" t="str">
        <f>IF(OR(SeismicData[[#This Row],[genergy]]&lt;$AA$6,SeismicData[[#This Row],[genergy]]&gt;$AA$5),"Outlier","Normal")</f>
        <v>Normal</v>
      </c>
    </row>
    <row r="2193" spans="1:24" x14ac:dyDescent="0.15">
      <c r="A2193">
        <v>2192</v>
      </c>
      <c r="B2193" t="s">
        <v>20</v>
      </c>
      <c r="C2193" t="s">
        <v>24</v>
      </c>
      <c r="D2193" t="s">
        <v>22</v>
      </c>
      <c r="E2193">
        <v>34900</v>
      </c>
      <c r="F2193">
        <v>798</v>
      </c>
      <c r="G2193">
        <v>-12</v>
      </c>
      <c r="H2193">
        <v>30</v>
      </c>
      <c r="I2193" t="s">
        <v>24</v>
      </c>
      <c r="J2193">
        <v>0</v>
      </c>
      <c r="K2193">
        <v>0</v>
      </c>
      <c r="L2193">
        <v>0</v>
      </c>
      <c r="M2193">
        <v>0</v>
      </c>
      <c r="N2193">
        <v>0</v>
      </c>
      <c r="O2193">
        <v>0</v>
      </c>
      <c r="P2193">
        <v>0</v>
      </c>
      <c r="Q2193">
        <v>0</v>
      </c>
      <c r="R2193">
        <v>0</v>
      </c>
      <c r="S2193">
        <v>0</v>
      </c>
      <c r="T2193">
        <v>0</v>
      </c>
      <c r="U2193" t="str">
        <f>IF(SeismicData[[#This Row],[class]]=1,"Dangerous","Safe")</f>
        <v>Safe</v>
      </c>
      <c r="V2193" t="str">
        <f>IF(SeismicData[[#This Row],[shift]]="W","Production","Non-Production")</f>
        <v>Production</v>
      </c>
      <c r="W2193" t="str">
        <f>IF(SeismicData[[#This Row],[genergy]]=0,"0","10^"&amp;INT(LOG10(SeismicData[[#This Row],[genergy]])))</f>
        <v>10^4</v>
      </c>
      <c r="X2193" t="str">
        <f>IF(OR(SeismicData[[#This Row],[genergy]]&lt;$AA$6,SeismicData[[#This Row],[genergy]]&gt;$AA$5),"Outlier","Normal")</f>
        <v>Normal</v>
      </c>
    </row>
    <row r="2194" spans="1:24" x14ac:dyDescent="0.15">
      <c r="A2194">
        <v>2193</v>
      </c>
      <c r="B2194" t="s">
        <v>20</v>
      </c>
      <c r="C2194" t="s">
        <v>24</v>
      </c>
      <c r="D2194" t="s">
        <v>22</v>
      </c>
      <c r="E2194">
        <v>71540</v>
      </c>
      <c r="F2194">
        <v>608</v>
      </c>
      <c r="G2194">
        <v>80</v>
      </c>
      <c r="H2194">
        <v>-1</v>
      </c>
      <c r="I2194" t="s">
        <v>24</v>
      </c>
      <c r="J2194">
        <v>2</v>
      </c>
      <c r="K2194">
        <v>0</v>
      </c>
      <c r="L2194">
        <v>2</v>
      </c>
      <c r="M2194">
        <v>0</v>
      </c>
      <c r="N2194">
        <v>0</v>
      </c>
      <c r="O2194">
        <v>0</v>
      </c>
      <c r="P2194">
        <v>0</v>
      </c>
      <c r="Q2194">
        <v>0</v>
      </c>
      <c r="R2194">
        <v>4000</v>
      </c>
      <c r="S2194">
        <v>2000</v>
      </c>
      <c r="T2194">
        <v>0</v>
      </c>
      <c r="U2194" t="str">
        <f>IF(SeismicData[[#This Row],[class]]=1,"Dangerous","Safe")</f>
        <v>Safe</v>
      </c>
      <c r="V2194" t="str">
        <f>IF(SeismicData[[#This Row],[shift]]="W","Production","Non-Production")</f>
        <v>Production</v>
      </c>
      <c r="W2194" t="str">
        <f>IF(SeismicData[[#This Row],[genergy]]=0,"0","10^"&amp;INT(LOG10(SeismicData[[#This Row],[genergy]])))</f>
        <v>10^4</v>
      </c>
      <c r="X2194" t="str">
        <f>IF(OR(SeismicData[[#This Row],[genergy]]&lt;$AA$6,SeismicData[[#This Row],[genergy]]&gt;$AA$5),"Outlier","Normal")</f>
        <v>Normal</v>
      </c>
    </row>
    <row r="2195" spans="1:24" x14ac:dyDescent="0.15">
      <c r="A2195">
        <v>2194</v>
      </c>
      <c r="B2195" t="s">
        <v>20</v>
      </c>
      <c r="C2195" t="s">
        <v>24</v>
      </c>
      <c r="D2195" t="s">
        <v>22</v>
      </c>
      <c r="E2195">
        <v>60300</v>
      </c>
      <c r="F2195">
        <v>575</v>
      </c>
      <c r="G2195">
        <v>52</v>
      </c>
      <c r="H2195">
        <v>-7</v>
      </c>
      <c r="I2195" t="s">
        <v>24</v>
      </c>
      <c r="J2195">
        <v>0</v>
      </c>
      <c r="K2195">
        <v>0</v>
      </c>
      <c r="L2195">
        <v>0</v>
      </c>
      <c r="M2195">
        <v>0</v>
      </c>
      <c r="N2195">
        <v>0</v>
      </c>
      <c r="O2195">
        <v>0</v>
      </c>
      <c r="P2195">
        <v>0</v>
      </c>
      <c r="Q2195">
        <v>0</v>
      </c>
      <c r="R2195">
        <v>0</v>
      </c>
      <c r="S2195">
        <v>0</v>
      </c>
      <c r="T2195">
        <v>0</v>
      </c>
      <c r="U2195" t="str">
        <f>IF(SeismicData[[#This Row],[class]]=1,"Dangerous","Safe")</f>
        <v>Safe</v>
      </c>
      <c r="V2195" t="str">
        <f>IF(SeismicData[[#This Row],[shift]]="W","Production","Non-Production")</f>
        <v>Production</v>
      </c>
      <c r="W2195" t="str">
        <f>IF(SeismicData[[#This Row],[genergy]]=0,"0","10^"&amp;INT(LOG10(SeismicData[[#This Row],[genergy]])))</f>
        <v>10^4</v>
      </c>
      <c r="X2195" t="str">
        <f>IF(OR(SeismicData[[#This Row],[genergy]]&lt;$AA$6,SeismicData[[#This Row],[genergy]]&gt;$AA$5),"Outlier","Normal")</f>
        <v>Normal</v>
      </c>
    </row>
    <row r="2196" spans="1:24" x14ac:dyDescent="0.15">
      <c r="A2196">
        <v>2195</v>
      </c>
      <c r="B2196" t="s">
        <v>20</v>
      </c>
      <c r="C2196" t="s">
        <v>24</v>
      </c>
      <c r="D2196" t="s">
        <v>22</v>
      </c>
      <c r="E2196">
        <v>43730</v>
      </c>
      <c r="F2196">
        <v>832</v>
      </c>
      <c r="G2196">
        <v>10</v>
      </c>
      <c r="H2196">
        <v>35</v>
      </c>
      <c r="I2196" t="s">
        <v>24</v>
      </c>
      <c r="J2196">
        <v>0</v>
      </c>
      <c r="K2196">
        <v>0</v>
      </c>
      <c r="L2196">
        <v>0</v>
      </c>
      <c r="M2196">
        <v>0</v>
      </c>
      <c r="N2196">
        <v>0</v>
      </c>
      <c r="O2196">
        <v>0</v>
      </c>
      <c r="P2196">
        <v>0</v>
      </c>
      <c r="Q2196">
        <v>0</v>
      </c>
      <c r="R2196">
        <v>0</v>
      </c>
      <c r="S2196">
        <v>0</v>
      </c>
      <c r="T2196">
        <v>0</v>
      </c>
      <c r="U2196" t="str">
        <f>IF(SeismicData[[#This Row],[class]]=1,"Dangerous","Safe")</f>
        <v>Safe</v>
      </c>
      <c r="V2196" t="str">
        <f>IF(SeismicData[[#This Row],[shift]]="W","Production","Non-Production")</f>
        <v>Production</v>
      </c>
      <c r="W2196" t="str">
        <f>IF(SeismicData[[#This Row],[genergy]]=0,"0","10^"&amp;INT(LOG10(SeismicData[[#This Row],[genergy]])))</f>
        <v>10^4</v>
      </c>
      <c r="X2196" t="str">
        <f>IF(OR(SeismicData[[#This Row],[genergy]]&lt;$AA$6,SeismicData[[#This Row],[genergy]]&gt;$AA$5),"Outlier","Normal")</f>
        <v>Normal</v>
      </c>
    </row>
    <row r="2197" spans="1:24" x14ac:dyDescent="0.15">
      <c r="A2197">
        <v>2196</v>
      </c>
      <c r="B2197" t="s">
        <v>20</v>
      </c>
      <c r="C2197" t="s">
        <v>24</v>
      </c>
      <c r="D2197" t="s">
        <v>22</v>
      </c>
      <c r="E2197">
        <v>52680</v>
      </c>
      <c r="F2197">
        <v>985</v>
      </c>
      <c r="G2197">
        <v>33</v>
      </c>
      <c r="H2197">
        <v>60</v>
      </c>
      <c r="I2197" t="s">
        <v>24</v>
      </c>
      <c r="J2197">
        <v>1</v>
      </c>
      <c r="K2197">
        <v>0</v>
      </c>
      <c r="L2197">
        <v>1</v>
      </c>
      <c r="M2197">
        <v>0</v>
      </c>
      <c r="N2197">
        <v>0</v>
      </c>
      <c r="O2197">
        <v>0</v>
      </c>
      <c r="P2197">
        <v>0</v>
      </c>
      <c r="Q2197">
        <v>0</v>
      </c>
      <c r="R2197">
        <v>3000</v>
      </c>
      <c r="S2197">
        <v>3000</v>
      </c>
      <c r="T2197">
        <v>0</v>
      </c>
      <c r="U2197" t="str">
        <f>IF(SeismicData[[#This Row],[class]]=1,"Dangerous","Safe")</f>
        <v>Safe</v>
      </c>
      <c r="V2197" t="str">
        <f>IF(SeismicData[[#This Row],[shift]]="W","Production","Non-Production")</f>
        <v>Production</v>
      </c>
      <c r="W2197" t="str">
        <f>IF(SeismicData[[#This Row],[genergy]]=0,"0","10^"&amp;INT(LOG10(SeismicData[[#This Row],[genergy]])))</f>
        <v>10^4</v>
      </c>
      <c r="X2197" t="str">
        <f>IF(OR(SeismicData[[#This Row],[genergy]]&lt;$AA$6,SeismicData[[#This Row],[genergy]]&gt;$AA$5),"Outlier","Normal")</f>
        <v>Normal</v>
      </c>
    </row>
    <row r="2198" spans="1:24" x14ac:dyDescent="0.15">
      <c r="A2198">
        <v>2197</v>
      </c>
      <c r="B2198" t="s">
        <v>20</v>
      </c>
      <c r="C2198" t="s">
        <v>24</v>
      </c>
      <c r="D2198" t="s">
        <v>22</v>
      </c>
      <c r="E2198">
        <v>40750</v>
      </c>
      <c r="F2198">
        <v>725</v>
      </c>
      <c r="G2198">
        <v>3</v>
      </c>
      <c r="H2198">
        <v>18</v>
      </c>
      <c r="I2198" t="s">
        <v>24</v>
      </c>
      <c r="J2198">
        <v>0</v>
      </c>
      <c r="K2198">
        <v>0</v>
      </c>
      <c r="L2198">
        <v>0</v>
      </c>
      <c r="M2198">
        <v>0</v>
      </c>
      <c r="N2198">
        <v>0</v>
      </c>
      <c r="O2198">
        <v>0</v>
      </c>
      <c r="P2198">
        <v>0</v>
      </c>
      <c r="Q2198">
        <v>0</v>
      </c>
      <c r="R2198">
        <v>0</v>
      </c>
      <c r="S2198">
        <v>0</v>
      </c>
      <c r="T2198">
        <v>0</v>
      </c>
      <c r="U2198" t="str">
        <f>IF(SeismicData[[#This Row],[class]]=1,"Dangerous","Safe")</f>
        <v>Safe</v>
      </c>
      <c r="V2198" t="str">
        <f>IF(SeismicData[[#This Row],[shift]]="W","Production","Non-Production")</f>
        <v>Production</v>
      </c>
      <c r="W2198" t="str">
        <f>IF(SeismicData[[#This Row],[genergy]]=0,"0","10^"&amp;INT(LOG10(SeismicData[[#This Row],[genergy]])))</f>
        <v>10^4</v>
      </c>
      <c r="X2198" t="str">
        <f>IF(OR(SeismicData[[#This Row],[genergy]]&lt;$AA$6,SeismicData[[#This Row],[genergy]]&gt;$AA$5),"Outlier","Normal")</f>
        <v>Normal</v>
      </c>
    </row>
    <row r="2199" spans="1:24" x14ac:dyDescent="0.15">
      <c r="A2199">
        <v>2198</v>
      </c>
      <c r="B2199" t="s">
        <v>20</v>
      </c>
      <c r="C2199" t="s">
        <v>24</v>
      </c>
      <c r="D2199" t="s">
        <v>22</v>
      </c>
      <c r="E2199">
        <v>37660</v>
      </c>
      <c r="F2199">
        <v>658</v>
      </c>
      <c r="G2199">
        <v>-5</v>
      </c>
      <c r="H2199">
        <v>7</v>
      </c>
      <c r="I2199" t="s">
        <v>24</v>
      </c>
      <c r="J2199">
        <v>0</v>
      </c>
      <c r="K2199">
        <v>0</v>
      </c>
      <c r="L2199">
        <v>0</v>
      </c>
      <c r="M2199">
        <v>0</v>
      </c>
      <c r="N2199">
        <v>0</v>
      </c>
      <c r="O2199">
        <v>0</v>
      </c>
      <c r="P2199">
        <v>0</v>
      </c>
      <c r="Q2199">
        <v>0</v>
      </c>
      <c r="R2199">
        <v>0</v>
      </c>
      <c r="S2199">
        <v>0</v>
      </c>
      <c r="T2199">
        <v>0</v>
      </c>
      <c r="U2199" t="str">
        <f>IF(SeismicData[[#This Row],[class]]=1,"Dangerous","Safe")</f>
        <v>Safe</v>
      </c>
      <c r="V2199" t="str">
        <f>IF(SeismicData[[#This Row],[shift]]="W","Production","Non-Production")</f>
        <v>Production</v>
      </c>
      <c r="W2199" t="str">
        <f>IF(SeismicData[[#This Row],[genergy]]=0,"0","10^"&amp;INT(LOG10(SeismicData[[#This Row],[genergy]])))</f>
        <v>10^4</v>
      </c>
      <c r="X2199" t="str">
        <f>IF(OR(SeismicData[[#This Row],[genergy]]&lt;$AA$6,SeismicData[[#This Row],[genergy]]&gt;$AA$5),"Outlier","Normal")</f>
        <v>Normal</v>
      </c>
    </row>
    <row r="2200" spans="1:24" x14ac:dyDescent="0.15">
      <c r="A2200">
        <v>2199</v>
      </c>
      <c r="B2200" t="s">
        <v>20</v>
      </c>
      <c r="C2200" t="s">
        <v>24</v>
      </c>
      <c r="D2200" t="s">
        <v>22</v>
      </c>
      <c r="E2200">
        <v>26590</v>
      </c>
      <c r="F2200">
        <v>552</v>
      </c>
      <c r="G2200">
        <v>-34</v>
      </c>
      <c r="H2200">
        <v>-13</v>
      </c>
      <c r="I2200" t="s">
        <v>24</v>
      </c>
      <c r="J2200">
        <v>0</v>
      </c>
      <c r="K2200">
        <v>0</v>
      </c>
      <c r="L2200">
        <v>0</v>
      </c>
      <c r="M2200">
        <v>0</v>
      </c>
      <c r="N2200">
        <v>0</v>
      </c>
      <c r="O2200">
        <v>0</v>
      </c>
      <c r="P2200">
        <v>0</v>
      </c>
      <c r="Q2200">
        <v>0</v>
      </c>
      <c r="R2200">
        <v>0</v>
      </c>
      <c r="S2200">
        <v>0</v>
      </c>
      <c r="T2200">
        <v>0</v>
      </c>
      <c r="U2200" t="str">
        <f>IF(SeismicData[[#This Row],[class]]=1,"Dangerous","Safe")</f>
        <v>Safe</v>
      </c>
      <c r="V2200" t="str">
        <f>IF(SeismicData[[#This Row],[shift]]="W","Production","Non-Production")</f>
        <v>Production</v>
      </c>
      <c r="W2200" t="str">
        <f>IF(SeismicData[[#This Row],[genergy]]=0,"0","10^"&amp;INT(LOG10(SeismicData[[#This Row],[genergy]])))</f>
        <v>10^4</v>
      </c>
      <c r="X2200" t="str">
        <f>IF(OR(SeismicData[[#This Row],[genergy]]&lt;$AA$6,SeismicData[[#This Row],[genergy]]&gt;$AA$5),"Outlier","Normal")</f>
        <v>Normal</v>
      </c>
    </row>
    <row r="2201" spans="1:24" x14ac:dyDescent="0.15">
      <c r="A2201">
        <v>2200</v>
      </c>
      <c r="B2201" t="s">
        <v>20</v>
      </c>
      <c r="C2201" t="s">
        <v>24</v>
      </c>
      <c r="D2201" t="s">
        <v>22</v>
      </c>
      <c r="E2201">
        <v>63410</v>
      </c>
      <c r="F2201">
        <v>767</v>
      </c>
      <c r="G2201">
        <v>57</v>
      </c>
      <c r="H2201">
        <v>21</v>
      </c>
      <c r="I2201" t="s">
        <v>24</v>
      </c>
      <c r="J2201">
        <v>1</v>
      </c>
      <c r="K2201">
        <v>1</v>
      </c>
      <c r="L2201">
        <v>0</v>
      </c>
      <c r="M2201">
        <v>0</v>
      </c>
      <c r="N2201">
        <v>0</v>
      </c>
      <c r="O2201">
        <v>0</v>
      </c>
      <c r="P2201">
        <v>0</v>
      </c>
      <c r="Q2201">
        <v>0</v>
      </c>
      <c r="R2201">
        <v>600</v>
      </c>
      <c r="S2201">
        <v>600</v>
      </c>
      <c r="T2201">
        <v>0</v>
      </c>
      <c r="U2201" t="str">
        <f>IF(SeismicData[[#This Row],[class]]=1,"Dangerous","Safe")</f>
        <v>Safe</v>
      </c>
      <c r="V2201" t="str">
        <f>IF(SeismicData[[#This Row],[shift]]="W","Production","Non-Production")</f>
        <v>Production</v>
      </c>
      <c r="W2201" t="str">
        <f>IF(SeismicData[[#This Row],[genergy]]=0,"0","10^"&amp;INT(LOG10(SeismicData[[#This Row],[genergy]])))</f>
        <v>10^4</v>
      </c>
      <c r="X2201" t="str">
        <f>IF(OR(SeismicData[[#This Row],[genergy]]&lt;$AA$6,SeismicData[[#This Row],[genergy]]&gt;$AA$5),"Outlier","Normal")</f>
        <v>Normal</v>
      </c>
    </row>
    <row r="2202" spans="1:24" x14ac:dyDescent="0.15">
      <c r="A2202">
        <v>2201</v>
      </c>
      <c r="B2202" t="s">
        <v>20</v>
      </c>
      <c r="C2202" t="s">
        <v>24</v>
      </c>
      <c r="D2202" t="s">
        <v>22</v>
      </c>
      <c r="E2202">
        <v>51740</v>
      </c>
      <c r="F2202">
        <v>847</v>
      </c>
      <c r="G2202">
        <v>28</v>
      </c>
      <c r="H2202">
        <v>33</v>
      </c>
      <c r="I2202" t="s">
        <v>24</v>
      </c>
      <c r="J2202">
        <v>1</v>
      </c>
      <c r="K2202">
        <v>1</v>
      </c>
      <c r="L2202">
        <v>0</v>
      </c>
      <c r="M2202">
        <v>0</v>
      </c>
      <c r="N2202">
        <v>0</v>
      </c>
      <c r="O2202">
        <v>0</v>
      </c>
      <c r="P2202">
        <v>0</v>
      </c>
      <c r="Q2202">
        <v>0</v>
      </c>
      <c r="R2202">
        <v>200</v>
      </c>
      <c r="S2202">
        <v>200</v>
      </c>
      <c r="T2202">
        <v>0</v>
      </c>
      <c r="U2202" t="str">
        <f>IF(SeismicData[[#This Row],[class]]=1,"Dangerous","Safe")</f>
        <v>Safe</v>
      </c>
      <c r="V2202" t="str">
        <f>IF(SeismicData[[#This Row],[shift]]="W","Production","Non-Production")</f>
        <v>Production</v>
      </c>
      <c r="W2202" t="str">
        <f>IF(SeismicData[[#This Row],[genergy]]=0,"0","10^"&amp;INT(LOG10(SeismicData[[#This Row],[genergy]])))</f>
        <v>10^4</v>
      </c>
      <c r="X2202" t="str">
        <f>IF(OR(SeismicData[[#This Row],[genergy]]&lt;$AA$6,SeismicData[[#This Row],[genergy]]&gt;$AA$5),"Outlier","Normal")</f>
        <v>Normal</v>
      </c>
    </row>
    <row r="2203" spans="1:24" x14ac:dyDescent="0.15">
      <c r="A2203">
        <v>2202</v>
      </c>
      <c r="B2203" t="s">
        <v>20</v>
      </c>
      <c r="C2203" t="s">
        <v>24</v>
      </c>
      <c r="D2203" t="s">
        <v>22</v>
      </c>
      <c r="E2203">
        <v>27950</v>
      </c>
      <c r="F2203">
        <v>702</v>
      </c>
      <c r="G2203">
        <v>-31</v>
      </c>
      <c r="H2203">
        <v>10</v>
      </c>
      <c r="I2203" t="s">
        <v>24</v>
      </c>
      <c r="J2203">
        <v>0</v>
      </c>
      <c r="K2203">
        <v>0</v>
      </c>
      <c r="L2203">
        <v>0</v>
      </c>
      <c r="M2203">
        <v>0</v>
      </c>
      <c r="N2203">
        <v>0</v>
      </c>
      <c r="O2203">
        <v>0</v>
      </c>
      <c r="P2203">
        <v>0</v>
      </c>
      <c r="Q2203">
        <v>0</v>
      </c>
      <c r="R2203">
        <v>0</v>
      </c>
      <c r="S2203">
        <v>0</v>
      </c>
      <c r="T2203">
        <v>0</v>
      </c>
      <c r="U2203" t="str">
        <f>IF(SeismicData[[#This Row],[class]]=1,"Dangerous","Safe")</f>
        <v>Safe</v>
      </c>
      <c r="V2203" t="str">
        <f>IF(SeismicData[[#This Row],[shift]]="W","Production","Non-Production")</f>
        <v>Production</v>
      </c>
      <c r="W2203" t="str">
        <f>IF(SeismicData[[#This Row],[genergy]]=0,"0","10^"&amp;INT(LOG10(SeismicData[[#This Row],[genergy]])))</f>
        <v>10^4</v>
      </c>
      <c r="X2203" t="str">
        <f>IF(OR(SeismicData[[#This Row],[genergy]]&lt;$AA$6,SeismicData[[#This Row],[genergy]]&gt;$AA$5),"Outlier","Normal")</f>
        <v>Normal</v>
      </c>
    </row>
    <row r="2204" spans="1:24" x14ac:dyDescent="0.15">
      <c r="A2204">
        <v>2203</v>
      </c>
      <c r="B2204" t="s">
        <v>20</v>
      </c>
      <c r="C2204" t="s">
        <v>24</v>
      </c>
      <c r="D2204" t="s">
        <v>22</v>
      </c>
      <c r="E2204">
        <v>37170</v>
      </c>
      <c r="F2204">
        <v>881</v>
      </c>
      <c r="G2204">
        <v>-8</v>
      </c>
      <c r="H2204">
        <v>39</v>
      </c>
      <c r="I2204" t="s">
        <v>24</v>
      </c>
      <c r="J2204">
        <v>0</v>
      </c>
      <c r="K2204">
        <v>0</v>
      </c>
      <c r="L2204">
        <v>0</v>
      </c>
      <c r="M2204">
        <v>0</v>
      </c>
      <c r="N2204">
        <v>0</v>
      </c>
      <c r="O2204">
        <v>0</v>
      </c>
      <c r="P2204">
        <v>0</v>
      </c>
      <c r="Q2204">
        <v>0</v>
      </c>
      <c r="R2204">
        <v>0</v>
      </c>
      <c r="S2204">
        <v>0</v>
      </c>
      <c r="T2204">
        <v>0</v>
      </c>
      <c r="U2204" t="str">
        <f>IF(SeismicData[[#This Row],[class]]=1,"Dangerous","Safe")</f>
        <v>Safe</v>
      </c>
      <c r="V2204" t="str">
        <f>IF(SeismicData[[#This Row],[shift]]="W","Production","Non-Production")</f>
        <v>Production</v>
      </c>
      <c r="W2204" t="str">
        <f>IF(SeismicData[[#This Row],[genergy]]=0,"0","10^"&amp;INT(LOG10(SeismicData[[#This Row],[genergy]])))</f>
        <v>10^4</v>
      </c>
      <c r="X2204" t="str">
        <f>IF(OR(SeismicData[[#This Row],[genergy]]&lt;$AA$6,SeismicData[[#This Row],[genergy]]&gt;$AA$5),"Outlier","Normal")</f>
        <v>Normal</v>
      </c>
    </row>
    <row r="2205" spans="1:24" x14ac:dyDescent="0.15">
      <c r="A2205">
        <v>2204</v>
      </c>
      <c r="B2205" t="s">
        <v>20</v>
      </c>
      <c r="C2205" t="s">
        <v>24</v>
      </c>
      <c r="D2205" t="s">
        <v>22</v>
      </c>
      <c r="E2205">
        <v>38620</v>
      </c>
      <c r="F2205">
        <v>719</v>
      </c>
      <c r="G2205">
        <v>-4</v>
      </c>
      <c r="H2205">
        <v>13</v>
      </c>
      <c r="I2205" t="s">
        <v>24</v>
      </c>
      <c r="J2205">
        <v>1</v>
      </c>
      <c r="K2205">
        <v>1</v>
      </c>
      <c r="L2205">
        <v>0</v>
      </c>
      <c r="M2205">
        <v>0</v>
      </c>
      <c r="N2205">
        <v>0</v>
      </c>
      <c r="O2205">
        <v>0</v>
      </c>
      <c r="P2205">
        <v>0</v>
      </c>
      <c r="Q2205">
        <v>0</v>
      </c>
      <c r="R2205">
        <v>500</v>
      </c>
      <c r="S2205">
        <v>500</v>
      </c>
      <c r="T2205">
        <v>0</v>
      </c>
      <c r="U2205" t="str">
        <f>IF(SeismicData[[#This Row],[class]]=1,"Dangerous","Safe")</f>
        <v>Safe</v>
      </c>
      <c r="V2205" t="str">
        <f>IF(SeismicData[[#This Row],[shift]]="W","Production","Non-Production")</f>
        <v>Production</v>
      </c>
      <c r="W2205" t="str">
        <f>IF(SeismicData[[#This Row],[genergy]]=0,"0","10^"&amp;INT(LOG10(SeismicData[[#This Row],[genergy]])))</f>
        <v>10^4</v>
      </c>
      <c r="X2205" t="str">
        <f>IF(OR(SeismicData[[#This Row],[genergy]]&lt;$AA$6,SeismicData[[#This Row],[genergy]]&gt;$AA$5),"Outlier","Normal")</f>
        <v>Normal</v>
      </c>
    </row>
    <row r="2206" spans="1:24" x14ac:dyDescent="0.15">
      <c r="A2206">
        <v>2205</v>
      </c>
      <c r="B2206" t="s">
        <v>20</v>
      </c>
      <c r="C2206" t="s">
        <v>24</v>
      </c>
      <c r="D2206" t="s">
        <v>22</v>
      </c>
      <c r="E2206">
        <v>54500</v>
      </c>
      <c r="F2206">
        <v>757</v>
      </c>
      <c r="G2206">
        <v>35</v>
      </c>
      <c r="H2206">
        <v>19</v>
      </c>
      <c r="I2206" t="s">
        <v>24</v>
      </c>
      <c r="J2206">
        <v>0</v>
      </c>
      <c r="K2206">
        <v>0</v>
      </c>
      <c r="L2206">
        <v>0</v>
      </c>
      <c r="M2206">
        <v>0</v>
      </c>
      <c r="N2206">
        <v>0</v>
      </c>
      <c r="O2206">
        <v>0</v>
      </c>
      <c r="P2206">
        <v>0</v>
      </c>
      <c r="Q2206">
        <v>0</v>
      </c>
      <c r="R2206">
        <v>0</v>
      </c>
      <c r="S2206">
        <v>0</v>
      </c>
      <c r="T2206">
        <v>0</v>
      </c>
      <c r="U2206" t="str">
        <f>IF(SeismicData[[#This Row],[class]]=1,"Dangerous","Safe")</f>
        <v>Safe</v>
      </c>
      <c r="V2206" t="str">
        <f>IF(SeismicData[[#This Row],[shift]]="W","Production","Non-Production")</f>
        <v>Production</v>
      </c>
      <c r="W2206" t="str">
        <f>IF(SeismicData[[#This Row],[genergy]]=0,"0","10^"&amp;INT(LOG10(SeismicData[[#This Row],[genergy]])))</f>
        <v>10^4</v>
      </c>
      <c r="X2206" t="str">
        <f>IF(OR(SeismicData[[#This Row],[genergy]]&lt;$AA$6,SeismicData[[#This Row],[genergy]]&gt;$AA$5),"Outlier","Normal")</f>
        <v>Normal</v>
      </c>
    </row>
    <row r="2207" spans="1:24" x14ac:dyDescent="0.15">
      <c r="A2207">
        <v>2206</v>
      </c>
      <c r="B2207" t="s">
        <v>20</v>
      </c>
      <c r="C2207" t="s">
        <v>24</v>
      </c>
      <c r="D2207" t="s">
        <v>22</v>
      </c>
      <c r="E2207">
        <v>43740</v>
      </c>
      <c r="F2207">
        <v>1056</v>
      </c>
      <c r="G2207">
        <v>9</v>
      </c>
      <c r="H2207">
        <v>66</v>
      </c>
      <c r="I2207" t="s">
        <v>24</v>
      </c>
      <c r="J2207">
        <v>0</v>
      </c>
      <c r="K2207">
        <v>0</v>
      </c>
      <c r="L2207">
        <v>0</v>
      </c>
      <c r="M2207">
        <v>0</v>
      </c>
      <c r="N2207">
        <v>0</v>
      </c>
      <c r="O2207">
        <v>0</v>
      </c>
      <c r="P2207">
        <v>0</v>
      </c>
      <c r="Q2207">
        <v>0</v>
      </c>
      <c r="R2207">
        <v>0</v>
      </c>
      <c r="S2207">
        <v>0</v>
      </c>
      <c r="T2207">
        <v>0</v>
      </c>
      <c r="U2207" t="str">
        <f>IF(SeismicData[[#This Row],[class]]=1,"Dangerous","Safe")</f>
        <v>Safe</v>
      </c>
      <c r="V2207" t="str">
        <f>IF(SeismicData[[#This Row],[shift]]="W","Production","Non-Production")</f>
        <v>Production</v>
      </c>
      <c r="W2207" t="str">
        <f>IF(SeismicData[[#This Row],[genergy]]=0,"0","10^"&amp;INT(LOG10(SeismicData[[#This Row],[genergy]])))</f>
        <v>10^4</v>
      </c>
      <c r="X2207" t="str">
        <f>IF(OR(SeismicData[[#This Row],[genergy]]&lt;$AA$6,SeismicData[[#This Row],[genergy]]&gt;$AA$5),"Outlier","Normal")</f>
        <v>Normal</v>
      </c>
    </row>
    <row r="2208" spans="1:24" x14ac:dyDescent="0.15">
      <c r="A2208">
        <v>2207</v>
      </c>
      <c r="B2208" t="s">
        <v>20</v>
      </c>
      <c r="C2208" t="s">
        <v>24</v>
      </c>
      <c r="D2208" t="s">
        <v>22</v>
      </c>
      <c r="E2208">
        <v>22210</v>
      </c>
      <c r="F2208">
        <v>658</v>
      </c>
      <c r="G2208">
        <v>-48</v>
      </c>
      <c r="H2208">
        <v>0</v>
      </c>
      <c r="I2208" t="s">
        <v>23</v>
      </c>
      <c r="J2208">
        <v>0</v>
      </c>
      <c r="K2208">
        <v>0</v>
      </c>
      <c r="L2208">
        <v>0</v>
      </c>
      <c r="M2208">
        <v>0</v>
      </c>
      <c r="N2208">
        <v>0</v>
      </c>
      <c r="O2208">
        <v>0</v>
      </c>
      <c r="P2208">
        <v>0</v>
      </c>
      <c r="Q2208">
        <v>0</v>
      </c>
      <c r="R2208">
        <v>0</v>
      </c>
      <c r="S2208">
        <v>0</v>
      </c>
      <c r="T2208">
        <v>0</v>
      </c>
      <c r="U2208" t="str">
        <f>IF(SeismicData[[#This Row],[class]]=1,"Dangerous","Safe")</f>
        <v>Safe</v>
      </c>
      <c r="V2208" t="str">
        <f>IF(SeismicData[[#This Row],[shift]]="W","Production","Non-Production")</f>
        <v>Production</v>
      </c>
      <c r="W2208" t="str">
        <f>IF(SeismicData[[#This Row],[genergy]]=0,"0","10^"&amp;INT(LOG10(SeismicData[[#This Row],[genergy]])))</f>
        <v>10^4</v>
      </c>
      <c r="X2208" t="str">
        <f>IF(OR(SeismicData[[#This Row],[genergy]]&lt;$AA$6,SeismicData[[#This Row],[genergy]]&gt;$AA$5),"Outlier","Normal")</f>
        <v>Normal</v>
      </c>
    </row>
    <row r="2209" spans="1:24" x14ac:dyDescent="0.15">
      <c r="A2209">
        <v>2208</v>
      </c>
      <c r="B2209" t="s">
        <v>20</v>
      </c>
      <c r="C2209" t="s">
        <v>24</v>
      </c>
      <c r="D2209" t="s">
        <v>22</v>
      </c>
      <c r="E2209">
        <v>52510</v>
      </c>
      <c r="F2209">
        <v>917</v>
      </c>
      <c r="G2209">
        <v>23</v>
      </c>
      <c r="H2209">
        <v>39</v>
      </c>
      <c r="I2209" t="s">
        <v>23</v>
      </c>
      <c r="J2209">
        <v>1</v>
      </c>
      <c r="K2209">
        <v>0</v>
      </c>
      <c r="L2209">
        <v>1</v>
      </c>
      <c r="M2209">
        <v>0</v>
      </c>
      <c r="N2209">
        <v>0</v>
      </c>
      <c r="O2209">
        <v>0</v>
      </c>
      <c r="P2209">
        <v>0</v>
      </c>
      <c r="Q2209">
        <v>0</v>
      </c>
      <c r="R2209">
        <v>4000</v>
      </c>
      <c r="S2209">
        <v>4000</v>
      </c>
      <c r="T2209">
        <v>0</v>
      </c>
      <c r="U2209" t="str">
        <f>IF(SeismicData[[#This Row],[class]]=1,"Dangerous","Safe")</f>
        <v>Safe</v>
      </c>
      <c r="V2209" t="str">
        <f>IF(SeismicData[[#This Row],[shift]]="W","Production","Non-Production")</f>
        <v>Production</v>
      </c>
      <c r="W2209" t="str">
        <f>IF(SeismicData[[#This Row],[genergy]]=0,"0","10^"&amp;INT(LOG10(SeismicData[[#This Row],[genergy]])))</f>
        <v>10^4</v>
      </c>
      <c r="X2209" t="str">
        <f>IF(OR(SeismicData[[#This Row],[genergy]]&lt;$AA$6,SeismicData[[#This Row],[genergy]]&gt;$AA$5),"Outlier","Normal")</f>
        <v>Normal</v>
      </c>
    </row>
    <row r="2210" spans="1:24" x14ac:dyDescent="0.15">
      <c r="A2210">
        <v>2209</v>
      </c>
      <c r="B2210" t="s">
        <v>20</v>
      </c>
      <c r="C2210" t="s">
        <v>24</v>
      </c>
      <c r="D2210" t="s">
        <v>22</v>
      </c>
      <c r="E2210">
        <v>67230</v>
      </c>
      <c r="F2210">
        <v>1155</v>
      </c>
      <c r="G2210">
        <v>57</v>
      </c>
      <c r="H2210">
        <v>75</v>
      </c>
      <c r="I2210" t="s">
        <v>23</v>
      </c>
      <c r="J2210">
        <v>2</v>
      </c>
      <c r="K2210">
        <v>1</v>
      </c>
      <c r="L2210">
        <v>1</v>
      </c>
      <c r="M2210">
        <v>0</v>
      </c>
      <c r="N2210">
        <v>0</v>
      </c>
      <c r="O2210">
        <v>0</v>
      </c>
      <c r="P2210">
        <v>0</v>
      </c>
      <c r="Q2210">
        <v>0</v>
      </c>
      <c r="R2210">
        <v>3500</v>
      </c>
      <c r="S2210">
        <v>3000</v>
      </c>
      <c r="T2210">
        <v>1</v>
      </c>
      <c r="U2210" t="str">
        <f>IF(SeismicData[[#This Row],[class]]=1,"Dangerous","Safe")</f>
        <v>Dangerous</v>
      </c>
      <c r="V2210" t="str">
        <f>IF(SeismicData[[#This Row],[shift]]="W","Production","Non-Production")</f>
        <v>Production</v>
      </c>
      <c r="W2210" t="str">
        <f>IF(SeismicData[[#This Row],[genergy]]=0,"0","10^"&amp;INT(LOG10(SeismicData[[#This Row],[genergy]])))</f>
        <v>10^4</v>
      </c>
      <c r="X2210" t="str">
        <f>IF(OR(SeismicData[[#This Row],[genergy]]&lt;$AA$6,SeismicData[[#This Row],[genergy]]&gt;$AA$5),"Outlier","Normal")</f>
        <v>Normal</v>
      </c>
    </row>
    <row r="2211" spans="1:24" x14ac:dyDescent="0.15">
      <c r="A2211">
        <v>2210</v>
      </c>
      <c r="B2211" t="s">
        <v>20</v>
      </c>
      <c r="C2211" t="s">
        <v>24</v>
      </c>
      <c r="D2211" t="s">
        <v>22</v>
      </c>
      <c r="E2211">
        <v>95180</v>
      </c>
      <c r="F2211">
        <v>1144</v>
      </c>
      <c r="G2211">
        <v>122</v>
      </c>
      <c r="H2211">
        <v>73</v>
      </c>
      <c r="I2211" t="s">
        <v>23</v>
      </c>
      <c r="J2211">
        <v>2</v>
      </c>
      <c r="K2211">
        <v>0</v>
      </c>
      <c r="L2211">
        <v>1</v>
      </c>
      <c r="M2211">
        <v>1</v>
      </c>
      <c r="N2211">
        <v>0</v>
      </c>
      <c r="O2211">
        <v>0</v>
      </c>
      <c r="P2211">
        <v>0</v>
      </c>
      <c r="Q2211">
        <v>0</v>
      </c>
      <c r="R2211">
        <v>27000</v>
      </c>
      <c r="S2211">
        <v>20000</v>
      </c>
      <c r="T2211">
        <v>1</v>
      </c>
      <c r="U2211" t="str">
        <f>IF(SeismicData[[#This Row],[class]]=1,"Dangerous","Safe")</f>
        <v>Dangerous</v>
      </c>
      <c r="V2211" t="str">
        <f>IF(SeismicData[[#This Row],[shift]]="W","Production","Non-Production")</f>
        <v>Production</v>
      </c>
      <c r="W2211" t="str">
        <f>IF(SeismicData[[#This Row],[genergy]]=0,"0","10^"&amp;INT(LOG10(SeismicData[[#This Row],[genergy]])))</f>
        <v>10^4</v>
      </c>
      <c r="X2211" t="str">
        <f>IF(OR(SeismicData[[#This Row],[genergy]]&lt;$AA$6,SeismicData[[#This Row],[genergy]]&gt;$AA$5),"Outlier","Normal")</f>
        <v>Normal</v>
      </c>
    </row>
    <row r="2212" spans="1:24" x14ac:dyDescent="0.15">
      <c r="A2212">
        <v>2211</v>
      </c>
      <c r="B2212" t="s">
        <v>20</v>
      </c>
      <c r="C2212" t="s">
        <v>24</v>
      </c>
      <c r="D2212" t="s">
        <v>22</v>
      </c>
      <c r="E2212">
        <v>151920</v>
      </c>
      <c r="F2212">
        <v>1132</v>
      </c>
      <c r="G2212">
        <v>255</v>
      </c>
      <c r="H2212">
        <v>71</v>
      </c>
      <c r="I2212" t="s">
        <v>23</v>
      </c>
      <c r="J2212">
        <v>2</v>
      </c>
      <c r="K2212">
        <v>1</v>
      </c>
      <c r="L2212">
        <v>0</v>
      </c>
      <c r="M2212">
        <v>1</v>
      </c>
      <c r="N2212">
        <v>0</v>
      </c>
      <c r="O2212">
        <v>0</v>
      </c>
      <c r="P2212">
        <v>0</v>
      </c>
      <c r="Q2212">
        <v>0</v>
      </c>
      <c r="R2212">
        <v>20300</v>
      </c>
      <c r="S2212">
        <v>20000</v>
      </c>
      <c r="T2212">
        <v>0</v>
      </c>
      <c r="U2212" t="str">
        <f>IF(SeismicData[[#This Row],[class]]=1,"Dangerous","Safe")</f>
        <v>Safe</v>
      </c>
      <c r="V2212" t="str">
        <f>IF(SeismicData[[#This Row],[shift]]="W","Production","Non-Production")</f>
        <v>Production</v>
      </c>
      <c r="W2212" t="str">
        <f>IF(SeismicData[[#This Row],[genergy]]=0,"0","10^"&amp;INT(LOG10(SeismicData[[#This Row],[genergy]])))</f>
        <v>10^5</v>
      </c>
      <c r="X2212" t="str">
        <f>IF(OR(SeismicData[[#This Row],[genergy]]&lt;$AA$6,SeismicData[[#This Row],[genergy]]&gt;$AA$5),"Outlier","Normal")</f>
        <v>Outlier</v>
      </c>
    </row>
    <row r="2213" spans="1:24" x14ac:dyDescent="0.15">
      <c r="A2213">
        <v>2212</v>
      </c>
      <c r="B2213" t="s">
        <v>20</v>
      </c>
      <c r="C2213" t="s">
        <v>24</v>
      </c>
      <c r="D2213" t="s">
        <v>22</v>
      </c>
      <c r="E2213">
        <v>106030</v>
      </c>
      <c r="F2213">
        <v>988</v>
      </c>
      <c r="G2213">
        <v>148</v>
      </c>
      <c r="H2213">
        <v>49</v>
      </c>
      <c r="I2213" t="s">
        <v>23</v>
      </c>
      <c r="J2213">
        <v>0</v>
      </c>
      <c r="K2213">
        <v>0</v>
      </c>
      <c r="L2213">
        <v>0</v>
      </c>
      <c r="M2213">
        <v>0</v>
      </c>
      <c r="N2213">
        <v>0</v>
      </c>
      <c r="O2213">
        <v>0</v>
      </c>
      <c r="P2213">
        <v>0</v>
      </c>
      <c r="Q2213">
        <v>0</v>
      </c>
      <c r="R2213">
        <v>0</v>
      </c>
      <c r="S2213">
        <v>0</v>
      </c>
      <c r="T2213">
        <v>0</v>
      </c>
      <c r="U2213" t="str">
        <f>IF(SeismicData[[#This Row],[class]]=1,"Dangerous","Safe")</f>
        <v>Safe</v>
      </c>
      <c r="V2213" t="str">
        <f>IF(SeismicData[[#This Row],[shift]]="W","Production","Non-Production")</f>
        <v>Production</v>
      </c>
      <c r="W2213" t="str">
        <f>IF(SeismicData[[#This Row],[genergy]]=0,"0","10^"&amp;INT(LOG10(SeismicData[[#This Row],[genergy]])))</f>
        <v>10^5</v>
      </c>
      <c r="X2213" t="str">
        <f>IF(OR(SeismicData[[#This Row],[genergy]]&lt;$AA$6,SeismicData[[#This Row],[genergy]]&gt;$AA$5),"Outlier","Normal")</f>
        <v>Normal</v>
      </c>
    </row>
    <row r="2214" spans="1:24" x14ac:dyDescent="0.15">
      <c r="A2214">
        <v>2213</v>
      </c>
      <c r="B2214" t="s">
        <v>20</v>
      </c>
      <c r="C2214" t="s">
        <v>24</v>
      </c>
      <c r="D2214" t="s">
        <v>22</v>
      </c>
      <c r="E2214">
        <v>81430</v>
      </c>
      <c r="F2214">
        <v>886</v>
      </c>
      <c r="G2214">
        <v>90</v>
      </c>
      <c r="H2214">
        <v>34</v>
      </c>
      <c r="I2214" t="s">
        <v>23</v>
      </c>
      <c r="J2214">
        <v>0</v>
      </c>
      <c r="K2214">
        <v>0</v>
      </c>
      <c r="L2214">
        <v>0</v>
      </c>
      <c r="M2214">
        <v>0</v>
      </c>
      <c r="N2214">
        <v>0</v>
      </c>
      <c r="O2214">
        <v>0</v>
      </c>
      <c r="P2214">
        <v>0</v>
      </c>
      <c r="Q2214">
        <v>0</v>
      </c>
      <c r="R2214">
        <v>0</v>
      </c>
      <c r="S2214">
        <v>0</v>
      </c>
      <c r="T2214">
        <v>0</v>
      </c>
      <c r="U2214" t="str">
        <f>IF(SeismicData[[#This Row],[class]]=1,"Dangerous","Safe")</f>
        <v>Safe</v>
      </c>
      <c r="V2214" t="str">
        <f>IF(SeismicData[[#This Row],[shift]]="W","Production","Non-Production")</f>
        <v>Production</v>
      </c>
      <c r="W2214" t="str">
        <f>IF(SeismicData[[#This Row],[genergy]]=0,"0","10^"&amp;INT(LOG10(SeismicData[[#This Row],[genergy]])))</f>
        <v>10^4</v>
      </c>
      <c r="X2214" t="str">
        <f>IF(OR(SeismicData[[#This Row],[genergy]]&lt;$AA$6,SeismicData[[#This Row],[genergy]]&gt;$AA$5),"Outlier","Normal")</f>
        <v>Normal</v>
      </c>
    </row>
    <row r="2215" spans="1:24" x14ac:dyDescent="0.15">
      <c r="A2215">
        <v>2214</v>
      </c>
      <c r="B2215" t="s">
        <v>20</v>
      </c>
      <c r="C2215" t="s">
        <v>24</v>
      </c>
      <c r="D2215" t="s">
        <v>22</v>
      </c>
      <c r="E2215">
        <v>124850</v>
      </c>
      <c r="F2215">
        <v>1014</v>
      </c>
      <c r="G2215">
        <v>191</v>
      </c>
      <c r="H2215">
        <v>53</v>
      </c>
      <c r="I2215" t="s">
        <v>23</v>
      </c>
      <c r="J2215">
        <v>0</v>
      </c>
      <c r="K2215">
        <v>0</v>
      </c>
      <c r="L2215">
        <v>0</v>
      </c>
      <c r="M2215">
        <v>0</v>
      </c>
      <c r="N2215">
        <v>0</v>
      </c>
      <c r="O2215">
        <v>0</v>
      </c>
      <c r="P2215">
        <v>0</v>
      </c>
      <c r="Q2215">
        <v>0</v>
      </c>
      <c r="R2215">
        <v>0</v>
      </c>
      <c r="S2215">
        <v>0</v>
      </c>
      <c r="T2215">
        <v>0</v>
      </c>
      <c r="U2215" t="str">
        <f>IF(SeismicData[[#This Row],[class]]=1,"Dangerous","Safe")</f>
        <v>Safe</v>
      </c>
      <c r="V2215" t="str">
        <f>IF(SeismicData[[#This Row],[shift]]="W","Production","Non-Production")</f>
        <v>Production</v>
      </c>
      <c r="W2215" t="str">
        <f>IF(SeismicData[[#This Row],[genergy]]=0,"0","10^"&amp;INT(LOG10(SeismicData[[#This Row],[genergy]])))</f>
        <v>10^5</v>
      </c>
      <c r="X2215" t="str">
        <f>IF(OR(SeismicData[[#This Row],[genergy]]&lt;$AA$6,SeismicData[[#This Row],[genergy]]&gt;$AA$5),"Outlier","Normal")</f>
        <v>Outlier</v>
      </c>
    </row>
    <row r="2216" spans="1:24" x14ac:dyDescent="0.15">
      <c r="A2216">
        <v>2215</v>
      </c>
      <c r="B2216" t="s">
        <v>23</v>
      </c>
      <c r="C2216" t="s">
        <v>24</v>
      </c>
      <c r="D2216" t="s">
        <v>22</v>
      </c>
      <c r="E2216">
        <v>68040</v>
      </c>
      <c r="F2216">
        <v>1049</v>
      </c>
      <c r="G2216">
        <v>50</v>
      </c>
      <c r="H2216">
        <v>51</v>
      </c>
      <c r="I2216" t="s">
        <v>23</v>
      </c>
      <c r="J2216">
        <v>1</v>
      </c>
      <c r="K2216">
        <v>0</v>
      </c>
      <c r="L2216">
        <v>1</v>
      </c>
      <c r="M2216">
        <v>0</v>
      </c>
      <c r="N2216">
        <v>0</v>
      </c>
      <c r="O2216">
        <v>0</v>
      </c>
      <c r="P2216">
        <v>0</v>
      </c>
      <c r="Q2216">
        <v>0</v>
      </c>
      <c r="R2216">
        <v>4000</v>
      </c>
      <c r="S2216">
        <v>4000</v>
      </c>
      <c r="T2216">
        <v>0</v>
      </c>
      <c r="U2216" t="str">
        <f>IF(SeismicData[[#This Row],[class]]=1,"Dangerous","Safe")</f>
        <v>Safe</v>
      </c>
      <c r="V2216" t="str">
        <f>IF(SeismicData[[#This Row],[shift]]="W","Production","Non-Production")</f>
        <v>Production</v>
      </c>
      <c r="W2216" t="str">
        <f>IF(SeismicData[[#This Row],[genergy]]=0,"0","10^"&amp;INT(LOG10(SeismicData[[#This Row],[genergy]])))</f>
        <v>10^4</v>
      </c>
      <c r="X2216" t="str">
        <f>IF(OR(SeismicData[[#This Row],[genergy]]&lt;$AA$6,SeismicData[[#This Row],[genergy]]&gt;$AA$5),"Outlier","Normal")</f>
        <v>Normal</v>
      </c>
    </row>
    <row r="2217" spans="1:24" x14ac:dyDescent="0.15">
      <c r="A2217">
        <v>2216</v>
      </c>
      <c r="B2217" t="s">
        <v>23</v>
      </c>
      <c r="C2217" t="s">
        <v>24</v>
      </c>
      <c r="D2217" t="s">
        <v>22</v>
      </c>
      <c r="E2217">
        <v>57440</v>
      </c>
      <c r="F2217">
        <v>538</v>
      </c>
      <c r="G2217">
        <v>27</v>
      </c>
      <c r="H2217">
        <v>-23</v>
      </c>
      <c r="I2217" t="s">
        <v>23</v>
      </c>
      <c r="J2217">
        <v>0</v>
      </c>
      <c r="K2217">
        <v>0</v>
      </c>
      <c r="L2217">
        <v>0</v>
      </c>
      <c r="M2217">
        <v>0</v>
      </c>
      <c r="N2217">
        <v>0</v>
      </c>
      <c r="O2217">
        <v>0</v>
      </c>
      <c r="P2217">
        <v>0</v>
      </c>
      <c r="Q2217">
        <v>0</v>
      </c>
      <c r="R2217">
        <v>0</v>
      </c>
      <c r="S2217">
        <v>0</v>
      </c>
      <c r="T2217">
        <v>0</v>
      </c>
      <c r="U2217" t="str">
        <f>IF(SeismicData[[#This Row],[class]]=1,"Dangerous","Safe")</f>
        <v>Safe</v>
      </c>
      <c r="V2217" t="str">
        <f>IF(SeismicData[[#This Row],[shift]]="W","Production","Non-Production")</f>
        <v>Production</v>
      </c>
      <c r="W2217" t="str">
        <f>IF(SeismicData[[#This Row],[genergy]]=0,"0","10^"&amp;INT(LOG10(SeismicData[[#This Row],[genergy]])))</f>
        <v>10^4</v>
      </c>
      <c r="X2217" t="str">
        <f>IF(OR(SeismicData[[#This Row],[genergy]]&lt;$AA$6,SeismicData[[#This Row],[genergy]]&gt;$AA$5),"Outlier","Normal")</f>
        <v>Normal</v>
      </c>
    </row>
    <row r="2218" spans="1:24" x14ac:dyDescent="0.15">
      <c r="A2218">
        <v>2217</v>
      </c>
      <c r="B2218" t="s">
        <v>23</v>
      </c>
      <c r="C2218" t="s">
        <v>24</v>
      </c>
      <c r="D2218" t="s">
        <v>22</v>
      </c>
      <c r="E2218">
        <v>111380</v>
      </c>
      <c r="F2218">
        <v>952</v>
      </c>
      <c r="G2218">
        <v>146</v>
      </c>
      <c r="H2218">
        <v>37</v>
      </c>
      <c r="I2218" t="s">
        <v>23</v>
      </c>
      <c r="J2218">
        <v>1</v>
      </c>
      <c r="K2218">
        <v>1</v>
      </c>
      <c r="L2218">
        <v>0</v>
      </c>
      <c r="M2218">
        <v>0</v>
      </c>
      <c r="N2218">
        <v>0</v>
      </c>
      <c r="O2218">
        <v>0</v>
      </c>
      <c r="P2218">
        <v>0</v>
      </c>
      <c r="Q2218">
        <v>0</v>
      </c>
      <c r="R2218">
        <v>400</v>
      </c>
      <c r="S2218">
        <v>400</v>
      </c>
      <c r="T2218">
        <v>0</v>
      </c>
      <c r="U2218" t="str">
        <f>IF(SeismicData[[#This Row],[class]]=1,"Dangerous","Safe")</f>
        <v>Safe</v>
      </c>
      <c r="V2218" t="str">
        <f>IF(SeismicData[[#This Row],[shift]]="W","Production","Non-Production")</f>
        <v>Production</v>
      </c>
      <c r="W2218" t="str">
        <f>IF(SeismicData[[#This Row],[genergy]]=0,"0","10^"&amp;INT(LOG10(SeismicData[[#This Row],[genergy]])))</f>
        <v>10^5</v>
      </c>
      <c r="X2218" t="str">
        <f>IF(OR(SeismicData[[#This Row],[genergy]]&lt;$AA$6,SeismicData[[#This Row],[genergy]]&gt;$AA$5),"Outlier","Normal")</f>
        <v>Normal</v>
      </c>
    </row>
    <row r="2219" spans="1:24" x14ac:dyDescent="0.15">
      <c r="A2219">
        <v>2218</v>
      </c>
      <c r="B2219" t="s">
        <v>23</v>
      </c>
      <c r="C2219" t="s">
        <v>24</v>
      </c>
      <c r="D2219" t="s">
        <v>22</v>
      </c>
      <c r="E2219">
        <v>84510</v>
      </c>
      <c r="F2219">
        <v>1049</v>
      </c>
      <c r="G2219">
        <v>87</v>
      </c>
      <c r="H2219">
        <v>51</v>
      </c>
      <c r="I2219" t="s">
        <v>23</v>
      </c>
      <c r="J2219">
        <v>1</v>
      </c>
      <c r="K2219">
        <v>1</v>
      </c>
      <c r="L2219">
        <v>0</v>
      </c>
      <c r="M2219">
        <v>0</v>
      </c>
      <c r="N2219">
        <v>0</v>
      </c>
      <c r="O2219">
        <v>0</v>
      </c>
      <c r="P2219">
        <v>0</v>
      </c>
      <c r="Q2219">
        <v>0</v>
      </c>
      <c r="R2219">
        <v>200</v>
      </c>
      <c r="S2219">
        <v>200</v>
      </c>
      <c r="T2219">
        <v>0</v>
      </c>
      <c r="U2219" t="str">
        <f>IF(SeismicData[[#This Row],[class]]=1,"Dangerous","Safe")</f>
        <v>Safe</v>
      </c>
      <c r="V2219" t="str">
        <f>IF(SeismicData[[#This Row],[shift]]="W","Production","Non-Production")</f>
        <v>Production</v>
      </c>
      <c r="W2219" t="str">
        <f>IF(SeismicData[[#This Row],[genergy]]=0,"0","10^"&amp;INT(LOG10(SeismicData[[#This Row],[genergy]])))</f>
        <v>10^4</v>
      </c>
      <c r="X2219" t="str">
        <f>IF(OR(SeismicData[[#This Row],[genergy]]&lt;$AA$6,SeismicData[[#This Row],[genergy]]&gt;$AA$5),"Outlier","Normal")</f>
        <v>Normal</v>
      </c>
    </row>
    <row r="2220" spans="1:24" x14ac:dyDescent="0.15">
      <c r="A2220">
        <v>2219</v>
      </c>
      <c r="B2220" t="s">
        <v>23</v>
      </c>
      <c r="C2220" t="s">
        <v>24</v>
      </c>
      <c r="D2220" t="s">
        <v>22</v>
      </c>
      <c r="E2220">
        <v>52690</v>
      </c>
      <c r="F2220">
        <v>684</v>
      </c>
      <c r="G2220">
        <v>16</v>
      </c>
      <c r="H2220">
        <v>-2</v>
      </c>
      <c r="I2220" t="s">
        <v>23</v>
      </c>
      <c r="J2220">
        <v>1</v>
      </c>
      <c r="K2220">
        <v>0</v>
      </c>
      <c r="L2220">
        <v>1</v>
      </c>
      <c r="M2220">
        <v>0</v>
      </c>
      <c r="N2220">
        <v>0</v>
      </c>
      <c r="O2220">
        <v>0</v>
      </c>
      <c r="P2220">
        <v>0</v>
      </c>
      <c r="Q2220">
        <v>0</v>
      </c>
      <c r="R2220">
        <v>2000</v>
      </c>
      <c r="S2220">
        <v>2000</v>
      </c>
      <c r="T2220">
        <v>0</v>
      </c>
      <c r="U2220" t="str">
        <f>IF(SeismicData[[#This Row],[class]]=1,"Dangerous","Safe")</f>
        <v>Safe</v>
      </c>
      <c r="V2220" t="str">
        <f>IF(SeismicData[[#This Row],[shift]]="W","Production","Non-Production")</f>
        <v>Production</v>
      </c>
      <c r="W2220" t="str">
        <f>IF(SeismicData[[#This Row],[genergy]]=0,"0","10^"&amp;INT(LOG10(SeismicData[[#This Row],[genergy]])))</f>
        <v>10^4</v>
      </c>
      <c r="X2220" t="str">
        <f>IF(OR(SeismicData[[#This Row],[genergy]]&lt;$AA$6,SeismicData[[#This Row],[genergy]]&gt;$AA$5),"Outlier","Normal")</f>
        <v>Normal</v>
      </c>
    </row>
    <row r="2221" spans="1:24" x14ac:dyDescent="0.15">
      <c r="A2221">
        <v>2220</v>
      </c>
      <c r="B2221" t="s">
        <v>23</v>
      </c>
      <c r="C2221" t="s">
        <v>24</v>
      </c>
      <c r="D2221" t="s">
        <v>22</v>
      </c>
      <c r="E2221">
        <v>87250</v>
      </c>
      <c r="F2221">
        <v>1048</v>
      </c>
      <c r="G2221">
        <v>93</v>
      </c>
      <c r="H2221">
        <v>51</v>
      </c>
      <c r="I2221" t="s">
        <v>23</v>
      </c>
      <c r="J2221">
        <v>1</v>
      </c>
      <c r="K2221">
        <v>1</v>
      </c>
      <c r="L2221">
        <v>0</v>
      </c>
      <c r="M2221">
        <v>0</v>
      </c>
      <c r="N2221">
        <v>0</v>
      </c>
      <c r="O2221">
        <v>0</v>
      </c>
      <c r="P2221">
        <v>0</v>
      </c>
      <c r="Q2221">
        <v>0</v>
      </c>
      <c r="R2221">
        <v>500</v>
      </c>
      <c r="S2221">
        <v>500</v>
      </c>
      <c r="T2221">
        <v>0</v>
      </c>
      <c r="U2221" t="str">
        <f>IF(SeismicData[[#This Row],[class]]=1,"Dangerous","Safe")</f>
        <v>Safe</v>
      </c>
      <c r="V2221" t="str">
        <f>IF(SeismicData[[#This Row],[shift]]="W","Production","Non-Production")</f>
        <v>Production</v>
      </c>
      <c r="W2221" t="str">
        <f>IF(SeismicData[[#This Row],[genergy]]=0,"0","10^"&amp;INT(LOG10(SeismicData[[#This Row],[genergy]])))</f>
        <v>10^4</v>
      </c>
      <c r="X2221" t="str">
        <f>IF(OR(SeismicData[[#This Row],[genergy]]&lt;$AA$6,SeismicData[[#This Row],[genergy]]&gt;$AA$5),"Outlier","Normal")</f>
        <v>Normal</v>
      </c>
    </row>
    <row r="2222" spans="1:24" x14ac:dyDescent="0.15">
      <c r="A2222">
        <v>2221</v>
      </c>
      <c r="B2222" t="s">
        <v>23</v>
      </c>
      <c r="C2222" t="s">
        <v>24</v>
      </c>
      <c r="D2222" t="s">
        <v>22</v>
      </c>
      <c r="E2222">
        <v>39900</v>
      </c>
      <c r="F2222">
        <v>984</v>
      </c>
      <c r="G2222">
        <v>-12</v>
      </c>
      <c r="H2222">
        <v>41</v>
      </c>
      <c r="I2222" t="s">
        <v>23</v>
      </c>
      <c r="J2222">
        <v>1</v>
      </c>
      <c r="K2222">
        <v>0</v>
      </c>
      <c r="L2222">
        <v>1</v>
      </c>
      <c r="M2222">
        <v>0</v>
      </c>
      <c r="N2222">
        <v>0</v>
      </c>
      <c r="O2222">
        <v>0</v>
      </c>
      <c r="P2222">
        <v>0</v>
      </c>
      <c r="Q2222">
        <v>0</v>
      </c>
      <c r="R2222">
        <v>4000</v>
      </c>
      <c r="S2222">
        <v>4000</v>
      </c>
      <c r="T2222">
        <v>0</v>
      </c>
      <c r="U2222" t="str">
        <f>IF(SeismicData[[#This Row],[class]]=1,"Dangerous","Safe")</f>
        <v>Safe</v>
      </c>
      <c r="V2222" t="str">
        <f>IF(SeismicData[[#This Row],[shift]]="W","Production","Non-Production")</f>
        <v>Production</v>
      </c>
      <c r="W2222" t="str">
        <f>IF(SeismicData[[#This Row],[genergy]]=0,"0","10^"&amp;INT(LOG10(SeismicData[[#This Row],[genergy]])))</f>
        <v>10^4</v>
      </c>
      <c r="X2222" t="str">
        <f>IF(OR(SeismicData[[#This Row],[genergy]]&lt;$AA$6,SeismicData[[#This Row],[genergy]]&gt;$AA$5),"Outlier","Normal")</f>
        <v>Normal</v>
      </c>
    </row>
    <row r="2223" spans="1:24" x14ac:dyDescent="0.15">
      <c r="A2223">
        <v>2222</v>
      </c>
      <c r="B2223" t="s">
        <v>23</v>
      </c>
      <c r="C2223" t="s">
        <v>24</v>
      </c>
      <c r="D2223" t="s">
        <v>22</v>
      </c>
      <c r="E2223">
        <v>45020</v>
      </c>
      <c r="F2223">
        <v>936</v>
      </c>
      <c r="G2223">
        <v>-1</v>
      </c>
      <c r="H2223">
        <v>35</v>
      </c>
      <c r="I2223" t="s">
        <v>23</v>
      </c>
      <c r="J2223">
        <v>1</v>
      </c>
      <c r="K2223">
        <v>0</v>
      </c>
      <c r="L2223">
        <v>1</v>
      </c>
      <c r="M2223">
        <v>0</v>
      </c>
      <c r="N2223">
        <v>0</v>
      </c>
      <c r="O2223">
        <v>0</v>
      </c>
      <c r="P2223">
        <v>0</v>
      </c>
      <c r="Q2223">
        <v>0</v>
      </c>
      <c r="R2223">
        <v>1000</v>
      </c>
      <c r="S2223">
        <v>1000</v>
      </c>
      <c r="T2223">
        <v>0</v>
      </c>
      <c r="U2223" t="str">
        <f>IF(SeismicData[[#This Row],[class]]=1,"Dangerous","Safe")</f>
        <v>Safe</v>
      </c>
      <c r="V2223" t="str">
        <f>IF(SeismicData[[#This Row],[shift]]="W","Production","Non-Production")</f>
        <v>Production</v>
      </c>
      <c r="W2223" t="str">
        <f>IF(SeismicData[[#This Row],[genergy]]=0,"0","10^"&amp;INT(LOG10(SeismicData[[#This Row],[genergy]])))</f>
        <v>10^4</v>
      </c>
      <c r="X2223" t="str">
        <f>IF(OR(SeismicData[[#This Row],[genergy]]&lt;$AA$6,SeismicData[[#This Row],[genergy]]&gt;$AA$5),"Outlier","Normal")</f>
        <v>Normal</v>
      </c>
    </row>
    <row r="2224" spans="1:24" x14ac:dyDescent="0.15">
      <c r="A2224">
        <v>2223</v>
      </c>
      <c r="B2224" t="s">
        <v>23</v>
      </c>
      <c r="C2224" t="s">
        <v>23</v>
      </c>
      <c r="D2224" t="s">
        <v>22</v>
      </c>
      <c r="E2224">
        <v>31630</v>
      </c>
      <c r="F2224">
        <v>577</v>
      </c>
      <c r="G2224">
        <v>-37</v>
      </c>
      <c r="H2224">
        <v>-21</v>
      </c>
      <c r="I2224" t="s">
        <v>20</v>
      </c>
      <c r="J2224">
        <v>0</v>
      </c>
      <c r="K2224">
        <v>0</v>
      </c>
      <c r="L2224">
        <v>0</v>
      </c>
      <c r="M2224">
        <v>0</v>
      </c>
      <c r="N2224">
        <v>0</v>
      </c>
      <c r="O2224">
        <v>0</v>
      </c>
      <c r="P2224">
        <v>0</v>
      </c>
      <c r="Q2224">
        <v>0</v>
      </c>
      <c r="R2224">
        <v>0</v>
      </c>
      <c r="S2224">
        <v>0</v>
      </c>
      <c r="T2224">
        <v>0</v>
      </c>
      <c r="U2224" t="str">
        <f>IF(SeismicData[[#This Row],[class]]=1,"Dangerous","Safe")</f>
        <v>Safe</v>
      </c>
      <c r="V2224" t="str">
        <f>IF(SeismicData[[#This Row],[shift]]="W","Production","Non-Production")</f>
        <v>Production</v>
      </c>
      <c r="W2224" t="str">
        <f>IF(SeismicData[[#This Row],[genergy]]=0,"0","10^"&amp;INT(LOG10(SeismicData[[#This Row],[genergy]])))</f>
        <v>10^4</v>
      </c>
      <c r="X2224" t="str">
        <f>IF(OR(SeismicData[[#This Row],[genergy]]&lt;$AA$6,SeismicData[[#This Row],[genergy]]&gt;$AA$5),"Outlier","Normal")</f>
        <v>Normal</v>
      </c>
    </row>
    <row r="2225" spans="1:24" x14ac:dyDescent="0.15">
      <c r="A2225">
        <v>2224</v>
      </c>
      <c r="B2225" t="s">
        <v>23</v>
      </c>
      <c r="C2225" t="s">
        <v>23</v>
      </c>
      <c r="D2225" t="s">
        <v>22</v>
      </c>
      <c r="E2225">
        <v>40670</v>
      </c>
      <c r="F2225">
        <v>608</v>
      </c>
      <c r="G2225">
        <v>-19</v>
      </c>
      <c r="H2225">
        <v>-17</v>
      </c>
      <c r="I2225" t="s">
        <v>20</v>
      </c>
      <c r="J2225">
        <v>1</v>
      </c>
      <c r="K2225">
        <v>1</v>
      </c>
      <c r="L2225">
        <v>0</v>
      </c>
      <c r="M2225">
        <v>0</v>
      </c>
      <c r="N2225">
        <v>0</v>
      </c>
      <c r="O2225">
        <v>0</v>
      </c>
      <c r="P2225">
        <v>0</v>
      </c>
      <c r="Q2225">
        <v>0</v>
      </c>
      <c r="R2225">
        <v>200</v>
      </c>
      <c r="S2225">
        <v>200</v>
      </c>
      <c r="T2225">
        <v>0</v>
      </c>
      <c r="U2225" t="str">
        <f>IF(SeismicData[[#This Row],[class]]=1,"Dangerous","Safe")</f>
        <v>Safe</v>
      </c>
      <c r="V2225" t="str">
        <f>IF(SeismicData[[#This Row],[shift]]="W","Production","Non-Production")</f>
        <v>Production</v>
      </c>
      <c r="W2225" t="str">
        <f>IF(SeismicData[[#This Row],[genergy]]=0,"0","10^"&amp;INT(LOG10(SeismicData[[#This Row],[genergy]])))</f>
        <v>10^4</v>
      </c>
      <c r="X2225" t="str">
        <f>IF(OR(SeismicData[[#This Row],[genergy]]&lt;$AA$6,SeismicData[[#This Row],[genergy]]&gt;$AA$5),"Outlier","Normal")</f>
        <v>Normal</v>
      </c>
    </row>
    <row r="2226" spans="1:24" x14ac:dyDescent="0.15">
      <c r="A2226">
        <v>2225</v>
      </c>
      <c r="B2226" t="s">
        <v>23</v>
      </c>
      <c r="C2226" t="s">
        <v>23</v>
      </c>
      <c r="D2226" t="s">
        <v>22</v>
      </c>
      <c r="E2226">
        <v>49420</v>
      </c>
      <c r="F2226">
        <v>819</v>
      </c>
      <c r="G2226">
        <v>-2</v>
      </c>
      <c r="H2226">
        <v>12</v>
      </c>
      <c r="I2226" t="s">
        <v>20</v>
      </c>
      <c r="J2226">
        <v>0</v>
      </c>
      <c r="K2226">
        <v>0</v>
      </c>
      <c r="L2226">
        <v>0</v>
      </c>
      <c r="M2226">
        <v>0</v>
      </c>
      <c r="N2226">
        <v>0</v>
      </c>
      <c r="O2226">
        <v>0</v>
      </c>
      <c r="P2226">
        <v>0</v>
      </c>
      <c r="Q2226">
        <v>0</v>
      </c>
      <c r="R2226">
        <v>0</v>
      </c>
      <c r="S2226">
        <v>0</v>
      </c>
      <c r="T2226">
        <v>0</v>
      </c>
      <c r="U2226" t="str">
        <f>IF(SeismicData[[#This Row],[class]]=1,"Dangerous","Safe")</f>
        <v>Safe</v>
      </c>
      <c r="V2226" t="str">
        <f>IF(SeismicData[[#This Row],[shift]]="W","Production","Non-Production")</f>
        <v>Production</v>
      </c>
      <c r="W2226" t="str">
        <f>IF(SeismicData[[#This Row],[genergy]]=0,"0","10^"&amp;INT(LOG10(SeismicData[[#This Row],[genergy]])))</f>
        <v>10^4</v>
      </c>
      <c r="X2226" t="str">
        <f>IF(OR(SeismicData[[#This Row],[genergy]]&lt;$AA$6,SeismicData[[#This Row],[genergy]]&gt;$AA$5),"Outlier","Normal")</f>
        <v>Normal</v>
      </c>
    </row>
    <row r="2227" spans="1:24" x14ac:dyDescent="0.15">
      <c r="A2227">
        <v>2226</v>
      </c>
      <c r="B2227" t="s">
        <v>23</v>
      </c>
      <c r="C2227" t="s">
        <v>23</v>
      </c>
      <c r="D2227" t="s">
        <v>22</v>
      </c>
      <c r="E2227">
        <v>25250</v>
      </c>
      <c r="F2227">
        <v>668</v>
      </c>
      <c r="G2227">
        <v>-50</v>
      </c>
      <c r="H2227">
        <v>-9</v>
      </c>
      <c r="I2227" t="s">
        <v>20</v>
      </c>
      <c r="J2227">
        <v>1</v>
      </c>
      <c r="K2227">
        <v>0</v>
      </c>
      <c r="L2227">
        <v>1</v>
      </c>
      <c r="M2227">
        <v>0</v>
      </c>
      <c r="N2227">
        <v>0</v>
      </c>
      <c r="O2227">
        <v>0</v>
      </c>
      <c r="P2227">
        <v>0</v>
      </c>
      <c r="Q2227">
        <v>0</v>
      </c>
      <c r="R2227">
        <v>4000</v>
      </c>
      <c r="S2227">
        <v>4000</v>
      </c>
      <c r="T2227">
        <v>0</v>
      </c>
      <c r="U2227" t="str">
        <f>IF(SeismicData[[#This Row],[class]]=1,"Dangerous","Safe")</f>
        <v>Safe</v>
      </c>
      <c r="V2227" t="str">
        <f>IF(SeismicData[[#This Row],[shift]]="W","Production","Non-Production")</f>
        <v>Production</v>
      </c>
      <c r="W2227" t="str">
        <f>IF(SeismicData[[#This Row],[genergy]]=0,"0","10^"&amp;INT(LOG10(SeismicData[[#This Row],[genergy]])))</f>
        <v>10^4</v>
      </c>
      <c r="X2227" t="str">
        <f>IF(OR(SeismicData[[#This Row],[genergy]]&lt;$AA$6,SeismicData[[#This Row],[genergy]]&gt;$AA$5),"Outlier","Normal")</f>
        <v>Normal</v>
      </c>
    </row>
    <row r="2228" spans="1:24" x14ac:dyDescent="0.15">
      <c r="A2228">
        <v>2227</v>
      </c>
      <c r="B2228" t="s">
        <v>23</v>
      </c>
      <c r="C2228" t="s">
        <v>23</v>
      </c>
      <c r="D2228" t="s">
        <v>22</v>
      </c>
      <c r="E2228">
        <v>27900</v>
      </c>
      <c r="F2228">
        <v>598</v>
      </c>
      <c r="G2228">
        <v>-45</v>
      </c>
      <c r="H2228">
        <v>-18</v>
      </c>
      <c r="I2228" t="s">
        <v>20</v>
      </c>
      <c r="J2228">
        <v>1</v>
      </c>
      <c r="K2228">
        <v>1</v>
      </c>
      <c r="L2228">
        <v>0</v>
      </c>
      <c r="M2228">
        <v>0</v>
      </c>
      <c r="N2228">
        <v>0</v>
      </c>
      <c r="O2228">
        <v>0</v>
      </c>
      <c r="P2228">
        <v>0</v>
      </c>
      <c r="Q2228">
        <v>0</v>
      </c>
      <c r="R2228">
        <v>300</v>
      </c>
      <c r="S2228">
        <v>300</v>
      </c>
      <c r="T2228">
        <v>0</v>
      </c>
      <c r="U2228" t="str">
        <f>IF(SeismicData[[#This Row],[class]]=1,"Dangerous","Safe")</f>
        <v>Safe</v>
      </c>
      <c r="V2228" t="str">
        <f>IF(SeismicData[[#This Row],[shift]]="W","Production","Non-Production")</f>
        <v>Production</v>
      </c>
      <c r="W2228" t="str">
        <f>IF(SeismicData[[#This Row],[genergy]]=0,"0","10^"&amp;INT(LOG10(SeismicData[[#This Row],[genergy]])))</f>
        <v>10^4</v>
      </c>
      <c r="X2228" t="str">
        <f>IF(OR(SeismicData[[#This Row],[genergy]]&lt;$AA$6,SeismicData[[#This Row],[genergy]]&gt;$AA$5),"Outlier","Normal")</f>
        <v>Normal</v>
      </c>
    </row>
    <row r="2229" spans="1:24" x14ac:dyDescent="0.15">
      <c r="A2229">
        <v>2228</v>
      </c>
      <c r="B2229" t="s">
        <v>23</v>
      </c>
      <c r="C2229" t="s">
        <v>23</v>
      </c>
      <c r="D2229" t="s">
        <v>22</v>
      </c>
      <c r="E2229">
        <v>59950</v>
      </c>
      <c r="F2229">
        <v>865</v>
      </c>
      <c r="G2229">
        <v>19</v>
      </c>
      <c r="H2229">
        <v>18</v>
      </c>
      <c r="I2229" t="s">
        <v>20</v>
      </c>
      <c r="J2229">
        <v>1</v>
      </c>
      <c r="K2229">
        <v>1</v>
      </c>
      <c r="L2229">
        <v>0</v>
      </c>
      <c r="M2229">
        <v>0</v>
      </c>
      <c r="N2229">
        <v>0</v>
      </c>
      <c r="O2229">
        <v>0</v>
      </c>
      <c r="P2229">
        <v>0</v>
      </c>
      <c r="Q2229">
        <v>0</v>
      </c>
      <c r="R2229">
        <v>700</v>
      </c>
      <c r="S2229">
        <v>700</v>
      </c>
      <c r="T2229">
        <v>0</v>
      </c>
      <c r="U2229" t="str">
        <f>IF(SeismicData[[#This Row],[class]]=1,"Dangerous","Safe")</f>
        <v>Safe</v>
      </c>
      <c r="V2229" t="str">
        <f>IF(SeismicData[[#This Row],[shift]]="W","Production","Non-Production")</f>
        <v>Production</v>
      </c>
      <c r="W2229" t="str">
        <f>IF(SeismicData[[#This Row],[genergy]]=0,"0","10^"&amp;INT(LOG10(SeismicData[[#This Row],[genergy]])))</f>
        <v>10^4</v>
      </c>
      <c r="X2229" t="str">
        <f>IF(OR(SeismicData[[#This Row],[genergy]]&lt;$AA$6,SeismicData[[#This Row],[genergy]]&gt;$AA$5),"Outlier","Normal")</f>
        <v>Normal</v>
      </c>
    </row>
    <row r="2230" spans="1:24" x14ac:dyDescent="0.15">
      <c r="A2230">
        <v>2229</v>
      </c>
      <c r="B2230" t="s">
        <v>23</v>
      </c>
      <c r="C2230" t="s">
        <v>23</v>
      </c>
      <c r="D2230" t="s">
        <v>22</v>
      </c>
      <c r="E2230">
        <v>44410</v>
      </c>
      <c r="F2230">
        <v>1113</v>
      </c>
      <c r="G2230">
        <v>-12</v>
      </c>
      <c r="H2230">
        <v>52</v>
      </c>
      <c r="I2230" t="s">
        <v>20</v>
      </c>
      <c r="J2230">
        <v>1</v>
      </c>
      <c r="K2230">
        <v>0</v>
      </c>
      <c r="L2230">
        <v>1</v>
      </c>
      <c r="M2230">
        <v>0</v>
      </c>
      <c r="N2230">
        <v>0</v>
      </c>
      <c r="O2230">
        <v>0</v>
      </c>
      <c r="P2230">
        <v>0</v>
      </c>
      <c r="Q2230">
        <v>0</v>
      </c>
      <c r="R2230">
        <v>4000</v>
      </c>
      <c r="S2230">
        <v>4000</v>
      </c>
      <c r="T2230">
        <v>0</v>
      </c>
      <c r="U2230" t="str">
        <f>IF(SeismicData[[#This Row],[class]]=1,"Dangerous","Safe")</f>
        <v>Safe</v>
      </c>
      <c r="V2230" t="str">
        <f>IF(SeismicData[[#This Row],[shift]]="W","Production","Non-Production")</f>
        <v>Production</v>
      </c>
      <c r="W2230" t="str">
        <f>IF(SeismicData[[#This Row],[genergy]]=0,"0","10^"&amp;INT(LOG10(SeismicData[[#This Row],[genergy]])))</f>
        <v>10^4</v>
      </c>
      <c r="X2230" t="str">
        <f>IF(OR(SeismicData[[#This Row],[genergy]]&lt;$AA$6,SeismicData[[#This Row],[genergy]]&gt;$AA$5),"Outlier","Normal")</f>
        <v>Normal</v>
      </c>
    </row>
    <row r="2231" spans="1:24" x14ac:dyDescent="0.15">
      <c r="A2231">
        <v>2230</v>
      </c>
      <c r="B2231" t="s">
        <v>23</v>
      </c>
      <c r="C2231" t="s">
        <v>23</v>
      </c>
      <c r="D2231" t="s">
        <v>21</v>
      </c>
      <c r="E2231">
        <v>16930</v>
      </c>
      <c r="F2231">
        <v>792</v>
      </c>
      <c r="G2231">
        <v>121</v>
      </c>
      <c r="H2231">
        <v>234</v>
      </c>
      <c r="I2231" t="s">
        <v>20</v>
      </c>
      <c r="J2231">
        <v>1</v>
      </c>
      <c r="K2231">
        <v>1</v>
      </c>
      <c r="L2231">
        <v>0</v>
      </c>
      <c r="M2231">
        <v>0</v>
      </c>
      <c r="N2231">
        <v>0</v>
      </c>
      <c r="O2231">
        <v>0</v>
      </c>
      <c r="P2231">
        <v>0</v>
      </c>
      <c r="Q2231">
        <v>0</v>
      </c>
      <c r="R2231">
        <v>200</v>
      </c>
      <c r="S2231">
        <v>200</v>
      </c>
      <c r="T2231">
        <v>1</v>
      </c>
      <c r="U2231" t="str">
        <f>IF(SeismicData[[#This Row],[class]]=1,"Dangerous","Safe")</f>
        <v>Dangerous</v>
      </c>
      <c r="V2231" t="str">
        <f>IF(SeismicData[[#This Row],[shift]]="W","Production","Non-Production")</f>
        <v>Non-Production</v>
      </c>
      <c r="W2231" t="str">
        <f>IF(SeismicData[[#This Row],[genergy]]=0,"0","10^"&amp;INT(LOG10(SeismicData[[#This Row],[genergy]])))</f>
        <v>10^4</v>
      </c>
      <c r="X2231" t="str">
        <f>IF(OR(SeismicData[[#This Row],[genergy]]&lt;$AA$6,SeismicData[[#This Row],[genergy]]&gt;$AA$5),"Outlier","Normal")</f>
        <v>Normal</v>
      </c>
    </row>
    <row r="2232" spans="1:24" x14ac:dyDescent="0.15">
      <c r="A2232">
        <v>2231</v>
      </c>
      <c r="B2232" t="s">
        <v>23</v>
      </c>
      <c r="C2232" t="s">
        <v>23</v>
      </c>
      <c r="D2232" t="s">
        <v>22</v>
      </c>
      <c r="E2232">
        <v>7770</v>
      </c>
      <c r="F2232">
        <v>300</v>
      </c>
      <c r="G2232">
        <v>-57</v>
      </c>
      <c r="H2232">
        <v>-33</v>
      </c>
      <c r="I2232" t="s">
        <v>20</v>
      </c>
      <c r="J2232">
        <v>1</v>
      </c>
      <c r="K2232">
        <v>0</v>
      </c>
      <c r="L2232">
        <v>0</v>
      </c>
      <c r="M2232">
        <v>1</v>
      </c>
      <c r="N2232">
        <v>0</v>
      </c>
      <c r="O2232">
        <v>0</v>
      </c>
      <c r="P2232">
        <v>0</v>
      </c>
      <c r="Q2232">
        <v>0</v>
      </c>
      <c r="R2232">
        <v>20000</v>
      </c>
      <c r="S2232">
        <v>20000</v>
      </c>
      <c r="T2232">
        <v>0</v>
      </c>
      <c r="U2232" t="str">
        <f>IF(SeismicData[[#This Row],[class]]=1,"Dangerous","Safe")</f>
        <v>Safe</v>
      </c>
      <c r="V2232" t="str">
        <f>IF(SeismicData[[#This Row],[shift]]="W","Production","Non-Production")</f>
        <v>Production</v>
      </c>
      <c r="W2232" t="str">
        <f>IF(SeismicData[[#This Row],[genergy]]=0,"0","10^"&amp;INT(LOG10(SeismicData[[#This Row],[genergy]])))</f>
        <v>10^3</v>
      </c>
      <c r="X2232" t="str">
        <f>IF(OR(SeismicData[[#This Row],[genergy]]&lt;$AA$6,SeismicData[[#This Row],[genergy]]&gt;$AA$5),"Outlier","Normal")</f>
        <v>Normal</v>
      </c>
    </row>
    <row r="2233" spans="1:24" x14ac:dyDescent="0.15">
      <c r="A2233">
        <v>2232</v>
      </c>
      <c r="B2233" t="s">
        <v>23</v>
      </c>
      <c r="C2233" t="s">
        <v>23</v>
      </c>
      <c r="D2233" t="s">
        <v>22</v>
      </c>
      <c r="E2233">
        <v>19860</v>
      </c>
      <c r="F2233">
        <v>732</v>
      </c>
      <c r="G2233">
        <v>9</v>
      </c>
      <c r="H2233">
        <v>64</v>
      </c>
      <c r="I2233" t="s">
        <v>20</v>
      </c>
      <c r="J2233">
        <v>1</v>
      </c>
      <c r="K2233">
        <v>0</v>
      </c>
      <c r="L2233">
        <v>1</v>
      </c>
      <c r="M2233">
        <v>0</v>
      </c>
      <c r="N2233">
        <v>0</v>
      </c>
      <c r="O2233">
        <v>0</v>
      </c>
      <c r="P2233">
        <v>0</v>
      </c>
      <c r="Q2233">
        <v>0</v>
      </c>
      <c r="R2233">
        <v>3000</v>
      </c>
      <c r="S2233">
        <v>3000</v>
      </c>
      <c r="T2233">
        <v>0</v>
      </c>
      <c r="U2233" t="str">
        <f>IF(SeismicData[[#This Row],[class]]=1,"Dangerous","Safe")</f>
        <v>Safe</v>
      </c>
      <c r="V2233" t="str">
        <f>IF(SeismicData[[#This Row],[shift]]="W","Production","Non-Production")</f>
        <v>Production</v>
      </c>
      <c r="W2233" t="str">
        <f>IF(SeismicData[[#This Row],[genergy]]=0,"0","10^"&amp;INT(LOG10(SeismicData[[#This Row],[genergy]])))</f>
        <v>10^4</v>
      </c>
      <c r="X2233" t="str">
        <f>IF(OR(SeismicData[[#This Row],[genergy]]&lt;$AA$6,SeismicData[[#This Row],[genergy]]&gt;$AA$5),"Outlier","Normal")</f>
        <v>Normal</v>
      </c>
    </row>
    <row r="2234" spans="1:24" x14ac:dyDescent="0.15">
      <c r="A2234">
        <v>2233</v>
      </c>
      <c r="B2234" t="s">
        <v>23</v>
      </c>
      <c r="C2234" t="s">
        <v>23</v>
      </c>
      <c r="D2234" t="s">
        <v>22</v>
      </c>
      <c r="E2234">
        <v>12220</v>
      </c>
      <c r="F2234">
        <v>465</v>
      </c>
      <c r="G2234">
        <v>-78</v>
      </c>
      <c r="H2234">
        <v>-41</v>
      </c>
      <c r="I2234" t="s">
        <v>20</v>
      </c>
      <c r="J2234">
        <v>0</v>
      </c>
      <c r="K2234">
        <v>0</v>
      </c>
      <c r="L2234">
        <v>0</v>
      </c>
      <c r="M2234">
        <v>0</v>
      </c>
      <c r="N2234">
        <v>0</v>
      </c>
      <c r="O2234">
        <v>0</v>
      </c>
      <c r="P2234">
        <v>0</v>
      </c>
      <c r="Q2234">
        <v>0</v>
      </c>
      <c r="R2234">
        <v>0</v>
      </c>
      <c r="S2234">
        <v>0</v>
      </c>
      <c r="T2234">
        <v>0</v>
      </c>
      <c r="U2234" t="str">
        <f>IF(SeismicData[[#This Row],[class]]=1,"Dangerous","Safe")</f>
        <v>Safe</v>
      </c>
      <c r="V2234" t="str">
        <f>IF(SeismicData[[#This Row],[shift]]="W","Production","Non-Production")</f>
        <v>Production</v>
      </c>
      <c r="W2234" t="str">
        <f>IF(SeismicData[[#This Row],[genergy]]=0,"0","10^"&amp;INT(LOG10(SeismicData[[#This Row],[genergy]])))</f>
        <v>10^4</v>
      </c>
      <c r="X2234" t="str">
        <f>IF(OR(SeismicData[[#This Row],[genergy]]&lt;$AA$6,SeismicData[[#This Row],[genergy]]&gt;$AA$5),"Outlier","Normal")</f>
        <v>Normal</v>
      </c>
    </row>
    <row r="2235" spans="1:24" x14ac:dyDescent="0.15">
      <c r="A2235">
        <v>2234</v>
      </c>
      <c r="B2235" t="s">
        <v>23</v>
      </c>
      <c r="C2235" t="s">
        <v>23</v>
      </c>
      <c r="D2235" t="s">
        <v>22</v>
      </c>
      <c r="E2235">
        <v>25430</v>
      </c>
      <c r="F2235">
        <v>634</v>
      </c>
      <c r="G2235">
        <v>-11</v>
      </c>
      <c r="H2235">
        <v>-17</v>
      </c>
      <c r="I2235" t="s">
        <v>20</v>
      </c>
      <c r="J2235">
        <v>0</v>
      </c>
      <c r="K2235">
        <v>0</v>
      </c>
      <c r="L2235">
        <v>0</v>
      </c>
      <c r="M2235">
        <v>0</v>
      </c>
      <c r="N2235">
        <v>0</v>
      </c>
      <c r="O2235">
        <v>0</v>
      </c>
      <c r="P2235">
        <v>0</v>
      </c>
      <c r="Q2235">
        <v>0</v>
      </c>
      <c r="R2235">
        <v>0</v>
      </c>
      <c r="S2235">
        <v>0</v>
      </c>
      <c r="T2235">
        <v>0</v>
      </c>
      <c r="U2235" t="str">
        <f>IF(SeismicData[[#This Row],[class]]=1,"Dangerous","Safe")</f>
        <v>Safe</v>
      </c>
      <c r="V2235" t="str">
        <f>IF(SeismicData[[#This Row],[shift]]="W","Production","Non-Production")</f>
        <v>Production</v>
      </c>
      <c r="W2235" t="str">
        <f>IF(SeismicData[[#This Row],[genergy]]=0,"0","10^"&amp;INT(LOG10(SeismicData[[#This Row],[genergy]])))</f>
        <v>10^4</v>
      </c>
      <c r="X2235" t="str">
        <f>IF(OR(SeismicData[[#This Row],[genergy]]&lt;$AA$6,SeismicData[[#This Row],[genergy]]&gt;$AA$5),"Outlier","Normal")</f>
        <v>Normal</v>
      </c>
    </row>
    <row r="2236" spans="1:24" x14ac:dyDescent="0.15">
      <c r="A2236">
        <v>2235</v>
      </c>
      <c r="B2236" t="s">
        <v>23</v>
      </c>
      <c r="C2236" t="s">
        <v>23</v>
      </c>
      <c r="D2236" t="s">
        <v>22</v>
      </c>
      <c r="E2236">
        <v>31610</v>
      </c>
      <c r="F2236">
        <v>860</v>
      </c>
      <c r="G2236">
        <v>10</v>
      </c>
      <c r="H2236">
        <v>12</v>
      </c>
      <c r="I2236" t="s">
        <v>20</v>
      </c>
      <c r="J2236">
        <v>0</v>
      </c>
      <c r="K2236">
        <v>0</v>
      </c>
      <c r="L2236">
        <v>0</v>
      </c>
      <c r="M2236">
        <v>0</v>
      </c>
      <c r="N2236">
        <v>0</v>
      </c>
      <c r="O2236">
        <v>0</v>
      </c>
      <c r="P2236">
        <v>0</v>
      </c>
      <c r="Q2236">
        <v>0</v>
      </c>
      <c r="R2236">
        <v>0</v>
      </c>
      <c r="S2236">
        <v>0</v>
      </c>
      <c r="T2236">
        <v>0</v>
      </c>
      <c r="U2236" t="str">
        <f>IF(SeismicData[[#This Row],[class]]=1,"Dangerous","Safe")</f>
        <v>Safe</v>
      </c>
      <c r="V2236" t="str">
        <f>IF(SeismicData[[#This Row],[shift]]="W","Production","Non-Production")</f>
        <v>Production</v>
      </c>
      <c r="W2236" t="str">
        <f>IF(SeismicData[[#This Row],[genergy]]=0,"0","10^"&amp;INT(LOG10(SeismicData[[#This Row],[genergy]])))</f>
        <v>10^4</v>
      </c>
      <c r="X2236" t="str">
        <f>IF(OR(SeismicData[[#This Row],[genergy]]&lt;$AA$6,SeismicData[[#This Row],[genergy]]&gt;$AA$5),"Outlier","Normal")</f>
        <v>Normal</v>
      </c>
    </row>
    <row r="2237" spans="1:24" x14ac:dyDescent="0.15">
      <c r="A2237">
        <v>2236</v>
      </c>
      <c r="B2237" t="s">
        <v>23</v>
      </c>
      <c r="C2237" t="s">
        <v>23</v>
      </c>
      <c r="D2237" t="s">
        <v>22</v>
      </c>
      <c r="E2237">
        <v>57440</v>
      </c>
      <c r="F2237">
        <v>879</v>
      </c>
      <c r="G2237">
        <v>4</v>
      </c>
      <c r="H2237">
        <v>12</v>
      </c>
      <c r="I2237" t="s">
        <v>20</v>
      </c>
      <c r="J2237">
        <v>0</v>
      </c>
      <c r="K2237">
        <v>0</v>
      </c>
      <c r="L2237">
        <v>0</v>
      </c>
      <c r="M2237">
        <v>0</v>
      </c>
      <c r="N2237">
        <v>0</v>
      </c>
      <c r="O2237">
        <v>0</v>
      </c>
      <c r="P2237">
        <v>0</v>
      </c>
      <c r="Q2237">
        <v>0</v>
      </c>
      <c r="R2237">
        <v>0</v>
      </c>
      <c r="S2237">
        <v>0</v>
      </c>
      <c r="T2237">
        <v>0</v>
      </c>
      <c r="U2237" t="str">
        <f>IF(SeismicData[[#This Row],[class]]=1,"Dangerous","Safe")</f>
        <v>Safe</v>
      </c>
      <c r="V2237" t="str">
        <f>IF(SeismicData[[#This Row],[shift]]="W","Production","Non-Production")</f>
        <v>Production</v>
      </c>
      <c r="W2237" t="str">
        <f>IF(SeismicData[[#This Row],[genergy]]=0,"0","10^"&amp;INT(LOG10(SeismicData[[#This Row],[genergy]])))</f>
        <v>10^4</v>
      </c>
      <c r="X2237" t="str">
        <f>IF(OR(SeismicData[[#This Row],[genergy]]&lt;$AA$6,SeismicData[[#This Row],[genergy]]&gt;$AA$5),"Outlier","Normal")</f>
        <v>Normal</v>
      </c>
    </row>
    <row r="2238" spans="1:24" x14ac:dyDescent="0.15">
      <c r="A2238">
        <v>2237</v>
      </c>
      <c r="B2238" t="s">
        <v>23</v>
      </c>
      <c r="C2238" t="s">
        <v>23</v>
      </c>
      <c r="D2238" t="s">
        <v>22</v>
      </c>
      <c r="E2238">
        <v>54660</v>
      </c>
      <c r="F2238">
        <v>1287</v>
      </c>
      <c r="G2238">
        <v>90</v>
      </c>
      <c r="H2238">
        <v>68</v>
      </c>
      <c r="I2238" t="s">
        <v>20</v>
      </c>
      <c r="J2238">
        <v>0</v>
      </c>
      <c r="K2238">
        <v>0</v>
      </c>
      <c r="L2238">
        <v>0</v>
      </c>
      <c r="M2238">
        <v>0</v>
      </c>
      <c r="N2238">
        <v>0</v>
      </c>
      <c r="O2238">
        <v>0</v>
      </c>
      <c r="P2238">
        <v>0</v>
      </c>
      <c r="Q2238">
        <v>0</v>
      </c>
      <c r="R2238">
        <v>0</v>
      </c>
      <c r="S2238">
        <v>0</v>
      </c>
      <c r="T2238">
        <v>0</v>
      </c>
      <c r="U2238" t="str">
        <f>IF(SeismicData[[#This Row],[class]]=1,"Dangerous","Safe")</f>
        <v>Safe</v>
      </c>
      <c r="V2238" t="str">
        <f>IF(SeismicData[[#This Row],[shift]]="W","Production","Non-Production")</f>
        <v>Production</v>
      </c>
      <c r="W2238" t="str">
        <f>IF(SeismicData[[#This Row],[genergy]]=0,"0","10^"&amp;INT(LOG10(SeismicData[[#This Row],[genergy]])))</f>
        <v>10^4</v>
      </c>
      <c r="X2238" t="str">
        <f>IF(OR(SeismicData[[#This Row],[genergy]]&lt;$AA$6,SeismicData[[#This Row],[genergy]]&gt;$AA$5),"Outlier","Normal")</f>
        <v>Normal</v>
      </c>
    </row>
    <row r="2239" spans="1:24" x14ac:dyDescent="0.15">
      <c r="A2239">
        <v>2238</v>
      </c>
      <c r="B2239" t="s">
        <v>23</v>
      </c>
      <c r="C2239" t="s">
        <v>23</v>
      </c>
      <c r="D2239" t="s">
        <v>22</v>
      </c>
      <c r="E2239">
        <v>49030</v>
      </c>
      <c r="F2239">
        <v>1026</v>
      </c>
      <c r="G2239">
        <v>71</v>
      </c>
      <c r="H2239">
        <v>34</v>
      </c>
      <c r="I2239" t="s">
        <v>20</v>
      </c>
      <c r="J2239">
        <v>0</v>
      </c>
      <c r="K2239">
        <v>0</v>
      </c>
      <c r="L2239">
        <v>0</v>
      </c>
      <c r="M2239">
        <v>0</v>
      </c>
      <c r="N2239">
        <v>0</v>
      </c>
      <c r="O2239">
        <v>0</v>
      </c>
      <c r="P2239">
        <v>0</v>
      </c>
      <c r="Q2239">
        <v>0</v>
      </c>
      <c r="R2239">
        <v>0</v>
      </c>
      <c r="S2239">
        <v>0</v>
      </c>
      <c r="T2239">
        <v>0</v>
      </c>
      <c r="U2239" t="str">
        <f>IF(SeismicData[[#This Row],[class]]=1,"Dangerous","Safe")</f>
        <v>Safe</v>
      </c>
      <c r="V2239" t="str">
        <f>IF(SeismicData[[#This Row],[shift]]="W","Production","Non-Production")</f>
        <v>Production</v>
      </c>
      <c r="W2239" t="str">
        <f>IF(SeismicData[[#This Row],[genergy]]=0,"0","10^"&amp;INT(LOG10(SeismicData[[#This Row],[genergy]])))</f>
        <v>10^4</v>
      </c>
      <c r="X2239" t="str">
        <f>IF(OR(SeismicData[[#This Row],[genergy]]&lt;$AA$6,SeismicData[[#This Row],[genergy]]&gt;$AA$5),"Outlier","Normal")</f>
        <v>Normal</v>
      </c>
    </row>
    <row r="2240" spans="1:24" x14ac:dyDescent="0.15">
      <c r="A2240">
        <v>2239</v>
      </c>
      <c r="B2240" t="s">
        <v>23</v>
      </c>
      <c r="C2240" t="s">
        <v>20</v>
      </c>
      <c r="D2240" t="s">
        <v>22</v>
      </c>
      <c r="E2240">
        <v>68600</v>
      </c>
      <c r="F2240">
        <v>1052</v>
      </c>
      <c r="G2240">
        <v>138</v>
      </c>
      <c r="H2240">
        <v>33</v>
      </c>
      <c r="I2240" t="s">
        <v>20</v>
      </c>
      <c r="J2240">
        <v>1</v>
      </c>
      <c r="K2240">
        <v>1</v>
      </c>
      <c r="L2240">
        <v>0</v>
      </c>
      <c r="M2240">
        <v>0</v>
      </c>
      <c r="N2240">
        <v>0</v>
      </c>
      <c r="O2240">
        <v>0</v>
      </c>
      <c r="P2240">
        <v>0</v>
      </c>
      <c r="Q2240">
        <v>0</v>
      </c>
      <c r="R2240">
        <v>900</v>
      </c>
      <c r="S2240">
        <v>900</v>
      </c>
      <c r="T2240">
        <v>0</v>
      </c>
      <c r="U2240" t="str">
        <f>IF(SeismicData[[#This Row],[class]]=1,"Dangerous","Safe")</f>
        <v>Safe</v>
      </c>
      <c r="V2240" t="str">
        <f>IF(SeismicData[[#This Row],[shift]]="W","Production","Non-Production")</f>
        <v>Production</v>
      </c>
      <c r="W2240" t="str">
        <f>IF(SeismicData[[#This Row],[genergy]]=0,"0","10^"&amp;INT(LOG10(SeismicData[[#This Row],[genergy]])))</f>
        <v>10^4</v>
      </c>
      <c r="X2240" t="str">
        <f>IF(OR(SeismicData[[#This Row],[genergy]]&lt;$AA$6,SeismicData[[#This Row],[genergy]]&gt;$AA$5),"Outlier","Normal")</f>
        <v>Normal</v>
      </c>
    </row>
    <row r="2241" spans="1:24" x14ac:dyDescent="0.15">
      <c r="A2241">
        <v>2240</v>
      </c>
      <c r="B2241" t="s">
        <v>23</v>
      </c>
      <c r="C2241" t="s">
        <v>20</v>
      </c>
      <c r="D2241" t="s">
        <v>22</v>
      </c>
      <c r="E2241">
        <v>29560</v>
      </c>
      <c r="F2241">
        <v>1067</v>
      </c>
      <c r="G2241">
        <v>2</v>
      </c>
      <c r="H2241">
        <v>35</v>
      </c>
      <c r="I2241" t="s">
        <v>20</v>
      </c>
      <c r="J2241">
        <v>0</v>
      </c>
      <c r="K2241">
        <v>0</v>
      </c>
      <c r="L2241">
        <v>0</v>
      </c>
      <c r="M2241">
        <v>0</v>
      </c>
      <c r="N2241">
        <v>0</v>
      </c>
      <c r="O2241">
        <v>0</v>
      </c>
      <c r="P2241">
        <v>0</v>
      </c>
      <c r="Q2241">
        <v>0</v>
      </c>
      <c r="R2241">
        <v>0</v>
      </c>
      <c r="S2241">
        <v>0</v>
      </c>
      <c r="T2241">
        <v>0</v>
      </c>
      <c r="U2241" t="str">
        <f>IF(SeismicData[[#This Row],[class]]=1,"Dangerous","Safe")</f>
        <v>Safe</v>
      </c>
      <c r="V2241" t="str">
        <f>IF(SeismicData[[#This Row],[shift]]="W","Production","Non-Production")</f>
        <v>Production</v>
      </c>
      <c r="W2241" t="str">
        <f>IF(SeismicData[[#This Row],[genergy]]=0,"0","10^"&amp;INT(LOG10(SeismicData[[#This Row],[genergy]])))</f>
        <v>10^4</v>
      </c>
      <c r="X2241" t="str">
        <f>IF(OR(SeismicData[[#This Row],[genergy]]&lt;$AA$6,SeismicData[[#This Row],[genergy]]&gt;$AA$5),"Outlier","Normal")</f>
        <v>Normal</v>
      </c>
    </row>
    <row r="2242" spans="1:24" x14ac:dyDescent="0.15">
      <c r="A2242">
        <v>2241</v>
      </c>
      <c r="B2242" t="s">
        <v>23</v>
      </c>
      <c r="C2242" t="s">
        <v>20</v>
      </c>
      <c r="D2242" t="s">
        <v>22</v>
      </c>
      <c r="E2242">
        <v>19990</v>
      </c>
      <c r="F2242">
        <v>669</v>
      </c>
      <c r="G2242">
        <v>-64</v>
      </c>
      <c r="H2242">
        <v>-18</v>
      </c>
      <c r="I2242" t="s">
        <v>20</v>
      </c>
      <c r="J2242">
        <v>0</v>
      </c>
      <c r="K2242">
        <v>0</v>
      </c>
      <c r="L2242">
        <v>0</v>
      </c>
      <c r="M2242">
        <v>0</v>
      </c>
      <c r="N2242">
        <v>0</v>
      </c>
      <c r="O2242">
        <v>0</v>
      </c>
      <c r="P2242">
        <v>0</v>
      </c>
      <c r="Q2242">
        <v>0</v>
      </c>
      <c r="R2242">
        <v>0</v>
      </c>
      <c r="S2242">
        <v>0</v>
      </c>
      <c r="T2242">
        <v>0</v>
      </c>
      <c r="U2242" t="str">
        <f>IF(SeismicData[[#This Row],[class]]=1,"Dangerous","Safe")</f>
        <v>Safe</v>
      </c>
      <c r="V2242" t="str">
        <f>IF(SeismicData[[#This Row],[shift]]="W","Production","Non-Production")</f>
        <v>Production</v>
      </c>
      <c r="W2242" t="str">
        <f>IF(SeismicData[[#This Row],[genergy]]=0,"0","10^"&amp;INT(LOG10(SeismicData[[#This Row],[genergy]])))</f>
        <v>10^4</v>
      </c>
      <c r="X2242" t="str">
        <f>IF(OR(SeismicData[[#This Row],[genergy]]&lt;$AA$6,SeismicData[[#This Row],[genergy]]&gt;$AA$5),"Outlier","Normal")</f>
        <v>Normal</v>
      </c>
    </row>
    <row r="2243" spans="1:24" x14ac:dyDescent="0.15">
      <c r="A2243">
        <v>2242</v>
      </c>
      <c r="B2243" t="s">
        <v>23</v>
      </c>
      <c r="C2243" t="s">
        <v>20</v>
      </c>
      <c r="D2243" t="s">
        <v>22</v>
      </c>
      <c r="E2243">
        <v>28900</v>
      </c>
      <c r="F2243">
        <v>692</v>
      </c>
      <c r="G2243">
        <v>0</v>
      </c>
      <c r="H2243">
        <v>-13</v>
      </c>
      <c r="I2243" t="s">
        <v>20</v>
      </c>
      <c r="J2243">
        <v>0</v>
      </c>
      <c r="K2243">
        <v>0</v>
      </c>
      <c r="L2243">
        <v>0</v>
      </c>
      <c r="M2243">
        <v>0</v>
      </c>
      <c r="N2243">
        <v>0</v>
      </c>
      <c r="O2243">
        <v>0</v>
      </c>
      <c r="P2243">
        <v>0</v>
      </c>
      <c r="Q2243">
        <v>0</v>
      </c>
      <c r="R2243">
        <v>0</v>
      </c>
      <c r="S2243">
        <v>0</v>
      </c>
      <c r="T2243">
        <v>0</v>
      </c>
      <c r="U2243" t="str">
        <f>IF(SeismicData[[#This Row],[class]]=1,"Dangerous","Safe")</f>
        <v>Safe</v>
      </c>
      <c r="V2243" t="str">
        <f>IF(SeismicData[[#This Row],[shift]]="W","Production","Non-Production")</f>
        <v>Production</v>
      </c>
      <c r="W2243" t="str">
        <f>IF(SeismicData[[#This Row],[genergy]]=0,"0","10^"&amp;INT(LOG10(SeismicData[[#This Row],[genergy]])))</f>
        <v>10^4</v>
      </c>
      <c r="X2243" t="str">
        <f>IF(OR(SeismicData[[#This Row],[genergy]]&lt;$AA$6,SeismicData[[#This Row],[genergy]]&gt;$AA$5),"Outlier","Normal")</f>
        <v>Normal</v>
      </c>
    </row>
    <row r="2244" spans="1:24" x14ac:dyDescent="0.15">
      <c r="A2244">
        <v>2243</v>
      </c>
      <c r="B2244" t="s">
        <v>23</v>
      </c>
      <c r="C2244" t="s">
        <v>20</v>
      </c>
      <c r="D2244" t="s">
        <v>22</v>
      </c>
      <c r="E2244">
        <v>65350</v>
      </c>
      <c r="F2244">
        <v>1081</v>
      </c>
      <c r="G2244">
        <v>18</v>
      </c>
      <c r="H2244">
        <v>33</v>
      </c>
      <c r="I2244" t="s">
        <v>20</v>
      </c>
      <c r="J2244">
        <v>0</v>
      </c>
      <c r="K2244">
        <v>0</v>
      </c>
      <c r="L2244">
        <v>0</v>
      </c>
      <c r="M2244">
        <v>0</v>
      </c>
      <c r="N2244">
        <v>0</v>
      </c>
      <c r="O2244">
        <v>0</v>
      </c>
      <c r="P2244">
        <v>0</v>
      </c>
      <c r="Q2244">
        <v>0</v>
      </c>
      <c r="R2244">
        <v>0</v>
      </c>
      <c r="S2244">
        <v>0</v>
      </c>
      <c r="T2244">
        <v>0</v>
      </c>
      <c r="U2244" t="str">
        <f>IF(SeismicData[[#This Row],[class]]=1,"Dangerous","Safe")</f>
        <v>Safe</v>
      </c>
      <c r="V2244" t="str">
        <f>IF(SeismicData[[#This Row],[shift]]="W","Production","Non-Production")</f>
        <v>Production</v>
      </c>
      <c r="W2244" t="str">
        <f>IF(SeismicData[[#This Row],[genergy]]=0,"0","10^"&amp;INT(LOG10(SeismicData[[#This Row],[genergy]])))</f>
        <v>10^4</v>
      </c>
      <c r="X2244" t="str">
        <f>IF(OR(SeismicData[[#This Row],[genergy]]&lt;$AA$6,SeismicData[[#This Row],[genergy]]&gt;$AA$5),"Outlier","Normal")</f>
        <v>Normal</v>
      </c>
    </row>
    <row r="2245" spans="1:24" x14ac:dyDescent="0.15">
      <c r="A2245">
        <v>2244</v>
      </c>
      <c r="B2245" t="s">
        <v>23</v>
      </c>
      <c r="C2245" t="s">
        <v>20</v>
      </c>
      <c r="D2245" t="s">
        <v>22</v>
      </c>
      <c r="E2245">
        <v>81480</v>
      </c>
      <c r="F2245">
        <v>1112</v>
      </c>
      <c r="G2245">
        <v>182</v>
      </c>
      <c r="H2245">
        <v>40</v>
      </c>
      <c r="I2245" t="s">
        <v>20</v>
      </c>
      <c r="J2245">
        <v>1</v>
      </c>
      <c r="K2245">
        <v>1</v>
      </c>
      <c r="L2245">
        <v>0</v>
      </c>
      <c r="M2245">
        <v>0</v>
      </c>
      <c r="N2245">
        <v>0</v>
      </c>
      <c r="O2245">
        <v>0</v>
      </c>
      <c r="P2245">
        <v>0</v>
      </c>
      <c r="Q2245">
        <v>0</v>
      </c>
      <c r="R2245">
        <v>300</v>
      </c>
      <c r="S2245">
        <v>300</v>
      </c>
      <c r="T2245">
        <v>0</v>
      </c>
      <c r="U2245" t="str">
        <f>IF(SeismicData[[#This Row],[class]]=1,"Dangerous","Safe")</f>
        <v>Safe</v>
      </c>
      <c r="V2245" t="str">
        <f>IF(SeismicData[[#This Row],[shift]]="W","Production","Non-Production")</f>
        <v>Production</v>
      </c>
      <c r="W2245" t="str">
        <f>IF(SeismicData[[#This Row],[genergy]]=0,"0","10^"&amp;INT(LOG10(SeismicData[[#This Row],[genergy]])))</f>
        <v>10^4</v>
      </c>
      <c r="X2245" t="str">
        <f>IF(OR(SeismicData[[#This Row],[genergy]]&lt;$AA$6,SeismicData[[#This Row],[genergy]]&gt;$AA$5),"Outlier","Normal")</f>
        <v>Normal</v>
      </c>
    </row>
    <row r="2246" spans="1:24" x14ac:dyDescent="0.15">
      <c r="A2246">
        <v>2245</v>
      </c>
      <c r="B2246" t="s">
        <v>23</v>
      </c>
      <c r="C2246" t="s">
        <v>20</v>
      </c>
      <c r="D2246" t="s">
        <v>22</v>
      </c>
      <c r="E2246">
        <v>43860</v>
      </c>
      <c r="F2246">
        <v>947</v>
      </c>
      <c r="G2246">
        <v>52</v>
      </c>
      <c r="H2246">
        <v>20</v>
      </c>
      <c r="I2246" t="s">
        <v>20</v>
      </c>
      <c r="J2246">
        <v>0</v>
      </c>
      <c r="K2246">
        <v>0</v>
      </c>
      <c r="L2246">
        <v>0</v>
      </c>
      <c r="M2246">
        <v>0</v>
      </c>
      <c r="N2246">
        <v>0</v>
      </c>
      <c r="O2246">
        <v>0</v>
      </c>
      <c r="P2246">
        <v>0</v>
      </c>
      <c r="Q2246">
        <v>0</v>
      </c>
      <c r="R2246">
        <v>0</v>
      </c>
      <c r="S2246">
        <v>0</v>
      </c>
      <c r="T2246">
        <v>0</v>
      </c>
      <c r="U2246" t="str">
        <f>IF(SeismicData[[#This Row],[class]]=1,"Dangerous","Safe")</f>
        <v>Safe</v>
      </c>
      <c r="V2246" t="str">
        <f>IF(SeismicData[[#This Row],[shift]]="W","Production","Non-Production")</f>
        <v>Production</v>
      </c>
      <c r="W2246" t="str">
        <f>IF(SeismicData[[#This Row],[genergy]]=0,"0","10^"&amp;INT(LOG10(SeismicData[[#This Row],[genergy]])))</f>
        <v>10^4</v>
      </c>
      <c r="X2246" t="str">
        <f>IF(OR(SeismicData[[#This Row],[genergy]]&lt;$AA$6,SeismicData[[#This Row],[genergy]]&gt;$AA$5),"Outlier","Normal")</f>
        <v>Normal</v>
      </c>
    </row>
    <row r="2247" spans="1:24" x14ac:dyDescent="0.15">
      <c r="A2247">
        <v>2246</v>
      </c>
      <c r="B2247" t="s">
        <v>23</v>
      </c>
      <c r="C2247" t="s">
        <v>20</v>
      </c>
      <c r="D2247" t="s">
        <v>22</v>
      </c>
      <c r="E2247">
        <v>60730</v>
      </c>
      <c r="F2247">
        <v>797</v>
      </c>
      <c r="G2247">
        <v>110</v>
      </c>
      <c r="H2247">
        <v>1</v>
      </c>
      <c r="I2247" t="s">
        <v>20</v>
      </c>
      <c r="J2247">
        <v>2</v>
      </c>
      <c r="K2247">
        <v>1</v>
      </c>
      <c r="L2247">
        <v>1</v>
      </c>
      <c r="M2247">
        <v>0</v>
      </c>
      <c r="N2247">
        <v>0</v>
      </c>
      <c r="O2247">
        <v>0</v>
      </c>
      <c r="P2247">
        <v>0</v>
      </c>
      <c r="Q2247">
        <v>0</v>
      </c>
      <c r="R2247">
        <v>3600</v>
      </c>
      <c r="S2247">
        <v>3000</v>
      </c>
      <c r="T2247">
        <v>0</v>
      </c>
      <c r="U2247" t="str">
        <f>IF(SeismicData[[#This Row],[class]]=1,"Dangerous","Safe")</f>
        <v>Safe</v>
      </c>
      <c r="V2247" t="str">
        <f>IF(SeismicData[[#This Row],[shift]]="W","Production","Non-Production")</f>
        <v>Production</v>
      </c>
      <c r="W2247" t="str">
        <f>IF(SeismicData[[#This Row],[genergy]]=0,"0","10^"&amp;INT(LOG10(SeismicData[[#This Row],[genergy]])))</f>
        <v>10^4</v>
      </c>
      <c r="X2247" t="str">
        <f>IF(OR(SeismicData[[#This Row],[genergy]]&lt;$AA$6,SeismicData[[#This Row],[genergy]]&gt;$AA$5),"Outlier","Normal")</f>
        <v>Normal</v>
      </c>
    </row>
    <row r="2248" spans="1:24" x14ac:dyDescent="0.15">
      <c r="A2248">
        <v>2247</v>
      </c>
      <c r="B2248" t="s">
        <v>23</v>
      </c>
      <c r="C2248" t="s">
        <v>20</v>
      </c>
      <c r="D2248" t="s">
        <v>22</v>
      </c>
      <c r="E2248">
        <v>70450</v>
      </c>
      <c r="F2248">
        <v>1244</v>
      </c>
      <c r="G2248">
        <v>145</v>
      </c>
      <c r="H2248">
        <v>58</v>
      </c>
      <c r="I2248" t="s">
        <v>20</v>
      </c>
      <c r="J2248">
        <v>0</v>
      </c>
      <c r="K2248">
        <v>0</v>
      </c>
      <c r="L2248">
        <v>0</v>
      </c>
      <c r="M2248">
        <v>0</v>
      </c>
      <c r="N2248">
        <v>0</v>
      </c>
      <c r="O2248">
        <v>0</v>
      </c>
      <c r="P2248">
        <v>0</v>
      </c>
      <c r="Q2248">
        <v>0</v>
      </c>
      <c r="R2248">
        <v>0</v>
      </c>
      <c r="S2248">
        <v>0</v>
      </c>
      <c r="T2248">
        <v>0</v>
      </c>
      <c r="U2248" t="str">
        <f>IF(SeismicData[[#This Row],[class]]=1,"Dangerous","Safe")</f>
        <v>Safe</v>
      </c>
      <c r="V2248" t="str">
        <f>IF(SeismicData[[#This Row],[shift]]="W","Production","Non-Production")</f>
        <v>Production</v>
      </c>
      <c r="W2248" t="str">
        <f>IF(SeismicData[[#This Row],[genergy]]=0,"0","10^"&amp;INT(LOG10(SeismicData[[#This Row],[genergy]])))</f>
        <v>10^4</v>
      </c>
      <c r="X2248" t="str">
        <f>IF(OR(SeismicData[[#This Row],[genergy]]&lt;$AA$6,SeismicData[[#This Row],[genergy]]&gt;$AA$5),"Outlier","Normal")</f>
        <v>Normal</v>
      </c>
    </row>
    <row r="2249" spans="1:24" x14ac:dyDescent="0.15">
      <c r="A2249">
        <v>2248</v>
      </c>
      <c r="B2249" t="s">
        <v>23</v>
      </c>
      <c r="C2249" t="s">
        <v>20</v>
      </c>
      <c r="D2249" t="s">
        <v>22</v>
      </c>
      <c r="E2249">
        <v>34140</v>
      </c>
      <c r="F2249">
        <v>792</v>
      </c>
      <c r="G2249">
        <v>19</v>
      </c>
      <c r="H2249">
        <v>0</v>
      </c>
      <c r="I2249" t="s">
        <v>20</v>
      </c>
      <c r="J2249">
        <v>1</v>
      </c>
      <c r="K2249">
        <v>1</v>
      </c>
      <c r="L2249">
        <v>0</v>
      </c>
      <c r="M2249">
        <v>0</v>
      </c>
      <c r="N2249">
        <v>0</v>
      </c>
      <c r="O2249">
        <v>0</v>
      </c>
      <c r="P2249">
        <v>0</v>
      </c>
      <c r="Q2249">
        <v>0</v>
      </c>
      <c r="R2249">
        <v>500</v>
      </c>
      <c r="S2249">
        <v>500</v>
      </c>
      <c r="T2249">
        <v>0</v>
      </c>
      <c r="U2249" t="str">
        <f>IF(SeismicData[[#This Row],[class]]=1,"Dangerous","Safe")</f>
        <v>Safe</v>
      </c>
      <c r="V2249" t="str">
        <f>IF(SeismicData[[#This Row],[shift]]="W","Production","Non-Production")</f>
        <v>Production</v>
      </c>
      <c r="W2249" t="str">
        <f>IF(SeismicData[[#This Row],[genergy]]=0,"0","10^"&amp;INT(LOG10(SeismicData[[#This Row],[genergy]])))</f>
        <v>10^4</v>
      </c>
      <c r="X2249" t="str">
        <f>IF(OR(SeismicData[[#This Row],[genergy]]&lt;$AA$6,SeismicData[[#This Row],[genergy]]&gt;$AA$5),"Outlier","Normal")</f>
        <v>Normal</v>
      </c>
    </row>
    <row r="2250" spans="1:24" x14ac:dyDescent="0.15">
      <c r="A2250">
        <v>2249</v>
      </c>
      <c r="B2250" t="s">
        <v>23</v>
      </c>
      <c r="C2250" t="s">
        <v>20</v>
      </c>
      <c r="D2250" t="s">
        <v>22</v>
      </c>
      <c r="E2250">
        <v>56900</v>
      </c>
      <c r="F2250">
        <v>761</v>
      </c>
      <c r="G2250">
        <v>98</v>
      </c>
      <c r="H2250">
        <v>-4</v>
      </c>
      <c r="I2250" t="s">
        <v>20</v>
      </c>
      <c r="J2250">
        <v>2</v>
      </c>
      <c r="K2250">
        <v>1</v>
      </c>
      <c r="L2250">
        <v>1</v>
      </c>
      <c r="M2250">
        <v>0</v>
      </c>
      <c r="N2250">
        <v>0</v>
      </c>
      <c r="O2250">
        <v>0</v>
      </c>
      <c r="P2250">
        <v>0</v>
      </c>
      <c r="Q2250">
        <v>0</v>
      </c>
      <c r="R2250">
        <v>2700</v>
      </c>
      <c r="S2250">
        <v>2000</v>
      </c>
      <c r="T2250">
        <v>0</v>
      </c>
      <c r="U2250" t="str">
        <f>IF(SeismicData[[#This Row],[class]]=1,"Dangerous","Safe")</f>
        <v>Safe</v>
      </c>
      <c r="V2250" t="str">
        <f>IF(SeismicData[[#This Row],[shift]]="W","Production","Non-Production")</f>
        <v>Production</v>
      </c>
      <c r="W2250" t="str">
        <f>IF(SeismicData[[#This Row],[genergy]]=0,"0","10^"&amp;INT(LOG10(SeismicData[[#This Row],[genergy]])))</f>
        <v>10^4</v>
      </c>
      <c r="X2250" t="str">
        <f>IF(OR(SeismicData[[#This Row],[genergy]]&lt;$AA$6,SeismicData[[#This Row],[genergy]]&gt;$AA$5),"Outlier","Normal")</f>
        <v>Normal</v>
      </c>
    </row>
    <row r="2251" spans="1:24" x14ac:dyDescent="0.15">
      <c r="A2251">
        <v>2250</v>
      </c>
      <c r="B2251" t="s">
        <v>23</v>
      </c>
      <c r="C2251" t="s">
        <v>20</v>
      </c>
      <c r="D2251" t="s">
        <v>22</v>
      </c>
      <c r="E2251">
        <v>59360</v>
      </c>
      <c r="F2251">
        <v>1033</v>
      </c>
      <c r="G2251">
        <v>107</v>
      </c>
      <c r="H2251">
        <v>31</v>
      </c>
      <c r="I2251" t="s">
        <v>20</v>
      </c>
      <c r="J2251">
        <v>2</v>
      </c>
      <c r="K2251">
        <v>1</v>
      </c>
      <c r="L2251">
        <v>1</v>
      </c>
      <c r="M2251">
        <v>0</v>
      </c>
      <c r="N2251">
        <v>0</v>
      </c>
      <c r="O2251">
        <v>0</v>
      </c>
      <c r="P2251">
        <v>0</v>
      </c>
      <c r="Q2251">
        <v>0</v>
      </c>
      <c r="R2251">
        <v>2400</v>
      </c>
      <c r="S2251">
        <v>2000</v>
      </c>
      <c r="T2251">
        <v>1</v>
      </c>
      <c r="U2251" t="str">
        <f>IF(SeismicData[[#This Row],[class]]=1,"Dangerous","Safe")</f>
        <v>Dangerous</v>
      </c>
      <c r="V2251" t="str">
        <f>IF(SeismicData[[#This Row],[shift]]="W","Production","Non-Production")</f>
        <v>Production</v>
      </c>
      <c r="W2251" t="str">
        <f>IF(SeismicData[[#This Row],[genergy]]=0,"0","10^"&amp;INT(LOG10(SeismicData[[#This Row],[genergy]])))</f>
        <v>10^4</v>
      </c>
      <c r="X2251" t="str">
        <f>IF(OR(SeismicData[[#This Row],[genergy]]&lt;$AA$6,SeismicData[[#This Row],[genergy]]&gt;$AA$5),"Outlier","Normal")</f>
        <v>Normal</v>
      </c>
    </row>
    <row r="2252" spans="1:24" x14ac:dyDescent="0.15">
      <c r="A2252">
        <v>2251</v>
      </c>
      <c r="B2252" t="s">
        <v>23</v>
      </c>
      <c r="C2252" t="s">
        <v>20</v>
      </c>
      <c r="D2252" t="s">
        <v>22</v>
      </c>
      <c r="E2252">
        <v>39100</v>
      </c>
      <c r="F2252">
        <v>868</v>
      </c>
      <c r="G2252">
        <v>36</v>
      </c>
      <c r="H2252">
        <v>10</v>
      </c>
      <c r="I2252" t="s">
        <v>20</v>
      </c>
      <c r="J2252">
        <v>1</v>
      </c>
      <c r="K2252">
        <v>0</v>
      </c>
      <c r="L2252">
        <v>0</v>
      </c>
      <c r="M2252">
        <v>1</v>
      </c>
      <c r="N2252">
        <v>0</v>
      </c>
      <c r="O2252">
        <v>0</v>
      </c>
      <c r="P2252">
        <v>0</v>
      </c>
      <c r="Q2252">
        <v>0</v>
      </c>
      <c r="R2252">
        <v>30000</v>
      </c>
      <c r="S2252">
        <v>30000</v>
      </c>
      <c r="T2252">
        <v>0</v>
      </c>
      <c r="U2252" t="str">
        <f>IF(SeismicData[[#This Row],[class]]=1,"Dangerous","Safe")</f>
        <v>Safe</v>
      </c>
      <c r="V2252" t="str">
        <f>IF(SeismicData[[#This Row],[shift]]="W","Production","Non-Production")</f>
        <v>Production</v>
      </c>
      <c r="W2252" t="str">
        <f>IF(SeismicData[[#This Row],[genergy]]=0,"0","10^"&amp;INT(LOG10(SeismicData[[#This Row],[genergy]])))</f>
        <v>10^4</v>
      </c>
      <c r="X2252" t="str">
        <f>IF(OR(SeismicData[[#This Row],[genergy]]&lt;$AA$6,SeismicData[[#This Row],[genergy]]&gt;$AA$5),"Outlier","Normal")</f>
        <v>Normal</v>
      </c>
    </row>
    <row r="2253" spans="1:24" x14ac:dyDescent="0.15">
      <c r="A2253">
        <v>2252</v>
      </c>
      <c r="B2253" t="s">
        <v>23</v>
      </c>
      <c r="C2253" t="s">
        <v>20</v>
      </c>
      <c r="D2253" t="s">
        <v>21</v>
      </c>
      <c r="E2253">
        <v>37050</v>
      </c>
      <c r="F2253">
        <v>649</v>
      </c>
      <c r="G2253">
        <v>435</v>
      </c>
      <c r="H2253">
        <v>239</v>
      </c>
      <c r="I2253" t="s">
        <v>23</v>
      </c>
      <c r="J2253">
        <v>0</v>
      </c>
      <c r="K2253">
        <v>0</v>
      </c>
      <c r="L2253">
        <v>0</v>
      </c>
      <c r="M2253">
        <v>0</v>
      </c>
      <c r="N2253">
        <v>0</v>
      </c>
      <c r="O2253">
        <v>0</v>
      </c>
      <c r="P2253">
        <v>0</v>
      </c>
      <c r="Q2253">
        <v>0</v>
      </c>
      <c r="R2253">
        <v>0</v>
      </c>
      <c r="S2253">
        <v>0</v>
      </c>
      <c r="T2253">
        <v>0</v>
      </c>
      <c r="U2253" t="str">
        <f>IF(SeismicData[[#This Row],[class]]=1,"Dangerous","Safe")</f>
        <v>Safe</v>
      </c>
      <c r="V2253" t="str">
        <f>IF(SeismicData[[#This Row],[shift]]="W","Production","Non-Production")</f>
        <v>Non-Production</v>
      </c>
      <c r="W2253" t="str">
        <f>IF(SeismicData[[#This Row],[genergy]]=0,"0","10^"&amp;INT(LOG10(SeismicData[[#This Row],[genergy]])))</f>
        <v>10^4</v>
      </c>
      <c r="X2253" t="str">
        <f>IF(OR(SeismicData[[#This Row],[genergy]]&lt;$AA$6,SeismicData[[#This Row],[genergy]]&gt;$AA$5),"Outlier","Normal")</f>
        <v>Normal</v>
      </c>
    </row>
    <row r="2254" spans="1:24" x14ac:dyDescent="0.15">
      <c r="A2254">
        <v>2253</v>
      </c>
      <c r="B2254" t="s">
        <v>23</v>
      </c>
      <c r="C2254" t="s">
        <v>20</v>
      </c>
      <c r="D2254" t="s">
        <v>21</v>
      </c>
      <c r="E2254">
        <v>26830</v>
      </c>
      <c r="F2254">
        <v>584</v>
      </c>
      <c r="G2254">
        <v>287</v>
      </c>
      <c r="H2254">
        <v>205</v>
      </c>
      <c r="I2254" t="s">
        <v>20</v>
      </c>
      <c r="J2254">
        <v>0</v>
      </c>
      <c r="K2254">
        <v>0</v>
      </c>
      <c r="L2254">
        <v>0</v>
      </c>
      <c r="M2254">
        <v>0</v>
      </c>
      <c r="N2254">
        <v>0</v>
      </c>
      <c r="O2254">
        <v>0</v>
      </c>
      <c r="P2254">
        <v>0</v>
      </c>
      <c r="Q2254">
        <v>0</v>
      </c>
      <c r="R2254">
        <v>0</v>
      </c>
      <c r="S2254">
        <v>0</v>
      </c>
      <c r="T2254">
        <v>0</v>
      </c>
      <c r="U2254" t="str">
        <f>IF(SeismicData[[#This Row],[class]]=1,"Dangerous","Safe")</f>
        <v>Safe</v>
      </c>
      <c r="V2254" t="str">
        <f>IF(SeismicData[[#This Row],[shift]]="W","Production","Non-Production")</f>
        <v>Non-Production</v>
      </c>
      <c r="W2254" t="str">
        <f>IF(SeismicData[[#This Row],[genergy]]=0,"0","10^"&amp;INT(LOG10(SeismicData[[#This Row],[genergy]])))</f>
        <v>10^4</v>
      </c>
      <c r="X2254" t="str">
        <f>IF(OR(SeismicData[[#This Row],[genergy]]&lt;$AA$6,SeismicData[[#This Row],[genergy]]&gt;$AA$5),"Outlier","Normal")</f>
        <v>Normal</v>
      </c>
    </row>
    <row r="2255" spans="1:24" x14ac:dyDescent="0.15">
      <c r="A2255">
        <v>2254</v>
      </c>
      <c r="B2255" t="s">
        <v>23</v>
      </c>
      <c r="C2255" t="s">
        <v>20</v>
      </c>
      <c r="D2255" t="s">
        <v>21</v>
      </c>
      <c r="E2255">
        <v>24870</v>
      </c>
      <c r="F2255">
        <v>507</v>
      </c>
      <c r="G2255">
        <v>259</v>
      </c>
      <c r="H2255">
        <v>165</v>
      </c>
      <c r="I2255" t="s">
        <v>23</v>
      </c>
      <c r="J2255">
        <v>0</v>
      </c>
      <c r="K2255">
        <v>0</v>
      </c>
      <c r="L2255">
        <v>0</v>
      </c>
      <c r="M2255">
        <v>0</v>
      </c>
      <c r="N2255">
        <v>0</v>
      </c>
      <c r="O2255">
        <v>0</v>
      </c>
      <c r="P2255">
        <v>0</v>
      </c>
      <c r="Q2255">
        <v>0</v>
      </c>
      <c r="R2255">
        <v>0</v>
      </c>
      <c r="S2255">
        <v>0</v>
      </c>
      <c r="T2255">
        <v>0</v>
      </c>
      <c r="U2255" t="str">
        <f>IF(SeismicData[[#This Row],[class]]=1,"Dangerous","Safe")</f>
        <v>Safe</v>
      </c>
      <c r="V2255" t="str">
        <f>IF(SeismicData[[#This Row],[shift]]="W","Production","Non-Production")</f>
        <v>Non-Production</v>
      </c>
      <c r="W2255" t="str">
        <f>IF(SeismicData[[#This Row],[genergy]]=0,"0","10^"&amp;INT(LOG10(SeismicData[[#This Row],[genergy]])))</f>
        <v>10^4</v>
      </c>
      <c r="X2255" t="str">
        <f>IF(OR(SeismicData[[#This Row],[genergy]]&lt;$AA$6,SeismicData[[#This Row],[genergy]]&gt;$AA$5),"Outlier","Normal")</f>
        <v>Normal</v>
      </c>
    </row>
    <row r="2256" spans="1:24" x14ac:dyDescent="0.15">
      <c r="A2256">
        <v>2255</v>
      </c>
      <c r="B2256" t="s">
        <v>23</v>
      </c>
      <c r="C2256" t="s">
        <v>20</v>
      </c>
      <c r="D2256" t="s">
        <v>22</v>
      </c>
      <c r="E2256">
        <v>23710</v>
      </c>
      <c r="F2256">
        <v>481</v>
      </c>
      <c r="G2256">
        <v>-25</v>
      </c>
      <c r="H2256">
        <v>-42</v>
      </c>
      <c r="I2256" t="s">
        <v>20</v>
      </c>
      <c r="J2256">
        <v>0</v>
      </c>
      <c r="K2256">
        <v>0</v>
      </c>
      <c r="L2256">
        <v>0</v>
      </c>
      <c r="M2256">
        <v>0</v>
      </c>
      <c r="N2256">
        <v>0</v>
      </c>
      <c r="O2256">
        <v>0</v>
      </c>
      <c r="P2256">
        <v>0</v>
      </c>
      <c r="Q2256">
        <v>0</v>
      </c>
      <c r="R2256">
        <v>0</v>
      </c>
      <c r="S2256">
        <v>0</v>
      </c>
      <c r="T2256">
        <v>0</v>
      </c>
      <c r="U2256" t="str">
        <f>IF(SeismicData[[#This Row],[class]]=1,"Dangerous","Safe")</f>
        <v>Safe</v>
      </c>
      <c r="V2256" t="str">
        <f>IF(SeismicData[[#This Row],[shift]]="W","Production","Non-Production")</f>
        <v>Production</v>
      </c>
      <c r="W2256" t="str">
        <f>IF(SeismicData[[#This Row],[genergy]]=0,"0","10^"&amp;INT(LOG10(SeismicData[[#This Row],[genergy]])))</f>
        <v>10^4</v>
      </c>
      <c r="X2256" t="str">
        <f>IF(OR(SeismicData[[#This Row],[genergy]]&lt;$AA$6,SeismicData[[#This Row],[genergy]]&gt;$AA$5),"Outlier","Normal")</f>
        <v>Normal</v>
      </c>
    </row>
    <row r="2257" spans="1:24" x14ac:dyDescent="0.15">
      <c r="A2257">
        <v>2256</v>
      </c>
      <c r="B2257" t="s">
        <v>23</v>
      </c>
      <c r="C2257" t="s">
        <v>20</v>
      </c>
      <c r="D2257" t="s">
        <v>22</v>
      </c>
      <c r="E2257">
        <v>37670</v>
      </c>
      <c r="F2257">
        <v>488</v>
      </c>
      <c r="G2257">
        <v>19</v>
      </c>
      <c r="H2257">
        <v>-41</v>
      </c>
      <c r="I2257" t="s">
        <v>20</v>
      </c>
      <c r="J2257">
        <v>0</v>
      </c>
      <c r="K2257">
        <v>0</v>
      </c>
      <c r="L2257">
        <v>0</v>
      </c>
      <c r="M2257">
        <v>0</v>
      </c>
      <c r="N2257">
        <v>0</v>
      </c>
      <c r="O2257">
        <v>0</v>
      </c>
      <c r="P2257">
        <v>0</v>
      </c>
      <c r="Q2257">
        <v>0</v>
      </c>
      <c r="R2257">
        <v>0</v>
      </c>
      <c r="S2257">
        <v>0</v>
      </c>
      <c r="T2257">
        <v>0</v>
      </c>
      <c r="U2257" t="str">
        <f>IF(SeismicData[[#This Row],[class]]=1,"Dangerous","Safe")</f>
        <v>Safe</v>
      </c>
      <c r="V2257" t="str">
        <f>IF(SeismicData[[#This Row],[shift]]="W","Production","Non-Production")</f>
        <v>Production</v>
      </c>
      <c r="W2257" t="str">
        <f>IF(SeismicData[[#This Row],[genergy]]=0,"0","10^"&amp;INT(LOG10(SeismicData[[#This Row],[genergy]])))</f>
        <v>10^4</v>
      </c>
      <c r="X2257" t="str">
        <f>IF(OR(SeismicData[[#This Row],[genergy]]&lt;$AA$6,SeismicData[[#This Row],[genergy]]&gt;$AA$5),"Outlier","Normal")</f>
        <v>Normal</v>
      </c>
    </row>
    <row r="2258" spans="1:24" x14ac:dyDescent="0.15">
      <c r="A2258">
        <v>2257</v>
      </c>
      <c r="B2258" t="s">
        <v>23</v>
      </c>
      <c r="C2258" t="s">
        <v>20</v>
      </c>
      <c r="D2258" t="s">
        <v>22</v>
      </c>
      <c r="E2258">
        <v>29480</v>
      </c>
      <c r="F2258">
        <v>510</v>
      </c>
      <c r="G2258">
        <v>-7</v>
      </c>
      <c r="H2258">
        <v>-39</v>
      </c>
      <c r="I2258" t="s">
        <v>20</v>
      </c>
      <c r="J2258">
        <v>0</v>
      </c>
      <c r="K2258">
        <v>0</v>
      </c>
      <c r="L2258">
        <v>0</v>
      </c>
      <c r="M2258">
        <v>0</v>
      </c>
      <c r="N2258">
        <v>0</v>
      </c>
      <c r="O2258">
        <v>0</v>
      </c>
      <c r="P2258">
        <v>0</v>
      </c>
      <c r="Q2258">
        <v>0</v>
      </c>
      <c r="R2258">
        <v>0</v>
      </c>
      <c r="S2258">
        <v>0</v>
      </c>
      <c r="T2258">
        <v>0</v>
      </c>
      <c r="U2258" t="str">
        <f>IF(SeismicData[[#This Row],[class]]=1,"Dangerous","Safe")</f>
        <v>Safe</v>
      </c>
      <c r="V2258" t="str">
        <f>IF(SeismicData[[#This Row],[shift]]="W","Production","Non-Production")</f>
        <v>Production</v>
      </c>
      <c r="W2258" t="str">
        <f>IF(SeismicData[[#This Row],[genergy]]=0,"0","10^"&amp;INT(LOG10(SeismicData[[#This Row],[genergy]])))</f>
        <v>10^4</v>
      </c>
      <c r="X2258" t="str">
        <f>IF(OR(SeismicData[[#This Row],[genergy]]&lt;$AA$6,SeismicData[[#This Row],[genergy]]&gt;$AA$5),"Outlier","Normal")</f>
        <v>Normal</v>
      </c>
    </row>
    <row r="2259" spans="1:24" x14ac:dyDescent="0.15">
      <c r="A2259">
        <v>2258</v>
      </c>
      <c r="B2259" t="s">
        <v>23</v>
      </c>
      <c r="C2259" t="s">
        <v>20</v>
      </c>
      <c r="D2259" t="s">
        <v>22</v>
      </c>
      <c r="E2259">
        <v>77040</v>
      </c>
      <c r="F2259">
        <v>772</v>
      </c>
      <c r="G2259">
        <v>143</v>
      </c>
      <c r="H2259">
        <v>-7</v>
      </c>
      <c r="I2259" t="s">
        <v>20</v>
      </c>
      <c r="J2259">
        <v>1</v>
      </c>
      <c r="K2259">
        <v>0</v>
      </c>
      <c r="L2259">
        <v>1</v>
      </c>
      <c r="M2259">
        <v>0</v>
      </c>
      <c r="N2259">
        <v>0</v>
      </c>
      <c r="O2259">
        <v>0</v>
      </c>
      <c r="P2259">
        <v>0</v>
      </c>
      <c r="Q2259">
        <v>0</v>
      </c>
      <c r="R2259">
        <v>2000</v>
      </c>
      <c r="S2259">
        <v>2000</v>
      </c>
      <c r="T2259">
        <v>0</v>
      </c>
      <c r="U2259" t="str">
        <f>IF(SeismicData[[#This Row],[class]]=1,"Dangerous","Safe")</f>
        <v>Safe</v>
      </c>
      <c r="V2259" t="str">
        <f>IF(SeismicData[[#This Row],[shift]]="W","Production","Non-Production")</f>
        <v>Production</v>
      </c>
      <c r="W2259" t="str">
        <f>IF(SeismicData[[#This Row],[genergy]]=0,"0","10^"&amp;INT(LOG10(SeismicData[[#This Row],[genergy]])))</f>
        <v>10^4</v>
      </c>
      <c r="X2259" t="str">
        <f>IF(OR(SeismicData[[#This Row],[genergy]]&lt;$AA$6,SeismicData[[#This Row],[genergy]]&gt;$AA$5),"Outlier","Normal")</f>
        <v>Normal</v>
      </c>
    </row>
    <row r="2260" spans="1:24" x14ac:dyDescent="0.15">
      <c r="A2260">
        <v>2259</v>
      </c>
      <c r="B2260" t="s">
        <v>23</v>
      </c>
      <c r="C2260" t="s">
        <v>20</v>
      </c>
      <c r="D2260" t="s">
        <v>22</v>
      </c>
      <c r="E2260">
        <v>48980</v>
      </c>
      <c r="F2260">
        <v>1007</v>
      </c>
      <c r="G2260">
        <v>54</v>
      </c>
      <c r="H2260">
        <v>21</v>
      </c>
      <c r="I2260" t="s">
        <v>20</v>
      </c>
      <c r="J2260">
        <v>0</v>
      </c>
      <c r="K2260">
        <v>0</v>
      </c>
      <c r="L2260">
        <v>0</v>
      </c>
      <c r="M2260">
        <v>0</v>
      </c>
      <c r="N2260">
        <v>0</v>
      </c>
      <c r="O2260">
        <v>0</v>
      </c>
      <c r="P2260">
        <v>0</v>
      </c>
      <c r="Q2260">
        <v>0</v>
      </c>
      <c r="R2260">
        <v>0</v>
      </c>
      <c r="S2260">
        <v>0</v>
      </c>
      <c r="T2260">
        <v>0</v>
      </c>
      <c r="U2260" t="str">
        <f>IF(SeismicData[[#This Row],[class]]=1,"Dangerous","Safe")</f>
        <v>Safe</v>
      </c>
      <c r="V2260" t="str">
        <f>IF(SeismicData[[#This Row],[shift]]="W","Production","Non-Production")</f>
        <v>Production</v>
      </c>
      <c r="W2260" t="str">
        <f>IF(SeismicData[[#This Row],[genergy]]=0,"0","10^"&amp;INT(LOG10(SeismicData[[#This Row],[genergy]])))</f>
        <v>10^4</v>
      </c>
      <c r="X2260" t="str">
        <f>IF(OR(SeismicData[[#This Row],[genergy]]&lt;$AA$6,SeismicData[[#This Row],[genergy]]&gt;$AA$5),"Outlier","Normal")</f>
        <v>Normal</v>
      </c>
    </row>
    <row r="2261" spans="1:24" x14ac:dyDescent="0.15">
      <c r="A2261">
        <v>2260</v>
      </c>
      <c r="B2261" t="s">
        <v>23</v>
      </c>
      <c r="C2261" t="s">
        <v>20</v>
      </c>
      <c r="D2261" t="s">
        <v>22</v>
      </c>
      <c r="E2261">
        <v>76610</v>
      </c>
      <c r="F2261">
        <v>987</v>
      </c>
      <c r="G2261">
        <v>141</v>
      </c>
      <c r="H2261">
        <v>19</v>
      </c>
      <c r="I2261" t="s">
        <v>20</v>
      </c>
      <c r="J2261">
        <v>0</v>
      </c>
      <c r="K2261">
        <v>0</v>
      </c>
      <c r="L2261">
        <v>0</v>
      </c>
      <c r="M2261">
        <v>0</v>
      </c>
      <c r="N2261">
        <v>0</v>
      </c>
      <c r="O2261">
        <v>0</v>
      </c>
      <c r="P2261">
        <v>0</v>
      </c>
      <c r="Q2261">
        <v>0</v>
      </c>
      <c r="R2261">
        <v>0</v>
      </c>
      <c r="S2261">
        <v>0</v>
      </c>
      <c r="T2261">
        <v>0</v>
      </c>
      <c r="U2261" t="str">
        <f>IF(SeismicData[[#This Row],[class]]=1,"Dangerous","Safe")</f>
        <v>Safe</v>
      </c>
      <c r="V2261" t="str">
        <f>IF(SeismicData[[#This Row],[shift]]="W","Production","Non-Production")</f>
        <v>Production</v>
      </c>
      <c r="W2261" t="str">
        <f>IF(SeismicData[[#This Row],[genergy]]=0,"0","10^"&amp;INT(LOG10(SeismicData[[#This Row],[genergy]])))</f>
        <v>10^4</v>
      </c>
      <c r="X2261" t="str">
        <f>IF(OR(SeismicData[[#This Row],[genergy]]&lt;$AA$6,SeismicData[[#This Row],[genergy]]&gt;$AA$5),"Outlier","Normal")</f>
        <v>Normal</v>
      </c>
    </row>
    <row r="2262" spans="1:24" x14ac:dyDescent="0.15">
      <c r="A2262">
        <v>2261</v>
      </c>
      <c r="B2262" t="s">
        <v>23</v>
      </c>
      <c r="C2262" t="s">
        <v>20</v>
      </c>
      <c r="D2262" t="s">
        <v>22</v>
      </c>
      <c r="E2262">
        <v>99010</v>
      </c>
      <c r="F2262">
        <v>1360</v>
      </c>
      <c r="G2262">
        <v>82</v>
      </c>
      <c r="H2262">
        <v>62</v>
      </c>
      <c r="I2262" t="s">
        <v>20</v>
      </c>
      <c r="J2262">
        <v>3</v>
      </c>
      <c r="K2262">
        <v>1</v>
      </c>
      <c r="L2262">
        <v>2</v>
      </c>
      <c r="M2262">
        <v>0</v>
      </c>
      <c r="N2262">
        <v>0</v>
      </c>
      <c r="O2262">
        <v>0</v>
      </c>
      <c r="P2262">
        <v>0</v>
      </c>
      <c r="Q2262">
        <v>0</v>
      </c>
      <c r="R2262">
        <v>4200</v>
      </c>
      <c r="S2262">
        <v>2000</v>
      </c>
      <c r="T2262">
        <v>1</v>
      </c>
      <c r="U2262" t="str">
        <f>IF(SeismicData[[#This Row],[class]]=1,"Dangerous","Safe")</f>
        <v>Dangerous</v>
      </c>
      <c r="V2262" t="str">
        <f>IF(SeismicData[[#This Row],[shift]]="W","Production","Non-Production")</f>
        <v>Production</v>
      </c>
      <c r="W2262" t="str">
        <f>IF(SeismicData[[#This Row],[genergy]]=0,"0","10^"&amp;INT(LOG10(SeismicData[[#This Row],[genergy]])))</f>
        <v>10^4</v>
      </c>
      <c r="X2262" t="str">
        <f>IF(OR(SeismicData[[#This Row],[genergy]]&lt;$AA$6,SeismicData[[#This Row],[genergy]]&gt;$AA$5),"Outlier","Normal")</f>
        <v>Normal</v>
      </c>
    </row>
    <row r="2263" spans="1:24" x14ac:dyDescent="0.15">
      <c r="A2263">
        <v>2262</v>
      </c>
      <c r="B2263" t="s">
        <v>23</v>
      </c>
      <c r="C2263" t="s">
        <v>20</v>
      </c>
      <c r="D2263" t="s">
        <v>22</v>
      </c>
      <c r="E2263">
        <v>78580</v>
      </c>
      <c r="F2263">
        <v>1327</v>
      </c>
      <c r="G2263">
        <v>147</v>
      </c>
      <c r="H2263">
        <v>60</v>
      </c>
      <c r="I2263" t="s">
        <v>20</v>
      </c>
      <c r="J2263">
        <v>1</v>
      </c>
      <c r="K2263">
        <v>0</v>
      </c>
      <c r="L2263">
        <v>0</v>
      </c>
      <c r="M2263">
        <v>1</v>
      </c>
      <c r="N2263">
        <v>0</v>
      </c>
      <c r="O2263">
        <v>0</v>
      </c>
      <c r="P2263">
        <v>0</v>
      </c>
      <c r="Q2263">
        <v>0</v>
      </c>
      <c r="R2263">
        <v>40000</v>
      </c>
      <c r="S2263">
        <v>40000</v>
      </c>
      <c r="T2263">
        <v>0</v>
      </c>
      <c r="U2263" t="str">
        <f>IF(SeismicData[[#This Row],[class]]=1,"Dangerous","Safe")</f>
        <v>Safe</v>
      </c>
      <c r="V2263" t="str">
        <f>IF(SeismicData[[#This Row],[shift]]="W","Production","Non-Production")</f>
        <v>Production</v>
      </c>
      <c r="W2263" t="str">
        <f>IF(SeismicData[[#This Row],[genergy]]=0,"0","10^"&amp;INT(LOG10(SeismicData[[#This Row],[genergy]])))</f>
        <v>10^4</v>
      </c>
      <c r="X2263" t="str">
        <f>IF(OR(SeismicData[[#This Row],[genergy]]&lt;$AA$6,SeismicData[[#This Row],[genergy]]&gt;$AA$5),"Outlier","Normal")</f>
        <v>Normal</v>
      </c>
    </row>
    <row r="2264" spans="1:24" x14ac:dyDescent="0.15">
      <c r="A2264">
        <v>2263</v>
      </c>
      <c r="B2264" t="s">
        <v>23</v>
      </c>
      <c r="C2264" t="s">
        <v>23</v>
      </c>
      <c r="D2264" t="s">
        <v>22</v>
      </c>
      <c r="E2264">
        <v>68690</v>
      </c>
      <c r="F2264">
        <v>1038</v>
      </c>
      <c r="G2264">
        <v>37</v>
      </c>
      <c r="H2264">
        <v>-17</v>
      </c>
      <c r="I2264" t="s">
        <v>23</v>
      </c>
      <c r="J2264">
        <v>0</v>
      </c>
      <c r="K2264">
        <v>0</v>
      </c>
      <c r="L2264">
        <v>0</v>
      </c>
      <c r="M2264">
        <v>0</v>
      </c>
      <c r="N2264">
        <v>0</v>
      </c>
      <c r="O2264">
        <v>0</v>
      </c>
      <c r="P2264">
        <v>0</v>
      </c>
      <c r="Q2264">
        <v>0</v>
      </c>
      <c r="R2264">
        <v>0</v>
      </c>
      <c r="S2264">
        <v>0</v>
      </c>
      <c r="T2264">
        <v>0</v>
      </c>
      <c r="U2264" t="str">
        <f>IF(SeismicData[[#This Row],[class]]=1,"Dangerous","Safe")</f>
        <v>Safe</v>
      </c>
      <c r="V2264" t="str">
        <f>IF(SeismicData[[#This Row],[shift]]="W","Production","Non-Production")</f>
        <v>Production</v>
      </c>
      <c r="W2264" t="str">
        <f>IF(SeismicData[[#This Row],[genergy]]=0,"0","10^"&amp;INT(LOG10(SeismicData[[#This Row],[genergy]])))</f>
        <v>10^4</v>
      </c>
      <c r="X2264" t="str">
        <f>IF(OR(SeismicData[[#This Row],[genergy]]&lt;$AA$6,SeismicData[[#This Row],[genergy]]&gt;$AA$5),"Outlier","Normal")</f>
        <v>Normal</v>
      </c>
    </row>
    <row r="2265" spans="1:24" x14ac:dyDescent="0.15">
      <c r="A2265">
        <v>2264</v>
      </c>
      <c r="B2265" t="s">
        <v>23</v>
      </c>
      <c r="C2265" t="s">
        <v>23</v>
      </c>
      <c r="D2265" t="s">
        <v>21</v>
      </c>
      <c r="E2265">
        <v>23040</v>
      </c>
      <c r="F2265">
        <v>482</v>
      </c>
      <c r="G2265">
        <v>201</v>
      </c>
      <c r="H2265">
        <v>103</v>
      </c>
      <c r="I2265" t="s">
        <v>20</v>
      </c>
      <c r="J2265">
        <v>0</v>
      </c>
      <c r="K2265">
        <v>0</v>
      </c>
      <c r="L2265">
        <v>0</v>
      </c>
      <c r="M2265">
        <v>0</v>
      </c>
      <c r="N2265">
        <v>0</v>
      </c>
      <c r="O2265">
        <v>0</v>
      </c>
      <c r="P2265">
        <v>0</v>
      </c>
      <c r="Q2265">
        <v>0</v>
      </c>
      <c r="R2265">
        <v>0</v>
      </c>
      <c r="S2265">
        <v>0</v>
      </c>
      <c r="T2265">
        <v>0</v>
      </c>
      <c r="U2265" t="str">
        <f>IF(SeismicData[[#This Row],[class]]=1,"Dangerous","Safe")</f>
        <v>Safe</v>
      </c>
      <c r="V2265" t="str">
        <f>IF(SeismicData[[#This Row],[shift]]="W","Production","Non-Production")</f>
        <v>Non-Production</v>
      </c>
      <c r="W2265" t="str">
        <f>IF(SeismicData[[#This Row],[genergy]]=0,"0","10^"&amp;INT(LOG10(SeismicData[[#This Row],[genergy]])))</f>
        <v>10^4</v>
      </c>
      <c r="X2265" t="str">
        <f>IF(OR(SeismicData[[#This Row],[genergy]]&lt;$AA$6,SeismicData[[#This Row],[genergy]]&gt;$AA$5),"Outlier","Normal")</f>
        <v>Normal</v>
      </c>
    </row>
    <row r="2266" spans="1:24" x14ac:dyDescent="0.15">
      <c r="A2266">
        <v>2265</v>
      </c>
      <c r="B2266" t="s">
        <v>23</v>
      </c>
      <c r="C2266" t="s">
        <v>23</v>
      </c>
      <c r="D2266" t="s">
        <v>21</v>
      </c>
      <c r="E2266">
        <v>38900</v>
      </c>
      <c r="F2266">
        <v>697</v>
      </c>
      <c r="G2266">
        <v>56</v>
      </c>
      <c r="H2266">
        <v>12</v>
      </c>
      <c r="I2266" t="s">
        <v>23</v>
      </c>
      <c r="J2266">
        <v>0</v>
      </c>
      <c r="K2266">
        <v>0</v>
      </c>
      <c r="L2266">
        <v>0</v>
      </c>
      <c r="M2266">
        <v>0</v>
      </c>
      <c r="N2266">
        <v>0</v>
      </c>
      <c r="O2266">
        <v>0</v>
      </c>
      <c r="P2266">
        <v>0</v>
      </c>
      <c r="Q2266">
        <v>0</v>
      </c>
      <c r="R2266">
        <v>0</v>
      </c>
      <c r="S2266">
        <v>0</v>
      </c>
      <c r="T2266">
        <v>0</v>
      </c>
      <c r="U2266" t="str">
        <f>IF(SeismicData[[#This Row],[class]]=1,"Dangerous","Safe")</f>
        <v>Safe</v>
      </c>
      <c r="V2266" t="str">
        <f>IF(SeismicData[[#This Row],[shift]]="W","Production","Non-Production")</f>
        <v>Non-Production</v>
      </c>
      <c r="W2266" t="str">
        <f>IF(SeismicData[[#This Row],[genergy]]=0,"0","10^"&amp;INT(LOG10(SeismicData[[#This Row],[genergy]])))</f>
        <v>10^4</v>
      </c>
      <c r="X2266" t="str">
        <f>IF(OR(SeismicData[[#This Row],[genergy]]&lt;$AA$6,SeismicData[[#This Row],[genergy]]&gt;$AA$5),"Outlier","Normal")</f>
        <v>Normal</v>
      </c>
    </row>
    <row r="2267" spans="1:24" x14ac:dyDescent="0.15">
      <c r="A2267">
        <v>2266</v>
      </c>
      <c r="B2267" t="s">
        <v>23</v>
      </c>
      <c r="C2267" t="s">
        <v>23</v>
      </c>
      <c r="D2267" t="s">
        <v>21</v>
      </c>
      <c r="E2267">
        <v>35370</v>
      </c>
      <c r="F2267">
        <v>656</v>
      </c>
      <c r="G2267">
        <v>41</v>
      </c>
      <c r="H2267">
        <v>5</v>
      </c>
      <c r="I2267" t="s">
        <v>24</v>
      </c>
      <c r="J2267">
        <v>1</v>
      </c>
      <c r="K2267">
        <v>1</v>
      </c>
      <c r="L2267">
        <v>0</v>
      </c>
      <c r="M2267">
        <v>0</v>
      </c>
      <c r="N2267">
        <v>0</v>
      </c>
      <c r="O2267">
        <v>0</v>
      </c>
      <c r="P2267">
        <v>0</v>
      </c>
      <c r="Q2267">
        <v>0</v>
      </c>
      <c r="R2267">
        <v>200</v>
      </c>
      <c r="S2267">
        <v>200</v>
      </c>
      <c r="T2267">
        <v>0</v>
      </c>
      <c r="U2267" t="str">
        <f>IF(SeismicData[[#This Row],[class]]=1,"Dangerous","Safe")</f>
        <v>Safe</v>
      </c>
      <c r="V2267" t="str">
        <f>IF(SeismicData[[#This Row],[shift]]="W","Production","Non-Production")</f>
        <v>Non-Production</v>
      </c>
      <c r="W2267" t="str">
        <f>IF(SeismicData[[#This Row],[genergy]]=0,"0","10^"&amp;INT(LOG10(SeismicData[[#This Row],[genergy]])))</f>
        <v>10^4</v>
      </c>
      <c r="X2267" t="str">
        <f>IF(OR(SeismicData[[#This Row],[genergy]]&lt;$AA$6,SeismicData[[#This Row],[genergy]]&gt;$AA$5),"Outlier","Normal")</f>
        <v>Normal</v>
      </c>
    </row>
    <row r="2268" spans="1:24" x14ac:dyDescent="0.15">
      <c r="A2268">
        <v>2267</v>
      </c>
      <c r="B2268" t="s">
        <v>23</v>
      </c>
      <c r="C2268" t="s">
        <v>23</v>
      </c>
      <c r="D2268" t="s">
        <v>21</v>
      </c>
      <c r="E2268">
        <v>30810</v>
      </c>
      <c r="F2268">
        <v>591</v>
      </c>
      <c r="G2268">
        <v>23</v>
      </c>
      <c r="H2268">
        <v>-5</v>
      </c>
      <c r="I2268" t="s">
        <v>24</v>
      </c>
      <c r="J2268">
        <v>1</v>
      </c>
      <c r="K2268">
        <v>1</v>
      </c>
      <c r="L2268">
        <v>0</v>
      </c>
      <c r="M2268">
        <v>0</v>
      </c>
      <c r="N2268">
        <v>0</v>
      </c>
      <c r="O2268">
        <v>0</v>
      </c>
      <c r="P2268">
        <v>0</v>
      </c>
      <c r="Q2268">
        <v>0</v>
      </c>
      <c r="R2268">
        <v>200</v>
      </c>
      <c r="S2268">
        <v>200</v>
      </c>
      <c r="T2268">
        <v>0</v>
      </c>
      <c r="U2268" t="str">
        <f>IF(SeismicData[[#This Row],[class]]=1,"Dangerous","Safe")</f>
        <v>Safe</v>
      </c>
      <c r="V2268" t="str">
        <f>IF(SeismicData[[#This Row],[shift]]="W","Production","Non-Production")</f>
        <v>Non-Production</v>
      </c>
      <c r="W2268" t="str">
        <f>IF(SeismicData[[#This Row],[genergy]]=0,"0","10^"&amp;INT(LOG10(SeismicData[[#This Row],[genergy]])))</f>
        <v>10^4</v>
      </c>
      <c r="X2268" t="str">
        <f>IF(OR(SeismicData[[#This Row],[genergy]]&lt;$AA$6,SeismicData[[#This Row],[genergy]]&gt;$AA$5),"Outlier","Normal")</f>
        <v>Normal</v>
      </c>
    </row>
    <row r="2269" spans="1:24" x14ac:dyDescent="0.15">
      <c r="A2269">
        <v>2268</v>
      </c>
      <c r="B2269" t="s">
        <v>23</v>
      </c>
      <c r="C2269" t="s">
        <v>23</v>
      </c>
      <c r="D2269" t="s">
        <v>21</v>
      </c>
      <c r="E2269">
        <v>19640</v>
      </c>
      <c r="F2269">
        <v>556</v>
      </c>
      <c r="G2269">
        <v>-21</v>
      </c>
      <c r="H2269">
        <v>-11</v>
      </c>
      <c r="I2269" t="s">
        <v>23</v>
      </c>
      <c r="J2269">
        <v>0</v>
      </c>
      <c r="K2269">
        <v>0</v>
      </c>
      <c r="L2269">
        <v>0</v>
      </c>
      <c r="M2269">
        <v>0</v>
      </c>
      <c r="N2269">
        <v>0</v>
      </c>
      <c r="O2269">
        <v>0</v>
      </c>
      <c r="P2269">
        <v>0</v>
      </c>
      <c r="Q2269">
        <v>0</v>
      </c>
      <c r="R2269">
        <v>0</v>
      </c>
      <c r="S2269">
        <v>0</v>
      </c>
      <c r="T2269">
        <v>0</v>
      </c>
      <c r="U2269" t="str">
        <f>IF(SeismicData[[#This Row],[class]]=1,"Dangerous","Safe")</f>
        <v>Safe</v>
      </c>
      <c r="V2269" t="str">
        <f>IF(SeismicData[[#This Row],[shift]]="W","Production","Non-Production")</f>
        <v>Non-Production</v>
      </c>
      <c r="W2269" t="str">
        <f>IF(SeismicData[[#This Row],[genergy]]=0,"0","10^"&amp;INT(LOG10(SeismicData[[#This Row],[genergy]])))</f>
        <v>10^4</v>
      </c>
      <c r="X2269" t="str">
        <f>IF(OR(SeismicData[[#This Row],[genergy]]&lt;$AA$6,SeismicData[[#This Row],[genergy]]&gt;$AA$5),"Outlier","Normal")</f>
        <v>Normal</v>
      </c>
    </row>
    <row r="2270" spans="1:24" x14ac:dyDescent="0.15">
      <c r="A2270">
        <v>2269</v>
      </c>
      <c r="B2270" t="s">
        <v>23</v>
      </c>
      <c r="C2270" t="s">
        <v>23</v>
      </c>
      <c r="D2270" t="s">
        <v>21</v>
      </c>
      <c r="E2270">
        <v>24020</v>
      </c>
      <c r="F2270">
        <v>462</v>
      </c>
      <c r="G2270">
        <v>-4</v>
      </c>
      <c r="H2270">
        <v>-26</v>
      </c>
      <c r="I2270" t="s">
        <v>23</v>
      </c>
      <c r="J2270">
        <v>0</v>
      </c>
      <c r="K2270">
        <v>0</v>
      </c>
      <c r="L2270">
        <v>0</v>
      </c>
      <c r="M2270">
        <v>0</v>
      </c>
      <c r="N2270">
        <v>0</v>
      </c>
      <c r="O2270">
        <v>0</v>
      </c>
      <c r="P2270">
        <v>0</v>
      </c>
      <c r="Q2270">
        <v>0</v>
      </c>
      <c r="R2270">
        <v>0</v>
      </c>
      <c r="S2270">
        <v>0</v>
      </c>
      <c r="T2270">
        <v>0</v>
      </c>
      <c r="U2270" t="str">
        <f>IF(SeismicData[[#This Row],[class]]=1,"Dangerous","Safe")</f>
        <v>Safe</v>
      </c>
      <c r="V2270" t="str">
        <f>IF(SeismicData[[#This Row],[shift]]="W","Production","Non-Production")</f>
        <v>Non-Production</v>
      </c>
      <c r="W2270" t="str">
        <f>IF(SeismicData[[#This Row],[genergy]]=0,"0","10^"&amp;INT(LOG10(SeismicData[[#This Row],[genergy]])))</f>
        <v>10^4</v>
      </c>
      <c r="X2270" t="str">
        <f>IF(OR(SeismicData[[#This Row],[genergy]]&lt;$AA$6,SeismicData[[#This Row],[genergy]]&gt;$AA$5),"Outlier","Normal")</f>
        <v>Normal</v>
      </c>
    </row>
    <row r="2271" spans="1:24" x14ac:dyDescent="0.15">
      <c r="A2271">
        <v>2270</v>
      </c>
      <c r="B2271" t="s">
        <v>23</v>
      </c>
      <c r="C2271" t="s">
        <v>23</v>
      </c>
      <c r="D2271" t="s">
        <v>21</v>
      </c>
      <c r="E2271">
        <v>31780</v>
      </c>
      <c r="F2271">
        <v>538</v>
      </c>
      <c r="G2271">
        <v>27</v>
      </c>
      <c r="H2271">
        <v>-14</v>
      </c>
      <c r="I2271" t="s">
        <v>23</v>
      </c>
      <c r="J2271">
        <v>0</v>
      </c>
      <c r="K2271">
        <v>0</v>
      </c>
      <c r="L2271">
        <v>0</v>
      </c>
      <c r="M2271">
        <v>0</v>
      </c>
      <c r="N2271">
        <v>0</v>
      </c>
      <c r="O2271">
        <v>0</v>
      </c>
      <c r="P2271">
        <v>0</v>
      </c>
      <c r="Q2271">
        <v>0</v>
      </c>
      <c r="R2271">
        <v>0</v>
      </c>
      <c r="S2271">
        <v>0</v>
      </c>
      <c r="T2271">
        <v>0</v>
      </c>
      <c r="U2271" t="str">
        <f>IF(SeismicData[[#This Row],[class]]=1,"Dangerous","Safe")</f>
        <v>Safe</v>
      </c>
      <c r="V2271" t="str">
        <f>IF(SeismicData[[#This Row],[shift]]="W","Production","Non-Production")</f>
        <v>Non-Production</v>
      </c>
      <c r="W2271" t="str">
        <f>IF(SeismicData[[#This Row],[genergy]]=0,"0","10^"&amp;INT(LOG10(SeismicData[[#This Row],[genergy]])))</f>
        <v>10^4</v>
      </c>
      <c r="X2271" t="str">
        <f>IF(OR(SeismicData[[#This Row],[genergy]]&lt;$AA$6,SeismicData[[#This Row],[genergy]]&gt;$AA$5),"Outlier","Normal")</f>
        <v>Normal</v>
      </c>
    </row>
    <row r="2272" spans="1:24" x14ac:dyDescent="0.15">
      <c r="A2272">
        <v>2271</v>
      </c>
      <c r="B2272" t="s">
        <v>23</v>
      </c>
      <c r="C2272" t="s">
        <v>23</v>
      </c>
      <c r="D2272" t="s">
        <v>21</v>
      </c>
      <c r="E2272">
        <v>23880</v>
      </c>
      <c r="F2272">
        <v>488</v>
      </c>
      <c r="G2272">
        <v>-4</v>
      </c>
      <c r="H2272">
        <v>-22</v>
      </c>
      <c r="I2272" t="s">
        <v>20</v>
      </c>
      <c r="J2272">
        <v>0</v>
      </c>
      <c r="K2272">
        <v>0</v>
      </c>
      <c r="L2272">
        <v>0</v>
      </c>
      <c r="M2272">
        <v>0</v>
      </c>
      <c r="N2272">
        <v>0</v>
      </c>
      <c r="O2272">
        <v>0</v>
      </c>
      <c r="P2272">
        <v>0</v>
      </c>
      <c r="Q2272">
        <v>0</v>
      </c>
      <c r="R2272">
        <v>0</v>
      </c>
      <c r="S2272">
        <v>0</v>
      </c>
      <c r="T2272">
        <v>0</v>
      </c>
      <c r="U2272" t="str">
        <f>IF(SeismicData[[#This Row],[class]]=1,"Dangerous","Safe")</f>
        <v>Safe</v>
      </c>
      <c r="V2272" t="str">
        <f>IF(SeismicData[[#This Row],[shift]]="W","Production","Non-Production")</f>
        <v>Non-Production</v>
      </c>
      <c r="W2272" t="str">
        <f>IF(SeismicData[[#This Row],[genergy]]=0,"0","10^"&amp;INT(LOG10(SeismicData[[#This Row],[genergy]])))</f>
        <v>10^4</v>
      </c>
      <c r="X2272" t="str">
        <f>IF(OR(SeismicData[[#This Row],[genergy]]&lt;$AA$6,SeismicData[[#This Row],[genergy]]&gt;$AA$5),"Outlier","Normal")</f>
        <v>Normal</v>
      </c>
    </row>
    <row r="2273" spans="1:24" x14ac:dyDescent="0.15">
      <c r="A2273">
        <v>2272</v>
      </c>
      <c r="B2273" t="s">
        <v>23</v>
      </c>
      <c r="C2273" t="s">
        <v>23</v>
      </c>
      <c r="D2273" t="s">
        <v>21</v>
      </c>
      <c r="E2273">
        <v>19820</v>
      </c>
      <c r="F2273">
        <v>362</v>
      </c>
      <c r="G2273">
        <v>-21</v>
      </c>
      <c r="H2273">
        <v>-42</v>
      </c>
      <c r="I2273" t="s">
        <v>20</v>
      </c>
      <c r="J2273">
        <v>0</v>
      </c>
      <c r="K2273">
        <v>0</v>
      </c>
      <c r="L2273">
        <v>0</v>
      </c>
      <c r="M2273">
        <v>0</v>
      </c>
      <c r="N2273">
        <v>0</v>
      </c>
      <c r="O2273">
        <v>0</v>
      </c>
      <c r="P2273">
        <v>0</v>
      </c>
      <c r="Q2273">
        <v>0</v>
      </c>
      <c r="R2273">
        <v>0</v>
      </c>
      <c r="S2273">
        <v>0</v>
      </c>
      <c r="T2273">
        <v>0</v>
      </c>
      <c r="U2273" t="str">
        <f>IF(SeismicData[[#This Row],[class]]=1,"Dangerous","Safe")</f>
        <v>Safe</v>
      </c>
      <c r="V2273" t="str">
        <f>IF(SeismicData[[#This Row],[shift]]="W","Production","Non-Production")</f>
        <v>Non-Production</v>
      </c>
      <c r="W2273" t="str">
        <f>IF(SeismicData[[#This Row],[genergy]]=0,"0","10^"&amp;INT(LOG10(SeismicData[[#This Row],[genergy]])))</f>
        <v>10^4</v>
      </c>
      <c r="X2273" t="str">
        <f>IF(OR(SeismicData[[#This Row],[genergy]]&lt;$AA$6,SeismicData[[#This Row],[genergy]]&gt;$AA$5),"Outlier","Normal")</f>
        <v>Normal</v>
      </c>
    </row>
    <row r="2274" spans="1:24" x14ac:dyDescent="0.15">
      <c r="A2274">
        <v>2273</v>
      </c>
      <c r="B2274" t="s">
        <v>23</v>
      </c>
      <c r="C2274" t="s">
        <v>23</v>
      </c>
      <c r="D2274" t="s">
        <v>21</v>
      </c>
      <c r="E2274">
        <v>9530</v>
      </c>
      <c r="F2274">
        <v>178</v>
      </c>
      <c r="G2274">
        <v>-24</v>
      </c>
      <c r="H2274">
        <v>-29</v>
      </c>
      <c r="I2274" t="s">
        <v>20</v>
      </c>
      <c r="J2274">
        <v>0</v>
      </c>
      <c r="K2274">
        <v>0</v>
      </c>
      <c r="L2274">
        <v>0</v>
      </c>
      <c r="M2274">
        <v>0</v>
      </c>
      <c r="N2274">
        <v>0</v>
      </c>
      <c r="O2274">
        <v>0</v>
      </c>
      <c r="P2274">
        <v>0</v>
      </c>
      <c r="Q2274">
        <v>0</v>
      </c>
      <c r="R2274">
        <v>0</v>
      </c>
      <c r="S2274">
        <v>0</v>
      </c>
      <c r="T2274">
        <v>0</v>
      </c>
      <c r="U2274" t="str">
        <f>IF(SeismicData[[#This Row],[class]]=1,"Dangerous","Safe")</f>
        <v>Safe</v>
      </c>
      <c r="V2274" t="str">
        <f>IF(SeismicData[[#This Row],[shift]]="W","Production","Non-Production")</f>
        <v>Non-Production</v>
      </c>
      <c r="W2274" t="str">
        <f>IF(SeismicData[[#This Row],[genergy]]=0,"0","10^"&amp;INT(LOG10(SeismicData[[#This Row],[genergy]])))</f>
        <v>10^3</v>
      </c>
      <c r="X2274" t="str">
        <f>IF(OR(SeismicData[[#This Row],[genergy]]&lt;$AA$6,SeismicData[[#This Row],[genergy]]&gt;$AA$5),"Outlier","Normal")</f>
        <v>Normal</v>
      </c>
    </row>
    <row r="2275" spans="1:24" x14ac:dyDescent="0.15">
      <c r="A2275">
        <v>2274</v>
      </c>
      <c r="B2275" t="s">
        <v>23</v>
      </c>
      <c r="C2275" t="s">
        <v>23</v>
      </c>
      <c r="D2275" t="s">
        <v>21</v>
      </c>
      <c r="E2275">
        <v>6930</v>
      </c>
      <c r="F2275">
        <v>68</v>
      </c>
      <c r="G2275">
        <v>-45</v>
      </c>
      <c r="H2275">
        <v>-73</v>
      </c>
      <c r="I2275" t="s">
        <v>20</v>
      </c>
      <c r="J2275">
        <v>0</v>
      </c>
      <c r="K2275">
        <v>0</v>
      </c>
      <c r="L2275">
        <v>0</v>
      </c>
      <c r="M2275">
        <v>0</v>
      </c>
      <c r="N2275">
        <v>0</v>
      </c>
      <c r="O2275">
        <v>0</v>
      </c>
      <c r="P2275">
        <v>0</v>
      </c>
      <c r="Q2275">
        <v>0</v>
      </c>
      <c r="R2275">
        <v>0</v>
      </c>
      <c r="S2275">
        <v>0</v>
      </c>
      <c r="T2275">
        <v>0</v>
      </c>
      <c r="U2275" t="str">
        <f>IF(SeismicData[[#This Row],[class]]=1,"Dangerous","Safe")</f>
        <v>Safe</v>
      </c>
      <c r="V2275" t="str">
        <f>IF(SeismicData[[#This Row],[shift]]="W","Production","Non-Production")</f>
        <v>Non-Production</v>
      </c>
      <c r="W2275" t="str">
        <f>IF(SeismicData[[#This Row],[genergy]]=0,"0","10^"&amp;INT(LOG10(SeismicData[[#This Row],[genergy]])))</f>
        <v>10^3</v>
      </c>
      <c r="X2275" t="str">
        <f>IF(OR(SeismicData[[#This Row],[genergy]]&lt;$AA$6,SeismicData[[#This Row],[genergy]]&gt;$AA$5),"Outlier","Normal")</f>
        <v>Normal</v>
      </c>
    </row>
    <row r="2276" spans="1:24" x14ac:dyDescent="0.15">
      <c r="A2276">
        <v>2275</v>
      </c>
      <c r="B2276" t="s">
        <v>23</v>
      </c>
      <c r="C2276" t="s">
        <v>23</v>
      </c>
      <c r="D2276" t="s">
        <v>21</v>
      </c>
      <c r="E2276">
        <v>6200</v>
      </c>
      <c r="F2276">
        <v>211</v>
      </c>
      <c r="G2276">
        <v>-50</v>
      </c>
      <c r="H2276">
        <v>-16</v>
      </c>
      <c r="I2276" t="s">
        <v>20</v>
      </c>
      <c r="J2276">
        <v>0</v>
      </c>
      <c r="K2276">
        <v>0</v>
      </c>
      <c r="L2276">
        <v>0</v>
      </c>
      <c r="M2276">
        <v>0</v>
      </c>
      <c r="N2276">
        <v>0</v>
      </c>
      <c r="O2276">
        <v>0</v>
      </c>
      <c r="P2276">
        <v>0</v>
      </c>
      <c r="Q2276">
        <v>0</v>
      </c>
      <c r="R2276">
        <v>0</v>
      </c>
      <c r="S2276">
        <v>0</v>
      </c>
      <c r="T2276">
        <v>0</v>
      </c>
      <c r="U2276" t="str">
        <f>IF(SeismicData[[#This Row],[class]]=1,"Dangerous","Safe")</f>
        <v>Safe</v>
      </c>
      <c r="V2276" t="str">
        <f>IF(SeismicData[[#This Row],[shift]]="W","Production","Non-Production")</f>
        <v>Non-Production</v>
      </c>
      <c r="W2276" t="str">
        <f>IF(SeismicData[[#This Row],[genergy]]=0,"0","10^"&amp;INT(LOG10(SeismicData[[#This Row],[genergy]])))</f>
        <v>10^3</v>
      </c>
      <c r="X2276" t="str">
        <f>IF(OR(SeismicData[[#This Row],[genergy]]&lt;$AA$6,SeismicData[[#This Row],[genergy]]&gt;$AA$5),"Outlier","Normal")</f>
        <v>Normal</v>
      </c>
    </row>
    <row r="2277" spans="1:24" x14ac:dyDescent="0.15">
      <c r="A2277">
        <v>2276</v>
      </c>
      <c r="B2277" t="s">
        <v>23</v>
      </c>
      <c r="C2277" t="s">
        <v>23</v>
      </c>
      <c r="D2277" t="s">
        <v>21</v>
      </c>
      <c r="E2277">
        <v>4600</v>
      </c>
      <c r="F2277">
        <v>105</v>
      </c>
      <c r="G2277">
        <v>-63</v>
      </c>
      <c r="H2277">
        <v>-58</v>
      </c>
      <c r="I2277" t="s">
        <v>20</v>
      </c>
      <c r="J2277">
        <v>0</v>
      </c>
      <c r="K2277">
        <v>0</v>
      </c>
      <c r="L2277">
        <v>0</v>
      </c>
      <c r="M2277">
        <v>0</v>
      </c>
      <c r="N2277">
        <v>0</v>
      </c>
      <c r="O2277">
        <v>0</v>
      </c>
      <c r="P2277">
        <v>0</v>
      </c>
      <c r="Q2277">
        <v>0</v>
      </c>
      <c r="R2277">
        <v>0</v>
      </c>
      <c r="S2277">
        <v>0</v>
      </c>
      <c r="T2277">
        <v>0</v>
      </c>
      <c r="U2277" t="str">
        <f>IF(SeismicData[[#This Row],[class]]=1,"Dangerous","Safe")</f>
        <v>Safe</v>
      </c>
      <c r="V2277" t="str">
        <f>IF(SeismicData[[#This Row],[shift]]="W","Production","Non-Production")</f>
        <v>Non-Production</v>
      </c>
      <c r="W2277" t="str">
        <f>IF(SeismicData[[#This Row],[genergy]]=0,"0","10^"&amp;INT(LOG10(SeismicData[[#This Row],[genergy]])))</f>
        <v>10^3</v>
      </c>
      <c r="X2277" t="str">
        <f>IF(OR(SeismicData[[#This Row],[genergy]]&lt;$AA$6,SeismicData[[#This Row],[genergy]]&gt;$AA$5),"Outlier","Normal")</f>
        <v>Normal</v>
      </c>
    </row>
    <row r="2278" spans="1:24" x14ac:dyDescent="0.15">
      <c r="A2278">
        <v>2277</v>
      </c>
      <c r="B2278" t="s">
        <v>23</v>
      </c>
      <c r="C2278" t="s">
        <v>23</v>
      </c>
      <c r="D2278" t="s">
        <v>21</v>
      </c>
      <c r="E2278">
        <v>13040</v>
      </c>
      <c r="F2278">
        <v>103</v>
      </c>
      <c r="G2278">
        <v>4</v>
      </c>
      <c r="H2278">
        <v>-59</v>
      </c>
      <c r="I2278" t="s">
        <v>20</v>
      </c>
      <c r="J2278">
        <v>1</v>
      </c>
      <c r="K2278">
        <v>0</v>
      </c>
      <c r="L2278">
        <v>1</v>
      </c>
      <c r="M2278">
        <v>0</v>
      </c>
      <c r="N2278">
        <v>0</v>
      </c>
      <c r="O2278">
        <v>0</v>
      </c>
      <c r="P2278">
        <v>0</v>
      </c>
      <c r="Q2278">
        <v>0</v>
      </c>
      <c r="R2278">
        <v>3000</v>
      </c>
      <c r="S2278">
        <v>3000</v>
      </c>
      <c r="T2278">
        <v>0</v>
      </c>
      <c r="U2278" t="str">
        <f>IF(SeismicData[[#This Row],[class]]=1,"Dangerous","Safe")</f>
        <v>Safe</v>
      </c>
      <c r="V2278" t="str">
        <f>IF(SeismicData[[#This Row],[shift]]="W","Production","Non-Production")</f>
        <v>Non-Production</v>
      </c>
      <c r="W2278" t="str">
        <f>IF(SeismicData[[#This Row],[genergy]]=0,"0","10^"&amp;INT(LOG10(SeismicData[[#This Row],[genergy]])))</f>
        <v>10^4</v>
      </c>
      <c r="X2278" t="str">
        <f>IF(OR(SeismicData[[#This Row],[genergy]]&lt;$AA$6,SeismicData[[#This Row],[genergy]]&gt;$AA$5),"Outlier","Normal")</f>
        <v>Normal</v>
      </c>
    </row>
    <row r="2279" spans="1:24" x14ac:dyDescent="0.15">
      <c r="A2279">
        <v>2278</v>
      </c>
      <c r="B2279" t="s">
        <v>23</v>
      </c>
      <c r="C2279" t="s">
        <v>23</v>
      </c>
      <c r="D2279" t="s">
        <v>21</v>
      </c>
      <c r="E2279">
        <v>15210</v>
      </c>
      <c r="F2279">
        <v>133</v>
      </c>
      <c r="G2279">
        <v>22</v>
      </c>
      <c r="H2279">
        <v>-47</v>
      </c>
      <c r="I2279" t="s">
        <v>20</v>
      </c>
      <c r="J2279">
        <v>1</v>
      </c>
      <c r="K2279">
        <v>1</v>
      </c>
      <c r="L2279">
        <v>0</v>
      </c>
      <c r="M2279">
        <v>0</v>
      </c>
      <c r="N2279">
        <v>0</v>
      </c>
      <c r="O2279">
        <v>0</v>
      </c>
      <c r="P2279">
        <v>0</v>
      </c>
      <c r="Q2279">
        <v>0</v>
      </c>
      <c r="R2279">
        <v>700</v>
      </c>
      <c r="S2279">
        <v>700</v>
      </c>
      <c r="T2279">
        <v>0</v>
      </c>
      <c r="U2279" t="str">
        <f>IF(SeismicData[[#This Row],[class]]=1,"Dangerous","Safe")</f>
        <v>Safe</v>
      </c>
      <c r="V2279" t="str">
        <f>IF(SeismicData[[#This Row],[shift]]="W","Production","Non-Production")</f>
        <v>Non-Production</v>
      </c>
      <c r="W2279" t="str">
        <f>IF(SeismicData[[#This Row],[genergy]]=0,"0","10^"&amp;INT(LOG10(SeismicData[[#This Row],[genergy]])))</f>
        <v>10^4</v>
      </c>
      <c r="X2279" t="str">
        <f>IF(OR(SeismicData[[#This Row],[genergy]]&lt;$AA$6,SeismicData[[#This Row],[genergy]]&gt;$AA$5),"Outlier","Normal")</f>
        <v>Normal</v>
      </c>
    </row>
    <row r="2280" spans="1:24" x14ac:dyDescent="0.15">
      <c r="A2280">
        <v>2279</v>
      </c>
      <c r="B2280" t="s">
        <v>23</v>
      </c>
      <c r="C2280" t="s">
        <v>23</v>
      </c>
      <c r="D2280" t="s">
        <v>21</v>
      </c>
      <c r="E2280">
        <v>7540</v>
      </c>
      <c r="F2280">
        <v>133</v>
      </c>
      <c r="G2280">
        <v>-40</v>
      </c>
      <c r="H2280">
        <v>-47</v>
      </c>
      <c r="I2280" t="s">
        <v>20</v>
      </c>
      <c r="J2280">
        <v>0</v>
      </c>
      <c r="K2280">
        <v>0</v>
      </c>
      <c r="L2280">
        <v>0</v>
      </c>
      <c r="M2280">
        <v>0</v>
      </c>
      <c r="N2280">
        <v>0</v>
      </c>
      <c r="O2280">
        <v>0</v>
      </c>
      <c r="P2280">
        <v>0</v>
      </c>
      <c r="Q2280">
        <v>0</v>
      </c>
      <c r="R2280">
        <v>0</v>
      </c>
      <c r="S2280">
        <v>0</v>
      </c>
      <c r="T2280">
        <v>0</v>
      </c>
      <c r="U2280" t="str">
        <f>IF(SeismicData[[#This Row],[class]]=1,"Dangerous","Safe")</f>
        <v>Safe</v>
      </c>
      <c r="V2280" t="str">
        <f>IF(SeismicData[[#This Row],[shift]]="W","Production","Non-Production")</f>
        <v>Non-Production</v>
      </c>
      <c r="W2280" t="str">
        <f>IF(SeismicData[[#This Row],[genergy]]=0,"0","10^"&amp;INT(LOG10(SeismicData[[#This Row],[genergy]])))</f>
        <v>10^3</v>
      </c>
      <c r="X2280" t="str">
        <f>IF(OR(SeismicData[[#This Row],[genergy]]&lt;$AA$6,SeismicData[[#This Row],[genergy]]&gt;$AA$5),"Outlier","Normal")</f>
        <v>Normal</v>
      </c>
    </row>
    <row r="2281" spans="1:24" x14ac:dyDescent="0.15">
      <c r="A2281">
        <v>2280</v>
      </c>
      <c r="B2281" t="s">
        <v>23</v>
      </c>
      <c r="C2281" t="s">
        <v>23</v>
      </c>
      <c r="D2281" t="s">
        <v>21</v>
      </c>
      <c r="E2281">
        <v>2580</v>
      </c>
      <c r="F2281">
        <v>94</v>
      </c>
      <c r="G2281">
        <v>-79</v>
      </c>
      <c r="H2281">
        <v>-62</v>
      </c>
      <c r="I2281" t="s">
        <v>20</v>
      </c>
      <c r="J2281">
        <v>0</v>
      </c>
      <c r="K2281">
        <v>0</v>
      </c>
      <c r="L2281">
        <v>0</v>
      </c>
      <c r="M2281">
        <v>0</v>
      </c>
      <c r="N2281">
        <v>0</v>
      </c>
      <c r="O2281">
        <v>0</v>
      </c>
      <c r="P2281">
        <v>0</v>
      </c>
      <c r="Q2281">
        <v>0</v>
      </c>
      <c r="R2281">
        <v>0</v>
      </c>
      <c r="S2281">
        <v>0</v>
      </c>
      <c r="T2281">
        <v>0</v>
      </c>
      <c r="U2281" t="str">
        <f>IF(SeismicData[[#This Row],[class]]=1,"Dangerous","Safe")</f>
        <v>Safe</v>
      </c>
      <c r="V2281" t="str">
        <f>IF(SeismicData[[#This Row],[shift]]="W","Production","Non-Production")</f>
        <v>Non-Production</v>
      </c>
      <c r="W2281" t="str">
        <f>IF(SeismicData[[#This Row],[genergy]]=0,"0","10^"&amp;INT(LOG10(SeismicData[[#This Row],[genergy]])))</f>
        <v>10^3</v>
      </c>
      <c r="X2281" t="str">
        <f>IF(OR(SeismicData[[#This Row],[genergy]]&lt;$AA$6,SeismicData[[#This Row],[genergy]]&gt;$AA$5),"Outlier","Normal")</f>
        <v>Normal</v>
      </c>
    </row>
    <row r="2282" spans="1:24" x14ac:dyDescent="0.15">
      <c r="A2282">
        <v>2281</v>
      </c>
      <c r="B2282" t="s">
        <v>23</v>
      </c>
      <c r="C2282" t="s">
        <v>23</v>
      </c>
      <c r="D2282" t="s">
        <v>21</v>
      </c>
      <c r="E2282">
        <v>5660</v>
      </c>
      <c r="F2282">
        <v>93</v>
      </c>
      <c r="G2282">
        <v>-55</v>
      </c>
      <c r="H2282">
        <v>-63</v>
      </c>
      <c r="I2282" t="s">
        <v>20</v>
      </c>
      <c r="J2282">
        <v>0</v>
      </c>
      <c r="K2282">
        <v>0</v>
      </c>
      <c r="L2282">
        <v>0</v>
      </c>
      <c r="M2282">
        <v>0</v>
      </c>
      <c r="N2282">
        <v>0</v>
      </c>
      <c r="O2282">
        <v>0</v>
      </c>
      <c r="P2282">
        <v>0</v>
      </c>
      <c r="Q2282">
        <v>0</v>
      </c>
      <c r="R2282">
        <v>0</v>
      </c>
      <c r="S2282">
        <v>0</v>
      </c>
      <c r="T2282">
        <v>0</v>
      </c>
      <c r="U2282" t="str">
        <f>IF(SeismicData[[#This Row],[class]]=1,"Dangerous","Safe")</f>
        <v>Safe</v>
      </c>
      <c r="V2282" t="str">
        <f>IF(SeismicData[[#This Row],[shift]]="W","Production","Non-Production")</f>
        <v>Non-Production</v>
      </c>
      <c r="W2282" t="str">
        <f>IF(SeismicData[[#This Row],[genergy]]=0,"0","10^"&amp;INT(LOG10(SeismicData[[#This Row],[genergy]])))</f>
        <v>10^3</v>
      </c>
      <c r="X2282" t="str">
        <f>IF(OR(SeismicData[[#This Row],[genergy]]&lt;$AA$6,SeismicData[[#This Row],[genergy]]&gt;$AA$5),"Outlier","Normal")</f>
        <v>Normal</v>
      </c>
    </row>
    <row r="2283" spans="1:24" x14ac:dyDescent="0.15">
      <c r="A2283">
        <v>2282</v>
      </c>
      <c r="B2283" t="s">
        <v>23</v>
      </c>
      <c r="C2283" t="s">
        <v>23</v>
      </c>
      <c r="D2283" t="s">
        <v>22</v>
      </c>
      <c r="E2283">
        <v>22720</v>
      </c>
      <c r="F2283">
        <v>181</v>
      </c>
      <c r="G2283">
        <v>-9</v>
      </c>
      <c r="H2283">
        <v>-64</v>
      </c>
      <c r="I2283" t="s">
        <v>20</v>
      </c>
      <c r="J2283">
        <v>0</v>
      </c>
      <c r="K2283">
        <v>0</v>
      </c>
      <c r="L2283">
        <v>0</v>
      </c>
      <c r="M2283">
        <v>0</v>
      </c>
      <c r="N2283">
        <v>0</v>
      </c>
      <c r="O2283">
        <v>0</v>
      </c>
      <c r="P2283">
        <v>0</v>
      </c>
      <c r="Q2283">
        <v>0</v>
      </c>
      <c r="R2283">
        <v>0</v>
      </c>
      <c r="S2283">
        <v>0</v>
      </c>
      <c r="T2283">
        <v>0</v>
      </c>
      <c r="U2283" t="str">
        <f>IF(SeismicData[[#This Row],[class]]=1,"Dangerous","Safe")</f>
        <v>Safe</v>
      </c>
      <c r="V2283" t="str">
        <f>IF(SeismicData[[#This Row],[shift]]="W","Production","Non-Production")</f>
        <v>Production</v>
      </c>
      <c r="W2283" t="str">
        <f>IF(SeismicData[[#This Row],[genergy]]=0,"0","10^"&amp;INT(LOG10(SeismicData[[#This Row],[genergy]])))</f>
        <v>10^4</v>
      </c>
      <c r="X2283" t="str">
        <f>IF(OR(SeismicData[[#This Row],[genergy]]&lt;$AA$6,SeismicData[[#This Row],[genergy]]&gt;$AA$5),"Outlier","Normal")</f>
        <v>Normal</v>
      </c>
    </row>
    <row r="2284" spans="1:24" x14ac:dyDescent="0.15">
      <c r="A2284">
        <v>2283</v>
      </c>
      <c r="B2284" t="s">
        <v>23</v>
      </c>
      <c r="C2284" t="s">
        <v>23</v>
      </c>
      <c r="D2284" t="s">
        <v>22</v>
      </c>
      <c r="E2284">
        <v>36940</v>
      </c>
      <c r="F2284">
        <v>375</v>
      </c>
      <c r="G2284">
        <v>48</v>
      </c>
      <c r="H2284">
        <v>-25</v>
      </c>
      <c r="I2284" t="s">
        <v>20</v>
      </c>
      <c r="J2284">
        <v>0</v>
      </c>
      <c r="K2284">
        <v>0</v>
      </c>
      <c r="L2284">
        <v>0</v>
      </c>
      <c r="M2284">
        <v>0</v>
      </c>
      <c r="N2284">
        <v>0</v>
      </c>
      <c r="O2284">
        <v>0</v>
      </c>
      <c r="P2284">
        <v>0</v>
      </c>
      <c r="Q2284">
        <v>0</v>
      </c>
      <c r="R2284">
        <v>0</v>
      </c>
      <c r="S2284">
        <v>0</v>
      </c>
      <c r="T2284">
        <v>0</v>
      </c>
      <c r="U2284" t="str">
        <f>IF(SeismicData[[#This Row],[class]]=1,"Dangerous","Safe")</f>
        <v>Safe</v>
      </c>
      <c r="V2284" t="str">
        <f>IF(SeismicData[[#This Row],[shift]]="W","Production","Non-Production")</f>
        <v>Production</v>
      </c>
      <c r="W2284" t="str">
        <f>IF(SeismicData[[#This Row],[genergy]]=0,"0","10^"&amp;INT(LOG10(SeismicData[[#This Row],[genergy]])))</f>
        <v>10^4</v>
      </c>
      <c r="X2284" t="str">
        <f>IF(OR(SeismicData[[#This Row],[genergy]]&lt;$AA$6,SeismicData[[#This Row],[genergy]]&gt;$AA$5),"Outlier","Normal")</f>
        <v>Normal</v>
      </c>
    </row>
    <row r="2285" spans="1:24" x14ac:dyDescent="0.15">
      <c r="A2285">
        <v>2284</v>
      </c>
      <c r="B2285" t="s">
        <v>23</v>
      </c>
      <c r="C2285" t="s">
        <v>23</v>
      </c>
      <c r="D2285" t="s">
        <v>22</v>
      </c>
      <c r="E2285">
        <v>65960</v>
      </c>
      <c r="F2285">
        <v>496</v>
      </c>
      <c r="G2285">
        <v>164</v>
      </c>
      <c r="H2285">
        <v>-1</v>
      </c>
      <c r="I2285" t="s">
        <v>20</v>
      </c>
      <c r="J2285">
        <v>2</v>
      </c>
      <c r="K2285">
        <v>1</v>
      </c>
      <c r="L2285">
        <v>1</v>
      </c>
      <c r="M2285">
        <v>0</v>
      </c>
      <c r="N2285">
        <v>0</v>
      </c>
      <c r="O2285">
        <v>0</v>
      </c>
      <c r="P2285">
        <v>0</v>
      </c>
      <c r="Q2285">
        <v>0</v>
      </c>
      <c r="R2285">
        <v>2200</v>
      </c>
      <c r="S2285">
        <v>2000</v>
      </c>
      <c r="T2285">
        <v>0</v>
      </c>
      <c r="U2285" t="str">
        <f>IF(SeismicData[[#This Row],[class]]=1,"Dangerous","Safe")</f>
        <v>Safe</v>
      </c>
      <c r="V2285" t="str">
        <f>IF(SeismicData[[#This Row],[shift]]="W","Production","Non-Production")</f>
        <v>Production</v>
      </c>
      <c r="W2285" t="str">
        <f>IF(SeismicData[[#This Row],[genergy]]=0,"0","10^"&amp;INT(LOG10(SeismicData[[#This Row],[genergy]])))</f>
        <v>10^4</v>
      </c>
      <c r="X2285" t="str">
        <f>IF(OR(SeismicData[[#This Row],[genergy]]&lt;$AA$6,SeismicData[[#This Row],[genergy]]&gt;$AA$5),"Outlier","Normal")</f>
        <v>Normal</v>
      </c>
    </row>
    <row r="2286" spans="1:24" x14ac:dyDescent="0.15">
      <c r="A2286">
        <v>2285</v>
      </c>
      <c r="B2286" t="s">
        <v>23</v>
      </c>
      <c r="C2286" t="s">
        <v>23</v>
      </c>
      <c r="D2286" t="s">
        <v>22</v>
      </c>
      <c r="E2286">
        <v>49120</v>
      </c>
      <c r="F2286">
        <v>485</v>
      </c>
      <c r="G2286">
        <v>96</v>
      </c>
      <c r="H2286">
        <v>-3</v>
      </c>
      <c r="I2286" t="s">
        <v>20</v>
      </c>
      <c r="J2286">
        <v>0</v>
      </c>
      <c r="K2286">
        <v>0</v>
      </c>
      <c r="L2286">
        <v>0</v>
      </c>
      <c r="M2286">
        <v>0</v>
      </c>
      <c r="N2286">
        <v>0</v>
      </c>
      <c r="O2286">
        <v>0</v>
      </c>
      <c r="P2286">
        <v>0</v>
      </c>
      <c r="Q2286">
        <v>0</v>
      </c>
      <c r="R2286">
        <v>0</v>
      </c>
      <c r="S2286">
        <v>0</v>
      </c>
      <c r="T2286">
        <v>1</v>
      </c>
      <c r="U2286" t="str">
        <f>IF(SeismicData[[#This Row],[class]]=1,"Dangerous","Safe")</f>
        <v>Dangerous</v>
      </c>
      <c r="V2286" t="str">
        <f>IF(SeismicData[[#This Row],[shift]]="W","Production","Non-Production")</f>
        <v>Production</v>
      </c>
      <c r="W2286" t="str">
        <f>IF(SeismicData[[#This Row],[genergy]]=0,"0","10^"&amp;INT(LOG10(SeismicData[[#This Row],[genergy]])))</f>
        <v>10^4</v>
      </c>
      <c r="X2286" t="str">
        <f>IF(OR(SeismicData[[#This Row],[genergy]]&lt;$AA$6,SeismicData[[#This Row],[genergy]]&gt;$AA$5),"Outlier","Normal")</f>
        <v>Normal</v>
      </c>
    </row>
    <row r="2287" spans="1:24" x14ac:dyDescent="0.15">
      <c r="A2287">
        <v>2286</v>
      </c>
      <c r="B2287" t="s">
        <v>23</v>
      </c>
      <c r="C2287" t="s">
        <v>23</v>
      </c>
      <c r="D2287" t="s">
        <v>22</v>
      </c>
      <c r="E2287">
        <v>93280</v>
      </c>
      <c r="F2287">
        <v>747</v>
      </c>
      <c r="G2287">
        <v>273</v>
      </c>
      <c r="H2287">
        <v>49</v>
      </c>
      <c r="I2287" t="s">
        <v>20</v>
      </c>
      <c r="J2287">
        <v>3</v>
      </c>
      <c r="K2287">
        <v>0</v>
      </c>
      <c r="L2287">
        <v>2</v>
      </c>
      <c r="M2287">
        <v>1</v>
      </c>
      <c r="N2287">
        <v>0</v>
      </c>
      <c r="O2287">
        <v>0</v>
      </c>
      <c r="P2287">
        <v>0</v>
      </c>
      <c r="Q2287">
        <v>0</v>
      </c>
      <c r="R2287">
        <v>16000</v>
      </c>
      <c r="S2287">
        <v>10000</v>
      </c>
      <c r="T2287">
        <v>0</v>
      </c>
      <c r="U2287" t="str">
        <f>IF(SeismicData[[#This Row],[class]]=1,"Dangerous","Safe")</f>
        <v>Safe</v>
      </c>
      <c r="V2287" t="str">
        <f>IF(SeismicData[[#This Row],[shift]]="W","Production","Non-Production")</f>
        <v>Production</v>
      </c>
      <c r="W2287" t="str">
        <f>IF(SeismicData[[#This Row],[genergy]]=0,"0","10^"&amp;INT(LOG10(SeismicData[[#This Row],[genergy]])))</f>
        <v>10^4</v>
      </c>
      <c r="X2287" t="str">
        <f>IF(OR(SeismicData[[#This Row],[genergy]]&lt;$AA$6,SeismicData[[#This Row],[genergy]]&gt;$AA$5),"Outlier","Normal")</f>
        <v>Normal</v>
      </c>
    </row>
    <row r="2288" spans="1:24" x14ac:dyDescent="0.15">
      <c r="A2288">
        <v>2287</v>
      </c>
      <c r="B2288" t="s">
        <v>20</v>
      </c>
      <c r="C2288" t="s">
        <v>23</v>
      </c>
      <c r="D2288" t="s">
        <v>22</v>
      </c>
      <c r="E2288">
        <v>36410</v>
      </c>
      <c r="F2288">
        <v>519</v>
      </c>
      <c r="G2288">
        <v>46</v>
      </c>
      <c r="H2288">
        <v>4</v>
      </c>
      <c r="I2288" t="s">
        <v>20</v>
      </c>
      <c r="J2288">
        <v>0</v>
      </c>
      <c r="K2288">
        <v>0</v>
      </c>
      <c r="L2288">
        <v>0</v>
      </c>
      <c r="M2288">
        <v>0</v>
      </c>
      <c r="N2288">
        <v>0</v>
      </c>
      <c r="O2288">
        <v>0</v>
      </c>
      <c r="P2288">
        <v>0</v>
      </c>
      <c r="Q2288">
        <v>0</v>
      </c>
      <c r="R2288">
        <v>0</v>
      </c>
      <c r="S2288">
        <v>0</v>
      </c>
      <c r="T2288">
        <v>0</v>
      </c>
      <c r="U2288" t="str">
        <f>IF(SeismicData[[#This Row],[class]]=1,"Dangerous","Safe")</f>
        <v>Safe</v>
      </c>
      <c r="V2288" t="str">
        <f>IF(SeismicData[[#This Row],[shift]]="W","Production","Non-Production")</f>
        <v>Production</v>
      </c>
      <c r="W2288" t="str">
        <f>IF(SeismicData[[#This Row],[genergy]]=0,"0","10^"&amp;INT(LOG10(SeismicData[[#This Row],[genergy]])))</f>
        <v>10^4</v>
      </c>
      <c r="X2288" t="str">
        <f>IF(OR(SeismicData[[#This Row],[genergy]]&lt;$AA$6,SeismicData[[#This Row],[genergy]]&gt;$AA$5),"Outlier","Normal")</f>
        <v>Normal</v>
      </c>
    </row>
    <row r="2289" spans="1:24" x14ac:dyDescent="0.15">
      <c r="A2289">
        <v>2288</v>
      </c>
      <c r="B2289" t="s">
        <v>20</v>
      </c>
      <c r="C2289" t="s">
        <v>23</v>
      </c>
      <c r="D2289" t="s">
        <v>22</v>
      </c>
      <c r="E2289">
        <v>32660</v>
      </c>
      <c r="F2289">
        <v>290</v>
      </c>
      <c r="G2289">
        <v>31</v>
      </c>
      <c r="H2289">
        <v>-42</v>
      </c>
      <c r="I2289" t="s">
        <v>20</v>
      </c>
      <c r="J2289">
        <v>0</v>
      </c>
      <c r="K2289">
        <v>0</v>
      </c>
      <c r="L2289">
        <v>0</v>
      </c>
      <c r="M2289">
        <v>0</v>
      </c>
      <c r="N2289">
        <v>0</v>
      </c>
      <c r="O2289">
        <v>0</v>
      </c>
      <c r="P2289">
        <v>0</v>
      </c>
      <c r="Q2289">
        <v>0</v>
      </c>
      <c r="R2289">
        <v>0</v>
      </c>
      <c r="S2289">
        <v>0</v>
      </c>
      <c r="T2289">
        <v>0</v>
      </c>
      <c r="U2289" t="str">
        <f>IF(SeismicData[[#This Row],[class]]=1,"Dangerous","Safe")</f>
        <v>Safe</v>
      </c>
      <c r="V2289" t="str">
        <f>IF(SeismicData[[#This Row],[shift]]="W","Production","Non-Production")</f>
        <v>Production</v>
      </c>
      <c r="W2289" t="str">
        <f>IF(SeismicData[[#This Row],[genergy]]=0,"0","10^"&amp;INT(LOG10(SeismicData[[#This Row],[genergy]])))</f>
        <v>10^4</v>
      </c>
      <c r="X2289" t="str">
        <f>IF(OR(SeismicData[[#This Row],[genergy]]&lt;$AA$6,SeismicData[[#This Row],[genergy]]&gt;$AA$5),"Outlier","Normal")</f>
        <v>Normal</v>
      </c>
    </row>
    <row r="2290" spans="1:24" x14ac:dyDescent="0.15">
      <c r="A2290">
        <v>2289</v>
      </c>
      <c r="B2290" t="s">
        <v>20</v>
      </c>
      <c r="C2290" t="s">
        <v>23</v>
      </c>
      <c r="D2290" t="s">
        <v>22</v>
      </c>
      <c r="E2290">
        <v>48110</v>
      </c>
      <c r="F2290">
        <v>433</v>
      </c>
      <c r="G2290">
        <v>92</v>
      </c>
      <c r="H2290">
        <v>-13</v>
      </c>
      <c r="I2290" t="s">
        <v>20</v>
      </c>
      <c r="J2290">
        <v>0</v>
      </c>
      <c r="K2290">
        <v>0</v>
      </c>
      <c r="L2290">
        <v>0</v>
      </c>
      <c r="M2290">
        <v>0</v>
      </c>
      <c r="N2290">
        <v>0</v>
      </c>
      <c r="O2290">
        <v>0</v>
      </c>
      <c r="P2290">
        <v>0</v>
      </c>
      <c r="Q2290">
        <v>0</v>
      </c>
      <c r="R2290">
        <v>0</v>
      </c>
      <c r="S2290">
        <v>0</v>
      </c>
      <c r="T2290">
        <v>0</v>
      </c>
      <c r="U2290" t="str">
        <f>IF(SeismicData[[#This Row],[class]]=1,"Dangerous","Safe")</f>
        <v>Safe</v>
      </c>
      <c r="V2290" t="str">
        <f>IF(SeismicData[[#This Row],[shift]]="W","Production","Non-Production")</f>
        <v>Production</v>
      </c>
      <c r="W2290" t="str">
        <f>IF(SeismicData[[#This Row],[genergy]]=0,"0","10^"&amp;INT(LOG10(SeismicData[[#This Row],[genergy]])))</f>
        <v>10^4</v>
      </c>
      <c r="X2290" t="str">
        <f>IF(OR(SeismicData[[#This Row],[genergy]]&lt;$AA$6,SeismicData[[#This Row],[genergy]]&gt;$AA$5),"Outlier","Normal")</f>
        <v>Normal</v>
      </c>
    </row>
    <row r="2291" spans="1:24" x14ac:dyDescent="0.15">
      <c r="A2291">
        <v>2290</v>
      </c>
      <c r="B2291" t="s">
        <v>20</v>
      </c>
      <c r="C2291" t="s">
        <v>23</v>
      </c>
      <c r="D2291" t="s">
        <v>22</v>
      </c>
      <c r="E2291">
        <v>52020</v>
      </c>
      <c r="F2291">
        <v>576</v>
      </c>
      <c r="G2291">
        <v>108</v>
      </c>
      <c r="H2291">
        <v>15</v>
      </c>
      <c r="I2291" t="s">
        <v>20</v>
      </c>
      <c r="J2291">
        <v>1</v>
      </c>
      <c r="K2291">
        <v>1</v>
      </c>
      <c r="L2291">
        <v>0</v>
      </c>
      <c r="M2291">
        <v>0</v>
      </c>
      <c r="N2291">
        <v>0</v>
      </c>
      <c r="O2291">
        <v>0</v>
      </c>
      <c r="P2291">
        <v>0</v>
      </c>
      <c r="Q2291">
        <v>0</v>
      </c>
      <c r="R2291">
        <v>100</v>
      </c>
      <c r="S2291">
        <v>100</v>
      </c>
      <c r="T2291">
        <v>0</v>
      </c>
      <c r="U2291" t="str">
        <f>IF(SeismicData[[#This Row],[class]]=1,"Dangerous","Safe")</f>
        <v>Safe</v>
      </c>
      <c r="V2291" t="str">
        <f>IF(SeismicData[[#This Row],[shift]]="W","Production","Non-Production")</f>
        <v>Production</v>
      </c>
      <c r="W2291" t="str">
        <f>IF(SeismicData[[#This Row],[genergy]]=0,"0","10^"&amp;INT(LOG10(SeismicData[[#This Row],[genergy]])))</f>
        <v>10^4</v>
      </c>
      <c r="X2291" t="str">
        <f>IF(OR(SeismicData[[#This Row],[genergy]]&lt;$AA$6,SeismicData[[#This Row],[genergy]]&gt;$AA$5),"Outlier","Normal")</f>
        <v>Normal</v>
      </c>
    </row>
    <row r="2292" spans="1:24" x14ac:dyDescent="0.15">
      <c r="A2292">
        <v>2291</v>
      </c>
      <c r="B2292" t="s">
        <v>20</v>
      </c>
      <c r="C2292" t="s">
        <v>23</v>
      </c>
      <c r="D2292" t="s">
        <v>22</v>
      </c>
      <c r="E2292">
        <v>54900</v>
      </c>
      <c r="F2292">
        <v>426</v>
      </c>
      <c r="G2292">
        <v>120</v>
      </c>
      <c r="H2292">
        <v>-15</v>
      </c>
      <c r="I2292" t="s">
        <v>20</v>
      </c>
      <c r="J2292">
        <v>0</v>
      </c>
      <c r="K2292">
        <v>0</v>
      </c>
      <c r="L2292">
        <v>0</v>
      </c>
      <c r="M2292">
        <v>0</v>
      </c>
      <c r="N2292">
        <v>0</v>
      </c>
      <c r="O2292">
        <v>0</v>
      </c>
      <c r="P2292">
        <v>0</v>
      </c>
      <c r="Q2292">
        <v>0</v>
      </c>
      <c r="R2292">
        <v>0</v>
      </c>
      <c r="S2292">
        <v>0</v>
      </c>
      <c r="T2292">
        <v>0</v>
      </c>
      <c r="U2292" t="str">
        <f>IF(SeismicData[[#This Row],[class]]=1,"Dangerous","Safe")</f>
        <v>Safe</v>
      </c>
      <c r="V2292" t="str">
        <f>IF(SeismicData[[#This Row],[shift]]="W","Production","Non-Production")</f>
        <v>Production</v>
      </c>
      <c r="W2292" t="str">
        <f>IF(SeismicData[[#This Row],[genergy]]=0,"0","10^"&amp;INT(LOG10(SeismicData[[#This Row],[genergy]])))</f>
        <v>10^4</v>
      </c>
      <c r="X2292" t="str">
        <f>IF(OR(SeismicData[[#This Row],[genergy]]&lt;$AA$6,SeismicData[[#This Row],[genergy]]&gt;$AA$5),"Outlier","Normal")</f>
        <v>Normal</v>
      </c>
    </row>
    <row r="2293" spans="1:24" x14ac:dyDescent="0.15">
      <c r="A2293">
        <v>2292</v>
      </c>
      <c r="B2293" t="s">
        <v>20</v>
      </c>
      <c r="C2293" t="s">
        <v>23</v>
      </c>
      <c r="D2293" t="s">
        <v>22</v>
      </c>
      <c r="E2293">
        <v>32920</v>
      </c>
      <c r="F2293">
        <v>363</v>
      </c>
      <c r="G2293">
        <v>32</v>
      </c>
      <c r="H2293">
        <v>-27</v>
      </c>
      <c r="I2293" t="s">
        <v>20</v>
      </c>
      <c r="J2293">
        <v>0</v>
      </c>
      <c r="K2293">
        <v>0</v>
      </c>
      <c r="L2293">
        <v>0</v>
      </c>
      <c r="M2293">
        <v>0</v>
      </c>
      <c r="N2293">
        <v>0</v>
      </c>
      <c r="O2293">
        <v>0</v>
      </c>
      <c r="P2293">
        <v>0</v>
      </c>
      <c r="Q2293">
        <v>0</v>
      </c>
      <c r="R2293">
        <v>0</v>
      </c>
      <c r="S2293">
        <v>0</v>
      </c>
      <c r="T2293">
        <v>1</v>
      </c>
      <c r="U2293" t="str">
        <f>IF(SeismicData[[#This Row],[class]]=1,"Dangerous","Safe")</f>
        <v>Dangerous</v>
      </c>
      <c r="V2293" t="str">
        <f>IF(SeismicData[[#This Row],[shift]]="W","Production","Non-Production")</f>
        <v>Production</v>
      </c>
      <c r="W2293" t="str">
        <f>IF(SeismicData[[#This Row],[genergy]]=0,"0","10^"&amp;INT(LOG10(SeismicData[[#This Row],[genergy]])))</f>
        <v>10^4</v>
      </c>
      <c r="X2293" t="str">
        <f>IF(OR(SeismicData[[#This Row],[genergy]]&lt;$AA$6,SeismicData[[#This Row],[genergy]]&gt;$AA$5),"Outlier","Normal")</f>
        <v>Normal</v>
      </c>
    </row>
    <row r="2294" spans="1:24" x14ac:dyDescent="0.15">
      <c r="A2294">
        <v>2293</v>
      </c>
      <c r="B2294" t="s">
        <v>20</v>
      </c>
      <c r="C2294" t="s">
        <v>23</v>
      </c>
      <c r="D2294" t="s">
        <v>22</v>
      </c>
      <c r="E2294">
        <v>48050</v>
      </c>
      <c r="F2294">
        <v>531</v>
      </c>
      <c r="G2294">
        <v>92</v>
      </c>
      <c r="H2294">
        <v>6</v>
      </c>
      <c r="I2294" t="s">
        <v>20</v>
      </c>
      <c r="J2294">
        <v>2</v>
      </c>
      <c r="K2294">
        <v>0</v>
      </c>
      <c r="L2294">
        <v>1</v>
      </c>
      <c r="M2294">
        <v>0</v>
      </c>
      <c r="N2294">
        <v>1</v>
      </c>
      <c r="O2294">
        <v>0</v>
      </c>
      <c r="P2294">
        <v>0</v>
      </c>
      <c r="Q2294">
        <v>0</v>
      </c>
      <c r="R2294">
        <v>205000</v>
      </c>
      <c r="S2294">
        <v>200000</v>
      </c>
      <c r="T2294">
        <v>0</v>
      </c>
      <c r="U2294" t="str">
        <f>IF(SeismicData[[#This Row],[class]]=1,"Dangerous","Safe")</f>
        <v>Safe</v>
      </c>
      <c r="V2294" t="str">
        <f>IF(SeismicData[[#This Row],[shift]]="W","Production","Non-Production")</f>
        <v>Production</v>
      </c>
      <c r="W2294" t="str">
        <f>IF(SeismicData[[#This Row],[genergy]]=0,"0","10^"&amp;INT(LOG10(SeismicData[[#This Row],[genergy]])))</f>
        <v>10^4</v>
      </c>
      <c r="X2294" t="str">
        <f>IF(OR(SeismicData[[#This Row],[genergy]]&lt;$AA$6,SeismicData[[#This Row],[genergy]]&gt;$AA$5),"Outlier","Normal")</f>
        <v>Normal</v>
      </c>
    </row>
    <row r="2295" spans="1:24" x14ac:dyDescent="0.15">
      <c r="A2295">
        <v>2294</v>
      </c>
      <c r="B2295" t="s">
        <v>20</v>
      </c>
      <c r="C2295" t="s">
        <v>23</v>
      </c>
      <c r="D2295" t="s">
        <v>21</v>
      </c>
      <c r="E2295">
        <v>39280</v>
      </c>
      <c r="F2295">
        <v>726</v>
      </c>
      <c r="G2295">
        <v>214</v>
      </c>
      <c r="H2295">
        <v>190</v>
      </c>
      <c r="I2295" t="s">
        <v>20</v>
      </c>
      <c r="J2295">
        <v>0</v>
      </c>
      <c r="K2295">
        <v>0</v>
      </c>
      <c r="L2295">
        <v>0</v>
      </c>
      <c r="M2295">
        <v>0</v>
      </c>
      <c r="N2295">
        <v>0</v>
      </c>
      <c r="O2295">
        <v>0</v>
      </c>
      <c r="P2295">
        <v>0</v>
      </c>
      <c r="Q2295">
        <v>0</v>
      </c>
      <c r="R2295">
        <v>0</v>
      </c>
      <c r="S2295">
        <v>0</v>
      </c>
      <c r="T2295">
        <v>0</v>
      </c>
      <c r="U2295" t="str">
        <f>IF(SeismicData[[#This Row],[class]]=1,"Dangerous","Safe")</f>
        <v>Safe</v>
      </c>
      <c r="V2295" t="str">
        <f>IF(SeismicData[[#This Row],[shift]]="W","Production","Non-Production")</f>
        <v>Non-Production</v>
      </c>
      <c r="W2295" t="str">
        <f>IF(SeismicData[[#This Row],[genergy]]=0,"0","10^"&amp;INT(LOG10(SeismicData[[#This Row],[genergy]])))</f>
        <v>10^4</v>
      </c>
      <c r="X2295" t="str">
        <f>IF(OR(SeismicData[[#This Row],[genergy]]&lt;$AA$6,SeismicData[[#This Row],[genergy]]&gt;$AA$5),"Outlier","Normal")</f>
        <v>Normal</v>
      </c>
    </row>
    <row r="2296" spans="1:24" x14ac:dyDescent="0.15">
      <c r="A2296">
        <v>2295</v>
      </c>
      <c r="B2296" t="s">
        <v>23</v>
      </c>
      <c r="C2296" t="s">
        <v>23</v>
      </c>
      <c r="D2296" t="s">
        <v>22</v>
      </c>
      <c r="E2296">
        <v>38240</v>
      </c>
      <c r="F2296">
        <v>410</v>
      </c>
      <c r="G2296">
        <v>47</v>
      </c>
      <c r="H2296">
        <v>-15</v>
      </c>
      <c r="I2296" t="s">
        <v>20</v>
      </c>
      <c r="J2296">
        <v>1</v>
      </c>
      <c r="K2296">
        <v>1</v>
      </c>
      <c r="L2296">
        <v>0</v>
      </c>
      <c r="M2296">
        <v>0</v>
      </c>
      <c r="N2296">
        <v>0</v>
      </c>
      <c r="O2296">
        <v>0</v>
      </c>
      <c r="P2296">
        <v>0</v>
      </c>
      <c r="Q2296">
        <v>0</v>
      </c>
      <c r="R2296">
        <v>100</v>
      </c>
      <c r="S2296">
        <v>100</v>
      </c>
      <c r="T2296">
        <v>0</v>
      </c>
      <c r="U2296" t="str">
        <f>IF(SeismicData[[#This Row],[class]]=1,"Dangerous","Safe")</f>
        <v>Safe</v>
      </c>
      <c r="V2296" t="str">
        <f>IF(SeismicData[[#This Row],[shift]]="W","Production","Non-Production")</f>
        <v>Production</v>
      </c>
      <c r="W2296" t="str">
        <f>IF(SeismicData[[#This Row],[genergy]]=0,"0","10^"&amp;INT(LOG10(SeismicData[[#This Row],[genergy]])))</f>
        <v>10^4</v>
      </c>
      <c r="X2296" t="str">
        <f>IF(OR(SeismicData[[#This Row],[genergy]]&lt;$AA$6,SeismicData[[#This Row],[genergy]]&gt;$AA$5),"Outlier","Normal")</f>
        <v>Normal</v>
      </c>
    </row>
    <row r="2297" spans="1:24" x14ac:dyDescent="0.15">
      <c r="A2297">
        <v>2296</v>
      </c>
      <c r="B2297" t="s">
        <v>23</v>
      </c>
      <c r="C2297" t="s">
        <v>23</v>
      </c>
      <c r="D2297" t="s">
        <v>22</v>
      </c>
      <c r="E2297">
        <v>36650</v>
      </c>
      <c r="F2297">
        <v>414</v>
      </c>
      <c r="G2297">
        <v>41</v>
      </c>
      <c r="H2297">
        <v>-14</v>
      </c>
      <c r="I2297" t="s">
        <v>20</v>
      </c>
      <c r="J2297">
        <v>0</v>
      </c>
      <c r="K2297">
        <v>0</v>
      </c>
      <c r="L2297">
        <v>0</v>
      </c>
      <c r="M2297">
        <v>0</v>
      </c>
      <c r="N2297">
        <v>0</v>
      </c>
      <c r="O2297">
        <v>0</v>
      </c>
      <c r="P2297">
        <v>0</v>
      </c>
      <c r="Q2297">
        <v>0</v>
      </c>
      <c r="R2297">
        <v>0</v>
      </c>
      <c r="S2297">
        <v>0</v>
      </c>
      <c r="T2297">
        <v>0</v>
      </c>
      <c r="U2297" t="str">
        <f>IF(SeismicData[[#This Row],[class]]=1,"Dangerous","Safe")</f>
        <v>Safe</v>
      </c>
      <c r="V2297" t="str">
        <f>IF(SeismicData[[#This Row],[shift]]="W","Production","Non-Production")</f>
        <v>Production</v>
      </c>
      <c r="W2297" t="str">
        <f>IF(SeismicData[[#This Row],[genergy]]=0,"0","10^"&amp;INT(LOG10(SeismicData[[#This Row],[genergy]])))</f>
        <v>10^4</v>
      </c>
      <c r="X2297" t="str">
        <f>IF(OR(SeismicData[[#This Row],[genergy]]&lt;$AA$6,SeismicData[[#This Row],[genergy]]&gt;$AA$5),"Outlier","Normal")</f>
        <v>Normal</v>
      </c>
    </row>
    <row r="2298" spans="1:24" x14ac:dyDescent="0.15">
      <c r="A2298">
        <v>2297</v>
      </c>
      <c r="B2298" t="s">
        <v>23</v>
      </c>
      <c r="C2298" t="s">
        <v>23</v>
      </c>
      <c r="D2298" t="s">
        <v>22</v>
      </c>
      <c r="E2298">
        <v>17720</v>
      </c>
      <c r="F2298">
        <v>266</v>
      </c>
      <c r="G2298">
        <v>-32</v>
      </c>
      <c r="H2298">
        <v>-45</v>
      </c>
      <c r="I2298" t="s">
        <v>20</v>
      </c>
      <c r="J2298">
        <v>0</v>
      </c>
      <c r="K2298">
        <v>0</v>
      </c>
      <c r="L2298">
        <v>0</v>
      </c>
      <c r="M2298">
        <v>0</v>
      </c>
      <c r="N2298">
        <v>0</v>
      </c>
      <c r="O2298">
        <v>0</v>
      </c>
      <c r="P2298">
        <v>0</v>
      </c>
      <c r="Q2298">
        <v>0</v>
      </c>
      <c r="R2298">
        <v>0</v>
      </c>
      <c r="S2298">
        <v>0</v>
      </c>
      <c r="T2298">
        <v>0</v>
      </c>
      <c r="U2298" t="str">
        <f>IF(SeismicData[[#This Row],[class]]=1,"Dangerous","Safe")</f>
        <v>Safe</v>
      </c>
      <c r="V2298" t="str">
        <f>IF(SeismicData[[#This Row],[shift]]="W","Production","Non-Production")</f>
        <v>Production</v>
      </c>
      <c r="W2298" t="str">
        <f>IF(SeismicData[[#This Row],[genergy]]=0,"0","10^"&amp;INT(LOG10(SeismicData[[#This Row],[genergy]])))</f>
        <v>10^4</v>
      </c>
      <c r="X2298" t="str">
        <f>IF(OR(SeismicData[[#This Row],[genergy]]&lt;$AA$6,SeismicData[[#This Row],[genergy]]&gt;$AA$5),"Outlier","Normal")</f>
        <v>Normal</v>
      </c>
    </row>
    <row r="2299" spans="1:24" x14ac:dyDescent="0.15">
      <c r="A2299">
        <v>2298</v>
      </c>
      <c r="B2299" t="s">
        <v>23</v>
      </c>
      <c r="C2299" t="s">
        <v>23</v>
      </c>
      <c r="D2299" t="s">
        <v>22</v>
      </c>
      <c r="E2299">
        <v>40620</v>
      </c>
      <c r="F2299">
        <v>398</v>
      </c>
      <c r="G2299">
        <v>56</v>
      </c>
      <c r="H2299">
        <v>-18</v>
      </c>
      <c r="I2299" t="s">
        <v>20</v>
      </c>
      <c r="J2299">
        <v>0</v>
      </c>
      <c r="K2299">
        <v>0</v>
      </c>
      <c r="L2299">
        <v>0</v>
      </c>
      <c r="M2299">
        <v>0</v>
      </c>
      <c r="N2299">
        <v>0</v>
      </c>
      <c r="O2299">
        <v>0</v>
      </c>
      <c r="P2299">
        <v>0</v>
      </c>
      <c r="Q2299">
        <v>0</v>
      </c>
      <c r="R2299">
        <v>0</v>
      </c>
      <c r="S2299">
        <v>0</v>
      </c>
      <c r="T2299">
        <v>1</v>
      </c>
      <c r="U2299" t="str">
        <f>IF(SeismicData[[#This Row],[class]]=1,"Dangerous","Safe")</f>
        <v>Dangerous</v>
      </c>
      <c r="V2299" t="str">
        <f>IF(SeismicData[[#This Row],[shift]]="W","Production","Non-Production")</f>
        <v>Production</v>
      </c>
      <c r="W2299" t="str">
        <f>IF(SeismicData[[#This Row],[genergy]]=0,"0","10^"&amp;INT(LOG10(SeismicData[[#This Row],[genergy]])))</f>
        <v>10^4</v>
      </c>
      <c r="X2299" t="str">
        <f>IF(OR(SeismicData[[#This Row],[genergy]]&lt;$AA$6,SeismicData[[#This Row],[genergy]]&gt;$AA$5),"Outlier","Normal")</f>
        <v>Normal</v>
      </c>
    </row>
    <row r="2300" spans="1:24" x14ac:dyDescent="0.15">
      <c r="A2300">
        <v>2299</v>
      </c>
      <c r="B2300" t="s">
        <v>23</v>
      </c>
      <c r="C2300" t="s">
        <v>23</v>
      </c>
      <c r="D2300" t="s">
        <v>22</v>
      </c>
      <c r="E2300">
        <v>52380</v>
      </c>
      <c r="F2300">
        <v>469</v>
      </c>
      <c r="G2300">
        <v>101</v>
      </c>
      <c r="H2300">
        <v>-3</v>
      </c>
      <c r="I2300" t="s">
        <v>20</v>
      </c>
      <c r="J2300">
        <v>1</v>
      </c>
      <c r="K2300">
        <v>0</v>
      </c>
      <c r="L2300">
        <v>0</v>
      </c>
      <c r="M2300">
        <v>1</v>
      </c>
      <c r="N2300">
        <v>0</v>
      </c>
      <c r="O2300">
        <v>0</v>
      </c>
      <c r="P2300">
        <v>0</v>
      </c>
      <c r="Q2300">
        <v>0</v>
      </c>
      <c r="R2300">
        <v>20000</v>
      </c>
      <c r="S2300">
        <v>20000</v>
      </c>
      <c r="T2300">
        <v>0</v>
      </c>
      <c r="U2300" t="str">
        <f>IF(SeismicData[[#This Row],[class]]=1,"Dangerous","Safe")</f>
        <v>Safe</v>
      </c>
      <c r="V2300" t="str">
        <f>IF(SeismicData[[#This Row],[shift]]="W","Production","Non-Production")</f>
        <v>Production</v>
      </c>
      <c r="W2300" t="str">
        <f>IF(SeismicData[[#This Row],[genergy]]=0,"0","10^"&amp;INT(LOG10(SeismicData[[#This Row],[genergy]])))</f>
        <v>10^4</v>
      </c>
      <c r="X2300" t="str">
        <f>IF(OR(SeismicData[[#This Row],[genergy]]&lt;$AA$6,SeismicData[[#This Row],[genergy]]&gt;$AA$5),"Outlier","Normal")</f>
        <v>Normal</v>
      </c>
    </row>
    <row r="2301" spans="1:24" x14ac:dyDescent="0.15">
      <c r="A2301">
        <v>2300</v>
      </c>
      <c r="B2301" t="s">
        <v>23</v>
      </c>
      <c r="C2301" t="s">
        <v>23</v>
      </c>
      <c r="D2301" t="s">
        <v>22</v>
      </c>
      <c r="E2301">
        <v>20420</v>
      </c>
      <c r="F2301">
        <v>315</v>
      </c>
      <c r="G2301">
        <v>-22</v>
      </c>
      <c r="H2301">
        <v>-35</v>
      </c>
      <c r="I2301" t="s">
        <v>20</v>
      </c>
      <c r="J2301">
        <v>0</v>
      </c>
      <c r="K2301">
        <v>0</v>
      </c>
      <c r="L2301">
        <v>0</v>
      </c>
      <c r="M2301">
        <v>0</v>
      </c>
      <c r="N2301">
        <v>0</v>
      </c>
      <c r="O2301">
        <v>0</v>
      </c>
      <c r="P2301">
        <v>0</v>
      </c>
      <c r="Q2301">
        <v>0</v>
      </c>
      <c r="R2301">
        <v>0</v>
      </c>
      <c r="S2301">
        <v>0</v>
      </c>
      <c r="T2301">
        <v>0</v>
      </c>
      <c r="U2301" t="str">
        <f>IF(SeismicData[[#This Row],[class]]=1,"Dangerous","Safe")</f>
        <v>Safe</v>
      </c>
      <c r="V2301" t="str">
        <f>IF(SeismicData[[#This Row],[shift]]="W","Production","Non-Production")</f>
        <v>Production</v>
      </c>
      <c r="W2301" t="str">
        <f>IF(SeismicData[[#This Row],[genergy]]=0,"0","10^"&amp;INT(LOG10(SeismicData[[#This Row],[genergy]])))</f>
        <v>10^4</v>
      </c>
      <c r="X2301" t="str">
        <f>IF(OR(SeismicData[[#This Row],[genergy]]&lt;$AA$6,SeismicData[[#This Row],[genergy]]&gt;$AA$5),"Outlier","Normal")</f>
        <v>Normal</v>
      </c>
    </row>
    <row r="2302" spans="1:24" x14ac:dyDescent="0.15">
      <c r="A2302">
        <v>2301</v>
      </c>
      <c r="B2302" t="s">
        <v>23</v>
      </c>
      <c r="C2302" t="s">
        <v>23</v>
      </c>
      <c r="D2302" t="s">
        <v>22</v>
      </c>
      <c r="E2302">
        <v>21070</v>
      </c>
      <c r="F2302">
        <v>266</v>
      </c>
      <c r="G2302">
        <v>-19</v>
      </c>
      <c r="H2302">
        <v>-45</v>
      </c>
      <c r="I2302" t="s">
        <v>20</v>
      </c>
      <c r="J2302">
        <v>0</v>
      </c>
      <c r="K2302">
        <v>0</v>
      </c>
      <c r="L2302">
        <v>0</v>
      </c>
      <c r="M2302">
        <v>0</v>
      </c>
      <c r="N2302">
        <v>0</v>
      </c>
      <c r="O2302">
        <v>0</v>
      </c>
      <c r="P2302">
        <v>0</v>
      </c>
      <c r="Q2302">
        <v>0</v>
      </c>
      <c r="R2302">
        <v>0</v>
      </c>
      <c r="S2302">
        <v>0</v>
      </c>
      <c r="T2302">
        <v>0</v>
      </c>
      <c r="U2302" t="str">
        <f>IF(SeismicData[[#This Row],[class]]=1,"Dangerous","Safe")</f>
        <v>Safe</v>
      </c>
      <c r="V2302" t="str">
        <f>IF(SeismicData[[#This Row],[shift]]="W","Production","Non-Production")</f>
        <v>Production</v>
      </c>
      <c r="W2302" t="str">
        <f>IF(SeismicData[[#This Row],[genergy]]=0,"0","10^"&amp;INT(LOG10(SeismicData[[#This Row],[genergy]])))</f>
        <v>10^4</v>
      </c>
      <c r="X2302" t="str">
        <f>IF(OR(SeismicData[[#This Row],[genergy]]&lt;$AA$6,SeismicData[[#This Row],[genergy]]&gt;$AA$5),"Outlier","Normal")</f>
        <v>Normal</v>
      </c>
    </row>
    <row r="2303" spans="1:24" x14ac:dyDescent="0.15">
      <c r="A2303">
        <v>2302</v>
      </c>
      <c r="B2303" t="s">
        <v>23</v>
      </c>
      <c r="C2303" t="s">
        <v>23</v>
      </c>
      <c r="D2303" t="s">
        <v>22</v>
      </c>
      <c r="E2303">
        <v>12850</v>
      </c>
      <c r="F2303">
        <v>193</v>
      </c>
      <c r="G2303">
        <v>-51</v>
      </c>
      <c r="H2303">
        <v>-60</v>
      </c>
      <c r="I2303" t="s">
        <v>20</v>
      </c>
      <c r="J2303">
        <v>0</v>
      </c>
      <c r="K2303">
        <v>0</v>
      </c>
      <c r="L2303">
        <v>0</v>
      </c>
      <c r="M2303">
        <v>0</v>
      </c>
      <c r="N2303">
        <v>0</v>
      </c>
      <c r="O2303">
        <v>0</v>
      </c>
      <c r="P2303">
        <v>0</v>
      </c>
      <c r="Q2303">
        <v>0</v>
      </c>
      <c r="R2303">
        <v>0</v>
      </c>
      <c r="S2303">
        <v>0</v>
      </c>
      <c r="T2303">
        <v>0</v>
      </c>
      <c r="U2303" t="str">
        <f>IF(SeismicData[[#This Row],[class]]=1,"Dangerous","Safe")</f>
        <v>Safe</v>
      </c>
      <c r="V2303" t="str">
        <f>IF(SeismicData[[#This Row],[shift]]="W","Production","Non-Production")</f>
        <v>Production</v>
      </c>
      <c r="W2303" t="str">
        <f>IF(SeismicData[[#This Row],[genergy]]=0,"0","10^"&amp;INT(LOG10(SeismicData[[#This Row],[genergy]])))</f>
        <v>10^4</v>
      </c>
      <c r="X2303" t="str">
        <f>IF(OR(SeismicData[[#This Row],[genergy]]&lt;$AA$6,SeismicData[[#This Row],[genergy]]&gt;$AA$5),"Outlier","Normal")</f>
        <v>Normal</v>
      </c>
    </row>
    <row r="2304" spans="1:24" x14ac:dyDescent="0.15">
      <c r="A2304">
        <v>2303</v>
      </c>
      <c r="B2304" t="s">
        <v>20</v>
      </c>
      <c r="C2304" t="s">
        <v>23</v>
      </c>
      <c r="D2304" t="s">
        <v>22</v>
      </c>
      <c r="E2304">
        <v>8450</v>
      </c>
      <c r="F2304">
        <v>164</v>
      </c>
      <c r="G2304">
        <v>-70</v>
      </c>
      <c r="H2304">
        <v>-66</v>
      </c>
      <c r="I2304" t="s">
        <v>20</v>
      </c>
      <c r="J2304">
        <v>0</v>
      </c>
      <c r="K2304">
        <v>0</v>
      </c>
      <c r="L2304">
        <v>0</v>
      </c>
      <c r="M2304">
        <v>0</v>
      </c>
      <c r="N2304">
        <v>0</v>
      </c>
      <c r="O2304">
        <v>0</v>
      </c>
      <c r="P2304">
        <v>0</v>
      </c>
      <c r="Q2304">
        <v>0</v>
      </c>
      <c r="R2304">
        <v>0</v>
      </c>
      <c r="S2304">
        <v>0</v>
      </c>
      <c r="T2304">
        <v>0</v>
      </c>
      <c r="U2304" t="str">
        <f>IF(SeismicData[[#This Row],[class]]=1,"Dangerous","Safe")</f>
        <v>Safe</v>
      </c>
      <c r="V2304" t="str">
        <f>IF(SeismicData[[#This Row],[shift]]="W","Production","Non-Production")</f>
        <v>Production</v>
      </c>
      <c r="W2304" t="str">
        <f>IF(SeismicData[[#This Row],[genergy]]=0,"0","10^"&amp;INT(LOG10(SeismicData[[#This Row],[genergy]])))</f>
        <v>10^3</v>
      </c>
      <c r="X2304" t="str">
        <f>IF(OR(SeismicData[[#This Row],[genergy]]&lt;$AA$6,SeismicData[[#This Row],[genergy]]&gt;$AA$5),"Outlier","Normal")</f>
        <v>Normal</v>
      </c>
    </row>
    <row r="2305" spans="1:24" x14ac:dyDescent="0.15">
      <c r="A2305">
        <v>2304</v>
      </c>
      <c r="B2305" t="s">
        <v>20</v>
      </c>
      <c r="C2305" t="s">
        <v>23</v>
      </c>
      <c r="D2305" t="s">
        <v>22</v>
      </c>
      <c r="E2305">
        <v>13320</v>
      </c>
      <c r="F2305">
        <v>153</v>
      </c>
      <c r="G2305">
        <v>-52</v>
      </c>
      <c r="H2305">
        <v>-68</v>
      </c>
      <c r="I2305" t="s">
        <v>20</v>
      </c>
      <c r="J2305">
        <v>1</v>
      </c>
      <c r="K2305">
        <v>0</v>
      </c>
      <c r="L2305">
        <v>1</v>
      </c>
      <c r="M2305">
        <v>0</v>
      </c>
      <c r="N2305">
        <v>0</v>
      </c>
      <c r="O2305">
        <v>0</v>
      </c>
      <c r="P2305">
        <v>0</v>
      </c>
      <c r="Q2305">
        <v>0</v>
      </c>
      <c r="R2305">
        <v>3000</v>
      </c>
      <c r="S2305">
        <v>3000</v>
      </c>
      <c r="T2305">
        <v>0</v>
      </c>
      <c r="U2305" t="str">
        <f>IF(SeismicData[[#This Row],[class]]=1,"Dangerous","Safe")</f>
        <v>Safe</v>
      </c>
      <c r="V2305" t="str">
        <f>IF(SeismicData[[#This Row],[shift]]="W","Production","Non-Production")</f>
        <v>Production</v>
      </c>
      <c r="W2305" t="str">
        <f>IF(SeismicData[[#This Row],[genergy]]=0,"0","10^"&amp;INT(LOG10(SeismicData[[#This Row],[genergy]])))</f>
        <v>10^4</v>
      </c>
      <c r="X2305" t="str">
        <f>IF(OR(SeismicData[[#This Row],[genergy]]&lt;$AA$6,SeismicData[[#This Row],[genergy]]&gt;$AA$5),"Outlier","Normal")</f>
        <v>Normal</v>
      </c>
    </row>
    <row r="2306" spans="1:24" x14ac:dyDescent="0.15">
      <c r="A2306">
        <v>2305</v>
      </c>
      <c r="B2306" t="s">
        <v>20</v>
      </c>
      <c r="C2306" t="s">
        <v>23</v>
      </c>
      <c r="D2306" t="s">
        <v>22</v>
      </c>
      <c r="E2306">
        <v>9060</v>
      </c>
      <c r="F2306">
        <v>165</v>
      </c>
      <c r="G2306">
        <v>-67</v>
      </c>
      <c r="H2306">
        <v>-66</v>
      </c>
      <c r="I2306" t="s">
        <v>20</v>
      </c>
      <c r="J2306">
        <v>0</v>
      </c>
      <c r="K2306">
        <v>0</v>
      </c>
      <c r="L2306">
        <v>0</v>
      </c>
      <c r="M2306">
        <v>0</v>
      </c>
      <c r="N2306">
        <v>0</v>
      </c>
      <c r="O2306">
        <v>0</v>
      </c>
      <c r="P2306">
        <v>0</v>
      </c>
      <c r="Q2306">
        <v>0</v>
      </c>
      <c r="R2306">
        <v>0</v>
      </c>
      <c r="S2306">
        <v>0</v>
      </c>
      <c r="T2306">
        <v>0</v>
      </c>
      <c r="U2306" t="str">
        <f>IF(SeismicData[[#This Row],[class]]=1,"Dangerous","Safe")</f>
        <v>Safe</v>
      </c>
      <c r="V2306" t="str">
        <f>IF(SeismicData[[#This Row],[shift]]="W","Production","Non-Production")</f>
        <v>Production</v>
      </c>
      <c r="W2306" t="str">
        <f>IF(SeismicData[[#This Row],[genergy]]=0,"0","10^"&amp;INT(LOG10(SeismicData[[#This Row],[genergy]])))</f>
        <v>10^3</v>
      </c>
      <c r="X2306" t="str">
        <f>IF(OR(SeismicData[[#This Row],[genergy]]&lt;$AA$6,SeismicData[[#This Row],[genergy]]&gt;$AA$5),"Outlier","Normal")</f>
        <v>Normal</v>
      </c>
    </row>
    <row r="2307" spans="1:24" x14ac:dyDescent="0.15">
      <c r="A2307">
        <v>2306</v>
      </c>
      <c r="B2307" t="s">
        <v>20</v>
      </c>
      <c r="C2307" t="s">
        <v>23</v>
      </c>
      <c r="D2307" t="s">
        <v>22</v>
      </c>
      <c r="E2307">
        <v>58570</v>
      </c>
      <c r="F2307">
        <v>481</v>
      </c>
      <c r="G2307">
        <v>110</v>
      </c>
      <c r="H2307">
        <v>0</v>
      </c>
      <c r="I2307" t="s">
        <v>20</v>
      </c>
      <c r="J2307">
        <v>1</v>
      </c>
      <c r="K2307">
        <v>1</v>
      </c>
      <c r="L2307">
        <v>0</v>
      </c>
      <c r="M2307">
        <v>0</v>
      </c>
      <c r="N2307">
        <v>0</v>
      </c>
      <c r="O2307">
        <v>0</v>
      </c>
      <c r="P2307">
        <v>0</v>
      </c>
      <c r="Q2307">
        <v>0</v>
      </c>
      <c r="R2307">
        <v>400</v>
      </c>
      <c r="S2307">
        <v>400</v>
      </c>
      <c r="T2307">
        <v>0</v>
      </c>
      <c r="U2307" t="str">
        <f>IF(SeismicData[[#This Row],[class]]=1,"Dangerous","Safe")</f>
        <v>Safe</v>
      </c>
      <c r="V2307" t="str">
        <f>IF(SeismicData[[#This Row],[shift]]="W","Production","Non-Production")</f>
        <v>Production</v>
      </c>
      <c r="W2307" t="str">
        <f>IF(SeismicData[[#This Row],[genergy]]=0,"0","10^"&amp;INT(LOG10(SeismicData[[#This Row],[genergy]])))</f>
        <v>10^4</v>
      </c>
      <c r="X2307" t="str">
        <f>IF(OR(SeismicData[[#This Row],[genergy]]&lt;$AA$6,SeismicData[[#This Row],[genergy]]&gt;$AA$5),"Outlier","Normal")</f>
        <v>Normal</v>
      </c>
    </row>
    <row r="2308" spans="1:24" x14ac:dyDescent="0.15">
      <c r="A2308">
        <v>2307</v>
      </c>
      <c r="B2308" t="s">
        <v>20</v>
      </c>
      <c r="C2308" t="s">
        <v>23</v>
      </c>
      <c r="D2308" t="s">
        <v>22</v>
      </c>
      <c r="E2308">
        <v>31460</v>
      </c>
      <c r="F2308">
        <v>396</v>
      </c>
      <c r="G2308">
        <v>13</v>
      </c>
      <c r="H2308">
        <v>-18</v>
      </c>
      <c r="I2308" t="s">
        <v>20</v>
      </c>
      <c r="J2308">
        <v>0</v>
      </c>
      <c r="K2308">
        <v>0</v>
      </c>
      <c r="L2308">
        <v>0</v>
      </c>
      <c r="M2308">
        <v>0</v>
      </c>
      <c r="N2308">
        <v>0</v>
      </c>
      <c r="O2308">
        <v>0</v>
      </c>
      <c r="P2308">
        <v>0</v>
      </c>
      <c r="Q2308">
        <v>0</v>
      </c>
      <c r="R2308">
        <v>0</v>
      </c>
      <c r="S2308">
        <v>0</v>
      </c>
      <c r="T2308">
        <v>0</v>
      </c>
      <c r="U2308" t="str">
        <f>IF(SeismicData[[#This Row],[class]]=1,"Dangerous","Safe")</f>
        <v>Safe</v>
      </c>
      <c r="V2308" t="str">
        <f>IF(SeismicData[[#This Row],[shift]]="W","Production","Non-Production")</f>
        <v>Production</v>
      </c>
      <c r="W2308" t="str">
        <f>IF(SeismicData[[#This Row],[genergy]]=0,"0","10^"&amp;INT(LOG10(SeismicData[[#This Row],[genergy]])))</f>
        <v>10^4</v>
      </c>
      <c r="X2308" t="str">
        <f>IF(OR(SeismicData[[#This Row],[genergy]]&lt;$AA$6,SeismicData[[#This Row],[genergy]]&gt;$AA$5),"Outlier","Normal")</f>
        <v>Normal</v>
      </c>
    </row>
    <row r="2309" spans="1:24" x14ac:dyDescent="0.15">
      <c r="A2309">
        <v>2308</v>
      </c>
      <c r="B2309" t="s">
        <v>20</v>
      </c>
      <c r="C2309" t="s">
        <v>23</v>
      </c>
      <c r="D2309" t="s">
        <v>22</v>
      </c>
      <c r="E2309">
        <v>30980</v>
      </c>
      <c r="F2309">
        <v>480</v>
      </c>
      <c r="G2309">
        <v>11</v>
      </c>
      <c r="H2309">
        <v>0</v>
      </c>
      <c r="I2309" t="s">
        <v>20</v>
      </c>
      <c r="J2309">
        <v>0</v>
      </c>
      <c r="K2309">
        <v>0</v>
      </c>
      <c r="L2309">
        <v>0</v>
      </c>
      <c r="M2309">
        <v>0</v>
      </c>
      <c r="N2309">
        <v>0</v>
      </c>
      <c r="O2309">
        <v>0</v>
      </c>
      <c r="P2309">
        <v>0</v>
      </c>
      <c r="Q2309">
        <v>0</v>
      </c>
      <c r="R2309">
        <v>0</v>
      </c>
      <c r="S2309">
        <v>0</v>
      </c>
      <c r="T2309">
        <v>0</v>
      </c>
      <c r="U2309" t="str">
        <f>IF(SeismicData[[#This Row],[class]]=1,"Dangerous","Safe")</f>
        <v>Safe</v>
      </c>
      <c r="V2309" t="str">
        <f>IF(SeismicData[[#This Row],[shift]]="W","Production","Non-Production")</f>
        <v>Production</v>
      </c>
      <c r="W2309" t="str">
        <f>IF(SeismicData[[#This Row],[genergy]]=0,"0","10^"&amp;INT(LOG10(SeismicData[[#This Row],[genergy]])))</f>
        <v>10^4</v>
      </c>
      <c r="X2309" t="str">
        <f>IF(OR(SeismicData[[#This Row],[genergy]]&lt;$AA$6,SeismicData[[#This Row],[genergy]]&gt;$AA$5),"Outlier","Normal")</f>
        <v>Normal</v>
      </c>
    </row>
    <row r="2310" spans="1:24" x14ac:dyDescent="0.15">
      <c r="A2310">
        <v>2309</v>
      </c>
      <c r="B2310" t="s">
        <v>20</v>
      </c>
      <c r="C2310" t="s">
        <v>23</v>
      </c>
      <c r="D2310" t="s">
        <v>22</v>
      </c>
      <c r="E2310">
        <v>30180</v>
      </c>
      <c r="F2310">
        <v>375</v>
      </c>
      <c r="G2310">
        <v>8</v>
      </c>
      <c r="H2310">
        <v>-22</v>
      </c>
      <c r="I2310" t="s">
        <v>20</v>
      </c>
      <c r="J2310">
        <v>1</v>
      </c>
      <c r="K2310">
        <v>0</v>
      </c>
      <c r="L2310">
        <v>1</v>
      </c>
      <c r="M2310">
        <v>0</v>
      </c>
      <c r="N2310">
        <v>0</v>
      </c>
      <c r="O2310">
        <v>0</v>
      </c>
      <c r="P2310">
        <v>0</v>
      </c>
      <c r="Q2310">
        <v>0</v>
      </c>
      <c r="R2310">
        <v>2000</v>
      </c>
      <c r="S2310">
        <v>2000</v>
      </c>
      <c r="T2310">
        <v>0</v>
      </c>
      <c r="U2310" t="str">
        <f>IF(SeismicData[[#This Row],[class]]=1,"Dangerous","Safe")</f>
        <v>Safe</v>
      </c>
      <c r="V2310" t="str">
        <f>IF(SeismicData[[#This Row],[shift]]="W","Production","Non-Production")</f>
        <v>Production</v>
      </c>
      <c r="W2310" t="str">
        <f>IF(SeismicData[[#This Row],[genergy]]=0,"0","10^"&amp;INT(LOG10(SeismicData[[#This Row],[genergy]])))</f>
        <v>10^4</v>
      </c>
      <c r="X2310" t="str">
        <f>IF(OR(SeismicData[[#This Row],[genergy]]&lt;$AA$6,SeismicData[[#This Row],[genergy]]&gt;$AA$5),"Outlier","Normal")</f>
        <v>Normal</v>
      </c>
    </row>
    <row r="2311" spans="1:24" x14ac:dyDescent="0.15">
      <c r="A2311">
        <v>2310</v>
      </c>
      <c r="B2311" t="s">
        <v>20</v>
      </c>
      <c r="C2311" t="s">
        <v>23</v>
      </c>
      <c r="D2311" t="s">
        <v>22</v>
      </c>
      <c r="E2311">
        <v>45450</v>
      </c>
      <c r="F2311">
        <v>491</v>
      </c>
      <c r="G2311">
        <v>63</v>
      </c>
      <c r="H2311">
        <v>2</v>
      </c>
      <c r="I2311" t="s">
        <v>20</v>
      </c>
      <c r="J2311">
        <v>1</v>
      </c>
      <c r="K2311">
        <v>1</v>
      </c>
      <c r="L2311">
        <v>0</v>
      </c>
      <c r="M2311">
        <v>0</v>
      </c>
      <c r="N2311">
        <v>0</v>
      </c>
      <c r="O2311">
        <v>0</v>
      </c>
      <c r="P2311">
        <v>0</v>
      </c>
      <c r="Q2311">
        <v>0</v>
      </c>
      <c r="R2311">
        <v>400</v>
      </c>
      <c r="S2311">
        <v>400</v>
      </c>
      <c r="T2311">
        <v>0</v>
      </c>
      <c r="U2311" t="str">
        <f>IF(SeismicData[[#This Row],[class]]=1,"Dangerous","Safe")</f>
        <v>Safe</v>
      </c>
      <c r="V2311" t="str">
        <f>IF(SeismicData[[#This Row],[shift]]="W","Production","Non-Production")</f>
        <v>Production</v>
      </c>
      <c r="W2311" t="str">
        <f>IF(SeismicData[[#This Row],[genergy]]=0,"0","10^"&amp;INT(LOG10(SeismicData[[#This Row],[genergy]])))</f>
        <v>10^4</v>
      </c>
      <c r="X2311" t="str">
        <f>IF(OR(SeismicData[[#This Row],[genergy]]&lt;$AA$6,SeismicData[[#This Row],[genergy]]&gt;$AA$5),"Outlier","Normal")</f>
        <v>Normal</v>
      </c>
    </row>
    <row r="2312" spans="1:24" x14ac:dyDescent="0.15">
      <c r="A2312">
        <v>2311</v>
      </c>
      <c r="B2312" t="s">
        <v>20</v>
      </c>
      <c r="C2312" t="s">
        <v>20</v>
      </c>
      <c r="D2312" t="s">
        <v>22</v>
      </c>
      <c r="E2312">
        <v>18590</v>
      </c>
      <c r="F2312">
        <v>320</v>
      </c>
      <c r="G2312">
        <v>-34</v>
      </c>
      <c r="H2312">
        <v>-31</v>
      </c>
      <c r="I2312" t="s">
        <v>20</v>
      </c>
      <c r="J2312">
        <v>0</v>
      </c>
      <c r="K2312">
        <v>0</v>
      </c>
      <c r="L2312">
        <v>0</v>
      </c>
      <c r="M2312">
        <v>0</v>
      </c>
      <c r="N2312">
        <v>0</v>
      </c>
      <c r="O2312">
        <v>0</v>
      </c>
      <c r="P2312">
        <v>0</v>
      </c>
      <c r="Q2312">
        <v>0</v>
      </c>
      <c r="R2312">
        <v>0</v>
      </c>
      <c r="S2312">
        <v>0</v>
      </c>
      <c r="T2312">
        <v>1</v>
      </c>
      <c r="U2312" t="str">
        <f>IF(SeismicData[[#This Row],[class]]=1,"Dangerous","Safe")</f>
        <v>Dangerous</v>
      </c>
      <c r="V2312" t="str">
        <f>IF(SeismicData[[#This Row],[shift]]="W","Production","Non-Production")</f>
        <v>Production</v>
      </c>
      <c r="W2312" t="str">
        <f>IF(SeismicData[[#This Row],[genergy]]=0,"0","10^"&amp;INT(LOG10(SeismicData[[#This Row],[genergy]])))</f>
        <v>10^4</v>
      </c>
      <c r="X2312" t="str">
        <f>IF(OR(SeismicData[[#This Row],[genergy]]&lt;$AA$6,SeismicData[[#This Row],[genergy]]&gt;$AA$5),"Outlier","Normal")</f>
        <v>Normal</v>
      </c>
    </row>
    <row r="2313" spans="1:24" x14ac:dyDescent="0.15">
      <c r="A2313">
        <v>2312</v>
      </c>
      <c r="B2313" t="s">
        <v>20</v>
      </c>
      <c r="C2313" t="s">
        <v>20</v>
      </c>
      <c r="D2313" t="s">
        <v>22</v>
      </c>
      <c r="E2313">
        <v>32470</v>
      </c>
      <c r="F2313">
        <v>388</v>
      </c>
      <c r="G2313">
        <v>15</v>
      </c>
      <c r="H2313">
        <v>-17</v>
      </c>
      <c r="I2313" t="s">
        <v>20</v>
      </c>
      <c r="J2313">
        <v>1</v>
      </c>
      <c r="K2313">
        <v>0</v>
      </c>
      <c r="L2313">
        <v>0</v>
      </c>
      <c r="M2313">
        <v>1</v>
      </c>
      <c r="N2313">
        <v>0</v>
      </c>
      <c r="O2313">
        <v>0</v>
      </c>
      <c r="P2313">
        <v>0</v>
      </c>
      <c r="Q2313">
        <v>0</v>
      </c>
      <c r="R2313">
        <v>80000</v>
      </c>
      <c r="S2313">
        <v>80000</v>
      </c>
      <c r="T2313">
        <v>0</v>
      </c>
      <c r="U2313" t="str">
        <f>IF(SeismicData[[#This Row],[class]]=1,"Dangerous","Safe")</f>
        <v>Safe</v>
      </c>
      <c r="V2313" t="str">
        <f>IF(SeismicData[[#This Row],[shift]]="W","Production","Non-Production")</f>
        <v>Production</v>
      </c>
      <c r="W2313" t="str">
        <f>IF(SeismicData[[#This Row],[genergy]]=0,"0","10^"&amp;INT(LOG10(SeismicData[[#This Row],[genergy]])))</f>
        <v>10^4</v>
      </c>
      <c r="X2313" t="str">
        <f>IF(OR(SeismicData[[#This Row],[genergy]]&lt;$AA$6,SeismicData[[#This Row],[genergy]]&gt;$AA$5),"Outlier","Normal")</f>
        <v>Normal</v>
      </c>
    </row>
    <row r="2314" spans="1:24" x14ac:dyDescent="0.15">
      <c r="A2314">
        <v>2313</v>
      </c>
      <c r="B2314" t="s">
        <v>20</v>
      </c>
      <c r="C2314" t="s">
        <v>20</v>
      </c>
      <c r="D2314" t="s">
        <v>22</v>
      </c>
      <c r="E2314">
        <v>61200</v>
      </c>
      <c r="F2314">
        <v>625</v>
      </c>
      <c r="G2314">
        <v>116</v>
      </c>
      <c r="H2314">
        <v>34</v>
      </c>
      <c r="I2314" t="s">
        <v>20</v>
      </c>
      <c r="J2314">
        <v>0</v>
      </c>
      <c r="K2314">
        <v>0</v>
      </c>
      <c r="L2314">
        <v>0</v>
      </c>
      <c r="M2314">
        <v>0</v>
      </c>
      <c r="N2314">
        <v>0</v>
      </c>
      <c r="O2314">
        <v>0</v>
      </c>
      <c r="P2314">
        <v>0</v>
      </c>
      <c r="Q2314">
        <v>0</v>
      </c>
      <c r="R2314">
        <v>0</v>
      </c>
      <c r="S2314">
        <v>0</v>
      </c>
      <c r="T2314">
        <v>0</v>
      </c>
      <c r="U2314" t="str">
        <f>IF(SeismicData[[#This Row],[class]]=1,"Dangerous","Safe")</f>
        <v>Safe</v>
      </c>
      <c r="V2314" t="str">
        <f>IF(SeismicData[[#This Row],[shift]]="W","Production","Non-Production")</f>
        <v>Production</v>
      </c>
      <c r="W2314" t="str">
        <f>IF(SeismicData[[#This Row],[genergy]]=0,"0","10^"&amp;INT(LOG10(SeismicData[[#This Row],[genergy]])))</f>
        <v>10^4</v>
      </c>
      <c r="X2314" t="str">
        <f>IF(OR(SeismicData[[#This Row],[genergy]]&lt;$AA$6,SeismicData[[#This Row],[genergy]]&gt;$AA$5),"Outlier","Normal")</f>
        <v>Normal</v>
      </c>
    </row>
    <row r="2315" spans="1:24" x14ac:dyDescent="0.15">
      <c r="A2315">
        <v>2314</v>
      </c>
      <c r="B2315" t="s">
        <v>20</v>
      </c>
      <c r="C2315" t="s">
        <v>20</v>
      </c>
      <c r="D2315" t="s">
        <v>22</v>
      </c>
      <c r="E2315">
        <v>57200</v>
      </c>
      <c r="F2315">
        <v>773</v>
      </c>
      <c r="G2315">
        <v>102</v>
      </c>
      <c r="H2315">
        <v>66</v>
      </c>
      <c r="I2315" t="s">
        <v>20</v>
      </c>
      <c r="J2315">
        <v>2</v>
      </c>
      <c r="K2315">
        <v>0</v>
      </c>
      <c r="L2315">
        <v>2</v>
      </c>
      <c r="M2315">
        <v>0</v>
      </c>
      <c r="N2315">
        <v>0</v>
      </c>
      <c r="O2315">
        <v>0</v>
      </c>
      <c r="P2315">
        <v>0</v>
      </c>
      <c r="Q2315">
        <v>0</v>
      </c>
      <c r="R2315">
        <v>5000</v>
      </c>
      <c r="S2315">
        <v>3000</v>
      </c>
      <c r="T2315">
        <v>0</v>
      </c>
      <c r="U2315" t="str">
        <f>IF(SeismicData[[#This Row],[class]]=1,"Dangerous","Safe")</f>
        <v>Safe</v>
      </c>
      <c r="V2315" t="str">
        <f>IF(SeismicData[[#This Row],[shift]]="W","Production","Non-Production")</f>
        <v>Production</v>
      </c>
      <c r="W2315" t="str">
        <f>IF(SeismicData[[#This Row],[genergy]]=0,"0","10^"&amp;INT(LOG10(SeismicData[[#This Row],[genergy]])))</f>
        <v>10^4</v>
      </c>
      <c r="X2315" t="str">
        <f>IF(OR(SeismicData[[#This Row],[genergy]]&lt;$AA$6,SeismicData[[#This Row],[genergy]]&gt;$AA$5),"Outlier","Normal")</f>
        <v>Normal</v>
      </c>
    </row>
    <row r="2316" spans="1:24" x14ac:dyDescent="0.15">
      <c r="A2316">
        <v>2315</v>
      </c>
      <c r="B2316" t="s">
        <v>20</v>
      </c>
      <c r="C2316" t="s">
        <v>20</v>
      </c>
      <c r="D2316" t="s">
        <v>22</v>
      </c>
      <c r="E2316">
        <v>37580</v>
      </c>
      <c r="F2316">
        <v>574</v>
      </c>
      <c r="G2316">
        <v>33</v>
      </c>
      <c r="H2316">
        <v>23</v>
      </c>
      <c r="I2316" t="s">
        <v>20</v>
      </c>
      <c r="J2316">
        <v>0</v>
      </c>
      <c r="K2316">
        <v>0</v>
      </c>
      <c r="L2316">
        <v>0</v>
      </c>
      <c r="M2316">
        <v>0</v>
      </c>
      <c r="N2316">
        <v>0</v>
      </c>
      <c r="O2316">
        <v>0</v>
      </c>
      <c r="P2316">
        <v>0</v>
      </c>
      <c r="Q2316">
        <v>0</v>
      </c>
      <c r="R2316">
        <v>0</v>
      </c>
      <c r="S2316">
        <v>0</v>
      </c>
      <c r="T2316">
        <v>0</v>
      </c>
      <c r="U2316" t="str">
        <f>IF(SeismicData[[#This Row],[class]]=1,"Dangerous","Safe")</f>
        <v>Safe</v>
      </c>
      <c r="V2316" t="str">
        <f>IF(SeismicData[[#This Row],[shift]]="W","Production","Non-Production")</f>
        <v>Production</v>
      </c>
      <c r="W2316" t="str">
        <f>IF(SeismicData[[#This Row],[genergy]]=0,"0","10^"&amp;INT(LOG10(SeismicData[[#This Row],[genergy]])))</f>
        <v>10^4</v>
      </c>
      <c r="X2316" t="str">
        <f>IF(OR(SeismicData[[#This Row],[genergy]]&lt;$AA$6,SeismicData[[#This Row],[genergy]]&gt;$AA$5),"Outlier","Normal")</f>
        <v>Normal</v>
      </c>
    </row>
    <row r="2317" spans="1:24" x14ac:dyDescent="0.15">
      <c r="A2317">
        <v>2316</v>
      </c>
      <c r="B2317" t="s">
        <v>20</v>
      </c>
      <c r="C2317" t="s">
        <v>20</v>
      </c>
      <c r="D2317" t="s">
        <v>22</v>
      </c>
      <c r="E2317">
        <v>21680</v>
      </c>
      <c r="F2317">
        <v>368</v>
      </c>
      <c r="G2317">
        <v>-24</v>
      </c>
      <c r="H2317">
        <v>-21</v>
      </c>
      <c r="I2317" t="s">
        <v>20</v>
      </c>
      <c r="J2317">
        <v>0</v>
      </c>
      <c r="K2317">
        <v>0</v>
      </c>
      <c r="L2317">
        <v>0</v>
      </c>
      <c r="M2317">
        <v>0</v>
      </c>
      <c r="N2317">
        <v>0</v>
      </c>
      <c r="O2317">
        <v>0</v>
      </c>
      <c r="P2317">
        <v>0</v>
      </c>
      <c r="Q2317">
        <v>0</v>
      </c>
      <c r="R2317">
        <v>0</v>
      </c>
      <c r="S2317">
        <v>0</v>
      </c>
      <c r="T2317">
        <v>0</v>
      </c>
      <c r="U2317" t="str">
        <f>IF(SeismicData[[#This Row],[class]]=1,"Dangerous","Safe")</f>
        <v>Safe</v>
      </c>
      <c r="V2317" t="str">
        <f>IF(SeismicData[[#This Row],[shift]]="W","Production","Non-Production")</f>
        <v>Production</v>
      </c>
      <c r="W2317" t="str">
        <f>IF(SeismicData[[#This Row],[genergy]]=0,"0","10^"&amp;INT(LOG10(SeismicData[[#This Row],[genergy]])))</f>
        <v>10^4</v>
      </c>
      <c r="X2317" t="str">
        <f>IF(OR(SeismicData[[#This Row],[genergy]]&lt;$AA$6,SeismicData[[#This Row],[genergy]]&gt;$AA$5),"Outlier","Normal")</f>
        <v>Normal</v>
      </c>
    </row>
    <row r="2318" spans="1:24" x14ac:dyDescent="0.15">
      <c r="A2318">
        <v>2317</v>
      </c>
      <c r="B2318" t="s">
        <v>20</v>
      </c>
      <c r="C2318" t="s">
        <v>20</v>
      </c>
      <c r="D2318" t="s">
        <v>22</v>
      </c>
      <c r="E2318">
        <v>23170</v>
      </c>
      <c r="F2318">
        <v>348</v>
      </c>
      <c r="G2318">
        <v>-18</v>
      </c>
      <c r="H2318">
        <v>-25</v>
      </c>
      <c r="I2318" t="s">
        <v>20</v>
      </c>
      <c r="J2318">
        <v>0</v>
      </c>
      <c r="K2318">
        <v>0</v>
      </c>
      <c r="L2318">
        <v>0</v>
      </c>
      <c r="M2318">
        <v>0</v>
      </c>
      <c r="N2318">
        <v>0</v>
      </c>
      <c r="O2318">
        <v>0</v>
      </c>
      <c r="P2318">
        <v>0</v>
      </c>
      <c r="Q2318">
        <v>0</v>
      </c>
      <c r="R2318">
        <v>0</v>
      </c>
      <c r="S2318">
        <v>0</v>
      </c>
      <c r="T2318">
        <v>0</v>
      </c>
      <c r="U2318" t="str">
        <f>IF(SeismicData[[#This Row],[class]]=1,"Dangerous","Safe")</f>
        <v>Safe</v>
      </c>
      <c r="V2318" t="str">
        <f>IF(SeismicData[[#This Row],[shift]]="W","Production","Non-Production")</f>
        <v>Production</v>
      </c>
      <c r="W2318" t="str">
        <f>IF(SeismicData[[#This Row],[genergy]]=0,"0","10^"&amp;INT(LOG10(SeismicData[[#This Row],[genergy]])))</f>
        <v>10^4</v>
      </c>
      <c r="X2318" t="str">
        <f>IF(OR(SeismicData[[#This Row],[genergy]]&lt;$AA$6,SeismicData[[#This Row],[genergy]]&gt;$AA$5),"Outlier","Normal")</f>
        <v>Normal</v>
      </c>
    </row>
    <row r="2319" spans="1:24" x14ac:dyDescent="0.15">
      <c r="A2319">
        <v>2318</v>
      </c>
      <c r="B2319" t="s">
        <v>20</v>
      </c>
      <c r="C2319" t="s">
        <v>20</v>
      </c>
      <c r="D2319" t="s">
        <v>22</v>
      </c>
      <c r="E2319">
        <v>35570</v>
      </c>
      <c r="F2319">
        <v>505</v>
      </c>
      <c r="G2319">
        <v>25</v>
      </c>
      <c r="H2319">
        <v>9</v>
      </c>
      <c r="I2319" t="s">
        <v>20</v>
      </c>
      <c r="J2319">
        <v>0</v>
      </c>
      <c r="K2319">
        <v>0</v>
      </c>
      <c r="L2319">
        <v>0</v>
      </c>
      <c r="M2319">
        <v>0</v>
      </c>
      <c r="N2319">
        <v>0</v>
      </c>
      <c r="O2319">
        <v>0</v>
      </c>
      <c r="P2319">
        <v>0</v>
      </c>
      <c r="Q2319">
        <v>0</v>
      </c>
      <c r="R2319">
        <v>0</v>
      </c>
      <c r="S2319">
        <v>0</v>
      </c>
      <c r="T2319">
        <v>0</v>
      </c>
      <c r="U2319" t="str">
        <f>IF(SeismicData[[#This Row],[class]]=1,"Dangerous","Safe")</f>
        <v>Safe</v>
      </c>
      <c r="V2319" t="str">
        <f>IF(SeismicData[[#This Row],[shift]]="W","Production","Non-Production")</f>
        <v>Production</v>
      </c>
      <c r="W2319" t="str">
        <f>IF(SeismicData[[#This Row],[genergy]]=0,"0","10^"&amp;INT(LOG10(SeismicData[[#This Row],[genergy]])))</f>
        <v>10^4</v>
      </c>
      <c r="X2319" t="str">
        <f>IF(OR(SeismicData[[#This Row],[genergy]]&lt;$AA$6,SeismicData[[#This Row],[genergy]]&gt;$AA$5),"Outlier","Normal")</f>
        <v>Normal</v>
      </c>
    </row>
    <row r="2320" spans="1:24" x14ac:dyDescent="0.15">
      <c r="A2320">
        <v>2319</v>
      </c>
      <c r="B2320" t="s">
        <v>23</v>
      </c>
      <c r="C2320" t="s">
        <v>20</v>
      </c>
      <c r="D2320" t="s">
        <v>22</v>
      </c>
      <c r="E2320">
        <v>32030</v>
      </c>
      <c r="F2320">
        <v>350</v>
      </c>
      <c r="G2320">
        <v>12</v>
      </c>
      <c r="H2320">
        <v>-22</v>
      </c>
      <c r="I2320" t="s">
        <v>20</v>
      </c>
      <c r="J2320">
        <v>0</v>
      </c>
      <c r="K2320">
        <v>0</v>
      </c>
      <c r="L2320">
        <v>0</v>
      </c>
      <c r="M2320">
        <v>0</v>
      </c>
      <c r="N2320">
        <v>0</v>
      </c>
      <c r="O2320">
        <v>0</v>
      </c>
      <c r="P2320">
        <v>0</v>
      </c>
      <c r="Q2320">
        <v>0</v>
      </c>
      <c r="R2320">
        <v>0</v>
      </c>
      <c r="S2320">
        <v>0</v>
      </c>
      <c r="T2320">
        <v>0</v>
      </c>
      <c r="U2320" t="str">
        <f>IF(SeismicData[[#This Row],[class]]=1,"Dangerous","Safe")</f>
        <v>Safe</v>
      </c>
      <c r="V2320" t="str">
        <f>IF(SeismicData[[#This Row],[shift]]="W","Production","Non-Production")</f>
        <v>Production</v>
      </c>
      <c r="W2320" t="str">
        <f>IF(SeismicData[[#This Row],[genergy]]=0,"0","10^"&amp;INT(LOG10(SeismicData[[#This Row],[genergy]])))</f>
        <v>10^4</v>
      </c>
      <c r="X2320" t="str">
        <f>IF(OR(SeismicData[[#This Row],[genergy]]&lt;$AA$6,SeismicData[[#This Row],[genergy]]&gt;$AA$5),"Outlier","Normal")</f>
        <v>Normal</v>
      </c>
    </row>
    <row r="2321" spans="1:24" x14ac:dyDescent="0.15">
      <c r="A2321">
        <v>2320</v>
      </c>
      <c r="B2321" t="s">
        <v>23</v>
      </c>
      <c r="C2321" t="s">
        <v>20</v>
      </c>
      <c r="D2321" t="s">
        <v>22</v>
      </c>
      <c r="E2321">
        <v>76200</v>
      </c>
      <c r="F2321">
        <v>766</v>
      </c>
      <c r="G2321">
        <v>166</v>
      </c>
      <c r="H2321">
        <v>71</v>
      </c>
      <c r="I2321" t="s">
        <v>20</v>
      </c>
      <c r="J2321">
        <v>0</v>
      </c>
      <c r="K2321">
        <v>0</v>
      </c>
      <c r="L2321">
        <v>0</v>
      </c>
      <c r="M2321">
        <v>0</v>
      </c>
      <c r="N2321">
        <v>0</v>
      </c>
      <c r="O2321">
        <v>0</v>
      </c>
      <c r="P2321">
        <v>0</v>
      </c>
      <c r="Q2321">
        <v>0</v>
      </c>
      <c r="R2321">
        <v>0</v>
      </c>
      <c r="S2321">
        <v>0</v>
      </c>
      <c r="T2321">
        <v>0</v>
      </c>
      <c r="U2321" t="str">
        <f>IF(SeismicData[[#This Row],[class]]=1,"Dangerous","Safe")</f>
        <v>Safe</v>
      </c>
      <c r="V2321" t="str">
        <f>IF(SeismicData[[#This Row],[shift]]="W","Production","Non-Production")</f>
        <v>Production</v>
      </c>
      <c r="W2321" t="str">
        <f>IF(SeismicData[[#This Row],[genergy]]=0,"0","10^"&amp;INT(LOG10(SeismicData[[#This Row],[genergy]])))</f>
        <v>10^4</v>
      </c>
      <c r="X2321" t="str">
        <f>IF(OR(SeismicData[[#This Row],[genergy]]&lt;$AA$6,SeismicData[[#This Row],[genergy]]&gt;$AA$5),"Outlier","Normal")</f>
        <v>Normal</v>
      </c>
    </row>
    <row r="2322" spans="1:24" x14ac:dyDescent="0.15">
      <c r="A2322">
        <v>2321</v>
      </c>
      <c r="B2322" t="s">
        <v>23</v>
      </c>
      <c r="C2322" t="s">
        <v>20</v>
      </c>
      <c r="D2322" t="s">
        <v>22</v>
      </c>
      <c r="E2322">
        <v>28500</v>
      </c>
      <c r="F2322">
        <v>446</v>
      </c>
      <c r="G2322">
        <v>-1</v>
      </c>
      <c r="H2322">
        <v>-1</v>
      </c>
      <c r="I2322" t="s">
        <v>20</v>
      </c>
      <c r="J2322">
        <v>0</v>
      </c>
      <c r="K2322">
        <v>0</v>
      </c>
      <c r="L2322">
        <v>0</v>
      </c>
      <c r="M2322">
        <v>0</v>
      </c>
      <c r="N2322">
        <v>0</v>
      </c>
      <c r="O2322">
        <v>0</v>
      </c>
      <c r="P2322">
        <v>0</v>
      </c>
      <c r="Q2322">
        <v>0</v>
      </c>
      <c r="R2322">
        <v>0</v>
      </c>
      <c r="S2322">
        <v>0</v>
      </c>
      <c r="T2322">
        <v>0</v>
      </c>
      <c r="U2322" t="str">
        <f>IF(SeismicData[[#This Row],[class]]=1,"Dangerous","Safe")</f>
        <v>Safe</v>
      </c>
      <c r="V2322" t="str">
        <f>IF(SeismicData[[#This Row],[shift]]="W","Production","Non-Production")</f>
        <v>Production</v>
      </c>
      <c r="W2322" t="str">
        <f>IF(SeismicData[[#This Row],[genergy]]=0,"0","10^"&amp;INT(LOG10(SeismicData[[#This Row],[genergy]])))</f>
        <v>10^4</v>
      </c>
      <c r="X2322" t="str">
        <f>IF(OR(SeismicData[[#This Row],[genergy]]&lt;$AA$6,SeismicData[[#This Row],[genergy]]&gt;$AA$5),"Outlier","Normal")</f>
        <v>Normal</v>
      </c>
    </row>
    <row r="2323" spans="1:24" x14ac:dyDescent="0.15">
      <c r="A2323">
        <v>2322</v>
      </c>
      <c r="B2323" t="s">
        <v>23</v>
      </c>
      <c r="C2323" t="s">
        <v>20</v>
      </c>
      <c r="D2323" t="s">
        <v>22</v>
      </c>
      <c r="E2323">
        <v>33590</v>
      </c>
      <c r="F2323">
        <v>457</v>
      </c>
      <c r="G2323">
        <v>17</v>
      </c>
      <c r="H2323">
        <v>2</v>
      </c>
      <c r="I2323" t="s">
        <v>20</v>
      </c>
      <c r="J2323">
        <v>0</v>
      </c>
      <c r="K2323">
        <v>0</v>
      </c>
      <c r="L2323">
        <v>0</v>
      </c>
      <c r="M2323">
        <v>0</v>
      </c>
      <c r="N2323">
        <v>0</v>
      </c>
      <c r="O2323">
        <v>0</v>
      </c>
      <c r="P2323">
        <v>0</v>
      </c>
      <c r="Q2323">
        <v>0</v>
      </c>
      <c r="R2323">
        <v>0</v>
      </c>
      <c r="S2323">
        <v>0</v>
      </c>
      <c r="T2323">
        <v>0</v>
      </c>
      <c r="U2323" t="str">
        <f>IF(SeismicData[[#This Row],[class]]=1,"Dangerous","Safe")</f>
        <v>Safe</v>
      </c>
      <c r="V2323" t="str">
        <f>IF(SeismicData[[#This Row],[shift]]="W","Production","Non-Production")</f>
        <v>Production</v>
      </c>
      <c r="W2323" t="str">
        <f>IF(SeismicData[[#This Row],[genergy]]=0,"0","10^"&amp;INT(LOG10(SeismicData[[#This Row],[genergy]])))</f>
        <v>10^4</v>
      </c>
      <c r="X2323" t="str">
        <f>IF(OR(SeismicData[[#This Row],[genergy]]&lt;$AA$6,SeismicData[[#This Row],[genergy]]&gt;$AA$5),"Outlier","Normal")</f>
        <v>Normal</v>
      </c>
    </row>
    <row r="2324" spans="1:24" x14ac:dyDescent="0.15">
      <c r="A2324">
        <v>2323</v>
      </c>
      <c r="B2324" t="s">
        <v>23</v>
      </c>
      <c r="C2324" t="s">
        <v>20</v>
      </c>
      <c r="D2324" t="s">
        <v>22</v>
      </c>
      <c r="E2324">
        <v>27420</v>
      </c>
      <c r="F2324">
        <v>400</v>
      </c>
      <c r="G2324">
        <v>-4</v>
      </c>
      <c r="H2324">
        <v>-11</v>
      </c>
      <c r="I2324" t="s">
        <v>20</v>
      </c>
      <c r="J2324">
        <v>1</v>
      </c>
      <c r="K2324">
        <v>1</v>
      </c>
      <c r="L2324">
        <v>0</v>
      </c>
      <c r="M2324">
        <v>0</v>
      </c>
      <c r="N2324">
        <v>0</v>
      </c>
      <c r="O2324">
        <v>0</v>
      </c>
      <c r="P2324">
        <v>0</v>
      </c>
      <c r="Q2324">
        <v>0</v>
      </c>
      <c r="R2324">
        <v>700</v>
      </c>
      <c r="S2324">
        <v>700</v>
      </c>
      <c r="T2324">
        <v>0</v>
      </c>
      <c r="U2324" t="str">
        <f>IF(SeismicData[[#This Row],[class]]=1,"Dangerous","Safe")</f>
        <v>Safe</v>
      </c>
      <c r="V2324" t="str">
        <f>IF(SeismicData[[#This Row],[shift]]="W","Production","Non-Production")</f>
        <v>Production</v>
      </c>
      <c r="W2324" t="str">
        <f>IF(SeismicData[[#This Row],[genergy]]=0,"0","10^"&amp;INT(LOG10(SeismicData[[#This Row],[genergy]])))</f>
        <v>10^4</v>
      </c>
      <c r="X2324" t="str">
        <f>IF(OR(SeismicData[[#This Row],[genergy]]&lt;$AA$6,SeismicData[[#This Row],[genergy]]&gt;$AA$5),"Outlier","Normal")</f>
        <v>Normal</v>
      </c>
    </row>
    <row r="2325" spans="1:24" x14ac:dyDescent="0.15">
      <c r="A2325">
        <v>2324</v>
      </c>
      <c r="B2325" t="s">
        <v>23</v>
      </c>
      <c r="C2325" t="s">
        <v>20</v>
      </c>
      <c r="D2325" t="s">
        <v>22</v>
      </c>
      <c r="E2325">
        <v>73160</v>
      </c>
      <c r="F2325">
        <v>654</v>
      </c>
      <c r="G2325">
        <v>155</v>
      </c>
      <c r="H2325">
        <v>46</v>
      </c>
      <c r="I2325" t="s">
        <v>20</v>
      </c>
      <c r="J2325">
        <v>1</v>
      </c>
      <c r="K2325">
        <v>0</v>
      </c>
      <c r="L2325">
        <v>1</v>
      </c>
      <c r="M2325">
        <v>0</v>
      </c>
      <c r="N2325">
        <v>0</v>
      </c>
      <c r="O2325">
        <v>0</v>
      </c>
      <c r="P2325">
        <v>0</v>
      </c>
      <c r="Q2325">
        <v>0</v>
      </c>
      <c r="R2325">
        <v>3000</v>
      </c>
      <c r="S2325">
        <v>3000</v>
      </c>
      <c r="T2325">
        <v>0</v>
      </c>
      <c r="U2325" t="str">
        <f>IF(SeismicData[[#This Row],[class]]=1,"Dangerous","Safe")</f>
        <v>Safe</v>
      </c>
      <c r="V2325" t="str">
        <f>IF(SeismicData[[#This Row],[shift]]="W","Production","Non-Production")</f>
        <v>Production</v>
      </c>
      <c r="W2325" t="str">
        <f>IF(SeismicData[[#This Row],[genergy]]=0,"0","10^"&amp;INT(LOG10(SeismicData[[#This Row],[genergy]])))</f>
        <v>10^4</v>
      </c>
      <c r="X2325" t="str">
        <f>IF(OR(SeismicData[[#This Row],[genergy]]&lt;$AA$6,SeismicData[[#This Row],[genergy]]&gt;$AA$5),"Outlier","Normal")</f>
        <v>Normal</v>
      </c>
    </row>
    <row r="2326" spans="1:24" x14ac:dyDescent="0.15">
      <c r="A2326">
        <v>2325</v>
      </c>
      <c r="B2326" t="s">
        <v>23</v>
      </c>
      <c r="C2326" t="s">
        <v>20</v>
      </c>
      <c r="D2326" t="s">
        <v>22</v>
      </c>
      <c r="E2326">
        <v>33780</v>
      </c>
      <c r="F2326">
        <v>525</v>
      </c>
      <c r="G2326">
        <v>18</v>
      </c>
      <c r="H2326">
        <v>17</v>
      </c>
      <c r="I2326" t="s">
        <v>20</v>
      </c>
      <c r="J2326">
        <v>0</v>
      </c>
      <c r="K2326">
        <v>0</v>
      </c>
      <c r="L2326">
        <v>0</v>
      </c>
      <c r="M2326">
        <v>0</v>
      </c>
      <c r="N2326">
        <v>0</v>
      </c>
      <c r="O2326">
        <v>0</v>
      </c>
      <c r="P2326">
        <v>0</v>
      </c>
      <c r="Q2326">
        <v>0</v>
      </c>
      <c r="R2326">
        <v>0</v>
      </c>
      <c r="S2326">
        <v>0</v>
      </c>
      <c r="T2326">
        <v>0</v>
      </c>
      <c r="U2326" t="str">
        <f>IF(SeismicData[[#This Row],[class]]=1,"Dangerous","Safe")</f>
        <v>Safe</v>
      </c>
      <c r="V2326" t="str">
        <f>IF(SeismicData[[#This Row],[shift]]="W","Production","Non-Production")</f>
        <v>Production</v>
      </c>
      <c r="W2326" t="str">
        <f>IF(SeismicData[[#This Row],[genergy]]=0,"0","10^"&amp;INT(LOG10(SeismicData[[#This Row],[genergy]])))</f>
        <v>10^4</v>
      </c>
      <c r="X2326" t="str">
        <f>IF(OR(SeismicData[[#This Row],[genergy]]&lt;$AA$6,SeismicData[[#This Row],[genergy]]&gt;$AA$5),"Outlier","Normal")</f>
        <v>Normal</v>
      </c>
    </row>
    <row r="2327" spans="1:24" x14ac:dyDescent="0.15">
      <c r="A2327">
        <v>2326</v>
      </c>
      <c r="B2327" t="s">
        <v>23</v>
      </c>
      <c r="C2327" t="s">
        <v>20</v>
      </c>
      <c r="D2327" t="s">
        <v>21</v>
      </c>
      <c r="E2327">
        <v>27200</v>
      </c>
      <c r="F2327">
        <v>402</v>
      </c>
      <c r="G2327">
        <v>118</v>
      </c>
      <c r="H2327">
        <v>61</v>
      </c>
      <c r="I2327" t="s">
        <v>20</v>
      </c>
      <c r="J2327">
        <v>0</v>
      </c>
      <c r="K2327">
        <v>0</v>
      </c>
      <c r="L2327">
        <v>0</v>
      </c>
      <c r="M2327">
        <v>0</v>
      </c>
      <c r="N2327">
        <v>0</v>
      </c>
      <c r="O2327">
        <v>0</v>
      </c>
      <c r="P2327">
        <v>0</v>
      </c>
      <c r="Q2327">
        <v>0</v>
      </c>
      <c r="R2327">
        <v>0</v>
      </c>
      <c r="S2327">
        <v>0</v>
      </c>
      <c r="T2327">
        <v>0</v>
      </c>
      <c r="U2327" t="str">
        <f>IF(SeismicData[[#This Row],[class]]=1,"Dangerous","Safe")</f>
        <v>Safe</v>
      </c>
      <c r="V2327" t="str">
        <f>IF(SeismicData[[#This Row],[shift]]="W","Production","Non-Production")</f>
        <v>Non-Production</v>
      </c>
      <c r="W2327" t="str">
        <f>IF(SeismicData[[#This Row],[genergy]]=0,"0","10^"&amp;INT(LOG10(SeismicData[[#This Row],[genergy]])))</f>
        <v>10^4</v>
      </c>
      <c r="X2327" t="str">
        <f>IF(OR(SeismicData[[#This Row],[genergy]]&lt;$AA$6,SeismicData[[#This Row],[genergy]]&gt;$AA$5),"Outlier","Normal")</f>
        <v>Normal</v>
      </c>
    </row>
    <row r="2328" spans="1:24" x14ac:dyDescent="0.15">
      <c r="A2328">
        <v>2327</v>
      </c>
      <c r="B2328" t="s">
        <v>23</v>
      </c>
      <c r="C2328" t="s">
        <v>20</v>
      </c>
      <c r="D2328" t="s">
        <v>22</v>
      </c>
      <c r="E2328">
        <v>21510</v>
      </c>
      <c r="F2328">
        <v>334</v>
      </c>
      <c r="G2328">
        <v>-28</v>
      </c>
      <c r="H2328">
        <v>-25</v>
      </c>
      <c r="I2328" t="s">
        <v>20</v>
      </c>
      <c r="J2328">
        <v>0</v>
      </c>
      <c r="K2328">
        <v>0</v>
      </c>
      <c r="L2328">
        <v>0</v>
      </c>
      <c r="M2328">
        <v>0</v>
      </c>
      <c r="N2328">
        <v>0</v>
      </c>
      <c r="O2328">
        <v>0</v>
      </c>
      <c r="P2328">
        <v>0</v>
      </c>
      <c r="Q2328">
        <v>0</v>
      </c>
      <c r="R2328">
        <v>0</v>
      </c>
      <c r="S2328">
        <v>0</v>
      </c>
      <c r="T2328">
        <v>0</v>
      </c>
      <c r="U2328" t="str">
        <f>IF(SeismicData[[#This Row],[class]]=1,"Dangerous","Safe")</f>
        <v>Safe</v>
      </c>
      <c r="V2328" t="str">
        <f>IF(SeismicData[[#This Row],[shift]]="W","Production","Non-Production")</f>
        <v>Production</v>
      </c>
      <c r="W2328" t="str">
        <f>IF(SeismicData[[#This Row],[genergy]]=0,"0","10^"&amp;INT(LOG10(SeismicData[[#This Row],[genergy]])))</f>
        <v>10^4</v>
      </c>
      <c r="X2328" t="str">
        <f>IF(OR(SeismicData[[#This Row],[genergy]]&lt;$AA$6,SeismicData[[#This Row],[genergy]]&gt;$AA$5),"Outlier","Normal")</f>
        <v>Normal</v>
      </c>
    </row>
    <row r="2329" spans="1:24" x14ac:dyDescent="0.15">
      <c r="A2329">
        <v>2328</v>
      </c>
      <c r="B2329" t="s">
        <v>23</v>
      </c>
      <c r="C2329" t="s">
        <v>20</v>
      </c>
      <c r="D2329" t="s">
        <v>22</v>
      </c>
      <c r="E2329">
        <v>17880</v>
      </c>
      <c r="F2329">
        <v>237</v>
      </c>
      <c r="G2329">
        <v>-40</v>
      </c>
      <c r="H2329">
        <v>-47</v>
      </c>
      <c r="I2329" t="s">
        <v>20</v>
      </c>
      <c r="J2329">
        <v>1</v>
      </c>
      <c r="K2329">
        <v>0</v>
      </c>
      <c r="L2329">
        <v>1</v>
      </c>
      <c r="M2329">
        <v>0</v>
      </c>
      <c r="N2329">
        <v>0</v>
      </c>
      <c r="O2329">
        <v>0</v>
      </c>
      <c r="P2329">
        <v>0</v>
      </c>
      <c r="Q2329">
        <v>0</v>
      </c>
      <c r="R2329">
        <v>3000</v>
      </c>
      <c r="S2329">
        <v>3000</v>
      </c>
      <c r="T2329">
        <v>0</v>
      </c>
      <c r="U2329" t="str">
        <f>IF(SeismicData[[#This Row],[class]]=1,"Dangerous","Safe")</f>
        <v>Safe</v>
      </c>
      <c r="V2329" t="str">
        <f>IF(SeismicData[[#This Row],[shift]]="W","Production","Non-Production")</f>
        <v>Production</v>
      </c>
      <c r="W2329" t="str">
        <f>IF(SeismicData[[#This Row],[genergy]]=0,"0","10^"&amp;INT(LOG10(SeismicData[[#This Row],[genergy]])))</f>
        <v>10^4</v>
      </c>
      <c r="X2329" t="str">
        <f>IF(OR(SeismicData[[#This Row],[genergy]]&lt;$AA$6,SeismicData[[#This Row],[genergy]]&gt;$AA$5),"Outlier","Normal")</f>
        <v>Normal</v>
      </c>
    </row>
    <row r="2330" spans="1:24" x14ac:dyDescent="0.15">
      <c r="A2330">
        <v>2329</v>
      </c>
      <c r="B2330" t="s">
        <v>23</v>
      </c>
      <c r="C2330" t="s">
        <v>20</v>
      </c>
      <c r="D2330" t="s">
        <v>22</v>
      </c>
      <c r="E2330">
        <v>19180</v>
      </c>
      <c r="F2330">
        <v>289</v>
      </c>
      <c r="G2330">
        <v>-36</v>
      </c>
      <c r="H2330">
        <v>-35</v>
      </c>
      <c r="I2330" t="s">
        <v>20</v>
      </c>
      <c r="J2330">
        <v>0</v>
      </c>
      <c r="K2330">
        <v>0</v>
      </c>
      <c r="L2330">
        <v>0</v>
      </c>
      <c r="M2330">
        <v>0</v>
      </c>
      <c r="N2330">
        <v>0</v>
      </c>
      <c r="O2330">
        <v>0</v>
      </c>
      <c r="P2330">
        <v>0</v>
      </c>
      <c r="Q2330">
        <v>0</v>
      </c>
      <c r="R2330">
        <v>0</v>
      </c>
      <c r="S2330">
        <v>0</v>
      </c>
      <c r="T2330">
        <v>0</v>
      </c>
      <c r="U2330" t="str">
        <f>IF(SeismicData[[#This Row],[class]]=1,"Dangerous","Safe")</f>
        <v>Safe</v>
      </c>
      <c r="V2330" t="str">
        <f>IF(SeismicData[[#This Row],[shift]]="W","Production","Non-Production")</f>
        <v>Production</v>
      </c>
      <c r="W2330" t="str">
        <f>IF(SeismicData[[#This Row],[genergy]]=0,"0","10^"&amp;INT(LOG10(SeismicData[[#This Row],[genergy]])))</f>
        <v>10^4</v>
      </c>
      <c r="X2330" t="str">
        <f>IF(OR(SeismicData[[#This Row],[genergy]]&lt;$AA$6,SeismicData[[#This Row],[genergy]]&gt;$AA$5),"Outlier","Normal")</f>
        <v>Normal</v>
      </c>
    </row>
    <row r="2331" spans="1:24" x14ac:dyDescent="0.15">
      <c r="A2331">
        <v>2330</v>
      </c>
      <c r="B2331" t="s">
        <v>23</v>
      </c>
      <c r="C2331" t="s">
        <v>20</v>
      </c>
      <c r="D2331" t="s">
        <v>22</v>
      </c>
      <c r="E2331">
        <v>34800</v>
      </c>
      <c r="F2331">
        <v>450</v>
      </c>
      <c r="G2331">
        <v>17</v>
      </c>
      <c r="H2331">
        <v>1</v>
      </c>
      <c r="I2331" t="s">
        <v>20</v>
      </c>
      <c r="J2331">
        <v>2</v>
      </c>
      <c r="K2331">
        <v>1</v>
      </c>
      <c r="L2331">
        <v>1</v>
      </c>
      <c r="M2331">
        <v>0</v>
      </c>
      <c r="N2331">
        <v>0</v>
      </c>
      <c r="O2331">
        <v>0</v>
      </c>
      <c r="P2331">
        <v>0</v>
      </c>
      <c r="Q2331">
        <v>0</v>
      </c>
      <c r="R2331">
        <v>3200</v>
      </c>
      <c r="S2331">
        <v>3000</v>
      </c>
      <c r="T2331">
        <v>0</v>
      </c>
      <c r="U2331" t="str">
        <f>IF(SeismicData[[#This Row],[class]]=1,"Dangerous","Safe")</f>
        <v>Safe</v>
      </c>
      <c r="V2331" t="str">
        <f>IF(SeismicData[[#This Row],[shift]]="W","Production","Non-Production")</f>
        <v>Production</v>
      </c>
      <c r="W2331" t="str">
        <f>IF(SeismicData[[#This Row],[genergy]]=0,"0","10^"&amp;INT(LOG10(SeismicData[[#This Row],[genergy]])))</f>
        <v>10^4</v>
      </c>
      <c r="X2331" t="str">
        <f>IF(OR(SeismicData[[#This Row],[genergy]]&lt;$AA$6,SeismicData[[#This Row],[genergy]]&gt;$AA$5),"Outlier","Normal")</f>
        <v>Normal</v>
      </c>
    </row>
    <row r="2332" spans="1:24" x14ac:dyDescent="0.15">
      <c r="A2332">
        <v>2331</v>
      </c>
      <c r="B2332" t="s">
        <v>23</v>
      </c>
      <c r="C2332" t="s">
        <v>20</v>
      </c>
      <c r="D2332" t="s">
        <v>22</v>
      </c>
      <c r="E2332">
        <v>35010</v>
      </c>
      <c r="F2332">
        <v>390</v>
      </c>
      <c r="G2332">
        <v>18</v>
      </c>
      <c r="H2332">
        <v>-13</v>
      </c>
      <c r="I2332" t="s">
        <v>20</v>
      </c>
      <c r="J2332">
        <v>0</v>
      </c>
      <c r="K2332">
        <v>0</v>
      </c>
      <c r="L2332">
        <v>0</v>
      </c>
      <c r="M2332">
        <v>0</v>
      </c>
      <c r="N2332">
        <v>0</v>
      </c>
      <c r="O2332">
        <v>0</v>
      </c>
      <c r="P2332">
        <v>0</v>
      </c>
      <c r="Q2332">
        <v>0</v>
      </c>
      <c r="R2332">
        <v>0</v>
      </c>
      <c r="S2332">
        <v>0</v>
      </c>
      <c r="T2332">
        <v>0</v>
      </c>
      <c r="U2332" t="str">
        <f>IF(SeismicData[[#This Row],[class]]=1,"Dangerous","Safe")</f>
        <v>Safe</v>
      </c>
      <c r="V2332" t="str">
        <f>IF(SeismicData[[#This Row],[shift]]="W","Production","Non-Production")</f>
        <v>Production</v>
      </c>
      <c r="W2332" t="str">
        <f>IF(SeismicData[[#This Row],[genergy]]=0,"0","10^"&amp;INT(LOG10(SeismicData[[#This Row],[genergy]])))</f>
        <v>10^4</v>
      </c>
      <c r="X2332" t="str">
        <f>IF(OR(SeismicData[[#This Row],[genergy]]&lt;$AA$6,SeismicData[[#This Row],[genergy]]&gt;$AA$5),"Outlier","Normal")</f>
        <v>Normal</v>
      </c>
    </row>
    <row r="2333" spans="1:24" x14ac:dyDescent="0.15">
      <c r="A2333">
        <v>2332</v>
      </c>
      <c r="B2333" t="s">
        <v>23</v>
      </c>
      <c r="C2333" t="s">
        <v>20</v>
      </c>
      <c r="D2333" t="s">
        <v>22</v>
      </c>
      <c r="E2333">
        <v>9140</v>
      </c>
      <c r="F2333">
        <v>335</v>
      </c>
      <c r="G2333">
        <v>-69</v>
      </c>
      <c r="H2333">
        <v>-25</v>
      </c>
      <c r="I2333" t="s">
        <v>20</v>
      </c>
      <c r="J2333">
        <v>0</v>
      </c>
      <c r="K2333">
        <v>0</v>
      </c>
      <c r="L2333">
        <v>0</v>
      </c>
      <c r="M2333">
        <v>0</v>
      </c>
      <c r="N2333">
        <v>0</v>
      </c>
      <c r="O2333">
        <v>0</v>
      </c>
      <c r="P2333">
        <v>0</v>
      </c>
      <c r="Q2333">
        <v>0</v>
      </c>
      <c r="R2333">
        <v>0</v>
      </c>
      <c r="S2333">
        <v>0</v>
      </c>
      <c r="T2333">
        <v>0</v>
      </c>
      <c r="U2333" t="str">
        <f>IF(SeismicData[[#This Row],[class]]=1,"Dangerous","Safe")</f>
        <v>Safe</v>
      </c>
      <c r="V2333" t="str">
        <f>IF(SeismicData[[#This Row],[shift]]="W","Production","Non-Production")</f>
        <v>Production</v>
      </c>
      <c r="W2333" t="str">
        <f>IF(SeismicData[[#This Row],[genergy]]=0,"0","10^"&amp;INT(LOG10(SeismicData[[#This Row],[genergy]])))</f>
        <v>10^3</v>
      </c>
      <c r="X2333" t="str">
        <f>IF(OR(SeismicData[[#This Row],[genergy]]&lt;$AA$6,SeismicData[[#This Row],[genergy]]&gt;$AA$5),"Outlier","Normal")</f>
        <v>Normal</v>
      </c>
    </row>
    <row r="2334" spans="1:24" x14ac:dyDescent="0.15">
      <c r="A2334">
        <v>2333</v>
      </c>
      <c r="B2334" t="s">
        <v>23</v>
      </c>
      <c r="C2334" t="s">
        <v>20</v>
      </c>
      <c r="D2334" t="s">
        <v>22</v>
      </c>
      <c r="E2334">
        <v>23260</v>
      </c>
      <c r="F2334">
        <v>483</v>
      </c>
      <c r="G2334">
        <v>-22</v>
      </c>
      <c r="H2334">
        <v>8</v>
      </c>
      <c r="I2334" t="s">
        <v>20</v>
      </c>
      <c r="J2334">
        <v>0</v>
      </c>
      <c r="K2334">
        <v>0</v>
      </c>
      <c r="L2334">
        <v>0</v>
      </c>
      <c r="M2334">
        <v>0</v>
      </c>
      <c r="N2334">
        <v>0</v>
      </c>
      <c r="O2334">
        <v>0</v>
      </c>
      <c r="P2334">
        <v>0</v>
      </c>
      <c r="Q2334">
        <v>0</v>
      </c>
      <c r="R2334">
        <v>0</v>
      </c>
      <c r="S2334">
        <v>0</v>
      </c>
      <c r="T2334">
        <v>0</v>
      </c>
      <c r="U2334" t="str">
        <f>IF(SeismicData[[#This Row],[class]]=1,"Dangerous","Safe")</f>
        <v>Safe</v>
      </c>
      <c r="V2334" t="str">
        <f>IF(SeismicData[[#This Row],[shift]]="W","Production","Non-Production")</f>
        <v>Production</v>
      </c>
      <c r="W2334" t="str">
        <f>IF(SeismicData[[#This Row],[genergy]]=0,"0","10^"&amp;INT(LOG10(SeismicData[[#This Row],[genergy]])))</f>
        <v>10^4</v>
      </c>
      <c r="X2334" t="str">
        <f>IF(OR(SeismicData[[#This Row],[genergy]]&lt;$AA$6,SeismicData[[#This Row],[genergy]]&gt;$AA$5),"Outlier","Normal")</f>
        <v>Normal</v>
      </c>
    </row>
    <row r="2335" spans="1:24" x14ac:dyDescent="0.15">
      <c r="A2335">
        <v>2334</v>
      </c>
      <c r="B2335" t="s">
        <v>23</v>
      </c>
      <c r="C2335" t="s">
        <v>20</v>
      </c>
      <c r="D2335" t="s">
        <v>22</v>
      </c>
      <c r="E2335">
        <v>55120</v>
      </c>
      <c r="F2335">
        <v>713</v>
      </c>
      <c r="G2335">
        <v>85</v>
      </c>
      <c r="H2335">
        <v>59</v>
      </c>
      <c r="I2335" t="s">
        <v>20</v>
      </c>
      <c r="J2335">
        <v>2</v>
      </c>
      <c r="K2335">
        <v>1</v>
      </c>
      <c r="L2335">
        <v>1</v>
      </c>
      <c r="M2335">
        <v>0</v>
      </c>
      <c r="N2335">
        <v>0</v>
      </c>
      <c r="O2335">
        <v>0</v>
      </c>
      <c r="P2335">
        <v>0</v>
      </c>
      <c r="Q2335">
        <v>0</v>
      </c>
      <c r="R2335">
        <v>9200</v>
      </c>
      <c r="S2335">
        <v>9000</v>
      </c>
      <c r="T2335">
        <v>0</v>
      </c>
      <c r="U2335" t="str">
        <f>IF(SeismicData[[#This Row],[class]]=1,"Dangerous","Safe")</f>
        <v>Safe</v>
      </c>
      <c r="V2335" t="str">
        <f>IF(SeismicData[[#This Row],[shift]]="W","Production","Non-Production")</f>
        <v>Production</v>
      </c>
      <c r="W2335" t="str">
        <f>IF(SeismicData[[#This Row],[genergy]]=0,"0","10^"&amp;INT(LOG10(SeismicData[[#This Row],[genergy]])))</f>
        <v>10^4</v>
      </c>
      <c r="X2335" t="str">
        <f>IF(OR(SeismicData[[#This Row],[genergy]]&lt;$AA$6,SeismicData[[#This Row],[genergy]]&gt;$AA$5),"Outlier","Normal")</f>
        <v>Normal</v>
      </c>
    </row>
    <row r="2336" spans="1:24" x14ac:dyDescent="0.15">
      <c r="A2336">
        <v>2335</v>
      </c>
      <c r="B2336" t="s">
        <v>23</v>
      </c>
      <c r="C2336" t="s">
        <v>20</v>
      </c>
      <c r="D2336" t="s">
        <v>22</v>
      </c>
      <c r="E2336">
        <v>16450</v>
      </c>
      <c r="F2336">
        <v>378</v>
      </c>
      <c r="G2336">
        <v>-48</v>
      </c>
      <c r="H2336">
        <v>-16</v>
      </c>
      <c r="I2336" t="s">
        <v>20</v>
      </c>
      <c r="J2336">
        <v>0</v>
      </c>
      <c r="K2336">
        <v>0</v>
      </c>
      <c r="L2336">
        <v>0</v>
      </c>
      <c r="M2336">
        <v>0</v>
      </c>
      <c r="N2336">
        <v>0</v>
      </c>
      <c r="O2336">
        <v>0</v>
      </c>
      <c r="P2336">
        <v>0</v>
      </c>
      <c r="Q2336">
        <v>0</v>
      </c>
      <c r="R2336">
        <v>0</v>
      </c>
      <c r="S2336">
        <v>0</v>
      </c>
      <c r="T2336">
        <v>0</v>
      </c>
      <c r="U2336" t="str">
        <f>IF(SeismicData[[#This Row],[class]]=1,"Dangerous","Safe")</f>
        <v>Safe</v>
      </c>
      <c r="V2336" t="str">
        <f>IF(SeismicData[[#This Row],[shift]]="W","Production","Non-Production")</f>
        <v>Production</v>
      </c>
      <c r="W2336" t="str">
        <f>IF(SeismicData[[#This Row],[genergy]]=0,"0","10^"&amp;INT(LOG10(SeismicData[[#This Row],[genergy]])))</f>
        <v>10^4</v>
      </c>
      <c r="X2336" t="str">
        <f>IF(OR(SeismicData[[#This Row],[genergy]]&lt;$AA$6,SeismicData[[#This Row],[genergy]]&gt;$AA$5),"Outlier","Normal")</f>
        <v>Normal</v>
      </c>
    </row>
    <row r="2337" spans="1:24" x14ac:dyDescent="0.15">
      <c r="A2337">
        <v>2336</v>
      </c>
      <c r="B2337" t="s">
        <v>23</v>
      </c>
      <c r="C2337" t="s">
        <v>20</v>
      </c>
      <c r="D2337" t="s">
        <v>22</v>
      </c>
      <c r="E2337">
        <v>20660</v>
      </c>
      <c r="F2337">
        <v>400</v>
      </c>
      <c r="G2337">
        <v>-34</v>
      </c>
      <c r="H2337">
        <v>-11</v>
      </c>
      <c r="I2337" t="s">
        <v>20</v>
      </c>
      <c r="J2337">
        <v>1</v>
      </c>
      <c r="K2337">
        <v>1</v>
      </c>
      <c r="L2337">
        <v>0</v>
      </c>
      <c r="M2337">
        <v>0</v>
      </c>
      <c r="N2337">
        <v>0</v>
      </c>
      <c r="O2337">
        <v>0</v>
      </c>
      <c r="P2337">
        <v>0</v>
      </c>
      <c r="Q2337">
        <v>0</v>
      </c>
      <c r="R2337">
        <v>400</v>
      </c>
      <c r="S2337">
        <v>400</v>
      </c>
      <c r="T2337">
        <v>0</v>
      </c>
      <c r="U2337" t="str">
        <f>IF(SeismicData[[#This Row],[class]]=1,"Dangerous","Safe")</f>
        <v>Safe</v>
      </c>
      <c r="V2337" t="str">
        <f>IF(SeismicData[[#This Row],[shift]]="W","Production","Non-Production")</f>
        <v>Production</v>
      </c>
      <c r="W2337" t="str">
        <f>IF(SeismicData[[#This Row],[genergy]]=0,"0","10^"&amp;INT(LOG10(SeismicData[[#This Row],[genergy]])))</f>
        <v>10^4</v>
      </c>
      <c r="X2337" t="str">
        <f>IF(OR(SeismicData[[#This Row],[genergy]]&lt;$AA$6,SeismicData[[#This Row],[genergy]]&gt;$AA$5),"Outlier","Normal")</f>
        <v>Normal</v>
      </c>
    </row>
    <row r="2338" spans="1:24" x14ac:dyDescent="0.15">
      <c r="A2338">
        <v>2337</v>
      </c>
      <c r="B2338" t="s">
        <v>23</v>
      </c>
      <c r="C2338" t="s">
        <v>20</v>
      </c>
      <c r="D2338" t="s">
        <v>22</v>
      </c>
      <c r="E2338">
        <v>30140</v>
      </c>
      <c r="F2338">
        <v>426</v>
      </c>
      <c r="G2338">
        <v>-4</v>
      </c>
      <c r="H2338">
        <v>-5</v>
      </c>
      <c r="I2338" t="s">
        <v>20</v>
      </c>
      <c r="J2338">
        <v>4</v>
      </c>
      <c r="K2338">
        <v>1</v>
      </c>
      <c r="L2338">
        <v>3</v>
      </c>
      <c r="M2338">
        <v>0</v>
      </c>
      <c r="N2338">
        <v>0</v>
      </c>
      <c r="O2338">
        <v>0</v>
      </c>
      <c r="P2338">
        <v>0</v>
      </c>
      <c r="Q2338">
        <v>0</v>
      </c>
      <c r="R2338">
        <v>11900</v>
      </c>
      <c r="S2338">
        <v>6000</v>
      </c>
      <c r="T2338">
        <v>0</v>
      </c>
      <c r="U2338" t="str">
        <f>IF(SeismicData[[#This Row],[class]]=1,"Dangerous","Safe")</f>
        <v>Safe</v>
      </c>
      <c r="V2338" t="str">
        <f>IF(SeismicData[[#This Row],[shift]]="W","Production","Non-Production")</f>
        <v>Production</v>
      </c>
      <c r="W2338" t="str">
        <f>IF(SeismicData[[#This Row],[genergy]]=0,"0","10^"&amp;INT(LOG10(SeismicData[[#This Row],[genergy]])))</f>
        <v>10^4</v>
      </c>
      <c r="X2338" t="str">
        <f>IF(OR(SeismicData[[#This Row],[genergy]]&lt;$AA$6,SeismicData[[#This Row],[genergy]]&gt;$AA$5),"Outlier","Normal")</f>
        <v>Normal</v>
      </c>
    </row>
    <row r="2339" spans="1:24" x14ac:dyDescent="0.15">
      <c r="A2339">
        <v>2338</v>
      </c>
      <c r="B2339" t="s">
        <v>23</v>
      </c>
      <c r="C2339" t="s">
        <v>20</v>
      </c>
      <c r="D2339" t="s">
        <v>22</v>
      </c>
      <c r="E2339">
        <v>52120</v>
      </c>
      <c r="F2339">
        <v>695</v>
      </c>
      <c r="G2339">
        <v>66</v>
      </c>
      <c r="H2339">
        <v>55</v>
      </c>
      <c r="I2339" t="s">
        <v>20</v>
      </c>
      <c r="J2339">
        <v>1</v>
      </c>
      <c r="K2339">
        <v>0</v>
      </c>
      <c r="L2339">
        <v>1</v>
      </c>
      <c r="M2339">
        <v>0</v>
      </c>
      <c r="N2339">
        <v>0</v>
      </c>
      <c r="O2339">
        <v>0</v>
      </c>
      <c r="P2339">
        <v>0</v>
      </c>
      <c r="Q2339">
        <v>0</v>
      </c>
      <c r="R2339">
        <v>2000</v>
      </c>
      <c r="S2339">
        <v>2000</v>
      </c>
      <c r="T2339">
        <v>0</v>
      </c>
      <c r="U2339" t="str">
        <f>IF(SeismicData[[#This Row],[class]]=1,"Dangerous","Safe")</f>
        <v>Safe</v>
      </c>
      <c r="V2339" t="str">
        <f>IF(SeismicData[[#This Row],[shift]]="W","Production","Non-Production")</f>
        <v>Production</v>
      </c>
      <c r="W2339" t="str">
        <f>IF(SeismicData[[#This Row],[genergy]]=0,"0","10^"&amp;INT(LOG10(SeismicData[[#This Row],[genergy]])))</f>
        <v>10^4</v>
      </c>
      <c r="X2339" t="str">
        <f>IF(OR(SeismicData[[#This Row],[genergy]]&lt;$AA$6,SeismicData[[#This Row],[genergy]]&gt;$AA$5),"Outlier","Normal")</f>
        <v>Normal</v>
      </c>
    </row>
    <row r="2340" spans="1:24" x14ac:dyDescent="0.15">
      <c r="A2340">
        <v>2339</v>
      </c>
      <c r="B2340" t="s">
        <v>23</v>
      </c>
      <c r="C2340" t="s">
        <v>20</v>
      </c>
      <c r="D2340" t="s">
        <v>22</v>
      </c>
      <c r="E2340">
        <v>25850</v>
      </c>
      <c r="F2340">
        <v>504</v>
      </c>
      <c r="G2340">
        <v>-18</v>
      </c>
      <c r="H2340">
        <v>13</v>
      </c>
      <c r="I2340" t="s">
        <v>20</v>
      </c>
      <c r="J2340">
        <v>0</v>
      </c>
      <c r="K2340">
        <v>0</v>
      </c>
      <c r="L2340">
        <v>0</v>
      </c>
      <c r="M2340">
        <v>0</v>
      </c>
      <c r="N2340">
        <v>0</v>
      </c>
      <c r="O2340">
        <v>0</v>
      </c>
      <c r="P2340">
        <v>0</v>
      </c>
      <c r="Q2340">
        <v>0</v>
      </c>
      <c r="R2340">
        <v>0</v>
      </c>
      <c r="S2340">
        <v>0</v>
      </c>
      <c r="T2340">
        <v>0</v>
      </c>
      <c r="U2340" t="str">
        <f>IF(SeismicData[[#This Row],[class]]=1,"Dangerous","Safe")</f>
        <v>Safe</v>
      </c>
      <c r="V2340" t="str">
        <f>IF(SeismicData[[#This Row],[shift]]="W","Production","Non-Production")</f>
        <v>Production</v>
      </c>
      <c r="W2340" t="str">
        <f>IF(SeismicData[[#This Row],[genergy]]=0,"0","10^"&amp;INT(LOG10(SeismicData[[#This Row],[genergy]])))</f>
        <v>10^4</v>
      </c>
      <c r="X2340" t="str">
        <f>IF(OR(SeismicData[[#This Row],[genergy]]&lt;$AA$6,SeismicData[[#This Row],[genergy]]&gt;$AA$5),"Outlier","Normal")</f>
        <v>Normal</v>
      </c>
    </row>
    <row r="2341" spans="1:24" x14ac:dyDescent="0.15">
      <c r="A2341">
        <v>2340</v>
      </c>
      <c r="B2341" t="s">
        <v>23</v>
      </c>
      <c r="C2341" t="s">
        <v>20</v>
      </c>
      <c r="D2341" t="s">
        <v>22</v>
      </c>
      <c r="E2341">
        <v>25160</v>
      </c>
      <c r="F2341">
        <v>411</v>
      </c>
      <c r="G2341">
        <v>-20</v>
      </c>
      <c r="H2341">
        <v>-8</v>
      </c>
      <c r="I2341" t="s">
        <v>20</v>
      </c>
      <c r="J2341">
        <v>0</v>
      </c>
      <c r="K2341">
        <v>0</v>
      </c>
      <c r="L2341">
        <v>0</v>
      </c>
      <c r="M2341">
        <v>0</v>
      </c>
      <c r="N2341">
        <v>0</v>
      </c>
      <c r="O2341">
        <v>0</v>
      </c>
      <c r="P2341">
        <v>0</v>
      </c>
      <c r="Q2341">
        <v>0</v>
      </c>
      <c r="R2341">
        <v>0</v>
      </c>
      <c r="S2341">
        <v>0</v>
      </c>
      <c r="T2341">
        <v>1</v>
      </c>
      <c r="U2341" t="str">
        <f>IF(SeismicData[[#This Row],[class]]=1,"Dangerous","Safe")</f>
        <v>Dangerous</v>
      </c>
      <c r="V2341" t="str">
        <f>IF(SeismicData[[#This Row],[shift]]="W","Production","Non-Production")</f>
        <v>Production</v>
      </c>
      <c r="W2341" t="str">
        <f>IF(SeismicData[[#This Row],[genergy]]=0,"0","10^"&amp;INT(LOG10(SeismicData[[#This Row],[genergy]])))</f>
        <v>10^4</v>
      </c>
      <c r="X2341" t="str">
        <f>IF(OR(SeismicData[[#This Row],[genergy]]&lt;$AA$6,SeismicData[[#This Row],[genergy]]&gt;$AA$5),"Outlier","Normal")</f>
        <v>Normal</v>
      </c>
    </row>
    <row r="2342" spans="1:24" x14ac:dyDescent="0.15">
      <c r="A2342">
        <v>2341</v>
      </c>
      <c r="B2342" t="s">
        <v>23</v>
      </c>
      <c r="C2342" t="s">
        <v>20</v>
      </c>
      <c r="D2342" t="s">
        <v>22</v>
      </c>
      <c r="E2342">
        <v>23860</v>
      </c>
      <c r="F2342">
        <v>389</v>
      </c>
      <c r="G2342">
        <v>-24</v>
      </c>
      <c r="H2342">
        <v>-13</v>
      </c>
      <c r="I2342" t="s">
        <v>20</v>
      </c>
      <c r="J2342">
        <v>1</v>
      </c>
      <c r="K2342">
        <v>0</v>
      </c>
      <c r="L2342">
        <v>0</v>
      </c>
      <c r="M2342">
        <v>1</v>
      </c>
      <c r="N2342">
        <v>0</v>
      </c>
      <c r="O2342">
        <v>0</v>
      </c>
      <c r="P2342">
        <v>0</v>
      </c>
      <c r="Q2342">
        <v>0</v>
      </c>
      <c r="R2342">
        <v>40000</v>
      </c>
      <c r="S2342">
        <v>40000</v>
      </c>
      <c r="T2342">
        <v>0</v>
      </c>
      <c r="U2342" t="str">
        <f>IF(SeismicData[[#This Row],[class]]=1,"Dangerous","Safe")</f>
        <v>Safe</v>
      </c>
      <c r="V2342" t="str">
        <f>IF(SeismicData[[#This Row],[shift]]="W","Production","Non-Production")</f>
        <v>Production</v>
      </c>
      <c r="W2342" t="str">
        <f>IF(SeismicData[[#This Row],[genergy]]=0,"0","10^"&amp;INT(LOG10(SeismicData[[#This Row],[genergy]])))</f>
        <v>10^4</v>
      </c>
      <c r="X2342" t="str">
        <f>IF(OR(SeismicData[[#This Row],[genergy]]&lt;$AA$6,SeismicData[[#This Row],[genergy]]&gt;$AA$5),"Outlier","Normal")</f>
        <v>Normal</v>
      </c>
    </row>
    <row r="2343" spans="1:24" x14ac:dyDescent="0.15">
      <c r="A2343">
        <v>2342</v>
      </c>
      <c r="B2343" t="s">
        <v>23</v>
      </c>
      <c r="C2343" t="s">
        <v>20</v>
      </c>
      <c r="D2343" t="s">
        <v>22</v>
      </c>
      <c r="E2343">
        <v>58660</v>
      </c>
      <c r="F2343">
        <v>728</v>
      </c>
      <c r="G2343">
        <v>87</v>
      </c>
      <c r="H2343">
        <v>63</v>
      </c>
      <c r="I2343" t="s">
        <v>20</v>
      </c>
      <c r="J2343">
        <v>2</v>
      </c>
      <c r="K2343">
        <v>1</v>
      </c>
      <c r="L2343">
        <v>1</v>
      </c>
      <c r="M2343">
        <v>0</v>
      </c>
      <c r="N2343">
        <v>0</v>
      </c>
      <c r="O2343">
        <v>0</v>
      </c>
      <c r="P2343">
        <v>0</v>
      </c>
      <c r="Q2343">
        <v>0</v>
      </c>
      <c r="R2343">
        <v>2400</v>
      </c>
      <c r="S2343">
        <v>2000</v>
      </c>
      <c r="T2343">
        <v>0</v>
      </c>
      <c r="U2343" t="str">
        <f>IF(SeismicData[[#This Row],[class]]=1,"Dangerous","Safe")</f>
        <v>Safe</v>
      </c>
      <c r="V2343" t="str">
        <f>IF(SeismicData[[#This Row],[shift]]="W","Production","Non-Production")</f>
        <v>Production</v>
      </c>
      <c r="W2343" t="str">
        <f>IF(SeismicData[[#This Row],[genergy]]=0,"0","10^"&amp;INT(LOG10(SeismicData[[#This Row],[genergy]])))</f>
        <v>10^4</v>
      </c>
      <c r="X2343" t="str">
        <f>IF(OR(SeismicData[[#This Row],[genergy]]&lt;$AA$6,SeismicData[[#This Row],[genergy]]&gt;$AA$5),"Outlier","Normal")</f>
        <v>Normal</v>
      </c>
    </row>
    <row r="2344" spans="1:24" x14ac:dyDescent="0.15">
      <c r="A2344">
        <v>2343</v>
      </c>
      <c r="B2344" t="s">
        <v>23</v>
      </c>
      <c r="C2344" t="s">
        <v>20</v>
      </c>
      <c r="D2344" t="s">
        <v>22</v>
      </c>
      <c r="E2344">
        <v>41060</v>
      </c>
      <c r="F2344">
        <v>555</v>
      </c>
      <c r="G2344">
        <v>30</v>
      </c>
      <c r="H2344">
        <v>27</v>
      </c>
      <c r="I2344" t="s">
        <v>20</v>
      </c>
      <c r="J2344">
        <v>0</v>
      </c>
      <c r="K2344">
        <v>0</v>
      </c>
      <c r="L2344">
        <v>0</v>
      </c>
      <c r="M2344">
        <v>0</v>
      </c>
      <c r="N2344">
        <v>0</v>
      </c>
      <c r="O2344">
        <v>0</v>
      </c>
      <c r="P2344">
        <v>0</v>
      </c>
      <c r="Q2344">
        <v>0</v>
      </c>
      <c r="R2344">
        <v>0</v>
      </c>
      <c r="S2344">
        <v>0</v>
      </c>
      <c r="T2344">
        <v>0</v>
      </c>
      <c r="U2344" t="str">
        <f>IF(SeismicData[[#This Row],[class]]=1,"Dangerous","Safe")</f>
        <v>Safe</v>
      </c>
      <c r="V2344" t="str">
        <f>IF(SeismicData[[#This Row],[shift]]="W","Production","Non-Production")</f>
        <v>Production</v>
      </c>
      <c r="W2344" t="str">
        <f>IF(SeismicData[[#This Row],[genergy]]=0,"0","10^"&amp;INT(LOG10(SeismicData[[#This Row],[genergy]])))</f>
        <v>10^4</v>
      </c>
      <c r="X2344" t="str">
        <f>IF(OR(SeismicData[[#This Row],[genergy]]&lt;$AA$6,SeismicData[[#This Row],[genergy]]&gt;$AA$5),"Outlier","Normal")</f>
        <v>Normal</v>
      </c>
    </row>
    <row r="2345" spans="1:24" x14ac:dyDescent="0.15">
      <c r="A2345">
        <v>2344</v>
      </c>
      <c r="B2345" t="s">
        <v>23</v>
      </c>
      <c r="C2345" t="s">
        <v>20</v>
      </c>
      <c r="D2345" t="s">
        <v>22</v>
      </c>
      <c r="E2345">
        <v>22440</v>
      </c>
      <c r="F2345">
        <v>483</v>
      </c>
      <c r="G2345">
        <v>-29</v>
      </c>
      <c r="H2345">
        <v>10</v>
      </c>
      <c r="I2345" t="s">
        <v>20</v>
      </c>
      <c r="J2345">
        <v>0</v>
      </c>
      <c r="K2345">
        <v>0</v>
      </c>
      <c r="L2345">
        <v>0</v>
      </c>
      <c r="M2345">
        <v>0</v>
      </c>
      <c r="N2345">
        <v>0</v>
      </c>
      <c r="O2345">
        <v>0</v>
      </c>
      <c r="P2345">
        <v>0</v>
      </c>
      <c r="Q2345">
        <v>0</v>
      </c>
      <c r="R2345">
        <v>0</v>
      </c>
      <c r="S2345">
        <v>0</v>
      </c>
      <c r="T2345">
        <v>0</v>
      </c>
      <c r="U2345" t="str">
        <f>IF(SeismicData[[#This Row],[class]]=1,"Dangerous","Safe")</f>
        <v>Safe</v>
      </c>
      <c r="V2345" t="str">
        <f>IF(SeismicData[[#This Row],[shift]]="W","Production","Non-Production")</f>
        <v>Production</v>
      </c>
      <c r="W2345" t="str">
        <f>IF(SeismicData[[#This Row],[genergy]]=0,"0","10^"&amp;INT(LOG10(SeismicData[[#This Row],[genergy]])))</f>
        <v>10^4</v>
      </c>
      <c r="X2345" t="str">
        <f>IF(OR(SeismicData[[#This Row],[genergy]]&lt;$AA$6,SeismicData[[#This Row],[genergy]]&gt;$AA$5),"Outlier","Normal")</f>
        <v>Normal</v>
      </c>
    </row>
    <row r="2346" spans="1:24" x14ac:dyDescent="0.15">
      <c r="A2346">
        <v>2345</v>
      </c>
      <c r="B2346" t="s">
        <v>23</v>
      </c>
      <c r="C2346" t="s">
        <v>20</v>
      </c>
      <c r="D2346" t="s">
        <v>22</v>
      </c>
      <c r="E2346">
        <v>24660</v>
      </c>
      <c r="F2346">
        <v>360</v>
      </c>
      <c r="G2346">
        <v>-22</v>
      </c>
      <c r="H2346">
        <v>-18</v>
      </c>
      <c r="I2346" t="s">
        <v>20</v>
      </c>
      <c r="J2346">
        <v>1</v>
      </c>
      <c r="K2346">
        <v>1</v>
      </c>
      <c r="L2346">
        <v>0</v>
      </c>
      <c r="M2346">
        <v>0</v>
      </c>
      <c r="N2346">
        <v>0</v>
      </c>
      <c r="O2346">
        <v>0</v>
      </c>
      <c r="P2346">
        <v>0</v>
      </c>
      <c r="Q2346">
        <v>0</v>
      </c>
      <c r="R2346">
        <v>400</v>
      </c>
      <c r="S2346">
        <v>400</v>
      </c>
      <c r="T2346">
        <v>0</v>
      </c>
      <c r="U2346" t="str">
        <f>IF(SeismicData[[#This Row],[class]]=1,"Dangerous","Safe")</f>
        <v>Safe</v>
      </c>
      <c r="V2346" t="str">
        <f>IF(SeismicData[[#This Row],[shift]]="W","Production","Non-Production")</f>
        <v>Production</v>
      </c>
      <c r="W2346" t="str">
        <f>IF(SeismicData[[#This Row],[genergy]]=0,"0","10^"&amp;INT(LOG10(SeismicData[[#This Row],[genergy]])))</f>
        <v>10^4</v>
      </c>
      <c r="X2346" t="str">
        <f>IF(OR(SeismicData[[#This Row],[genergy]]&lt;$AA$6,SeismicData[[#This Row],[genergy]]&gt;$AA$5),"Outlier","Normal")</f>
        <v>Normal</v>
      </c>
    </row>
    <row r="2347" spans="1:24" x14ac:dyDescent="0.15">
      <c r="A2347">
        <v>2346</v>
      </c>
      <c r="B2347" t="s">
        <v>23</v>
      </c>
      <c r="C2347" t="s">
        <v>20</v>
      </c>
      <c r="D2347" t="s">
        <v>22</v>
      </c>
      <c r="E2347">
        <v>43350</v>
      </c>
      <c r="F2347">
        <v>611</v>
      </c>
      <c r="G2347">
        <v>37</v>
      </c>
      <c r="H2347">
        <v>40</v>
      </c>
      <c r="I2347" t="s">
        <v>20</v>
      </c>
      <c r="J2347">
        <v>0</v>
      </c>
      <c r="K2347">
        <v>0</v>
      </c>
      <c r="L2347">
        <v>0</v>
      </c>
      <c r="M2347">
        <v>0</v>
      </c>
      <c r="N2347">
        <v>0</v>
      </c>
      <c r="O2347">
        <v>0</v>
      </c>
      <c r="P2347">
        <v>0</v>
      </c>
      <c r="Q2347">
        <v>0</v>
      </c>
      <c r="R2347">
        <v>0</v>
      </c>
      <c r="S2347">
        <v>0</v>
      </c>
      <c r="T2347">
        <v>0</v>
      </c>
      <c r="U2347" t="str">
        <f>IF(SeismicData[[#This Row],[class]]=1,"Dangerous","Safe")</f>
        <v>Safe</v>
      </c>
      <c r="V2347" t="str">
        <f>IF(SeismicData[[#This Row],[shift]]="W","Production","Non-Production")</f>
        <v>Production</v>
      </c>
      <c r="W2347" t="str">
        <f>IF(SeismicData[[#This Row],[genergy]]=0,"0","10^"&amp;INT(LOG10(SeismicData[[#This Row],[genergy]])))</f>
        <v>10^4</v>
      </c>
      <c r="X2347" t="str">
        <f>IF(OR(SeismicData[[#This Row],[genergy]]&lt;$AA$6,SeismicData[[#This Row],[genergy]]&gt;$AA$5),"Outlier","Normal")</f>
        <v>Normal</v>
      </c>
    </row>
    <row r="2348" spans="1:24" x14ac:dyDescent="0.15">
      <c r="A2348">
        <v>2347</v>
      </c>
      <c r="B2348" t="s">
        <v>23</v>
      </c>
      <c r="C2348" t="s">
        <v>20</v>
      </c>
      <c r="D2348" t="s">
        <v>22</v>
      </c>
      <c r="E2348">
        <v>17170</v>
      </c>
      <c r="F2348">
        <v>356</v>
      </c>
      <c r="G2348">
        <v>-46</v>
      </c>
      <c r="H2348">
        <v>-19</v>
      </c>
      <c r="I2348" t="s">
        <v>20</v>
      </c>
      <c r="J2348">
        <v>1</v>
      </c>
      <c r="K2348">
        <v>1</v>
      </c>
      <c r="L2348">
        <v>0</v>
      </c>
      <c r="M2348">
        <v>0</v>
      </c>
      <c r="N2348">
        <v>0</v>
      </c>
      <c r="O2348">
        <v>0</v>
      </c>
      <c r="P2348">
        <v>0</v>
      </c>
      <c r="Q2348">
        <v>0</v>
      </c>
      <c r="R2348">
        <v>500</v>
      </c>
      <c r="S2348">
        <v>500</v>
      </c>
      <c r="T2348">
        <v>0</v>
      </c>
      <c r="U2348" t="str">
        <f>IF(SeismicData[[#This Row],[class]]=1,"Dangerous","Safe")</f>
        <v>Safe</v>
      </c>
      <c r="V2348" t="str">
        <f>IF(SeismicData[[#This Row],[shift]]="W","Production","Non-Production")</f>
        <v>Production</v>
      </c>
      <c r="W2348" t="str">
        <f>IF(SeismicData[[#This Row],[genergy]]=0,"0","10^"&amp;INT(LOG10(SeismicData[[#This Row],[genergy]])))</f>
        <v>10^4</v>
      </c>
      <c r="X2348" t="str">
        <f>IF(OR(SeismicData[[#This Row],[genergy]]&lt;$AA$6,SeismicData[[#This Row],[genergy]]&gt;$AA$5),"Outlier","Normal")</f>
        <v>Normal</v>
      </c>
    </row>
    <row r="2349" spans="1:24" x14ac:dyDescent="0.15">
      <c r="A2349">
        <v>2348</v>
      </c>
      <c r="B2349" t="s">
        <v>23</v>
      </c>
      <c r="C2349" t="s">
        <v>20</v>
      </c>
      <c r="D2349" t="s">
        <v>22</v>
      </c>
      <c r="E2349">
        <v>60710</v>
      </c>
      <c r="F2349">
        <v>782</v>
      </c>
      <c r="G2349">
        <v>92</v>
      </c>
      <c r="H2349">
        <v>79</v>
      </c>
      <c r="I2349" t="s">
        <v>20</v>
      </c>
      <c r="J2349">
        <v>3</v>
      </c>
      <c r="K2349">
        <v>1</v>
      </c>
      <c r="L2349">
        <v>2</v>
      </c>
      <c r="M2349">
        <v>0</v>
      </c>
      <c r="N2349">
        <v>0</v>
      </c>
      <c r="O2349">
        <v>0</v>
      </c>
      <c r="P2349">
        <v>0</v>
      </c>
      <c r="Q2349">
        <v>0</v>
      </c>
      <c r="R2349">
        <v>4800</v>
      </c>
      <c r="S2349">
        <v>2000</v>
      </c>
      <c r="T2349">
        <v>0</v>
      </c>
      <c r="U2349" t="str">
        <f>IF(SeismicData[[#This Row],[class]]=1,"Dangerous","Safe")</f>
        <v>Safe</v>
      </c>
      <c r="V2349" t="str">
        <f>IF(SeismicData[[#This Row],[shift]]="W","Production","Non-Production")</f>
        <v>Production</v>
      </c>
      <c r="W2349" t="str">
        <f>IF(SeismicData[[#This Row],[genergy]]=0,"0","10^"&amp;INT(LOG10(SeismicData[[#This Row],[genergy]])))</f>
        <v>10^4</v>
      </c>
      <c r="X2349" t="str">
        <f>IF(OR(SeismicData[[#This Row],[genergy]]&lt;$AA$6,SeismicData[[#This Row],[genergy]]&gt;$AA$5),"Outlier","Normal")</f>
        <v>Normal</v>
      </c>
    </row>
    <row r="2350" spans="1:24" x14ac:dyDescent="0.15">
      <c r="A2350">
        <v>2349</v>
      </c>
      <c r="B2350" t="s">
        <v>23</v>
      </c>
      <c r="C2350" t="s">
        <v>20</v>
      </c>
      <c r="D2350" t="s">
        <v>21</v>
      </c>
      <c r="E2350">
        <v>28290</v>
      </c>
      <c r="F2350">
        <v>478</v>
      </c>
      <c r="G2350">
        <v>126</v>
      </c>
      <c r="H2350">
        <v>91</v>
      </c>
      <c r="I2350" t="s">
        <v>20</v>
      </c>
      <c r="J2350">
        <v>0</v>
      </c>
      <c r="K2350">
        <v>0</v>
      </c>
      <c r="L2350">
        <v>0</v>
      </c>
      <c r="M2350">
        <v>0</v>
      </c>
      <c r="N2350">
        <v>0</v>
      </c>
      <c r="O2350">
        <v>0</v>
      </c>
      <c r="P2350">
        <v>0</v>
      </c>
      <c r="Q2350">
        <v>0</v>
      </c>
      <c r="R2350">
        <v>0</v>
      </c>
      <c r="S2350">
        <v>0</v>
      </c>
      <c r="T2350">
        <v>0</v>
      </c>
      <c r="U2350" t="str">
        <f>IF(SeismicData[[#This Row],[class]]=1,"Dangerous","Safe")</f>
        <v>Safe</v>
      </c>
      <c r="V2350" t="str">
        <f>IF(SeismicData[[#This Row],[shift]]="W","Production","Non-Production")</f>
        <v>Non-Production</v>
      </c>
      <c r="W2350" t="str">
        <f>IF(SeismicData[[#This Row],[genergy]]=0,"0","10^"&amp;INT(LOG10(SeismicData[[#This Row],[genergy]])))</f>
        <v>10^4</v>
      </c>
      <c r="X2350" t="str">
        <f>IF(OR(SeismicData[[#This Row],[genergy]]&lt;$AA$6,SeismicData[[#This Row],[genergy]]&gt;$AA$5),"Outlier","Normal")</f>
        <v>Normal</v>
      </c>
    </row>
    <row r="2351" spans="1:24" x14ac:dyDescent="0.15">
      <c r="A2351">
        <v>2350</v>
      </c>
      <c r="B2351" t="s">
        <v>23</v>
      </c>
      <c r="C2351" t="s">
        <v>20</v>
      </c>
      <c r="D2351" t="s">
        <v>21</v>
      </c>
      <c r="E2351">
        <v>22710</v>
      </c>
      <c r="F2351">
        <v>385</v>
      </c>
      <c r="G2351">
        <v>82</v>
      </c>
      <c r="H2351">
        <v>54</v>
      </c>
      <c r="I2351" t="s">
        <v>20</v>
      </c>
      <c r="J2351">
        <v>0</v>
      </c>
      <c r="K2351">
        <v>0</v>
      </c>
      <c r="L2351">
        <v>0</v>
      </c>
      <c r="M2351">
        <v>0</v>
      </c>
      <c r="N2351">
        <v>0</v>
      </c>
      <c r="O2351">
        <v>0</v>
      </c>
      <c r="P2351">
        <v>0</v>
      </c>
      <c r="Q2351">
        <v>0</v>
      </c>
      <c r="R2351">
        <v>0</v>
      </c>
      <c r="S2351">
        <v>0</v>
      </c>
      <c r="T2351">
        <v>0</v>
      </c>
      <c r="U2351" t="str">
        <f>IF(SeismicData[[#This Row],[class]]=1,"Dangerous","Safe")</f>
        <v>Safe</v>
      </c>
      <c r="V2351" t="str">
        <f>IF(SeismicData[[#This Row],[shift]]="W","Production","Non-Production")</f>
        <v>Non-Production</v>
      </c>
      <c r="W2351" t="str">
        <f>IF(SeismicData[[#This Row],[genergy]]=0,"0","10^"&amp;INT(LOG10(SeismicData[[#This Row],[genergy]])))</f>
        <v>10^4</v>
      </c>
      <c r="X2351" t="str">
        <f>IF(OR(SeismicData[[#This Row],[genergy]]&lt;$AA$6,SeismicData[[#This Row],[genergy]]&gt;$AA$5),"Outlier","Normal")</f>
        <v>Normal</v>
      </c>
    </row>
    <row r="2352" spans="1:24" x14ac:dyDescent="0.15">
      <c r="A2352">
        <v>2351</v>
      </c>
      <c r="B2352" t="s">
        <v>23</v>
      </c>
      <c r="C2352" t="s">
        <v>20</v>
      </c>
      <c r="D2352" t="s">
        <v>22</v>
      </c>
      <c r="E2352">
        <v>9510</v>
      </c>
      <c r="F2352">
        <v>258</v>
      </c>
      <c r="G2352">
        <v>-71</v>
      </c>
      <c r="H2352">
        <v>-41</v>
      </c>
      <c r="I2352" t="s">
        <v>20</v>
      </c>
      <c r="J2352">
        <v>0</v>
      </c>
      <c r="K2352">
        <v>0</v>
      </c>
      <c r="L2352">
        <v>0</v>
      </c>
      <c r="M2352">
        <v>0</v>
      </c>
      <c r="N2352">
        <v>0</v>
      </c>
      <c r="O2352">
        <v>0</v>
      </c>
      <c r="P2352">
        <v>0</v>
      </c>
      <c r="Q2352">
        <v>0</v>
      </c>
      <c r="R2352">
        <v>0</v>
      </c>
      <c r="S2352">
        <v>0</v>
      </c>
      <c r="T2352">
        <v>0</v>
      </c>
      <c r="U2352" t="str">
        <f>IF(SeismicData[[#This Row],[class]]=1,"Dangerous","Safe")</f>
        <v>Safe</v>
      </c>
      <c r="V2352" t="str">
        <f>IF(SeismicData[[#This Row],[shift]]="W","Production","Non-Production")</f>
        <v>Production</v>
      </c>
      <c r="W2352" t="str">
        <f>IF(SeismicData[[#This Row],[genergy]]=0,"0","10^"&amp;INT(LOG10(SeismicData[[#This Row],[genergy]])))</f>
        <v>10^3</v>
      </c>
      <c r="X2352" t="str">
        <f>IF(OR(SeismicData[[#This Row],[genergy]]&lt;$AA$6,SeismicData[[#This Row],[genergy]]&gt;$AA$5),"Outlier","Normal")</f>
        <v>Normal</v>
      </c>
    </row>
    <row r="2353" spans="1:24" x14ac:dyDescent="0.15">
      <c r="A2353">
        <v>2352</v>
      </c>
      <c r="B2353" t="s">
        <v>23</v>
      </c>
      <c r="C2353" t="s">
        <v>20</v>
      </c>
      <c r="D2353" t="s">
        <v>22</v>
      </c>
      <c r="E2353">
        <v>16260</v>
      </c>
      <c r="F2353">
        <v>220</v>
      </c>
      <c r="G2353">
        <v>-50</v>
      </c>
      <c r="H2353">
        <v>-50</v>
      </c>
      <c r="I2353" t="s">
        <v>20</v>
      </c>
      <c r="J2353">
        <v>2</v>
      </c>
      <c r="K2353">
        <v>1</v>
      </c>
      <c r="L2353">
        <v>1</v>
      </c>
      <c r="M2353">
        <v>0</v>
      </c>
      <c r="N2353">
        <v>0</v>
      </c>
      <c r="O2353">
        <v>0</v>
      </c>
      <c r="P2353">
        <v>0</v>
      </c>
      <c r="Q2353">
        <v>0</v>
      </c>
      <c r="R2353">
        <v>3500</v>
      </c>
      <c r="S2353">
        <v>3000</v>
      </c>
      <c r="T2353">
        <v>0</v>
      </c>
      <c r="U2353" t="str">
        <f>IF(SeismicData[[#This Row],[class]]=1,"Dangerous","Safe")</f>
        <v>Safe</v>
      </c>
      <c r="V2353" t="str">
        <f>IF(SeismicData[[#This Row],[shift]]="W","Production","Non-Production")</f>
        <v>Production</v>
      </c>
      <c r="W2353" t="str">
        <f>IF(SeismicData[[#This Row],[genergy]]=0,"0","10^"&amp;INT(LOG10(SeismicData[[#This Row],[genergy]])))</f>
        <v>10^4</v>
      </c>
      <c r="X2353" t="str">
        <f>IF(OR(SeismicData[[#This Row],[genergy]]&lt;$AA$6,SeismicData[[#This Row],[genergy]]&gt;$AA$5),"Outlier","Normal")</f>
        <v>Normal</v>
      </c>
    </row>
    <row r="2354" spans="1:24" x14ac:dyDescent="0.15">
      <c r="A2354">
        <v>2353</v>
      </c>
      <c r="B2354" t="s">
        <v>23</v>
      </c>
      <c r="C2354" t="s">
        <v>20</v>
      </c>
      <c r="D2354" t="s">
        <v>22</v>
      </c>
      <c r="E2354">
        <v>10530</v>
      </c>
      <c r="F2354">
        <v>177</v>
      </c>
      <c r="G2354">
        <v>-67</v>
      </c>
      <c r="H2354">
        <v>-60</v>
      </c>
      <c r="I2354" t="s">
        <v>20</v>
      </c>
      <c r="J2354">
        <v>0</v>
      </c>
      <c r="K2354">
        <v>0</v>
      </c>
      <c r="L2354">
        <v>0</v>
      </c>
      <c r="M2354">
        <v>0</v>
      </c>
      <c r="N2354">
        <v>0</v>
      </c>
      <c r="O2354">
        <v>0</v>
      </c>
      <c r="P2354">
        <v>0</v>
      </c>
      <c r="Q2354">
        <v>0</v>
      </c>
      <c r="R2354">
        <v>0</v>
      </c>
      <c r="S2354">
        <v>0</v>
      </c>
      <c r="T2354">
        <v>0</v>
      </c>
      <c r="U2354" t="str">
        <f>IF(SeismicData[[#This Row],[class]]=1,"Dangerous","Safe")</f>
        <v>Safe</v>
      </c>
      <c r="V2354" t="str">
        <f>IF(SeismicData[[#This Row],[shift]]="W","Production","Non-Production")</f>
        <v>Production</v>
      </c>
      <c r="W2354" t="str">
        <f>IF(SeismicData[[#This Row],[genergy]]=0,"0","10^"&amp;INT(LOG10(SeismicData[[#This Row],[genergy]])))</f>
        <v>10^4</v>
      </c>
      <c r="X2354" t="str">
        <f>IF(OR(SeismicData[[#This Row],[genergy]]&lt;$AA$6,SeismicData[[#This Row],[genergy]]&gt;$AA$5),"Outlier","Normal")</f>
        <v>Normal</v>
      </c>
    </row>
    <row r="2355" spans="1:24" x14ac:dyDescent="0.15">
      <c r="A2355">
        <v>2354</v>
      </c>
      <c r="B2355" t="s">
        <v>23</v>
      </c>
      <c r="C2355" t="s">
        <v>20</v>
      </c>
      <c r="D2355" t="s">
        <v>22</v>
      </c>
      <c r="E2355">
        <v>47700</v>
      </c>
      <c r="F2355">
        <v>535</v>
      </c>
      <c r="G2355">
        <v>48</v>
      </c>
      <c r="H2355">
        <v>22</v>
      </c>
      <c r="I2355" t="s">
        <v>20</v>
      </c>
      <c r="J2355">
        <v>0</v>
      </c>
      <c r="K2355">
        <v>0</v>
      </c>
      <c r="L2355">
        <v>0</v>
      </c>
      <c r="M2355">
        <v>0</v>
      </c>
      <c r="N2355">
        <v>0</v>
      </c>
      <c r="O2355">
        <v>0</v>
      </c>
      <c r="P2355">
        <v>0</v>
      </c>
      <c r="Q2355">
        <v>0</v>
      </c>
      <c r="R2355">
        <v>0</v>
      </c>
      <c r="S2355">
        <v>0</v>
      </c>
      <c r="T2355">
        <v>0</v>
      </c>
      <c r="U2355" t="str">
        <f>IF(SeismicData[[#This Row],[class]]=1,"Dangerous","Safe")</f>
        <v>Safe</v>
      </c>
      <c r="V2355" t="str">
        <f>IF(SeismicData[[#This Row],[shift]]="W","Production","Non-Production")</f>
        <v>Production</v>
      </c>
      <c r="W2355" t="str">
        <f>IF(SeismicData[[#This Row],[genergy]]=0,"0","10^"&amp;INT(LOG10(SeismicData[[#This Row],[genergy]])))</f>
        <v>10^4</v>
      </c>
      <c r="X2355" t="str">
        <f>IF(OR(SeismicData[[#This Row],[genergy]]&lt;$AA$6,SeismicData[[#This Row],[genergy]]&gt;$AA$5),"Outlier","Normal")</f>
        <v>Normal</v>
      </c>
    </row>
    <row r="2356" spans="1:24" x14ac:dyDescent="0.15">
      <c r="A2356">
        <v>2355</v>
      </c>
      <c r="B2356" t="s">
        <v>23</v>
      </c>
      <c r="C2356" t="s">
        <v>20</v>
      </c>
      <c r="D2356" t="s">
        <v>22</v>
      </c>
      <c r="E2356">
        <v>34570</v>
      </c>
      <c r="F2356">
        <v>446</v>
      </c>
      <c r="G2356">
        <v>7</v>
      </c>
      <c r="H2356">
        <v>2</v>
      </c>
      <c r="I2356" t="s">
        <v>20</v>
      </c>
      <c r="J2356">
        <v>2</v>
      </c>
      <c r="K2356">
        <v>1</v>
      </c>
      <c r="L2356">
        <v>1</v>
      </c>
      <c r="M2356">
        <v>0</v>
      </c>
      <c r="N2356">
        <v>0</v>
      </c>
      <c r="O2356">
        <v>0</v>
      </c>
      <c r="P2356">
        <v>0</v>
      </c>
      <c r="Q2356">
        <v>0</v>
      </c>
      <c r="R2356">
        <v>3300</v>
      </c>
      <c r="S2356">
        <v>3000</v>
      </c>
      <c r="T2356">
        <v>0</v>
      </c>
      <c r="U2356" t="str">
        <f>IF(SeismicData[[#This Row],[class]]=1,"Dangerous","Safe")</f>
        <v>Safe</v>
      </c>
      <c r="V2356" t="str">
        <f>IF(SeismicData[[#This Row],[shift]]="W","Production","Non-Production")</f>
        <v>Production</v>
      </c>
      <c r="W2356" t="str">
        <f>IF(SeismicData[[#This Row],[genergy]]=0,"0","10^"&amp;INT(LOG10(SeismicData[[#This Row],[genergy]])))</f>
        <v>10^4</v>
      </c>
      <c r="X2356" t="str">
        <f>IF(OR(SeismicData[[#This Row],[genergy]]&lt;$AA$6,SeismicData[[#This Row],[genergy]]&gt;$AA$5),"Outlier","Normal")</f>
        <v>Normal</v>
      </c>
    </row>
    <row r="2357" spans="1:24" x14ac:dyDescent="0.15">
      <c r="A2357">
        <v>2356</v>
      </c>
      <c r="B2357" t="s">
        <v>23</v>
      </c>
      <c r="C2357" t="s">
        <v>20</v>
      </c>
      <c r="D2357" t="s">
        <v>22</v>
      </c>
      <c r="E2357">
        <v>7810</v>
      </c>
      <c r="F2357">
        <v>236</v>
      </c>
      <c r="G2357">
        <v>-76</v>
      </c>
      <c r="H2357">
        <v>-46</v>
      </c>
      <c r="I2357" t="s">
        <v>20</v>
      </c>
      <c r="J2357">
        <v>0</v>
      </c>
      <c r="K2357">
        <v>0</v>
      </c>
      <c r="L2357">
        <v>0</v>
      </c>
      <c r="M2357">
        <v>0</v>
      </c>
      <c r="N2357">
        <v>0</v>
      </c>
      <c r="O2357">
        <v>0</v>
      </c>
      <c r="P2357">
        <v>0</v>
      </c>
      <c r="Q2357">
        <v>0</v>
      </c>
      <c r="R2357">
        <v>0</v>
      </c>
      <c r="S2357">
        <v>0</v>
      </c>
      <c r="T2357">
        <v>0</v>
      </c>
      <c r="U2357" t="str">
        <f>IF(SeismicData[[#This Row],[class]]=1,"Dangerous","Safe")</f>
        <v>Safe</v>
      </c>
      <c r="V2357" t="str">
        <f>IF(SeismicData[[#This Row],[shift]]="W","Production","Non-Production")</f>
        <v>Production</v>
      </c>
      <c r="W2357" t="str">
        <f>IF(SeismicData[[#This Row],[genergy]]=0,"0","10^"&amp;INT(LOG10(SeismicData[[#This Row],[genergy]])))</f>
        <v>10^3</v>
      </c>
      <c r="X2357" t="str">
        <f>IF(OR(SeismicData[[#This Row],[genergy]]&lt;$AA$6,SeismicData[[#This Row],[genergy]]&gt;$AA$5),"Outlier","Normal")</f>
        <v>Normal</v>
      </c>
    </row>
    <row r="2358" spans="1:24" x14ac:dyDescent="0.15">
      <c r="A2358">
        <v>2357</v>
      </c>
      <c r="B2358" t="s">
        <v>23</v>
      </c>
      <c r="C2358" t="s">
        <v>20</v>
      </c>
      <c r="D2358" t="s">
        <v>22</v>
      </c>
      <c r="E2358">
        <v>23170</v>
      </c>
      <c r="F2358">
        <v>354</v>
      </c>
      <c r="G2358">
        <v>-28</v>
      </c>
      <c r="H2358">
        <v>-19</v>
      </c>
      <c r="I2358" t="s">
        <v>20</v>
      </c>
      <c r="J2358">
        <v>1</v>
      </c>
      <c r="K2358">
        <v>1</v>
      </c>
      <c r="L2358">
        <v>0</v>
      </c>
      <c r="M2358">
        <v>0</v>
      </c>
      <c r="N2358">
        <v>0</v>
      </c>
      <c r="O2358">
        <v>0</v>
      </c>
      <c r="P2358">
        <v>0</v>
      </c>
      <c r="Q2358">
        <v>0</v>
      </c>
      <c r="R2358">
        <v>600</v>
      </c>
      <c r="S2358">
        <v>600</v>
      </c>
      <c r="T2358">
        <v>0</v>
      </c>
      <c r="U2358" t="str">
        <f>IF(SeismicData[[#This Row],[class]]=1,"Dangerous","Safe")</f>
        <v>Safe</v>
      </c>
      <c r="V2358" t="str">
        <f>IF(SeismicData[[#This Row],[shift]]="W","Production","Non-Production")</f>
        <v>Production</v>
      </c>
      <c r="W2358" t="str">
        <f>IF(SeismicData[[#This Row],[genergy]]=0,"0","10^"&amp;INT(LOG10(SeismicData[[#This Row],[genergy]])))</f>
        <v>10^4</v>
      </c>
      <c r="X2358" t="str">
        <f>IF(OR(SeismicData[[#This Row],[genergy]]&lt;$AA$6,SeismicData[[#This Row],[genergy]]&gt;$AA$5),"Outlier","Normal")</f>
        <v>Normal</v>
      </c>
    </row>
    <row r="2359" spans="1:24" x14ac:dyDescent="0.15">
      <c r="A2359">
        <v>2358</v>
      </c>
      <c r="B2359" t="s">
        <v>23</v>
      </c>
      <c r="C2359" t="s">
        <v>20</v>
      </c>
      <c r="D2359" t="s">
        <v>22</v>
      </c>
      <c r="E2359">
        <v>15650</v>
      </c>
      <c r="F2359">
        <v>316</v>
      </c>
      <c r="G2359">
        <v>-52</v>
      </c>
      <c r="H2359">
        <v>-28</v>
      </c>
      <c r="I2359" t="s">
        <v>20</v>
      </c>
      <c r="J2359">
        <v>0</v>
      </c>
      <c r="K2359">
        <v>0</v>
      </c>
      <c r="L2359">
        <v>0</v>
      </c>
      <c r="M2359">
        <v>0</v>
      </c>
      <c r="N2359">
        <v>0</v>
      </c>
      <c r="O2359">
        <v>0</v>
      </c>
      <c r="P2359">
        <v>0</v>
      </c>
      <c r="Q2359">
        <v>0</v>
      </c>
      <c r="R2359">
        <v>0</v>
      </c>
      <c r="S2359">
        <v>0</v>
      </c>
      <c r="T2359">
        <v>0</v>
      </c>
      <c r="U2359" t="str">
        <f>IF(SeismicData[[#This Row],[class]]=1,"Dangerous","Safe")</f>
        <v>Safe</v>
      </c>
      <c r="V2359" t="str">
        <f>IF(SeismicData[[#This Row],[shift]]="W","Production","Non-Production")</f>
        <v>Production</v>
      </c>
      <c r="W2359" t="str">
        <f>IF(SeismicData[[#This Row],[genergy]]=0,"0","10^"&amp;INT(LOG10(SeismicData[[#This Row],[genergy]])))</f>
        <v>10^4</v>
      </c>
      <c r="X2359" t="str">
        <f>IF(OR(SeismicData[[#This Row],[genergy]]&lt;$AA$6,SeismicData[[#This Row],[genergy]]&gt;$AA$5),"Outlier","Normal")</f>
        <v>Normal</v>
      </c>
    </row>
    <row r="2360" spans="1:24" x14ac:dyDescent="0.15">
      <c r="A2360">
        <v>2359</v>
      </c>
      <c r="B2360" t="s">
        <v>23</v>
      </c>
      <c r="C2360" t="s">
        <v>20</v>
      </c>
      <c r="D2360" t="s">
        <v>22</v>
      </c>
      <c r="E2360">
        <v>24140</v>
      </c>
      <c r="F2360">
        <v>285</v>
      </c>
      <c r="G2360">
        <v>-27</v>
      </c>
      <c r="H2360">
        <v>-35</v>
      </c>
      <c r="I2360" t="s">
        <v>20</v>
      </c>
      <c r="J2360">
        <v>0</v>
      </c>
      <c r="K2360">
        <v>0</v>
      </c>
      <c r="L2360">
        <v>0</v>
      </c>
      <c r="M2360">
        <v>0</v>
      </c>
      <c r="N2360">
        <v>0</v>
      </c>
      <c r="O2360">
        <v>0</v>
      </c>
      <c r="P2360">
        <v>0</v>
      </c>
      <c r="Q2360">
        <v>0</v>
      </c>
      <c r="R2360">
        <v>0</v>
      </c>
      <c r="S2360">
        <v>0</v>
      </c>
      <c r="T2360">
        <v>0</v>
      </c>
      <c r="U2360" t="str">
        <f>IF(SeismicData[[#This Row],[class]]=1,"Dangerous","Safe")</f>
        <v>Safe</v>
      </c>
      <c r="V2360" t="str">
        <f>IF(SeismicData[[#This Row],[shift]]="W","Production","Non-Production")</f>
        <v>Production</v>
      </c>
      <c r="W2360" t="str">
        <f>IF(SeismicData[[#This Row],[genergy]]=0,"0","10^"&amp;INT(LOG10(SeismicData[[#This Row],[genergy]])))</f>
        <v>10^4</v>
      </c>
      <c r="X2360" t="str">
        <f>IF(OR(SeismicData[[#This Row],[genergy]]&lt;$AA$6,SeismicData[[#This Row],[genergy]]&gt;$AA$5),"Outlier","Normal")</f>
        <v>Normal</v>
      </c>
    </row>
    <row r="2361" spans="1:24" x14ac:dyDescent="0.15">
      <c r="A2361">
        <v>2360</v>
      </c>
      <c r="B2361" t="s">
        <v>23</v>
      </c>
      <c r="C2361" t="s">
        <v>20</v>
      </c>
      <c r="D2361" t="s">
        <v>22</v>
      </c>
      <c r="E2361">
        <v>44990</v>
      </c>
      <c r="F2361">
        <v>508</v>
      </c>
      <c r="G2361">
        <v>36</v>
      </c>
      <c r="H2361">
        <v>16</v>
      </c>
      <c r="I2361" t="s">
        <v>20</v>
      </c>
      <c r="J2361">
        <v>2</v>
      </c>
      <c r="K2361">
        <v>1</v>
      </c>
      <c r="L2361">
        <v>1</v>
      </c>
      <c r="M2361">
        <v>0</v>
      </c>
      <c r="N2361">
        <v>0</v>
      </c>
      <c r="O2361">
        <v>0</v>
      </c>
      <c r="P2361">
        <v>0</v>
      </c>
      <c r="Q2361">
        <v>0</v>
      </c>
      <c r="R2361">
        <v>5500</v>
      </c>
      <c r="S2361">
        <v>5000</v>
      </c>
      <c r="T2361">
        <v>0</v>
      </c>
      <c r="U2361" t="str">
        <f>IF(SeismicData[[#This Row],[class]]=1,"Dangerous","Safe")</f>
        <v>Safe</v>
      </c>
      <c r="V2361" t="str">
        <f>IF(SeismicData[[#This Row],[shift]]="W","Production","Non-Production")</f>
        <v>Production</v>
      </c>
      <c r="W2361" t="str">
        <f>IF(SeismicData[[#This Row],[genergy]]=0,"0","10^"&amp;INT(LOG10(SeismicData[[#This Row],[genergy]])))</f>
        <v>10^4</v>
      </c>
      <c r="X2361" t="str">
        <f>IF(OR(SeismicData[[#This Row],[genergy]]&lt;$AA$6,SeismicData[[#This Row],[genergy]]&gt;$AA$5),"Outlier","Normal")</f>
        <v>Normal</v>
      </c>
    </row>
    <row r="2362" spans="1:24" x14ac:dyDescent="0.15">
      <c r="A2362">
        <v>2361</v>
      </c>
      <c r="B2362" t="s">
        <v>23</v>
      </c>
      <c r="C2362" t="s">
        <v>20</v>
      </c>
      <c r="D2362" t="s">
        <v>22</v>
      </c>
      <c r="E2362">
        <v>25910</v>
      </c>
      <c r="F2362">
        <v>424</v>
      </c>
      <c r="G2362">
        <v>-22</v>
      </c>
      <c r="H2362">
        <v>-3</v>
      </c>
      <c r="I2362" t="s">
        <v>20</v>
      </c>
      <c r="J2362">
        <v>1</v>
      </c>
      <c r="K2362">
        <v>1</v>
      </c>
      <c r="L2362">
        <v>0</v>
      </c>
      <c r="M2362">
        <v>0</v>
      </c>
      <c r="N2362">
        <v>0</v>
      </c>
      <c r="O2362">
        <v>0</v>
      </c>
      <c r="P2362">
        <v>0</v>
      </c>
      <c r="Q2362">
        <v>0</v>
      </c>
      <c r="R2362">
        <v>900</v>
      </c>
      <c r="S2362">
        <v>900</v>
      </c>
      <c r="T2362">
        <v>0</v>
      </c>
      <c r="U2362" t="str">
        <f>IF(SeismicData[[#This Row],[class]]=1,"Dangerous","Safe")</f>
        <v>Safe</v>
      </c>
      <c r="V2362" t="str">
        <f>IF(SeismicData[[#This Row],[shift]]="W","Production","Non-Production")</f>
        <v>Production</v>
      </c>
      <c r="W2362" t="str">
        <f>IF(SeismicData[[#This Row],[genergy]]=0,"0","10^"&amp;INT(LOG10(SeismicData[[#This Row],[genergy]])))</f>
        <v>10^4</v>
      </c>
      <c r="X2362" t="str">
        <f>IF(OR(SeismicData[[#This Row],[genergy]]&lt;$AA$6,SeismicData[[#This Row],[genergy]]&gt;$AA$5),"Outlier","Normal")</f>
        <v>Normal</v>
      </c>
    </row>
    <row r="2363" spans="1:24" x14ac:dyDescent="0.15">
      <c r="A2363">
        <v>2362</v>
      </c>
      <c r="B2363" t="s">
        <v>23</v>
      </c>
      <c r="C2363" t="s">
        <v>20</v>
      </c>
      <c r="D2363" t="s">
        <v>22</v>
      </c>
      <c r="E2363">
        <v>18310</v>
      </c>
      <c r="F2363">
        <v>317</v>
      </c>
      <c r="G2363">
        <v>-45</v>
      </c>
      <c r="H2363">
        <v>-27</v>
      </c>
      <c r="I2363" t="s">
        <v>20</v>
      </c>
      <c r="J2363">
        <v>0</v>
      </c>
      <c r="K2363">
        <v>0</v>
      </c>
      <c r="L2363">
        <v>0</v>
      </c>
      <c r="M2363">
        <v>0</v>
      </c>
      <c r="N2363">
        <v>0</v>
      </c>
      <c r="O2363">
        <v>0</v>
      </c>
      <c r="P2363">
        <v>0</v>
      </c>
      <c r="Q2363">
        <v>0</v>
      </c>
      <c r="R2363">
        <v>0</v>
      </c>
      <c r="S2363">
        <v>0</v>
      </c>
      <c r="T2363">
        <v>0</v>
      </c>
      <c r="U2363" t="str">
        <f>IF(SeismicData[[#This Row],[class]]=1,"Dangerous","Safe")</f>
        <v>Safe</v>
      </c>
      <c r="V2363" t="str">
        <f>IF(SeismicData[[#This Row],[shift]]="W","Production","Non-Production")</f>
        <v>Production</v>
      </c>
      <c r="W2363" t="str">
        <f>IF(SeismicData[[#This Row],[genergy]]=0,"0","10^"&amp;INT(LOG10(SeismicData[[#This Row],[genergy]])))</f>
        <v>10^4</v>
      </c>
      <c r="X2363" t="str">
        <f>IF(OR(SeismicData[[#This Row],[genergy]]&lt;$AA$6,SeismicData[[#This Row],[genergy]]&gt;$AA$5),"Outlier","Normal")</f>
        <v>Normal</v>
      </c>
    </row>
    <row r="2364" spans="1:24" x14ac:dyDescent="0.15">
      <c r="A2364">
        <v>2363</v>
      </c>
      <c r="B2364" t="s">
        <v>23</v>
      </c>
      <c r="C2364" t="s">
        <v>20</v>
      </c>
      <c r="D2364" t="s">
        <v>22</v>
      </c>
      <c r="E2364">
        <v>54980</v>
      </c>
      <c r="F2364">
        <v>544</v>
      </c>
      <c r="G2364">
        <v>66</v>
      </c>
      <c r="H2364">
        <v>24</v>
      </c>
      <c r="I2364" t="s">
        <v>20</v>
      </c>
      <c r="J2364">
        <v>2</v>
      </c>
      <c r="K2364">
        <v>1</v>
      </c>
      <c r="L2364">
        <v>1</v>
      </c>
      <c r="M2364">
        <v>0</v>
      </c>
      <c r="N2364">
        <v>0</v>
      </c>
      <c r="O2364">
        <v>0</v>
      </c>
      <c r="P2364">
        <v>0</v>
      </c>
      <c r="Q2364">
        <v>0</v>
      </c>
      <c r="R2364">
        <v>1400</v>
      </c>
      <c r="S2364">
        <v>1000</v>
      </c>
      <c r="T2364">
        <v>0</v>
      </c>
      <c r="U2364" t="str">
        <f>IF(SeismicData[[#This Row],[class]]=1,"Dangerous","Safe")</f>
        <v>Safe</v>
      </c>
      <c r="V2364" t="str">
        <f>IF(SeismicData[[#This Row],[shift]]="W","Production","Non-Production")</f>
        <v>Production</v>
      </c>
      <c r="W2364" t="str">
        <f>IF(SeismicData[[#This Row],[genergy]]=0,"0","10^"&amp;INT(LOG10(SeismicData[[#This Row],[genergy]])))</f>
        <v>10^4</v>
      </c>
      <c r="X2364" t="str">
        <f>IF(OR(SeismicData[[#This Row],[genergy]]&lt;$AA$6,SeismicData[[#This Row],[genergy]]&gt;$AA$5),"Outlier","Normal")</f>
        <v>Normal</v>
      </c>
    </row>
    <row r="2365" spans="1:24" x14ac:dyDescent="0.15">
      <c r="A2365">
        <v>2364</v>
      </c>
      <c r="B2365" t="s">
        <v>23</v>
      </c>
      <c r="C2365" t="s">
        <v>20</v>
      </c>
      <c r="D2365" t="s">
        <v>22</v>
      </c>
      <c r="E2365">
        <v>26080</v>
      </c>
      <c r="F2365">
        <v>420</v>
      </c>
      <c r="G2365">
        <v>-21</v>
      </c>
      <c r="H2365">
        <v>-4</v>
      </c>
      <c r="I2365" t="s">
        <v>20</v>
      </c>
      <c r="J2365">
        <v>2</v>
      </c>
      <c r="K2365">
        <v>0</v>
      </c>
      <c r="L2365">
        <v>2</v>
      </c>
      <c r="M2365">
        <v>0</v>
      </c>
      <c r="N2365">
        <v>0</v>
      </c>
      <c r="O2365">
        <v>0</v>
      </c>
      <c r="P2365">
        <v>0</v>
      </c>
      <c r="Q2365">
        <v>0</v>
      </c>
      <c r="R2365">
        <v>4000</v>
      </c>
      <c r="S2365">
        <v>2000</v>
      </c>
      <c r="T2365">
        <v>0</v>
      </c>
      <c r="U2365" t="str">
        <f>IF(SeismicData[[#This Row],[class]]=1,"Dangerous","Safe")</f>
        <v>Safe</v>
      </c>
      <c r="V2365" t="str">
        <f>IF(SeismicData[[#This Row],[shift]]="W","Production","Non-Production")</f>
        <v>Production</v>
      </c>
      <c r="W2365" t="str">
        <f>IF(SeismicData[[#This Row],[genergy]]=0,"0","10^"&amp;INT(LOG10(SeismicData[[#This Row],[genergy]])))</f>
        <v>10^4</v>
      </c>
      <c r="X2365" t="str">
        <f>IF(OR(SeismicData[[#This Row],[genergy]]&lt;$AA$6,SeismicData[[#This Row],[genergy]]&gt;$AA$5),"Outlier","Normal")</f>
        <v>Normal</v>
      </c>
    </row>
    <row r="2366" spans="1:24" x14ac:dyDescent="0.15">
      <c r="A2366">
        <v>2365</v>
      </c>
      <c r="B2366" t="s">
        <v>23</v>
      </c>
      <c r="C2366" t="s">
        <v>20</v>
      </c>
      <c r="D2366" t="s">
        <v>21</v>
      </c>
      <c r="E2366">
        <v>8520</v>
      </c>
      <c r="F2366">
        <v>254</v>
      </c>
      <c r="G2366">
        <v>-32</v>
      </c>
      <c r="H2366">
        <v>2</v>
      </c>
      <c r="I2366" t="s">
        <v>20</v>
      </c>
      <c r="J2366">
        <v>0</v>
      </c>
      <c r="K2366">
        <v>0</v>
      </c>
      <c r="L2366">
        <v>0</v>
      </c>
      <c r="M2366">
        <v>0</v>
      </c>
      <c r="N2366">
        <v>0</v>
      </c>
      <c r="O2366">
        <v>0</v>
      </c>
      <c r="P2366">
        <v>0</v>
      </c>
      <c r="Q2366">
        <v>0</v>
      </c>
      <c r="R2366">
        <v>0</v>
      </c>
      <c r="S2366">
        <v>0</v>
      </c>
      <c r="T2366">
        <v>0</v>
      </c>
      <c r="U2366" t="str">
        <f>IF(SeismicData[[#This Row],[class]]=1,"Dangerous","Safe")</f>
        <v>Safe</v>
      </c>
      <c r="V2366" t="str">
        <f>IF(SeismicData[[#This Row],[shift]]="W","Production","Non-Production")</f>
        <v>Non-Production</v>
      </c>
      <c r="W2366" t="str">
        <f>IF(SeismicData[[#This Row],[genergy]]=0,"0","10^"&amp;INT(LOG10(SeismicData[[#This Row],[genergy]])))</f>
        <v>10^3</v>
      </c>
      <c r="X2366" t="str">
        <f>IF(OR(SeismicData[[#This Row],[genergy]]&lt;$AA$6,SeismicData[[#This Row],[genergy]]&gt;$AA$5),"Outlier","Normal")</f>
        <v>Normal</v>
      </c>
    </row>
    <row r="2367" spans="1:24" x14ac:dyDescent="0.15">
      <c r="A2367">
        <v>2366</v>
      </c>
      <c r="B2367" t="s">
        <v>23</v>
      </c>
      <c r="C2367" t="s">
        <v>20</v>
      </c>
      <c r="D2367" t="s">
        <v>22</v>
      </c>
      <c r="E2367">
        <v>19160</v>
      </c>
      <c r="F2367">
        <v>376</v>
      </c>
      <c r="G2367">
        <v>-42</v>
      </c>
      <c r="H2367">
        <v>-14</v>
      </c>
      <c r="I2367" t="s">
        <v>20</v>
      </c>
      <c r="J2367">
        <v>0</v>
      </c>
      <c r="K2367">
        <v>0</v>
      </c>
      <c r="L2367">
        <v>0</v>
      </c>
      <c r="M2367">
        <v>0</v>
      </c>
      <c r="N2367">
        <v>0</v>
      </c>
      <c r="O2367">
        <v>0</v>
      </c>
      <c r="P2367">
        <v>0</v>
      </c>
      <c r="Q2367">
        <v>0</v>
      </c>
      <c r="R2367">
        <v>0</v>
      </c>
      <c r="S2367">
        <v>0</v>
      </c>
      <c r="T2367">
        <v>0</v>
      </c>
      <c r="U2367" t="str">
        <f>IF(SeismicData[[#This Row],[class]]=1,"Dangerous","Safe")</f>
        <v>Safe</v>
      </c>
      <c r="V2367" t="str">
        <f>IF(SeismicData[[#This Row],[shift]]="W","Production","Non-Production")</f>
        <v>Production</v>
      </c>
      <c r="W2367" t="str">
        <f>IF(SeismicData[[#This Row],[genergy]]=0,"0","10^"&amp;INT(LOG10(SeismicData[[#This Row],[genergy]])))</f>
        <v>10^4</v>
      </c>
      <c r="X2367" t="str">
        <f>IF(OR(SeismicData[[#This Row],[genergy]]&lt;$AA$6,SeismicData[[#This Row],[genergy]]&gt;$AA$5),"Outlier","Normal")</f>
        <v>Normal</v>
      </c>
    </row>
    <row r="2368" spans="1:24" x14ac:dyDescent="0.15">
      <c r="A2368">
        <v>2367</v>
      </c>
      <c r="B2368" t="s">
        <v>20</v>
      </c>
      <c r="C2368" t="s">
        <v>20</v>
      </c>
      <c r="D2368" t="s">
        <v>22</v>
      </c>
      <c r="E2368">
        <v>26620</v>
      </c>
      <c r="F2368">
        <v>356</v>
      </c>
      <c r="G2368">
        <v>-18</v>
      </c>
      <c r="H2368">
        <v>-15</v>
      </c>
      <c r="I2368" t="s">
        <v>20</v>
      </c>
      <c r="J2368">
        <v>0</v>
      </c>
      <c r="K2368">
        <v>0</v>
      </c>
      <c r="L2368">
        <v>0</v>
      </c>
      <c r="M2368">
        <v>0</v>
      </c>
      <c r="N2368">
        <v>0</v>
      </c>
      <c r="O2368">
        <v>0</v>
      </c>
      <c r="P2368">
        <v>0</v>
      </c>
      <c r="Q2368">
        <v>0</v>
      </c>
      <c r="R2368">
        <v>0</v>
      </c>
      <c r="S2368">
        <v>0</v>
      </c>
      <c r="T2368">
        <v>0</v>
      </c>
      <c r="U2368" t="str">
        <f>IF(SeismicData[[#This Row],[class]]=1,"Dangerous","Safe")</f>
        <v>Safe</v>
      </c>
      <c r="V2368" t="str">
        <f>IF(SeismicData[[#This Row],[shift]]="W","Production","Non-Production")</f>
        <v>Production</v>
      </c>
      <c r="W2368" t="str">
        <f>IF(SeismicData[[#This Row],[genergy]]=0,"0","10^"&amp;INT(LOG10(SeismicData[[#This Row],[genergy]])))</f>
        <v>10^4</v>
      </c>
      <c r="X2368" t="str">
        <f>IF(OR(SeismicData[[#This Row],[genergy]]&lt;$AA$6,SeismicData[[#This Row],[genergy]]&gt;$AA$5),"Outlier","Normal")</f>
        <v>Normal</v>
      </c>
    </row>
    <row r="2369" spans="1:24" x14ac:dyDescent="0.15">
      <c r="A2369">
        <v>2368</v>
      </c>
      <c r="B2369" t="s">
        <v>20</v>
      </c>
      <c r="C2369" t="s">
        <v>20</v>
      </c>
      <c r="D2369" t="s">
        <v>22</v>
      </c>
      <c r="E2369">
        <v>27780</v>
      </c>
      <c r="F2369">
        <v>386</v>
      </c>
      <c r="G2369">
        <v>-15</v>
      </c>
      <c r="H2369">
        <v>-8</v>
      </c>
      <c r="I2369" t="s">
        <v>20</v>
      </c>
      <c r="J2369">
        <v>1</v>
      </c>
      <c r="K2369">
        <v>0</v>
      </c>
      <c r="L2369">
        <v>1</v>
      </c>
      <c r="M2369">
        <v>0</v>
      </c>
      <c r="N2369">
        <v>0</v>
      </c>
      <c r="O2369">
        <v>0</v>
      </c>
      <c r="P2369">
        <v>0</v>
      </c>
      <c r="Q2369">
        <v>0</v>
      </c>
      <c r="R2369">
        <v>5000</v>
      </c>
      <c r="S2369">
        <v>5000</v>
      </c>
      <c r="T2369">
        <v>0</v>
      </c>
      <c r="U2369" t="str">
        <f>IF(SeismicData[[#This Row],[class]]=1,"Dangerous","Safe")</f>
        <v>Safe</v>
      </c>
      <c r="V2369" t="str">
        <f>IF(SeismicData[[#This Row],[shift]]="W","Production","Non-Production")</f>
        <v>Production</v>
      </c>
      <c r="W2369" t="str">
        <f>IF(SeismicData[[#This Row],[genergy]]=0,"0","10^"&amp;INT(LOG10(SeismicData[[#This Row],[genergy]])))</f>
        <v>10^4</v>
      </c>
      <c r="X2369" t="str">
        <f>IF(OR(SeismicData[[#This Row],[genergy]]&lt;$AA$6,SeismicData[[#This Row],[genergy]]&gt;$AA$5),"Outlier","Normal")</f>
        <v>Normal</v>
      </c>
    </row>
    <row r="2370" spans="1:24" x14ac:dyDescent="0.15">
      <c r="A2370">
        <v>2369</v>
      </c>
      <c r="B2370" t="s">
        <v>20</v>
      </c>
      <c r="C2370" t="s">
        <v>20</v>
      </c>
      <c r="D2370" t="s">
        <v>22</v>
      </c>
      <c r="E2370">
        <v>28920</v>
      </c>
      <c r="F2370">
        <v>472</v>
      </c>
      <c r="G2370">
        <v>-11</v>
      </c>
      <c r="H2370">
        <v>13</v>
      </c>
      <c r="I2370" t="s">
        <v>20</v>
      </c>
      <c r="J2370">
        <v>1</v>
      </c>
      <c r="K2370">
        <v>1</v>
      </c>
      <c r="L2370">
        <v>0</v>
      </c>
      <c r="M2370">
        <v>0</v>
      </c>
      <c r="N2370">
        <v>0</v>
      </c>
      <c r="O2370">
        <v>0</v>
      </c>
      <c r="P2370">
        <v>0</v>
      </c>
      <c r="Q2370">
        <v>0</v>
      </c>
      <c r="R2370">
        <v>200</v>
      </c>
      <c r="S2370">
        <v>200</v>
      </c>
      <c r="T2370">
        <v>0</v>
      </c>
      <c r="U2370" t="str">
        <f>IF(SeismicData[[#This Row],[class]]=1,"Dangerous","Safe")</f>
        <v>Safe</v>
      </c>
      <c r="V2370" t="str">
        <f>IF(SeismicData[[#This Row],[shift]]="W","Production","Non-Production")</f>
        <v>Production</v>
      </c>
      <c r="W2370" t="str">
        <f>IF(SeismicData[[#This Row],[genergy]]=0,"0","10^"&amp;INT(LOG10(SeismicData[[#This Row],[genergy]])))</f>
        <v>10^4</v>
      </c>
      <c r="X2370" t="str">
        <f>IF(OR(SeismicData[[#This Row],[genergy]]&lt;$AA$6,SeismicData[[#This Row],[genergy]]&gt;$AA$5),"Outlier","Normal")</f>
        <v>Normal</v>
      </c>
    </row>
    <row r="2371" spans="1:24" x14ac:dyDescent="0.15">
      <c r="A2371">
        <v>2370</v>
      </c>
      <c r="B2371" t="s">
        <v>20</v>
      </c>
      <c r="C2371" t="s">
        <v>20</v>
      </c>
      <c r="D2371" t="s">
        <v>22</v>
      </c>
      <c r="E2371">
        <v>24360</v>
      </c>
      <c r="F2371">
        <v>351</v>
      </c>
      <c r="G2371">
        <v>-25</v>
      </c>
      <c r="H2371">
        <v>-16</v>
      </c>
      <c r="I2371" t="s">
        <v>20</v>
      </c>
      <c r="J2371">
        <v>2</v>
      </c>
      <c r="K2371">
        <v>2</v>
      </c>
      <c r="L2371">
        <v>0</v>
      </c>
      <c r="M2371">
        <v>0</v>
      </c>
      <c r="N2371">
        <v>0</v>
      </c>
      <c r="O2371">
        <v>0</v>
      </c>
      <c r="P2371">
        <v>0</v>
      </c>
      <c r="Q2371">
        <v>0</v>
      </c>
      <c r="R2371">
        <v>1300</v>
      </c>
      <c r="S2371">
        <v>900</v>
      </c>
      <c r="T2371">
        <v>0</v>
      </c>
      <c r="U2371" t="str">
        <f>IF(SeismicData[[#This Row],[class]]=1,"Dangerous","Safe")</f>
        <v>Safe</v>
      </c>
      <c r="V2371" t="str">
        <f>IF(SeismicData[[#This Row],[shift]]="W","Production","Non-Production")</f>
        <v>Production</v>
      </c>
      <c r="W2371" t="str">
        <f>IF(SeismicData[[#This Row],[genergy]]=0,"0","10^"&amp;INT(LOG10(SeismicData[[#This Row],[genergy]])))</f>
        <v>10^4</v>
      </c>
      <c r="X2371" t="str">
        <f>IF(OR(SeismicData[[#This Row],[genergy]]&lt;$AA$6,SeismicData[[#This Row],[genergy]]&gt;$AA$5),"Outlier","Normal")</f>
        <v>Normal</v>
      </c>
    </row>
    <row r="2372" spans="1:24" x14ac:dyDescent="0.15">
      <c r="A2372">
        <v>2371</v>
      </c>
      <c r="B2372" t="s">
        <v>20</v>
      </c>
      <c r="C2372" t="s">
        <v>20</v>
      </c>
      <c r="D2372" t="s">
        <v>22</v>
      </c>
      <c r="E2372">
        <v>11210</v>
      </c>
      <c r="F2372">
        <v>296</v>
      </c>
      <c r="G2372">
        <v>-66</v>
      </c>
      <c r="H2372">
        <v>-29</v>
      </c>
      <c r="I2372" t="s">
        <v>20</v>
      </c>
      <c r="J2372">
        <v>0</v>
      </c>
      <c r="K2372">
        <v>0</v>
      </c>
      <c r="L2372">
        <v>0</v>
      </c>
      <c r="M2372">
        <v>0</v>
      </c>
      <c r="N2372">
        <v>0</v>
      </c>
      <c r="O2372">
        <v>0</v>
      </c>
      <c r="P2372">
        <v>0</v>
      </c>
      <c r="Q2372">
        <v>0</v>
      </c>
      <c r="R2372">
        <v>0</v>
      </c>
      <c r="S2372">
        <v>0</v>
      </c>
      <c r="T2372">
        <v>0</v>
      </c>
      <c r="U2372" t="str">
        <f>IF(SeismicData[[#This Row],[class]]=1,"Dangerous","Safe")</f>
        <v>Safe</v>
      </c>
      <c r="V2372" t="str">
        <f>IF(SeismicData[[#This Row],[shift]]="W","Production","Non-Production")</f>
        <v>Production</v>
      </c>
      <c r="W2372" t="str">
        <f>IF(SeismicData[[#This Row],[genergy]]=0,"0","10^"&amp;INT(LOG10(SeismicData[[#This Row],[genergy]])))</f>
        <v>10^4</v>
      </c>
      <c r="X2372" t="str">
        <f>IF(OR(SeismicData[[#This Row],[genergy]]&lt;$AA$6,SeismicData[[#This Row],[genergy]]&gt;$AA$5),"Outlier","Normal")</f>
        <v>Normal</v>
      </c>
    </row>
    <row r="2373" spans="1:24" x14ac:dyDescent="0.15">
      <c r="A2373">
        <v>2372</v>
      </c>
      <c r="B2373" t="s">
        <v>20</v>
      </c>
      <c r="C2373" t="s">
        <v>20</v>
      </c>
      <c r="D2373" t="s">
        <v>22</v>
      </c>
      <c r="E2373">
        <v>42220</v>
      </c>
      <c r="F2373">
        <v>382</v>
      </c>
      <c r="G2373">
        <v>29</v>
      </c>
      <c r="H2373">
        <v>-9</v>
      </c>
      <c r="I2373" t="s">
        <v>20</v>
      </c>
      <c r="J2373">
        <v>1</v>
      </c>
      <c r="K2373">
        <v>0</v>
      </c>
      <c r="L2373">
        <v>1</v>
      </c>
      <c r="M2373">
        <v>0</v>
      </c>
      <c r="N2373">
        <v>0</v>
      </c>
      <c r="O2373">
        <v>0</v>
      </c>
      <c r="P2373">
        <v>0</v>
      </c>
      <c r="Q2373">
        <v>0</v>
      </c>
      <c r="R2373">
        <v>8000</v>
      </c>
      <c r="S2373">
        <v>8000</v>
      </c>
      <c r="T2373">
        <v>0</v>
      </c>
      <c r="U2373" t="str">
        <f>IF(SeismicData[[#This Row],[class]]=1,"Dangerous","Safe")</f>
        <v>Safe</v>
      </c>
      <c r="V2373" t="str">
        <f>IF(SeismicData[[#This Row],[shift]]="W","Production","Non-Production")</f>
        <v>Production</v>
      </c>
      <c r="W2373" t="str">
        <f>IF(SeismicData[[#This Row],[genergy]]=0,"0","10^"&amp;INT(LOG10(SeismicData[[#This Row],[genergy]])))</f>
        <v>10^4</v>
      </c>
      <c r="X2373" t="str">
        <f>IF(OR(SeismicData[[#This Row],[genergy]]&lt;$AA$6,SeismicData[[#This Row],[genergy]]&gt;$AA$5),"Outlier","Normal")</f>
        <v>Normal</v>
      </c>
    </row>
    <row r="2374" spans="1:24" x14ac:dyDescent="0.15">
      <c r="A2374">
        <v>2373</v>
      </c>
      <c r="B2374" t="s">
        <v>20</v>
      </c>
      <c r="C2374" t="s">
        <v>20</v>
      </c>
      <c r="D2374" t="s">
        <v>22</v>
      </c>
      <c r="E2374">
        <v>14590</v>
      </c>
      <c r="F2374">
        <v>865</v>
      </c>
      <c r="G2374">
        <v>45</v>
      </c>
      <c r="H2374">
        <v>90</v>
      </c>
      <c r="I2374" t="s">
        <v>20</v>
      </c>
      <c r="J2374">
        <v>0</v>
      </c>
      <c r="K2374">
        <v>0</v>
      </c>
      <c r="L2374">
        <v>0</v>
      </c>
      <c r="M2374">
        <v>0</v>
      </c>
      <c r="N2374">
        <v>0</v>
      </c>
      <c r="O2374">
        <v>0</v>
      </c>
      <c r="P2374">
        <v>0</v>
      </c>
      <c r="Q2374">
        <v>0</v>
      </c>
      <c r="R2374">
        <v>0</v>
      </c>
      <c r="S2374">
        <v>0</v>
      </c>
      <c r="T2374">
        <v>0</v>
      </c>
      <c r="U2374" t="str">
        <f>IF(SeismicData[[#This Row],[class]]=1,"Dangerous","Safe")</f>
        <v>Safe</v>
      </c>
      <c r="V2374" t="str">
        <f>IF(SeismicData[[#This Row],[shift]]="W","Production","Non-Production")</f>
        <v>Production</v>
      </c>
      <c r="W2374" t="str">
        <f>IF(SeismicData[[#This Row],[genergy]]=0,"0","10^"&amp;INT(LOG10(SeismicData[[#This Row],[genergy]])))</f>
        <v>10^4</v>
      </c>
      <c r="X2374" t="str">
        <f>IF(OR(SeismicData[[#This Row],[genergy]]&lt;$AA$6,SeismicData[[#This Row],[genergy]]&gt;$AA$5),"Outlier","Normal")</f>
        <v>Normal</v>
      </c>
    </row>
    <row r="2375" spans="1:24" x14ac:dyDescent="0.15">
      <c r="A2375">
        <v>2374</v>
      </c>
      <c r="B2375" t="s">
        <v>20</v>
      </c>
      <c r="C2375" t="s">
        <v>20</v>
      </c>
      <c r="D2375" t="s">
        <v>22</v>
      </c>
      <c r="E2375">
        <v>9160</v>
      </c>
      <c r="F2375">
        <v>300</v>
      </c>
      <c r="G2375">
        <v>-72</v>
      </c>
      <c r="H2375">
        <v>-28</v>
      </c>
      <c r="I2375" t="s">
        <v>20</v>
      </c>
      <c r="J2375">
        <v>0</v>
      </c>
      <c r="K2375">
        <v>0</v>
      </c>
      <c r="L2375">
        <v>0</v>
      </c>
      <c r="M2375">
        <v>0</v>
      </c>
      <c r="N2375">
        <v>0</v>
      </c>
      <c r="O2375">
        <v>0</v>
      </c>
      <c r="P2375">
        <v>0</v>
      </c>
      <c r="Q2375">
        <v>0</v>
      </c>
      <c r="R2375">
        <v>0</v>
      </c>
      <c r="S2375">
        <v>0</v>
      </c>
      <c r="T2375">
        <v>0</v>
      </c>
      <c r="U2375" t="str">
        <f>IF(SeismicData[[#This Row],[class]]=1,"Dangerous","Safe")</f>
        <v>Safe</v>
      </c>
      <c r="V2375" t="str">
        <f>IF(SeismicData[[#This Row],[shift]]="W","Production","Non-Production")</f>
        <v>Production</v>
      </c>
      <c r="W2375" t="str">
        <f>IF(SeismicData[[#This Row],[genergy]]=0,"0","10^"&amp;INT(LOG10(SeismicData[[#This Row],[genergy]])))</f>
        <v>10^3</v>
      </c>
      <c r="X2375" t="str">
        <f>IF(OR(SeismicData[[#This Row],[genergy]]&lt;$AA$6,SeismicData[[#This Row],[genergy]]&gt;$AA$5),"Outlier","Normal")</f>
        <v>Normal</v>
      </c>
    </row>
    <row r="2376" spans="1:24" x14ac:dyDescent="0.15">
      <c r="A2376">
        <v>2375</v>
      </c>
      <c r="B2376" t="s">
        <v>20</v>
      </c>
      <c r="C2376" t="s">
        <v>20</v>
      </c>
      <c r="D2376" t="s">
        <v>22</v>
      </c>
      <c r="E2376">
        <v>6800</v>
      </c>
      <c r="F2376">
        <v>224</v>
      </c>
      <c r="G2376">
        <v>-79</v>
      </c>
      <c r="H2376">
        <v>-47</v>
      </c>
      <c r="I2376" t="s">
        <v>20</v>
      </c>
      <c r="J2376">
        <v>0</v>
      </c>
      <c r="K2376">
        <v>0</v>
      </c>
      <c r="L2376">
        <v>0</v>
      </c>
      <c r="M2376">
        <v>0</v>
      </c>
      <c r="N2376">
        <v>0</v>
      </c>
      <c r="O2376">
        <v>0</v>
      </c>
      <c r="P2376">
        <v>0</v>
      </c>
      <c r="Q2376">
        <v>0</v>
      </c>
      <c r="R2376">
        <v>0</v>
      </c>
      <c r="S2376">
        <v>0</v>
      </c>
      <c r="T2376">
        <v>0</v>
      </c>
      <c r="U2376" t="str">
        <f>IF(SeismicData[[#This Row],[class]]=1,"Dangerous","Safe")</f>
        <v>Safe</v>
      </c>
      <c r="V2376" t="str">
        <f>IF(SeismicData[[#This Row],[shift]]="W","Production","Non-Production")</f>
        <v>Production</v>
      </c>
      <c r="W2376" t="str">
        <f>IF(SeismicData[[#This Row],[genergy]]=0,"0","10^"&amp;INT(LOG10(SeismicData[[#This Row],[genergy]])))</f>
        <v>10^3</v>
      </c>
      <c r="X2376" t="str">
        <f>IF(OR(SeismicData[[#This Row],[genergy]]&lt;$AA$6,SeismicData[[#This Row],[genergy]]&gt;$AA$5),"Outlier","Normal")</f>
        <v>Normal</v>
      </c>
    </row>
    <row r="2377" spans="1:24" x14ac:dyDescent="0.15">
      <c r="A2377">
        <v>2376</v>
      </c>
      <c r="B2377" t="s">
        <v>20</v>
      </c>
      <c r="C2377" t="s">
        <v>20</v>
      </c>
      <c r="D2377" t="s">
        <v>22</v>
      </c>
      <c r="E2377">
        <v>7000</v>
      </c>
      <c r="F2377">
        <v>131</v>
      </c>
      <c r="G2377">
        <v>-40</v>
      </c>
      <c r="H2377">
        <v>-56</v>
      </c>
      <c r="I2377" t="s">
        <v>20</v>
      </c>
      <c r="J2377">
        <v>1</v>
      </c>
      <c r="K2377">
        <v>0</v>
      </c>
      <c r="L2377">
        <v>1</v>
      </c>
      <c r="M2377">
        <v>0</v>
      </c>
      <c r="N2377">
        <v>0</v>
      </c>
      <c r="O2377">
        <v>0</v>
      </c>
      <c r="P2377">
        <v>0</v>
      </c>
      <c r="Q2377">
        <v>0</v>
      </c>
      <c r="R2377">
        <v>1000</v>
      </c>
      <c r="S2377">
        <v>1000</v>
      </c>
      <c r="T2377">
        <v>0</v>
      </c>
      <c r="U2377" t="str">
        <f>IF(SeismicData[[#This Row],[class]]=1,"Dangerous","Safe")</f>
        <v>Safe</v>
      </c>
      <c r="V2377" t="str">
        <f>IF(SeismicData[[#This Row],[shift]]="W","Production","Non-Production")</f>
        <v>Production</v>
      </c>
      <c r="W2377" t="str">
        <f>IF(SeismicData[[#This Row],[genergy]]=0,"0","10^"&amp;INT(LOG10(SeismicData[[#This Row],[genergy]])))</f>
        <v>10^3</v>
      </c>
      <c r="X2377" t="str">
        <f>IF(OR(SeismicData[[#This Row],[genergy]]&lt;$AA$6,SeismicData[[#This Row],[genergy]]&gt;$AA$5),"Outlier","Normal")</f>
        <v>Normal</v>
      </c>
    </row>
    <row r="2378" spans="1:24" x14ac:dyDescent="0.15">
      <c r="A2378">
        <v>2377</v>
      </c>
      <c r="B2378" t="s">
        <v>20</v>
      </c>
      <c r="C2378" t="s">
        <v>20</v>
      </c>
      <c r="D2378" t="s">
        <v>22</v>
      </c>
      <c r="E2378">
        <v>7030</v>
      </c>
      <c r="F2378">
        <v>202</v>
      </c>
      <c r="G2378">
        <v>-78</v>
      </c>
      <c r="H2378">
        <v>-53</v>
      </c>
      <c r="I2378" t="s">
        <v>20</v>
      </c>
      <c r="J2378">
        <v>0</v>
      </c>
      <c r="K2378">
        <v>0</v>
      </c>
      <c r="L2378">
        <v>0</v>
      </c>
      <c r="M2378">
        <v>0</v>
      </c>
      <c r="N2378">
        <v>0</v>
      </c>
      <c r="O2378">
        <v>0</v>
      </c>
      <c r="P2378">
        <v>0</v>
      </c>
      <c r="Q2378">
        <v>0</v>
      </c>
      <c r="R2378">
        <v>0</v>
      </c>
      <c r="S2378">
        <v>0</v>
      </c>
      <c r="T2378">
        <v>0</v>
      </c>
      <c r="U2378" t="str">
        <f>IF(SeismicData[[#This Row],[class]]=1,"Dangerous","Safe")</f>
        <v>Safe</v>
      </c>
      <c r="V2378" t="str">
        <f>IF(SeismicData[[#This Row],[shift]]="W","Production","Non-Production")</f>
        <v>Production</v>
      </c>
      <c r="W2378" t="str">
        <f>IF(SeismicData[[#This Row],[genergy]]=0,"0","10^"&amp;INT(LOG10(SeismicData[[#This Row],[genergy]])))</f>
        <v>10^3</v>
      </c>
      <c r="X2378" t="str">
        <f>IF(OR(SeismicData[[#This Row],[genergy]]&lt;$AA$6,SeismicData[[#This Row],[genergy]]&gt;$AA$5),"Outlier","Normal")</f>
        <v>Normal</v>
      </c>
    </row>
    <row r="2379" spans="1:24" x14ac:dyDescent="0.15">
      <c r="A2379">
        <v>2378</v>
      </c>
      <c r="B2379" t="s">
        <v>20</v>
      </c>
      <c r="C2379" t="s">
        <v>20</v>
      </c>
      <c r="D2379" t="s">
        <v>22</v>
      </c>
      <c r="E2379">
        <v>35420</v>
      </c>
      <c r="F2379">
        <v>290</v>
      </c>
      <c r="G2379">
        <v>11</v>
      </c>
      <c r="H2379">
        <v>-32</v>
      </c>
      <c r="I2379" t="s">
        <v>20</v>
      </c>
      <c r="J2379">
        <v>1</v>
      </c>
      <c r="K2379">
        <v>1</v>
      </c>
      <c r="L2379">
        <v>0</v>
      </c>
      <c r="M2379">
        <v>0</v>
      </c>
      <c r="N2379">
        <v>0</v>
      </c>
      <c r="O2379">
        <v>0</v>
      </c>
      <c r="P2379">
        <v>0</v>
      </c>
      <c r="Q2379">
        <v>0</v>
      </c>
      <c r="R2379">
        <v>900</v>
      </c>
      <c r="S2379">
        <v>900</v>
      </c>
      <c r="T2379">
        <v>0</v>
      </c>
      <c r="U2379" t="str">
        <f>IF(SeismicData[[#This Row],[class]]=1,"Dangerous","Safe")</f>
        <v>Safe</v>
      </c>
      <c r="V2379" t="str">
        <f>IF(SeismicData[[#This Row],[shift]]="W","Production","Non-Production")</f>
        <v>Production</v>
      </c>
      <c r="W2379" t="str">
        <f>IF(SeismicData[[#This Row],[genergy]]=0,"0","10^"&amp;INT(LOG10(SeismicData[[#This Row],[genergy]])))</f>
        <v>10^4</v>
      </c>
      <c r="X2379" t="str">
        <f>IF(OR(SeismicData[[#This Row],[genergy]]&lt;$AA$6,SeismicData[[#This Row],[genergy]]&gt;$AA$5),"Outlier","Normal")</f>
        <v>Normal</v>
      </c>
    </row>
    <row r="2380" spans="1:24" x14ac:dyDescent="0.15">
      <c r="A2380">
        <v>2379</v>
      </c>
      <c r="B2380" t="s">
        <v>20</v>
      </c>
      <c r="C2380" t="s">
        <v>20</v>
      </c>
      <c r="D2380" t="s">
        <v>22</v>
      </c>
      <c r="E2380">
        <v>53590</v>
      </c>
      <c r="F2380">
        <v>527</v>
      </c>
      <c r="G2380">
        <v>68</v>
      </c>
      <c r="H2380">
        <v>24</v>
      </c>
      <c r="I2380" t="s">
        <v>20</v>
      </c>
      <c r="J2380">
        <v>1</v>
      </c>
      <c r="K2380">
        <v>1</v>
      </c>
      <c r="L2380">
        <v>0</v>
      </c>
      <c r="M2380">
        <v>0</v>
      </c>
      <c r="N2380">
        <v>0</v>
      </c>
      <c r="O2380">
        <v>0</v>
      </c>
      <c r="P2380">
        <v>0</v>
      </c>
      <c r="Q2380">
        <v>0</v>
      </c>
      <c r="R2380">
        <v>900</v>
      </c>
      <c r="S2380">
        <v>900</v>
      </c>
      <c r="T2380">
        <v>0</v>
      </c>
      <c r="U2380" t="str">
        <f>IF(SeismicData[[#This Row],[class]]=1,"Dangerous","Safe")</f>
        <v>Safe</v>
      </c>
      <c r="V2380" t="str">
        <f>IF(SeismicData[[#This Row],[shift]]="W","Production","Non-Production")</f>
        <v>Production</v>
      </c>
      <c r="W2380" t="str">
        <f>IF(SeismicData[[#This Row],[genergy]]=0,"0","10^"&amp;INT(LOG10(SeismicData[[#This Row],[genergy]])))</f>
        <v>10^4</v>
      </c>
      <c r="X2380" t="str">
        <f>IF(OR(SeismicData[[#This Row],[genergy]]&lt;$AA$6,SeismicData[[#This Row],[genergy]]&gt;$AA$5),"Outlier","Normal")</f>
        <v>Normal</v>
      </c>
    </row>
    <row r="2381" spans="1:24" x14ac:dyDescent="0.15">
      <c r="A2381">
        <v>2380</v>
      </c>
      <c r="B2381" t="s">
        <v>20</v>
      </c>
      <c r="C2381" t="s">
        <v>20</v>
      </c>
      <c r="D2381" t="s">
        <v>22</v>
      </c>
      <c r="E2381">
        <v>19390</v>
      </c>
      <c r="F2381">
        <v>469</v>
      </c>
      <c r="G2381">
        <v>-39</v>
      </c>
      <c r="H2381">
        <v>10</v>
      </c>
      <c r="I2381" t="s">
        <v>20</v>
      </c>
      <c r="J2381">
        <v>0</v>
      </c>
      <c r="K2381">
        <v>0</v>
      </c>
      <c r="L2381">
        <v>0</v>
      </c>
      <c r="M2381">
        <v>0</v>
      </c>
      <c r="N2381">
        <v>0</v>
      </c>
      <c r="O2381">
        <v>0</v>
      </c>
      <c r="P2381">
        <v>0</v>
      </c>
      <c r="Q2381">
        <v>0</v>
      </c>
      <c r="R2381">
        <v>0</v>
      </c>
      <c r="S2381">
        <v>0</v>
      </c>
      <c r="T2381">
        <v>0</v>
      </c>
      <c r="U2381" t="str">
        <f>IF(SeismicData[[#This Row],[class]]=1,"Dangerous","Safe")</f>
        <v>Safe</v>
      </c>
      <c r="V2381" t="str">
        <f>IF(SeismicData[[#This Row],[shift]]="W","Production","Non-Production")</f>
        <v>Production</v>
      </c>
      <c r="W2381" t="str">
        <f>IF(SeismicData[[#This Row],[genergy]]=0,"0","10^"&amp;INT(LOG10(SeismicData[[#This Row],[genergy]])))</f>
        <v>10^4</v>
      </c>
      <c r="X2381" t="str">
        <f>IF(OR(SeismicData[[#This Row],[genergy]]&lt;$AA$6,SeismicData[[#This Row],[genergy]]&gt;$AA$5),"Outlier","Normal")</f>
        <v>Normal</v>
      </c>
    </row>
    <row r="2382" spans="1:24" x14ac:dyDescent="0.15">
      <c r="A2382">
        <v>2381</v>
      </c>
      <c r="B2382" t="s">
        <v>20</v>
      </c>
      <c r="C2382" t="s">
        <v>20</v>
      </c>
      <c r="D2382" t="s">
        <v>22</v>
      </c>
      <c r="E2382">
        <v>19680</v>
      </c>
      <c r="F2382">
        <v>411</v>
      </c>
      <c r="G2382">
        <v>-38</v>
      </c>
      <c r="H2382">
        <v>-3</v>
      </c>
      <c r="I2382" t="s">
        <v>20</v>
      </c>
      <c r="J2382">
        <v>2</v>
      </c>
      <c r="K2382">
        <v>0</v>
      </c>
      <c r="L2382">
        <v>2</v>
      </c>
      <c r="M2382">
        <v>0</v>
      </c>
      <c r="N2382">
        <v>0</v>
      </c>
      <c r="O2382">
        <v>0</v>
      </c>
      <c r="P2382">
        <v>0</v>
      </c>
      <c r="Q2382">
        <v>0</v>
      </c>
      <c r="R2382">
        <v>10000</v>
      </c>
      <c r="S2382">
        <v>8000</v>
      </c>
      <c r="T2382">
        <v>0</v>
      </c>
      <c r="U2382" t="str">
        <f>IF(SeismicData[[#This Row],[class]]=1,"Dangerous","Safe")</f>
        <v>Safe</v>
      </c>
      <c r="V2382" t="str">
        <f>IF(SeismicData[[#This Row],[shift]]="W","Production","Non-Production")</f>
        <v>Production</v>
      </c>
      <c r="W2382" t="str">
        <f>IF(SeismicData[[#This Row],[genergy]]=0,"0","10^"&amp;INT(LOG10(SeismicData[[#This Row],[genergy]])))</f>
        <v>10^4</v>
      </c>
      <c r="X2382" t="str">
        <f>IF(OR(SeismicData[[#This Row],[genergy]]&lt;$AA$6,SeismicData[[#This Row],[genergy]]&gt;$AA$5),"Outlier","Normal")</f>
        <v>Normal</v>
      </c>
    </row>
    <row r="2383" spans="1:24" x14ac:dyDescent="0.15">
      <c r="A2383">
        <v>2382</v>
      </c>
      <c r="B2383" t="s">
        <v>20</v>
      </c>
      <c r="C2383" t="s">
        <v>20</v>
      </c>
      <c r="D2383" t="s">
        <v>22</v>
      </c>
      <c r="E2383">
        <v>67040</v>
      </c>
      <c r="F2383">
        <v>785</v>
      </c>
      <c r="G2383">
        <v>111</v>
      </c>
      <c r="H2383">
        <v>84</v>
      </c>
      <c r="I2383" t="s">
        <v>20</v>
      </c>
      <c r="J2383">
        <v>2</v>
      </c>
      <c r="K2383">
        <v>2</v>
      </c>
      <c r="L2383">
        <v>0</v>
      </c>
      <c r="M2383">
        <v>0</v>
      </c>
      <c r="N2383">
        <v>0</v>
      </c>
      <c r="O2383">
        <v>0</v>
      </c>
      <c r="P2383">
        <v>0</v>
      </c>
      <c r="Q2383">
        <v>0</v>
      </c>
      <c r="R2383">
        <v>1600</v>
      </c>
      <c r="S2383">
        <v>900</v>
      </c>
      <c r="T2383">
        <v>0</v>
      </c>
      <c r="U2383" t="str">
        <f>IF(SeismicData[[#This Row],[class]]=1,"Dangerous","Safe")</f>
        <v>Safe</v>
      </c>
      <c r="V2383" t="str">
        <f>IF(SeismicData[[#This Row],[shift]]="W","Production","Non-Production")</f>
        <v>Production</v>
      </c>
      <c r="W2383" t="str">
        <f>IF(SeismicData[[#This Row],[genergy]]=0,"0","10^"&amp;INT(LOG10(SeismicData[[#This Row],[genergy]])))</f>
        <v>10^4</v>
      </c>
      <c r="X2383" t="str">
        <f>IF(OR(SeismicData[[#This Row],[genergy]]&lt;$AA$6,SeismicData[[#This Row],[genergy]]&gt;$AA$5),"Outlier","Normal")</f>
        <v>Normal</v>
      </c>
    </row>
    <row r="2384" spans="1:24" x14ac:dyDescent="0.15">
      <c r="A2384">
        <v>2383</v>
      </c>
      <c r="B2384" t="s">
        <v>20</v>
      </c>
      <c r="C2384" t="s">
        <v>23</v>
      </c>
      <c r="D2384" t="s">
        <v>22</v>
      </c>
      <c r="E2384">
        <v>32270</v>
      </c>
      <c r="F2384">
        <v>631</v>
      </c>
      <c r="G2384">
        <v>8</v>
      </c>
      <c r="H2384">
        <v>52</v>
      </c>
      <c r="I2384" t="s">
        <v>20</v>
      </c>
      <c r="J2384">
        <v>1</v>
      </c>
      <c r="K2384">
        <v>1</v>
      </c>
      <c r="L2384">
        <v>0</v>
      </c>
      <c r="M2384">
        <v>0</v>
      </c>
      <c r="N2384">
        <v>0</v>
      </c>
      <c r="O2384">
        <v>0</v>
      </c>
      <c r="P2384">
        <v>0</v>
      </c>
      <c r="Q2384">
        <v>0</v>
      </c>
      <c r="R2384">
        <v>500</v>
      </c>
      <c r="S2384">
        <v>500</v>
      </c>
      <c r="T2384">
        <v>0</v>
      </c>
      <c r="U2384" t="str">
        <f>IF(SeismicData[[#This Row],[class]]=1,"Dangerous","Safe")</f>
        <v>Safe</v>
      </c>
      <c r="V2384" t="str">
        <f>IF(SeismicData[[#This Row],[shift]]="W","Production","Non-Production")</f>
        <v>Production</v>
      </c>
      <c r="W2384" t="str">
        <f>IF(SeismicData[[#This Row],[genergy]]=0,"0","10^"&amp;INT(LOG10(SeismicData[[#This Row],[genergy]])))</f>
        <v>10^4</v>
      </c>
      <c r="X2384" t="str">
        <f>IF(OR(SeismicData[[#This Row],[genergy]]&lt;$AA$6,SeismicData[[#This Row],[genergy]]&gt;$AA$5),"Outlier","Normal")</f>
        <v>Normal</v>
      </c>
    </row>
    <row r="2385" spans="1:24" x14ac:dyDescent="0.15">
      <c r="A2385">
        <v>2384</v>
      </c>
      <c r="B2385" t="s">
        <v>20</v>
      </c>
      <c r="C2385" t="s">
        <v>23</v>
      </c>
      <c r="D2385" t="s">
        <v>22</v>
      </c>
      <c r="E2385">
        <v>19810</v>
      </c>
      <c r="F2385">
        <v>364</v>
      </c>
      <c r="G2385">
        <v>-34</v>
      </c>
      <c r="H2385">
        <v>-12</v>
      </c>
      <c r="I2385" t="s">
        <v>20</v>
      </c>
      <c r="J2385">
        <v>0</v>
      </c>
      <c r="K2385">
        <v>0</v>
      </c>
      <c r="L2385">
        <v>0</v>
      </c>
      <c r="M2385">
        <v>0</v>
      </c>
      <c r="N2385">
        <v>0</v>
      </c>
      <c r="O2385">
        <v>0</v>
      </c>
      <c r="P2385">
        <v>0</v>
      </c>
      <c r="Q2385">
        <v>0</v>
      </c>
      <c r="R2385">
        <v>0</v>
      </c>
      <c r="S2385">
        <v>0</v>
      </c>
      <c r="T2385">
        <v>0</v>
      </c>
      <c r="U2385" t="str">
        <f>IF(SeismicData[[#This Row],[class]]=1,"Dangerous","Safe")</f>
        <v>Safe</v>
      </c>
      <c r="V2385" t="str">
        <f>IF(SeismicData[[#This Row],[shift]]="W","Production","Non-Production")</f>
        <v>Production</v>
      </c>
      <c r="W2385" t="str">
        <f>IF(SeismicData[[#This Row],[genergy]]=0,"0","10^"&amp;INT(LOG10(SeismicData[[#This Row],[genergy]])))</f>
        <v>10^4</v>
      </c>
      <c r="X2385" t="str">
        <f>IF(OR(SeismicData[[#This Row],[genergy]]&lt;$AA$6,SeismicData[[#This Row],[genergy]]&gt;$AA$5),"Outlier","Normal")</f>
        <v>Normal</v>
      </c>
    </row>
    <row r="2386" spans="1:24" x14ac:dyDescent="0.15">
      <c r="A2386">
        <v>2385</v>
      </c>
      <c r="B2386" t="s">
        <v>20</v>
      </c>
      <c r="C2386" t="s">
        <v>23</v>
      </c>
      <c r="D2386" t="s">
        <v>22</v>
      </c>
      <c r="E2386">
        <v>38360</v>
      </c>
      <c r="F2386">
        <v>759</v>
      </c>
      <c r="G2386">
        <v>29</v>
      </c>
      <c r="H2386">
        <v>83</v>
      </c>
      <c r="I2386" t="s">
        <v>20</v>
      </c>
      <c r="J2386">
        <v>1</v>
      </c>
      <c r="K2386">
        <v>0</v>
      </c>
      <c r="L2386">
        <v>1</v>
      </c>
      <c r="M2386">
        <v>0</v>
      </c>
      <c r="N2386">
        <v>0</v>
      </c>
      <c r="O2386">
        <v>0</v>
      </c>
      <c r="P2386">
        <v>0</v>
      </c>
      <c r="Q2386">
        <v>0</v>
      </c>
      <c r="R2386">
        <v>7000</v>
      </c>
      <c r="S2386">
        <v>7000</v>
      </c>
      <c r="T2386">
        <v>0</v>
      </c>
      <c r="U2386" t="str">
        <f>IF(SeismicData[[#This Row],[class]]=1,"Dangerous","Safe")</f>
        <v>Safe</v>
      </c>
      <c r="V2386" t="str">
        <f>IF(SeismicData[[#This Row],[shift]]="W","Production","Non-Production")</f>
        <v>Production</v>
      </c>
      <c r="W2386" t="str">
        <f>IF(SeismicData[[#This Row],[genergy]]=0,"0","10^"&amp;INT(LOG10(SeismicData[[#This Row],[genergy]])))</f>
        <v>10^4</v>
      </c>
      <c r="X2386" t="str">
        <f>IF(OR(SeismicData[[#This Row],[genergy]]&lt;$AA$6,SeismicData[[#This Row],[genergy]]&gt;$AA$5),"Outlier","Normal")</f>
        <v>Normal</v>
      </c>
    </row>
    <row r="2387" spans="1:24" x14ac:dyDescent="0.15">
      <c r="A2387">
        <v>2386</v>
      </c>
      <c r="B2387" t="s">
        <v>20</v>
      </c>
      <c r="C2387" t="s">
        <v>23</v>
      </c>
      <c r="D2387" t="s">
        <v>22</v>
      </c>
      <c r="E2387">
        <v>34230</v>
      </c>
      <c r="F2387">
        <v>551</v>
      </c>
      <c r="G2387">
        <v>15</v>
      </c>
      <c r="H2387">
        <v>33</v>
      </c>
      <c r="I2387" t="s">
        <v>20</v>
      </c>
      <c r="J2387">
        <v>1</v>
      </c>
      <c r="K2387">
        <v>0</v>
      </c>
      <c r="L2387">
        <v>1</v>
      </c>
      <c r="M2387">
        <v>0</v>
      </c>
      <c r="N2387">
        <v>0</v>
      </c>
      <c r="O2387">
        <v>0</v>
      </c>
      <c r="P2387">
        <v>0</v>
      </c>
      <c r="Q2387">
        <v>0</v>
      </c>
      <c r="R2387">
        <v>2000</v>
      </c>
      <c r="S2387">
        <v>2000</v>
      </c>
      <c r="T2387">
        <v>0</v>
      </c>
      <c r="U2387" t="str">
        <f>IF(SeismicData[[#This Row],[class]]=1,"Dangerous","Safe")</f>
        <v>Safe</v>
      </c>
      <c r="V2387" t="str">
        <f>IF(SeismicData[[#This Row],[shift]]="W","Production","Non-Production")</f>
        <v>Production</v>
      </c>
      <c r="W2387" t="str">
        <f>IF(SeismicData[[#This Row],[genergy]]=0,"0","10^"&amp;INT(LOG10(SeismicData[[#This Row],[genergy]])))</f>
        <v>10^4</v>
      </c>
      <c r="X2387" t="str">
        <f>IF(OR(SeismicData[[#This Row],[genergy]]&lt;$AA$6,SeismicData[[#This Row],[genergy]]&gt;$AA$5),"Outlier","Normal")</f>
        <v>Normal</v>
      </c>
    </row>
    <row r="2388" spans="1:24" x14ac:dyDescent="0.15">
      <c r="A2388">
        <v>2387</v>
      </c>
      <c r="B2388" t="s">
        <v>20</v>
      </c>
      <c r="C2388" t="s">
        <v>23</v>
      </c>
      <c r="D2388" t="s">
        <v>22</v>
      </c>
      <c r="E2388">
        <v>44500</v>
      </c>
      <c r="F2388">
        <v>660</v>
      </c>
      <c r="G2388">
        <v>49</v>
      </c>
      <c r="H2388">
        <v>59</v>
      </c>
      <c r="I2388" t="s">
        <v>20</v>
      </c>
      <c r="J2388">
        <v>2</v>
      </c>
      <c r="K2388">
        <v>2</v>
      </c>
      <c r="L2388">
        <v>0</v>
      </c>
      <c r="M2388">
        <v>0</v>
      </c>
      <c r="N2388">
        <v>0</v>
      </c>
      <c r="O2388">
        <v>0</v>
      </c>
      <c r="P2388">
        <v>0</v>
      </c>
      <c r="Q2388">
        <v>0</v>
      </c>
      <c r="R2388">
        <v>1100</v>
      </c>
      <c r="S2388">
        <v>700</v>
      </c>
      <c r="T2388">
        <v>0</v>
      </c>
      <c r="U2388" t="str">
        <f>IF(SeismicData[[#This Row],[class]]=1,"Dangerous","Safe")</f>
        <v>Safe</v>
      </c>
      <c r="V2388" t="str">
        <f>IF(SeismicData[[#This Row],[shift]]="W","Production","Non-Production")</f>
        <v>Production</v>
      </c>
      <c r="W2388" t="str">
        <f>IF(SeismicData[[#This Row],[genergy]]=0,"0","10^"&amp;INT(LOG10(SeismicData[[#This Row],[genergy]])))</f>
        <v>10^4</v>
      </c>
      <c r="X2388" t="str">
        <f>IF(OR(SeismicData[[#This Row],[genergy]]&lt;$AA$6,SeismicData[[#This Row],[genergy]]&gt;$AA$5),"Outlier","Normal")</f>
        <v>Normal</v>
      </c>
    </row>
    <row r="2389" spans="1:24" x14ac:dyDescent="0.15">
      <c r="A2389">
        <v>2388</v>
      </c>
      <c r="B2389" t="s">
        <v>20</v>
      </c>
      <c r="C2389" t="s">
        <v>23</v>
      </c>
      <c r="D2389" t="s">
        <v>22</v>
      </c>
      <c r="E2389">
        <v>22260</v>
      </c>
      <c r="F2389">
        <v>422</v>
      </c>
      <c r="G2389">
        <v>-25</v>
      </c>
      <c r="H2389">
        <v>2</v>
      </c>
      <c r="I2389" t="s">
        <v>20</v>
      </c>
      <c r="J2389">
        <v>0</v>
      </c>
      <c r="K2389">
        <v>0</v>
      </c>
      <c r="L2389">
        <v>0</v>
      </c>
      <c r="M2389">
        <v>0</v>
      </c>
      <c r="N2389">
        <v>0</v>
      </c>
      <c r="O2389">
        <v>0</v>
      </c>
      <c r="P2389">
        <v>0</v>
      </c>
      <c r="Q2389">
        <v>0</v>
      </c>
      <c r="R2389">
        <v>0</v>
      </c>
      <c r="S2389">
        <v>0</v>
      </c>
      <c r="T2389">
        <v>0</v>
      </c>
      <c r="U2389" t="str">
        <f>IF(SeismicData[[#This Row],[class]]=1,"Dangerous","Safe")</f>
        <v>Safe</v>
      </c>
      <c r="V2389" t="str">
        <f>IF(SeismicData[[#This Row],[shift]]="W","Production","Non-Production")</f>
        <v>Production</v>
      </c>
      <c r="W2389" t="str">
        <f>IF(SeismicData[[#This Row],[genergy]]=0,"0","10^"&amp;INT(LOG10(SeismicData[[#This Row],[genergy]])))</f>
        <v>10^4</v>
      </c>
      <c r="X2389" t="str">
        <f>IF(OR(SeismicData[[#This Row],[genergy]]&lt;$AA$6,SeismicData[[#This Row],[genergy]]&gt;$AA$5),"Outlier","Normal")</f>
        <v>Normal</v>
      </c>
    </row>
    <row r="2390" spans="1:24" x14ac:dyDescent="0.15">
      <c r="A2390">
        <v>2389</v>
      </c>
      <c r="B2390" t="s">
        <v>20</v>
      </c>
      <c r="C2390" t="s">
        <v>23</v>
      </c>
      <c r="D2390" t="s">
        <v>22</v>
      </c>
      <c r="E2390">
        <v>28280</v>
      </c>
      <c r="F2390">
        <v>498</v>
      </c>
      <c r="G2390">
        <v>-5</v>
      </c>
      <c r="H2390">
        <v>20</v>
      </c>
      <c r="I2390" t="s">
        <v>20</v>
      </c>
      <c r="J2390">
        <v>1</v>
      </c>
      <c r="K2390">
        <v>0</v>
      </c>
      <c r="L2390">
        <v>1</v>
      </c>
      <c r="M2390">
        <v>0</v>
      </c>
      <c r="N2390">
        <v>0</v>
      </c>
      <c r="O2390">
        <v>0</v>
      </c>
      <c r="P2390">
        <v>0</v>
      </c>
      <c r="Q2390">
        <v>0</v>
      </c>
      <c r="R2390">
        <v>5000</v>
      </c>
      <c r="S2390">
        <v>5000</v>
      </c>
      <c r="T2390">
        <v>0</v>
      </c>
      <c r="U2390" t="str">
        <f>IF(SeismicData[[#This Row],[class]]=1,"Dangerous","Safe")</f>
        <v>Safe</v>
      </c>
      <c r="V2390" t="str">
        <f>IF(SeismicData[[#This Row],[shift]]="W","Production","Non-Production")</f>
        <v>Production</v>
      </c>
      <c r="W2390" t="str">
        <f>IF(SeismicData[[#This Row],[genergy]]=0,"0","10^"&amp;INT(LOG10(SeismicData[[#This Row],[genergy]])))</f>
        <v>10^4</v>
      </c>
      <c r="X2390" t="str">
        <f>IF(OR(SeismicData[[#This Row],[genergy]]&lt;$AA$6,SeismicData[[#This Row],[genergy]]&gt;$AA$5),"Outlier","Normal")</f>
        <v>Normal</v>
      </c>
    </row>
    <row r="2391" spans="1:24" x14ac:dyDescent="0.15">
      <c r="A2391">
        <v>2390</v>
      </c>
      <c r="B2391" t="s">
        <v>20</v>
      </c>
      <c r="C2391" t="s">
        <v>23</v>
      </c>
      <c r="D2391" t="s">
        <v>22</v>
      </c>
      <c r="E2391">
        <v>32050</v>
      </c>
      <c r="F2391">
        <v>645</v>
      </c>
      <c r="G2391">
        <v>7</v>
      </c>
      <c r="H2391">
        <v>56</v>
      </c>
      <c r="I2391" t="s">
        <v>20</v>
      </c>
      <c r="J2391">
        <v>1</v>
      </c>
      <c r="K2391">
        <v>1</v>
      </c>
      <c r="L2391">
        <v>0</v>
      </c>
      <c r="M2391">
        <v>0</v>
      </c>
      <c r="N2391">
        <v>0</v>
      </c>
      <c r="O2391">
        <v>0</v>
      </c>
      <c r="P2391">
        <v>0</v>
      </c>
      <c r="Q2391">
        <v>0</v>
      </c>
      <c r="R2391">
        <v>300</v>
      </c>
      <c r="S2391">
        <v>300</v>
      </c>
      <c r="T2391">
        <v>0</v>
      </c>
      <c r="U2391" t="str">
        <f>IF(SeismicData[[#This Row],[class]]=1,"Dangerous","Safe")</f>
        <v>Safe</v>
      </c>
      <c r="V2391" t="str">
        <f>IF(SeismicData[[#This Row],[shift]]="W","Production","Non-Production")</f>
        <v>Production</v>
      </c>
      <c r="W2391" t="str">
        <f>IF(SeismicData[[#This Row],[genergy]]=0,"0","10^"&amp;INT(LOG10(SeismicData[[#This Row],[genergy]])))</f>
        <v>10^4</v>
      </c>
      <c r="X2391" t="str">
        <f>IF(OR(SeismicData[[#This Row],[genergy]]&lt;$AA$6,SeismicData[[#This Row],[genergy]]&gt;$AA$5),"Outlier","Normal")</f>
        <v>Normal</v>
      </c>
    </row>
    <row r="2392" spans="1:24" x14ac:dyDescent="0.15">
      <c r="A2392">
        <v>2391</v>
      </c>
      <c r="B2392" t="s">
        <v>20</v>
      </c>
      <c r="C2392" t="s">
        <v>23</v>
      </c>
      <c r="D2392" t="s">
        <v>22</v>
      </c>
      <c r="E2392">
        <v>30990</v>
      </c>
      <c r="F2392">
        <v>525</v>
      </c>
      <c r="G2392">
        <v>5</v>
      </c>
      <c r="H2392">
        <v>25</v>
      </c>
      <c r="I2392" t="s">
        <v>20</v>
      </c>
      <c r="J2392">
        <v>0</v>
      </c>
      <c r="K2392">
        <v>0</v>
      </c>
      <c r="L2392">
        <v>0</v>
      </c>
      <c r="M2392">
        <v>0</v>
      </c>
      <c r="N2392">
        <v>0</v>
      </c>
      <c r="O2392">
        <v>0</v>
      </c>
      <c r="P2392">
        <v>0</v>
      </c>
      <c r="Q2392">
        <v>0</v>
      </c>
      <c r="R2392">
        <v>0</v>
      </c>
      <c r="S2392">
        <v>0</v>
      </c>
      <c r="T2392">
        <v>0</v>
      </c>
      <c r="U2392" t="str">
        <f>IF(SeismicData[[#This Row],[class]]=1,"Dangerous","Safe")</f>
        <v>Safe</v>
      </c>
      <c r="V2392" t="str">
        <f>IF(SeismicData[[#This Row],[shift]]="W","Production","Non-Production")</f>
        <v>Production</v>
      </c>
      <c r="W2392" t="str">
        <f>IF(SeismicData[[#This Row],[genergy]]=0,"0","10^"&amp;INT(LOG10(SeismicData[[#This Row],[genergy]])))</f>
        <v>10^4</v>
      </c>
      <c r="X2392" t="str">
        <f>IF(OR(SeismicData[[#This Row],[genergy]]&lt;$AA$6,SeismicData[[#This Row],[genergy]]&gt;$AA$5),"Outlier","Normal")</f>
        <v>Normal</v>
      </c>
    </row>
    <row r="2393" spans="1:24" x14ac:dyDescent="0.15">
      <c r="A2393">
        <v>2392</v>
      </c>
      <c r="B2393" t="s">
        <v>20</v>
      </c>
      <c r="C2393" t="s">
        <v>23</v>
      </c>
      <c r="D2393" t="s">
        <v>22</v>
      </c>
      <c r="E2393">
        <v>20260</v>
      </c>
      <c r="F2393">
        <v>722</v>
      </c>
      <c r="G2393">
        <v>-19</v>
      </c>
      <c r="H2393">
        <v>-42</v>
      </c>
      <c r="I2393" t="s">
        <v>20</v>
      </c>
      <c r="J2393">
        <v>0</v>
      </c>
      <c r="K2393">
        <v>0</v>
      </c>
      <c r="L2393">
        <v>0</v>
      </c>
      <c r="M2393">
        <v>0</v>
      </c>
      <c r="N2393">
        <v>0</v>
      </c>
      <c r="O2393">
        <v>0</v>
      </c>
      <c r="P2393">
        <v>0</v>
      </c>
      <c r="Q2393">
        <v>0</v>
      </c>
      <c r="R2393">
        <v>0</v>
      </c>
      <c r="S2393">
        <v>0</v>
      </c>
      <c r="T2393">
        <v>0</v>
      </c>
      <c r="U2393" t="str">
        <f>IF(SeismicData[[#This Row],[class]]=1,"Dangerous","Safe")</f>
        <v>Safe</v>
      </c>
      <c r="V2393" t="str">
        <f>IF(SeismicData[[#This Row],[shift]]="W","Production","Non-Production")</f>
        <v>Production</v>
      </c>
      <c r="W2393" t="str">
        <f>IF(SeismicData[[#This Row],[genergy]]=0,"0","10^"&amp;INT(LOG10(SeismicData[[#This Row],[genergy]])))</f>
        <v>10^4</v>
      </c>
      <c r="X2393" t="str">
        <f>IF(OR(SeismicData[[#This Row],[genergy]]&lt;$AA$6,SeismicData[[#This Row],[genergy]]&gt;$AA$5),"Outlier","Normal")</f>
        <v>Normal</v>
      </c>
    </row>
    <row r="2394" spans="1:24" x14ac:dyDescent="0.15">
      <c r="A2394">
        <v>2393</v>
      </c>
      <c r="B2394" t="s">
        <v>20</v>
      </c>
      <c r="C2394" t="s">
        <v>23</v>
      </c>
      <c r="D2394" t="s">
        <v>22</v>
      </c>
      <c r="E2394">
        <v>32110</v>
      </c>
      <c r="F2394">
        <v>427</v>
      </c>
      <c r="G2394">
        <v>9</v>
      </c>
      <c r="H2394">
        <v>2</v>
      </c>
      <c r="I2394" t="s">
        <v>20</v>
      </c>
      <c r="J2394">
        <v>1</v>
      </c>
      <c r="K2394">
        <v>1</v>
      </c>
      <c r="L2394">
        <v>0</v>
      </c>
      <c r="M2394">
        <v>0</v>
      </c>
      <c r="N2394">
        <v>0</v>
      </c>
      <c r="O2394">
        <v>0</v>
      </c>
      <c r="P2394">
        <v>0</v>
      </c>
      <c r="Q2394">
        <v>0</v>
      </c>
      <c r="R2394">
        <v>200</v>
      </c>
      <c r="S2394">
        <v>200</v>
      </c>
      <c r="T2394">
        <v>0</v>
      </c>
      <c r="U2394" t="str">
        <f>IF(SeismicData[[#This Row],[class]]=1,"Dangerous","Safe")</f>
        <v>Safe</v>
      </c>
      <c r="V2394" t="str">
        <f>IF(SeismicData[[#This Row],[shift]]="W","Production","Non-Production")</f>
        <v>Production</v>
      </c>
      <c r="W2394" t="str">
        <f>IF(SeismicData[[#This Row],[genergy]]=0,"0","10^"&amp;INT(LOG10(SeismicData[[#This Row],[genergy]])))</f>
        <v>10^4</v>
      </c>
      <c r="X2394" t="str">
        <f>IF(OR(SeismicData[[#This Row],[genergy]]&lt;$AA$6,SeismicData[[#This Row],[genergy]]&gt;$AA$5),"Outlier","Normal")</f>
        <v>Normal</v>
      </c>
    </row>
    <row r="2395" spans="1:24" x14ac:dyDescent="0.15">
      <c r="A2395">
        <v>2394</v>
      </c>
      <c r="B2395" t="s">
        <v>20</v>
      </c>
      <c r="C2395" t="s">
        <v>23</v>
      </c>
      <c r="D2395" t="s">
        <v>22</v>
      </c>
      <c r="E2395">
        <v>32460</v>
      </c>
      <c r="F2395">
        <v>469</v>
      </c>
      <c r="G2395">
        <v>10</v>
      </c>
      <c r="H2395">
        <v>12</v>
      </c>
      <c r="I2395" t="s">
        <v>20</v>
      </c>
      <c r="J2395">
        <v>0</v>
      </c>
      <c r="K2395">
        <v>0</v>
      </c>
      <c r="L2395">
        <v>0</v>
      </c>
      <c r="M2395">
        <v>0</v>
      </c>
      <c r="N2395">
        <v>0</v>
      </c>
      <c r="O2395">
        <v>0</v>
      </c>
      <c r="P2395">
        <v>0</v>
      </c>
      <c r="Q2395">
        <v>0</v>
      </c>
      <c r="R2395">
        <v>0</v>
      </c>
      <c r="S2395">
        <v>0</v>
      </c>
      <c r="T2395">
        <v>0</v>
      </c>
      <c r="U2395" t="str">
        <f>IF(SeismicData[[#This Row],[class]]=1,"Dangerous","Safe")</f>
        <v>Safe</v>
      </c>
      <c r="V2395" t="str">
        <f>IF(SeismicData[[#This Row],[shift]]="W","Production","Non-Production")</f>
        <v>Production</v>
      </c>
      <c r="W2395" t="str">
        <f>IF(SeismicData[[#This Row],[genergy]]=0,"0","10^"&amp;INT(LOG10(SeismicData[[#This Row],[genergy]])))</f>
        <v>10^4</v>
      </c>
      <c r="X2395" t="str">
        <f>IF(OR(SeismicData[[#This Row],[genergy]]&lt;$AA$6,SeismicData[[#This Row],[genergy]]&gt;$AA$5),"Outlier","Normal")</f>
        <v>Normal</v>
      </c>
    </row>
    <row r="2396" spans="1:24" x14ac:dyDescent="0.15">
      <c r="A2396">
        <v>2395</v>
      </c>
      <c r="B2396" t="s">
        <v>20</v>
      </c>
      <c r="C2396" t="s">
        <v>23</v>
      </c>
      <c r="D2396" t="s">
        <v>22</v>
      </c>
      <c r="E2396">
        <v>25480</v>
      </c>
      <c r="F2396">
        <v>429</v>
      </c>
      <c r="G2396">
        <v>-14</v>
      </c>
      <c r="H2396">
        <v>2</v>
      </c>
      <c r="I2396" t="s">
        <v>20</v>
      </c>
      <c r="J2396">
        <v>0</v>
      </c>
      <c r="K2396">
        <v>0</v>
      </c>
      <c r="L2396">
        <v>0</v>
      </c>
      <c r="M2396">
        <v>0</v>
      </c>
      <c r="N2396">
        <v>0</v>
      </c>
      <c r="O2396">
        <v>0</v>
      </c>
      <c r="P2396">
        <v>0</v>
      </c>
      <c r="Q2396">
        <v>0</v>
      </c>
      <c r="R2396">
        <v>0</v>
      </c>
      <c r="S2396">
        <v>0</v>
      </c>
      <c r="T2396">
        <v>0</v>
      </c>
      <c r="U2396" t="str">
        <f>IF(SeismicData[[#This Row],[class]]=1,"Dangerous","Safe")</f>
        <v>Safe</v>
      </c>
      <c r="V2396" t="str">
        <f>IF(SeismicData[[#This Row],[shift]]="W","Production","Non-Production")</f>
        <v>Production</v>
      </c>
      <c r="W2396" t="str">
        <f>IF(SeismicData[[#This Row],[genergy]]=0,"0","10^"&amp;INT(LOG10(SeismicData[[#This Row],[genergy]])))</f>
        <v>10^4</v>
      </c>
      <c r="X2396" t="str">
        <f>IF(OR(SeismicData[[#This Row],[genergy]]&lt;$AA$6,SeismicData[[#This Row],[genergy]]&gt;$AA$5),"Outlier","Normal")</f>
        <v>Normal</v>
      </c>
    </row>
    <row r="2397" spans="1:24" x14ac:dyDescent="0.15">
      <c r="A2397">
        <v>2396</v>
      </c>
      <c r="B2397" t="s">
        <v>20</v>
      </c>
      <c r="C2397" t="s">
        <v>23</v>
      </c>
      <c r="D2397" t="s">
        <v>22</v>
      </c>
      <c r="E2397">
        <v>25460</v>
      </c>
      <c r="F2397">
        <v>412</v>
      </c>
      <c r="G2397">
        <v>-14</v>
      </c>
      <c r="H2397">
        <v>-2</v>
      </c>
      <c r="I2397" t="s">
        <v>20</v>
      </c>
      <c r="J2397">
        <v>0</v>
      </c>
      <c r="K2397">
        <v>0</v>
      </c>
      <c r="L2397">
        <v>0</v>
      </c>
      <c r="M2397">
        <v>0</v>
      </c>
      <c r="N2397">
        <v>0</v>
      </c>
      <c r="O2397">
        <v>0</v>
      </c>
      <c r="P2397">
        <v>0</v>
      </c>
      <c r="Q2397">
        <v>0</v>
      </c>
      <c r="R2397">
        <v>0</v>
      </c>
      <c r="S2397">
        <v>0</v>
      </c>
      <c r="T2397">
        <v>0</v>
      </c>
      <c r="U2397" t="str">
        <f>IF(SeismicData[[#This Row],[class]]=1,"Dangerous","Safe")</f>
        <v>Safe</v>
      </c>
      <c r="V2397" t="str">
        <f>IF(SeismicData[[#This Row],[shift]]="W","Production","Non-Production")</f>
        <v>Production</v>
      </c>
      <c r="W2397" t="str">
        <f>IF(SeismicData[[#This Row],[genergy]]=0,"0","10^"&amp;INT(LOG10(SeismicData[[#This Row],[genergy]])))</f>
        <v>10^4</v>
      </c>
      <c r="X2397" t="str">
        <f>IF(OR(SeismicData[[#This Row],[genergy]]&lt;$AA$6,SeismicData[[#This Row],[genergy]]&gt;$AA$5),"Outlier","Normal")</f>
        <v>Normal</v>
      </c>
    </row>
    <row r="2398" spans="1:24" x14ac:dyDescent="0.15">
      <c r="A2398">
        <v>2397</v>
      </c>
      <c r="B2398" t="s">
        <v>20</v>
      </c>
      <c r="C2398" t="s">
        <v>23</v>
      </c>
      <c r="D2398" t="s">
        <v>22</v>
      </c>
      <c r="E2398">
        <v>36770</v>
      </c>
      <c r="F2398">
        <v>657</v>
      </c>
      <c r="G2398">
        <v>25</v>
      </c>
      <c r="H2398">
        <v>57</v>
      </c>
      <c r="I2398" t="s">
        <v>20</v>
      </c>
      <c r="J2398">
        <v>1</v>
      </c>
      <c r="K2398">
        <v>0</v>
      </c>
      <c r="L2398">
        <v>1</v>
      </c>
      <c r="M2398">
        <v>0</v>
      </c>
      <c r="N2398">
        <v>0</v>
      </c>
      <c r="O2398">
        <v>0</v>
      </c>
      <c r="P2398">
        <v>0</v>
      </c>
      <c r="Q2398">
        <v>0</v>
      </c>
      <c r="R2398">
        <v>1000</v>
      </c>
      <c r="S2398">
        <v>1000</v>
      </c>
      <c r="T2398">
        <v>0</v>
      </c>
      <c r="U2398" t="str">
        <f>IF(SeismicData[[#This Row],[class]]=1,"Dangerous","Safe")</f>
        <v>Safe</v>
      </c>
      <c r="V2398" t="str">
        <f>IF(SeismicData[[#This Row],[shift]]="W","Production","Non-Production")</f>
        <v>Production</v>
      </c>
      <c r="W2398" t="str">
        <f>IF(SeismicData[[#This Row],[genergy]]=0,"0","10^"&amp;INT(LOG10(SeismicData[[#This Row],[genergy]])))</f>
        <v>10^4</v>
      </c>
      <c r="X2398" t="str">
        <f>IF(OR(SeismicData[[#This Row],[genergy]]&lt;$AA$6,SeismicData[[#This Row],[genergy]]&gt;$AA$5),"Outlier","Normal")</f>
        <v>Normal</v>
      </c>
    </row>
    <row r="2399" spans="1:24" x14ac:dyDescent="0.15">
      <c r="A2399">
        <v>2398</v>
      </c>
      <c r="B2399" t="s">
        <v>20</v>
      </c>
      <c r="C2399" t="s">
        <v>23</v>
      </c>
      <c r="D2399" t="s">
        <v>22</v>
      </c>
      <c r="E2399">
        <v>20580</v>
      </c>
      <c r="F2399">
        <v>436</v>
      </c>
      <c r="G2399">
        <v>-30</v>
      </c>
      <c r="H2399">
        <v>4</v>
      </c>
      <c r="I2399" t="s">
        <v>20</v>
      </c>
      <c r="J2399">
        <v>0</v>
      </c>
      <c r="K2399">
        <v>0</v>
      </c>
      <c r="L2399">
        <v>0</v>
      </c>
      <c r="M2399">
        <v>0</v>
      </c>
      <c r="N2399">
        <v>0</v>
      </c>
      <c r="O2399">
        <v>0</v>
      </c>
      <c r="P2399">
        <v>0</v>
      </c>
      <c r="Q2399">
        <v>0</v>
      </c>
      <c r="R2399">
        <v>0</v>
      </c>
      <c r="S2399">
        <v>0</v>
      </c>
      <c r="T2399">
        <v>0</v>
      </c>
      <c r="U2399" t="str">
        <f>IF(SeismicData[[#This Row],[class]]=1,"Dangerous","Safe")</f>
        <v>Safe</v>
      </c>
      <c r="V2399" t="str">
        <f>IF(SeismicData[[#This Row],[shift]]="W","Production","Non-Production")</f>
        <v>Production</v>
      </c>
      <c r="W2399" t="str">
        <f>IF(SeismicData[[#This Row],[genergy]]=0,"0","10^"&amp;INT(LOG10(SeismicData[[#This Row],[genergy]])))</f>
        <v>10^4</v>
      </c>
      <c r="X2399" t="str">
        <f>IF(OR(SeismicData[[#This Row],[genergy]]&lt;$AA$6,SeismicData[[#This Row],[genergy]]&gt;$AA$5),"Outlier","Normal")</f>
        <v>Normal</v>
      </c>
    </row>
    <row r="2400" spans="1:24" x14ac:dyDescent="0.15">
      <c r="A2400">
        <v>2399</v>
      </c>
      <c r="B2400" t="s">
        <v>20</v>
      </c>
      <c r="C2400" t="s">
        <v>23</v>
      </c>
      <c r="D2400" t="s">
        <v>21</v>
      </c>
      <c r="E2400">
        <v>13550</v>
      </c>
      <c r="F2400">
        <v>326</v>
      </c>
      <c r="G2400">
        <v>8</v>
      </c>
      <c r="H2400">
        <v>30</v>
      </c>
      <c r="I2400" t="s">
        <v>20</v>
      </c>
      <c r="J2400">
        <v>0</v>
      </c>
      <c r="K2400">
        <v>0</v>
      </c>
      <c r="L2400">
        <v>0</v>
      </c>
      <c r="M2400">
        <v>0</v>
      </c>
      <c r="N2400">
        <v>0</v>
      </c>
      <c r="O2400">
        <v>0</v>
      </c>
      <c r="P2400">
        <v>0</v>
      </c>
      <c r="Q2400">
        <v>0</v>
      </c>
      <c r="R2400">
        <v>0</v>
      </c>
      <c r="S2400">
        <v>0</v>
      </c>
      <c r="T2400">
        <v>0</v>
      </c>
      <c r="U2400" t="str">
        <f>IF(SeismicData[[#This Row],[class]]=1,"Dangerous","Safe")</f>
        <v>Safe</v>
      </c>
      <c r="V2400" t="str">
        <f>IF(SeismicData[[#This Row],[shift]]="W","Production","Non-Production")</f>
        <v>Non-Production</v>
      </c>
      <c r="W2400" t="str">
        <f>IF(SeismicData[[#This Row],[genergy]]=0,"0","10^"&amp;INT(LOG10(SeismicData[[#This Row],[genergy]])))</f>
        <v>10^4</v>
      </c>
      <c r="X2400" t="str">
        <f>IF(OR(SeismicData[[#This Row],[genergy]]&lt;$AA$6,SeismicData[[#This Row],[genergy]]&gt;$AA$5),"Outlier","Normal")</f>
        <v>Normal</v>
      </c>
    </row>
    <row r="2401" spans="1:24" x14ac:dyDescent="0.15">
      <c r="A2401">
        <v>2400</v>
      </c>
      <c r="B2401" t="s">
        <v>20</v>
      </c>
      <c r="C2401" t="s">
        <v>23</v>
      </c>
      <c r="D2401" t="s">
        <v>21</v>
      </c>
      <c r="E2401">
        <v>21510</v>
      </c>
      <c r="F2401">
        <v>290</v>
      </c>
      <c r="G2401">
        <v>72</v>
      </c>
      <c r="H2401">
        <v>16</v>
      </c>
      <c r="I2401" t="s">
        <v>20</v>
      </c>
      <c r="J2401">
        <v>1</v>
      </c>
      <c r="K2401">
        <v>0</v>
      </c>
      <c r="L2401">
        <v>1</v>
      </c>
      <c r="M2401">
        <v>0</v>
      </c>
      <c r="N2401">
        <v>0</v>
      </c>
      <c r="O2401">
        <v>0</v>
      </c>
      <c r="P2401">
        <v>0</v>
      </c>
      <c r="Q2401">
        <v>0</v>
      </c>
      <c r="R2401">
        <v>3000</v>
      </c>
      <c r="S2401">
        <v>3000</v>
      </c>
      <c r="T2401">
        <v>0</v>
      </c>
      <c r="U2401" t="str">
        <f>IF(SeismicData[[#This Row],[class]]=1,"Dangerous","Safe")</f>
        <v>Safe</v>
      </c>
      <c r="V2401" t="str">
        <f>IF(SeismicData[[#This Row],[shift]]="W","Production","Non-Production")</f>
        <v>Non-Production</v>
      </c>
      <c r="W2401" t="str">
        <f>IF(SeismicData[[#This Row],[genergy]]=0,"0","10^"&amp;INT(LOG10(SeismicData[[#This Row],[genergy]])))</f>
        <v>10^4</v>
      </c>
      <c r="X2401" t="str">
        <f>IF(OR(SeismicData[[#This Row],[genergy]]&lt;$AA$6,SeismicData[[#This Row],[genergy]]&gt;$AA$5),"Outlier","Normal")</f>
        <v>Normal</v>
      </c>
    </row>
    <row r="2402" spans="1:24" x14ac:dyDescent="0.15">
      <c r="A2402">
        <v>2401</v>
      </c>
      <c r="B2402" t="s">
        <v>20</v>
      </c>
      <c r="C2402" t="s">
        <v>23</v>
      </c>
      <c r="D2402" t="s">
        <v>21</v>
      </c>
      <c r="E2402">
        <v>13200</v>
      </c>
      <c r="F2402">
        <v>505</v>
      </c>
      <c r="G2402">
        <v>6</v>
      </c>
      <c r="H2402">
        <v>102</v>
      </c>
      <c r="I2402" t="s">
        <v>20</v>
      </c>
      <c r="J2402">
        <v>1</v>
      </c>
      <c r="K2402">
        <v>0</v>
      </c>
      <c r="L2402">
        <v>1</v>
      </c>
      <c r="M2402">
        <v>0</v>
      </c>
      <c r="N2402">
        <v>0</v>
      </c>
      <c r="O2402">
        <v>0</v>
      </c>
      <c r="P2402">
        <v>0</v>
      </c>
      <c r="Q2402">
        <v>0</v>
      </c>
      <c r="R2402">
        <v>9000</v>
      </c>
      <c r="S2402">
        <v>9000</v>
      </c>
      <c r="T2402">
        <v>0</v>
      </c>
      <c r="U2402" t="str">
        <f>IF(SeismicData[[#This Row],[class]]=1,"Dangerous","Safe")</f>
        <v>Safe</v>
      </c>
      <c r="V2402" t="str">
        <f>IF(SeismicData[[#This Row],[shift]]="W","Production","Non-Production")</f>
        <v>Non-Production</v>
      </c>
      <c r="W2402" t="str">
        <f>IF(SeismicData[[#This Row],[genergy]]=0,"0","10^"&amp;INT(LOG10(SeismicData[[#This Row],[genergy]])))</f>
        <v>10^4</v>
      </c>
      <c r="X2402" t="str">
        <f>IF(OR(SeismicData[[#This Row],[genergy]]&lt;$AA$6,SeismicData[[#This Row],[genergy]]&gt;$AA$5),"Outlier","Normal")</f>
        <v>Normal</v>
      </c>
    </row>
    <row r="2403" spans="1:24" x14ac:dyDescent="0.15">
      <c r="A2403">
        <v>2402</v>
      </c>
      <c r="B2403" t="s">
        <v>20</v>
      </c>
      <c r="C2403" t="s">
        <v>23</v>
      </c>
      <c r="D2403" t="s">
        <v>22</v>
      </c>
      <c r="E2403">
        <v>34350</v>
      </c>
      <c r="F2403">
        <v>462</v>
      </c>
      <c r="G2403">
        <v>15</v>
      </c>
      <c r="H2403">
        <v>5</v>
      </c>
      <c r="I2403" t="s">
        <v>20</v>
      </c>
      <c r="J2403">
        <v>0</v>
      </c>
      <c r="K2403">
        <v>0</v>
      </c>
      <c r="L2403">
        <v>0</v>
      </c>
      <c r="M2403">
        <v>0</v>
      </c>
      <c r="N2403">
        <v>0</v>
      </c>
      <c r="O2403">
        <v>0</v>
      </c>
      <c r="P2403">
        <v>0</v>
      </c>
      <c r="Q2403">
        <v>0</v>
      </c>
      <c r="R2403">
        <v>0</v>
      </c>
      <c r="S2403">
        <v>0</v>
      </c>
      <c r="T2403">
        <v>1</v>
      </c>
      <c r="U2403" t="str">
        <f>IF(SeismicData[[#This Row],[class]]=1,"Dangerous","Safe")</f>
        <v>Dangerous</v>
      </c>
      <c r="V2403" t="str">
        <f>IF(SeismicData[[#This Row],[shift]]="W","Production","Non-Production")</f>
        <v>Production</v>
      </c>
      <c r="W2403" t="str">
        <f>IF(SeismicData[[#This Row],[genergy]]=0,"0","10^"&amp;INT(LOG10(SeismicData[[#This Row],[genergy]])))</f>
        <v>10^4</v>
      </c>
      <c r="X2403" t="str">
        <f>IF(OR(SeismicData[[#This Row],[genergy]]&lt;$AA$6,SeismicData[[#This Row],[genergy]]&gt;$AA$5),"Outlier","Normal")</f>
        <v>Normal</v>
      </c>
    </row>
    <row r="2404" spans="1:24" x14ac:dyDescent="0.15">
      <c r="A2404">
        <v>2403</v>
      </c>
      <c r="B2404" t="s">
        <v>20</v>
      </c>
      <c r="C2404" t="s">
        <v>23</v>
      </c>
      <c r="D2404" t="s">
        <v>21</v>
      </c>
      <c r="E2404">
        <v>30820</v>
      </c>
      <c r="F2404">
        <v>786</v>
      </c>
      <c r="G2404">
        <v>147</v>
      </c>
      <c r="H2404">
        <v>214</v>
      </c>
      <c r="I2404" t="s">
        <v>20</v>
      </c>
      <c r="J2404">
        <v>2</v>
      </c>
      <c r="K2404">
        <v>0</v>
      </c>
      <c r="L2404">
        <v>1</v>
      </c>
      <c r="M2404">
        <v>0</v>
      </c>
      <c r="N2404">
        <v>1</v>
      </c>
      <c r="O2404">
        <v>0</v>
      </c>
      <c r="P2404">
        <v>0</v>
      </c>
      <c r="Q2404">
        <v>0</v>
      </c>
      <c r="R2404">
        <v>206000</v>
      </c>
      <c r="S2404">
        <v>200000</v>
      </c>
      <c r="T2404">
        <v>0</v>
      </c>
      <c r="U2404" t="str">
        <f>IF(SeismicData[[#This Row],[class]]=1,"Dangerous","Safe")</f>
        <v>Safe</v>
      </c>
      <c r="V2404" t="str">
        <f>IF(SeismicData[[#This Row],[shift]]="W","Production","Non-Production")</f>
        <v>Non-Production</v>
      </c>
      <c r="W2404" t="str">
        <f>IF(SeismicData[[#This Row],[genergy]]=0,"0","10^"&amp;INT(LOG10(SeismicData[[#This Row],[genergy]])))</f>
        <v>10^4</v>
      </c>
      <c r="X2404" t="str">
        <f>IF(OR(SeismicData[[#This Row],[genergy]]&lt;$AA$6,SeismicData[[#This Row],[genergy]]&gt;$AA$5),"Outlier","Normal")</f>
        <v>Normal</v>
      </c>
    </row>
    <row r="2405" spans="1:24" x14ac:dyDescent="0.15">
      <c r="A2405">
        <v>2404</v>
      </c>
      <c r="B2405" t="s">
        <v>20</v>
      </c>
      <c r="C2405" t="s">
        <v>23</v>
      </c>
      <c r="D2405" t="s">
        <v>21</v>
      </c>
      <c r="E2405">
        <v>20040</v>
      </c>
      <c r="F2405">
        <v>402</v>
      </c>
      <c r="G2405">
        <v>60</v>
      </c>
      <c r="H2405">
        <v>61</v>
      </c>
      <c r="I2405" t="s">
        <v>20</v>
      </c>
      <c r="J2405">
        <v>0</v>
      </c>
      <c r="K2405">
        <v>0</v>
      </c>
      <c r="L2405">
        <v>0</v>
      </c>
      <c r="M2405">
        <v>0</v>
      </c>
      <c r="N2405">
        <v>0</v>
      </c>
      <c r="O2405">
        <v>0</v>
      </c>
      <c r="P2405">
        <v>0</v>
      </c>
      <c r="Q2405">
        <v>0</v>
      </c>
      <c r="R2405">
        <v>0</v>
      </c>
      <c r="S2405">
        <v>0</v>
      </c>
      <c r="T2405">
        <v>0</v>
      </c>
      <c r="U2405" t="str">
        <f>IF(SeismicData[[#This Row],[class]]=1,"Dangerous","Safe")</f>
        <v>Safe</v>
      </c>
      <c r="V2405" t="str">
        <f>IF(SeismicData[[#This Row],[shift]]="W","Production","Non-Production")</f>
        <v>Non-Production</v>
      </c>
      <c r="W2405" t="str">
        <f>IF(SeismicData[[#This Row],[genergy]]=0,"0","10^"&amp;INT(LOG10(SeismicData[[#This Row],[genergy]])))</f>
        <v>10^4</v>
      </c>
      <c r="X2405" t="str">
        <f>IF(OR(SeismicData[[#This Row],[genergy]]&lt;$AA$6,SeismicData[[#This Row],[genergy]]&gt;$AA$5),"Outlier","Normal")</f>
        <v>Normal</v>
      </c>
    </row>
    <row r="2406" spans="1:24" x14ac:dyDescent="0.15">
      <c r="A2406">
        <v>2405</v>
      </c>
      <c r="B2406" t="s">
        <v>20</v>
      </c>
      <c r="C2406" t="s">
        <v>23</v>
      </c>
      <c r="D2406" t="s">
        <v>21</v>
      </c>
      <c r="E2406">
        <v>9980</v>
      </c>
      <c r="F2406">
        <v>295</v>
      </c>
      <c r="G2406">
        <v>-20</v>
      </c>
      <c r="H2406">
        <v>18</v>
      </c>
      <c r="I2406" t="s">
        <v>20</v>
      </c>
      <c r="J2406">
        <v>0</v>
      </c>
      <c r="K2406">
        <v>0</v>
      </c>
      <c r="L2406">
        <v>0</v>
      </c>
      <c r="M2406">
        <v>0</v>
      </c>
      <c r="N2406">
        <v>0</v>
      </c>
      <c r="O2406">
        <v>0</v>
      </c>
      <c r="P2406">
        <v>0</v>
      </c>
      <c r="Q2406">
        <v>0</v>
      </c>
      <c r="R2406">
        <v>0</v>
      </c>
      <c r="S2406">
        <v>0</v>
      </c>
      <c r="T2406">
        <v>0</v>
      </c>
      <c r="U2406" t="str">
        <f>IF(SeismicData[[#This Row],[class]]=1,"Dangerous","Safe")</f>
        <v>Safe</v>
      </c>
      <c r="V2406" t="str">
        <f>IF(SeismicData[[#This Row],[shift]]="W","Production","Non-Production")</f>
        <v>Non-Production</v>
      </c>
      <c r="W2406" t="str">
        <f>IF(SeismicData[[#This Row],[genergy]]=0,"0","10^"&amp;INT(LOG10(SeismicData[[#This Row],[genergy]])))</f>
        <v>10^3</v>
      </c>
      <c r="X2406" t="str">
        <f>IF(OR(SeismicData[[#This Row],[genergy]]&lt;$AA$6,SeismicData[[#This Row],[genergy]]&gt;$AA$5),"Outlier","Normal")</f>
        <v>Normal</v>
      </c>
    </row>
    <row r="2407" spans="1:24" x14ac:dyDescent="0.15">
      <c r="A2407">
        <v>2406</v>
      </c>
      <c r="B2407" t="s">
        <v>20</v>
      </c>
      <c r="C2407" t="s">
        <v>23</v>
      </c>
      <c r="D2407" t="s">
        <v>22</v>
      </c>
      <c r="E2407">
        <v>29160</v>
      </c>
      <c r="F2407">
        <v>435</v>
      </c>
      <c r="G2407">
        <v>-2</v>
      </c>
      <c r="H2407">
        <v>-1</v>
      </c>
      <c r="I2407" t="s">
        <v>20</v>
      </c>
      <c r="J2407">
        <v>0</v>
      </c>
      <c r="K2407">
        <v>0</v>
      </c>
      <c r="L2407">
        <v>0</v>
      </c>
      <c r="M2407">
        <v>0</v>
      </c>
      <c r="N2407">
        <v>0</v>
      </c>
      <c r="O2407">
        <v>0</v>
      </c>
      <c r="P2407">
        <v>0</v>
      </c>
      <c r="Q2407">
        <v>0</v>
      </c>
      <c r="R2407">
        <v>0</v>
      </c>
      <c r="S2407">
        <v>0</v>
      </c>
      <c r="T2407">
        <v>0</v>
      </c>
      <c r="U2407" t="str">
        <f>IF(SeismicData[[#This Row],[class]]=1,"Dangerous","Safe")</f>
        <v>Safe</v>
      </c>
      <c r="V2407" t="str">
        <f>IF(SeismicData[[#This Row],[shift]]="W","Production","Non-Production")</f>
        <v>Production</v>
      </c>
      <c r="W2407" t="str">
        <f>IF(SeismicData[[#This Row],[genergy]]=0,"0","10^"&amp;INT(LOG10(SeismicData[[#This Row],[genergy]])))</f>
        <v>10^4</v>
      </c>
      <c r="X2407" t="str">
        <f>IF(OR(SeismicData[[#This Row],[genergy]]&lt;$AA$6,SeismicData[[#This Row],[genergy]]&gt;$AA$5),"Outlier","Normal")</f>
        <v>Normal</v>
      </c>
    </row>
    <row r="2408" spans="1:24" x14ac:dyDescent="0.15">
      <c r="A2408">
        <v>2407</v>
      </c>
      <c r="B2408" t="s">
        <v>23</v>
      </c>
      <c r="C2408" t="s">
        <v>23</v>
      </c>
      <c r="D2408" t="s">
        <v>22</v>
      </c>
      <c r="E2408">
        <v>21760</v>
      </c>
      <c r="F2408">
        <v>391</v>
      </c>
      <c r="G2408">
        <v>-25</v>
      </c>
      <c r="H2408">
        <v>-11</v>
      </c>
      <c r="I2408" t="s">
        <v>20</v>
      </c>
      <c r="J2408">
        <v>1</v>
      </c>
      <c r="K2408">
        <v>0</v>
      </c>
      <c r="L2408">
        <v>1</v>
      </c>
      <c r="M2408">
        <v>0</v>
      </c>
      <c r="N2408">
        <v>0</v>
      </c>
      <c r="O2408">
        <v>0</v>
      </c>
      <c r="P2408">
        <v>0</v>
      </c>
      <c r="Q2408">
        <v>0</v>
      </c>
      <c r="R2408">
        <v>1000</v>
      </c>
      <c r="S2408">
        <v>1000</v>
      </c>
      <c r="T2408">
        <v>0</v>
      </c>
      <c r="U2408" t="str">
        <f>IF(SeismicData[[#This Row],[class]]=1,"Dangerous","Safe")</f>
        <v>Safe</v>
      </c>
      <c r="V2408" t="str">
        <f>IF(SeismicData[[#This Row],[shift]]="W","Production","Non-Production")</f>
        <v>Production</v>
      </c>
      <c r="W2408" t="str">
        <f>IF(SeismicData[[#This Row],[genergy]]=0,"0","10^"&amp;INT(LOG10(SeismicData[[#This Row],[genergy]])))</f>
        <v>10^4</v>
      </c>
      <c r="X2408" t="str">
        <f>IF(OR(SeismicData[[#This Row],[genergy]]&lt;$AA$6,SeismicData[[#This Row],[genergy]]&gt;$AA$5),"Outlier","Normal")</f>
        <v>Normal</v>
      </c>
    </row>
    <row r="2409" spans="1:24" x14ac:dyDescent="0.15">
      <c r="A2409">
        <v>2408</v>
      </c>
      <c r="B2409" t="s">
        <v>23</v>
      </c>
      <c r="C2409" t="s">
        <v>23</v>
      </c>
      <c r="D2409" t="s">
        <v>22</v>
      </c>
      <c r="E2409">
        <v>20160</v>
      </c>
      <c r="F2409">
        <v>317</v>
      </c>
      <c r="G2409">
        <v>-30</v>
      </c>
      <c r="H2409">
        <v>-28</v>
      </c>
      <c r="I2409" t="s">
        <v>20</v>
      </c>
      <c r="J2409">
        <v>1</v>
      </c>
      <c r="K2409">
        <v>1</v>
      </c>
      <c r="L2409">
        <v>0</v>
      </c>
      <c r="M2409">
        <v>0</v>
      </c>
      <c r="N2409">
        <v>0</v>
      </c>
      <c r="O2409">
        <v>0</v>
      </c>
      <c r="P2409">
        <v>0</v>
      </c>
      <c r="Q2409">
        <v>0</v>
      </c>
      <c r="R2409">
        <v>300</v>
      </c>
      <c r="S2409">
        <v>300</v>
      </c>
      <c r="T2409">
        <v>0</v>
      </c>
      <c r="U2409" t="str">
        <f>IF(SeismicData[[#This Row],[class]]=1,"Dangerous","Safe")</f>
        <v>Safe</v>
      </c>
      <c r="V2409" t="str">
        <f>IF(SeismicData[[#This Row],[shift]]="W","Production","Non-Production")</f>
        <v>Production</v>
      </c>
      <c r="W2409" t="str">
        <f>IF(SeismicData[[#This Row],[genergy]]=0,"0","10^"&amp;INT(LOG10(SeismicData[[#This Row],[genergy]])))</f>
        <v>10^4</v>
      </c>
      <c r="X2409" t="str">
        <f>IF(OR(SeismicData[[#This Row],[genergy]]&lt;$AA$6,SeismicData[[#This Row],[genergy]]&gt;$AA$5),"Outlier","Normal")</f>
        <v>Normal</v>
      </c>
    </row>
    <row r="2410" spans="1:24" x14ac:dyDescent="0.15">
      <c r="A2410">
        <v>2409</v>
      </c>
      <c r="B2410" t="s">
        <v>23</v>
      </c>
      <c r="C2410" t="s">
        <v>23</v>
      </c>
      <c r="D2410" t="s">
        <v>22</v>
      </c>
      <c r="E2410">
        <v>24370</v>
      </c>
      <c r="F2410">
        <v>428</v>
      </c>
      <c r="G2410">
        <v>-16</v>
      </c>
      <c r="H2410">
        <v>-3</v>
      </c>
      <c r="I2410" t="s">
        <v>20</v>
      </c>
      <c r="J2410">
        <v>1</v>
      </c>
      <c r="K2410">
        <v>0</v>
      </c>
      <c r="L2410">
        <v>1</v>
      </c>
      <c r="M2410">
        <v>0</v>
      </c>
      <c r="N2410">
        <v>0</v>
      </c>
      <c r="O2410">
        <v>0</v>
      </c>
      <c r="P2410">
        <v>0</v>
      </c>
      <c r="Q2410">
        <v>0</v>
      </c>
      <c r="R2410">
        <v>2000</v>
      </c>
      <c r="S2410">
        <v>2000</v>
      </c>
      <c r="T2410">
        <v>0</v>
      </c>
      <c r="U2410" t="str">
        <f>IF(SeismicData[[#This Row],[class]]=1,"Dangerous","Safe")</f>
        <v>Safe</v>
      </c>
      <c r="V2410" t="str">
        <f>IF(SeismicData[[#This Row],[shift]]="W","Production","Non-Production")</f>
        <v>Production</v>
      </c>
      <c r="W2410" t="str">
        <f>IF(SeismicData[[#This Row],[genergy]]=0,"0","10^"&amp;INT(LOG10(SeismicData[[#This Row],[genergy]])))</f>
        <v>10^4</v>
      </c>
      <c r="X2410" t="str">
        <f>IF(OR(SeismicData[[#This Row],[genergy]]&lt;$AA$6,SeismicData[[#This Row],[genergy]]&gt;$AA$5),"Outlier","Normal")</f>
        <v>Normal</v>
      </c>
    </row>
    <row r="2411" spans="1:24" x14ac:dyDescent="0.15">
      <c r="A2411">
        <v>2410</v>
      </c>
      <c r="B2411" t="s">
        <v>23</v>
      </c>
      <c r="C2411" t="s">
        <v>23</v>
      </c>
      <c r="D2411" t="s">
        <v>22</v>
      </c>
      <c r="E2411">
        <v>15560</v>
      </c>
      <c r="F2411">
        <v>264</v>
      </c>
      <c r="G2411">
        <v>-46</v>
      </c>
      <c r="H2411">
        <v>-40</v>
      </c>
      <c r="I2411" t="s">
        <v>20</v>
      </c>
      <c r="J2411">
        <v>0</v>
      </c>
      <c r="K2411">
        <v>0</v>
      </c>
      <c r="L2411">
        <v>0</v>
      </c>
      <c r="M2411">
        <v>0</v>
      </c>
      <c r="N2411">
        <v>0</v>
      </c>
      <c r="O2411">
        <v>0</v>
      </c>
      <c r="P2411">
        <v>0</v>
      </c>
      <c r="Q2411">
        <v>0</v>
      </c>
      <c r="R2411">
        <v>0</v>
      </c>
      <c r="S2411">
        <v>0</v>
      </c>
      <c r="T2411">
        <v>0</v>
      </c>
      <c r="U2411" t="str">
        <f>IF(SeismicData[[#This Row],[class]]=1,"Dangerous","Safe")</f>
        <v>Safe</v>
      </c>
      <c r="V2411" t="str">
        <f>IF(SeismicData[[#This Row],[shift]]="W","Production","Non-Production")</f>
        <v>Production</v>
      </c>
      <c r="W2411" t="str">
        <f>IF(SeismicData[[#This Row],[genergy]]=0,"0","10^"&amp;INT(LOG10(SeismicData[[#This Row],[genergy]])))</f>
        <v>10^4</v>
      </c>
      <c r="X2411" t="str">
        <f>IF(OR(SeismicData[[#This Row],[genergy]]&lt;$AA$6,SeismicData[[#This Row],[genergy]]&gt;$AA$5),"Outlier","Normal")</f>
        <v>Normal</v>
      </c>
    </row>
    <row r="2412" spans="1:24" x14ac:dyDescent="0.15">
      <c r="A2412">
        <v>2411</v>
      </c>
      <c r="B2412" t="s">
        <v>23</v>
      </c>
      <c r="C2412" t="s">
        <v>23</v>
      </c>
      <c r="D2412" t="s">
        <v>22</v>
      </c>
      <c r="E2412">
        <v>25760</v>
      </c>
      <c r="F2412">
        <v>410</v>
      </c>
      <c r="G2412">
        <v>-11</v>
      </c>
      <c r="H2412">
        <v>-7</v>
      </c>
      <c r="I2412" t="s">
        <v>20</v>
      </c>
      <c r="J2412">
        <v>1</v>
      </c>
      <c r="K2412">
        <v>1</v>
      </c>
      <c r="L2412">
        <v>0</v>
      </c>
      <c r="M2412">
        <v>0</v>
      </c>
      <c r="N2412">
        <v>0</v>
      </c>
      <c r="O2412">
        <v>0</v>
      </c>
      <c r="P2412">
        <v>0</v>
      </c>
      <c r="Q2412">
        <v>0</v>
      </c>
      <c r="R2412">
        <v>200</v>
      </c>
      <c r="S2412">
        <v>200</v>
      </c>
      <c r="T2412">
        <v>0</v>
      </c>
      <c r="U2412" t="str">
        <f>IF(SeismicData[[#This Row],[class]]=1,"Dangerous","Safe")</f>
        <v>Safe</v>
      </c>
      <c r="V2412" t="str">
        <f>IF(SeismicData[[#This Row],[shift]]="W","Production","Non-Production")</f>
        <v>Production</v>
      </c>
      <c r="W2412" t="str">
        <f>IF(SeismicData[[#This Row],[genergy]]=0,"0","10^"&amp;INT(LOG10(SeismicData[[#This Row],[genergy]])))</f>
        <v>10^4</v>
      </c>
      <c r="X2412" t="str">
        <f>IF(OR(SeismicData[[#This Row],[genergy]]&lt;$AA$6,SeismicData[[#This Row],[genergy]]&gt;$AA$5),"Outlier","Normal")</f>
        <v>Normal</v>
      </c>
    </row>
    <row r="2413" spans="1:24" x14ac:dyDescent="0.15">
      <c r="A2413">
        <v>2412</v>
      </c>
      <c r="B2413" t="s">
        <v>23</v>
      </c>
      <c r="C2413" t="s">
        <v>23</v>
      </c>
      <c r="D2413" t="s">
        <v>22</v>
      </c>
      <c r="E2413">
        <v>42340</v>
      </c>
      <c r="F2413">
        <v>515</v>
      </c>
      <c r="G2413">
        <v>46</v>
      </c>
      <c r="H2413">
        <v>17</v>
      </c>
      <c r="I2413" t="s">
        <v>20</v>
      </c>
      <c r="J2413">
        <v>0</v>
      </c>
      <c r="K2413">
        <v>0</v>
      </c>
      <c r="L2413">
        <v>0</v>
      </c>
      <c r="M2413">
        <v>0</v>
      </c>
      <c r="N2413">
        <v>0</v>
      </c>
      <c r="O2413">
        <v>0</v>
      </c>
      <c r="P2413">
        <v>0</v>
      </c>
      <c r="Q2413">
        <v>0</v>
      </c>
      <c r="R2413">
        <v>0</v>
      </c>
      <c r="S2413">
        <v>0</v>
      </c>
      <c r="T2413">
        <v>0</v>
      </c>
      <c r="U2413" t="str">
        <f>IF(SeismicData[[#This Row],[class]]=1,"Dangerous","Safe")</f>
        <v>Safe</v>
      </c>
      <c r="V2413" t="str">
        <f>IF(SeismicData[[#This Row],[shift]]="W","Production","Non-Production")</f>
        <v>Production</v>
      </c>
      <c r="W2413" t="str">
        <f>IF(SeismicData[[#This Row],[genergy]]=0,"0","10^"&amp;INT(LOG10(SeismicData[[#This Row],[genergy]])))</f>
        <v>10^4</v>
      </c>
      <c r="X2413" t="str">
        <f>IF(OR(SeismicData[[#This Row],[genergy]]&lt;$AA$6,SeismicData[[#This Row],[genergy]]&gt;$AA$5),"Outlier","Normal")</f>
        <v>Normal</v>
      </c>
    </row>
    <row r="2414" spans="1:24" x14ac:dyDescent="0.15">
      <c r="A2414">
        <v>2413</v>
      </c>
      <c r="B2414" t="s">
        <v>23</v>
      </c>
      <c r="C2414" t="s">
        <v>23</v>
      </c>
      <c r="D2414" t="s">
        <v>22</v>
      </c>
      <c r="E2414">
        <v>21950</v>
      </c>
      <c r="F2414">
        <v>375</v>
      </c>
      <c r="G2414">
        <v>-24</v>
      </c>
      <c r="H2414">
        <v>-15</v>
      </c>
      <c r="I2414" t="s">
        <v>20</v>
      </c>
      <c r="J2414">
        <v>1</v>
      </c>
      <c r="K2414">
        <v>0</v>
      </c>
      <c r="L2414">
        <v>1</v>
      </c>
      <c r="M2414">
        <v>0</v>
      </c>
      <c r="N2414">
        <v>0</v>
      </c>
      <c r="O2414">
        <v>0</v>
      </c>
      <c r="P2414">
        <v>0</v>
      </c>
      <c r="Q2414">
        <v>0</v>
      </c>
      <c r="R2414">
        <v>2000</v>
      </c>
      <c r="S2414">
        <v>2000</v>
      </c>
      <c r="T2414">
        <v>0</v>
      </c>
      <c r="U2414" t="str">
        <f>IF(SeismicData[[#This Row],[class]]=1,"Dangerous","Safe")</f>
        <v>Safe</v>
      </c>
      <c r="V2414" t="str">
        <f>IF(SeismicData[[#This Row],[shift]]="W","Production","Non-Production")</f>
        <v>Production</v>
      </c>
      <c r="W2414" t="str">
        <f>IF(SeismicData[[#This Row],[genergy]]=0,"0","10^"&amp;INT(LOG10(SeismicData[[#This Row],[genergy]])))</f>
        <v>10^4</v>
      </c>
      <c r="X2414" t="str">
        <f>IF(OR(SeismicData[[#This Row],[genergy]]&lt;$AA$6,SeismicData[[#This Row],[genergy]]&gt;$AA$5),"Outlier","Normal")</f>
        <v>Normal</v>
      </c>
    </row>
    <row r="2415" spans="1:24" x14ac:dyDescent="0.15">
      <c r="A2415">
        <v>2414</v>
      </c>
      <c r="B2415" t="s">
        <v>23</v>
      </c>
      <c r="C2415" t="s">
        <v>23</v>
      </c>
      <c r="D2415" t="s">
        <v>21</v>
      </c>
      <c r="E2415">
        <v>10030</v>
      </c>
      <c r="F2415">
        <v>244</v>
      </c>
      <c r="G2415">
        <v>-20</v>
      </c>
      <c r="H2415">
        <v>-2</v>
      </c>
      <c r="I2415" t="s">
        <v>20</v>
      </c>
      <c r="J2415">
        <v>0</v>
      </c>
      <c r="K2415">
        <v>0</v>
      </c>
      <c r="L2415">
        <v>0</v>
      </c>
      <c r="M2415">
        <v>0</v>
      </c>
      <c r="N2415">
        <v>0</v>
      </c>
      <c r="O2415">
        <v>0</v>
      </c>
      <c r="P2415">
        <v>0</v>
      </c>
      <c r="Q2415">
        <v>0</v>
      </c>
      <c r="R2415">
        <v>0</v>
      </c>
      <c r="S2415">
        <v>0</v>
      </c>
      <c r="T2415">
        <v>0</v>
      </c>
      <c r="U2415" t="str">
        <f>IF(SeismicData[[#This Row],[class]]=1,"Dangerous","Safe")</f>
        <v>Safe</v>
      </c>
      <c r="V2415" t="str">
        <f>IF(SeismicData[[#This Row],[shift]]="W","Production","Non-Production")</f>
        <v>Non-Production</v>
      </c>
      <c r="W2415" t="str">
        <f>IF(SeismicData[[#This Row],[genergy]]=0,"0","10^"&amp;INT(LOG10(SeismicData[[#This Row],[genergy]])))</f>
        <v>10^4</v>
      </c>
      <c r="X2415" t="str">
        <f>IF(OR(SeismicData[[#This Row],[genergy]]&lt;$AA$6,SeismicData[[#This Row],[genergy]]&gt;$AA$5),"Outlier","Normal")</f>
        <v>Normal</v>
      </c>
    </row>
    <row r="2416" spans="1:24" x14ac:dyDescent="0.15">
      <c r="A2416">
        <v>2415</v>
      </c>
      <c r="B2416" t="s">
        <v>23</v>
      </c>
      <c r="C2416" t="s">
        <v>23</v>
      </c>
      <c r="D2416" t="s">
        <v>21</v>
      </c>
      <c r="E2416">
        <v>12540</v>
      </c>
      <c r="F2416">
        <v>211</v>
      </c>
      <c r="G2416">
        <v>0</v>
      </c>
      <c r="H2416">
        <v>-16</v>
      </c>
      <c r="I2416" t="s">
        <v>20</v>
      </c>
      <c r="J2416">
        <v>0</v>
      </c>
      <c r="K2416">
        <v>0</v>
      </c>
      <c r="L2416">
        <v>0</v>
      </c>
      <c r="M2416">
        <v>0</v>
      </c>
      <c r="N2416">
        <v>0</v>
      </c>
      <c r="O2416">
        <v>0</v>
      </c>
      <c r="P2416">
        <v>0</v>
      </c>
      <c r="Q2416">
        <v>0</v>
      </c>
      <c r="R2416">
        <v>0</v>
      </c>
      <c r="S2416">
        <v>0</v>
      </c>
      <c r="T2416">
        <v>0</v>
      </c>
      <c r="U2416" t="str">
        <f>IF(SeismicData[[#This Row],[class]]=1,"Dangerous","Safe")</f>
        <v>Safe</v>
      </c>
      <c r="V2416" t="str">
        <f>IF(SeismicData[[#This Row],[shift]]="W","Production","Non-Production")</f>
        <v>Non-Production</v>
      </c>
      <c r="W2416" t="str">
        <f>IF(SeismicData[[#This Row],[genergy]]=0,"0","10^"&amp;INT(LOG10(SeismicData[[#This Row],[genergy]])))</f>
        <v>10^4</v>
      </c>
      <c r="X2416" t="str">
        <f>IF(OR(SeismicData[[#This Row],[genergy]]&lt;$AA$6,SeismicData[[#This Row],[genergy]]&gt;$AA$5),"Outlier","Normal")</f>
        <v>Normal</v>
      </c>
    </row>
    <row r="2417" spans="1:24" x14ac:dyDescent="0.15">
      <c r="A2417">
        <v>2416</v>
      </c>
      <c r="B2417" t="s">
        <v>23</v>
      </c>
      <c r="C2417" t="s">
        <v>23</v>
      </c>
      <c r="D2417" t="s">
        <v>22</v>
      </c>
      <c r="E2417">
        <v>23860</v>
      </c>
      <c r="F2417">
        <v>269</v>
      </c>
      <c r="G2417">
        <v>-11</v>
      </c>
      <c r="H2417">
        <v>-38</v>
      </c>
      <c r="I2417" t="s">
        <v>20</v>
      </c>
      <c r="J2417">
        <v>1</v>
      </c>
      <c r="K2417">
        <v>1</v>
      </c>
      <c r="L2417">
        <v>0</v>
      </c>
      <c r="M2417">
        <v>0</v>
      </c>
      <c r="N2417">
        <v>0</v>
      </c>
      <c r="O2417">
        <v>0</v>
      </c>
      <c r="P2417">
        <v>0</v>
      </c>
      <c r="Q2417">
        <v>0</v>
      </c>
      <c r="R2417">
        <v>200</v>
      </c>
      <c r="S2417">
        <v>200</v>
      </c>
      <c r="T2417">
        <v>0</v>
      </c>
      <c r="U2417" t="str">
        <f>IF(SeismicData[[#This Row],[class]]=1,"Dangerous","Safe")</f>
        <v>Safe</v>
      </c>
      <c r="V2417" t="str">
        <f>IF(SeismicData[[#This Row],[shift]]="W","Production","Non-Production")</f>
        <v>Production</v>
      </c>
      <c r="W2417" t="str">
        <f>IF(SeismicData[[#This Row],[genergy]]=0,"0","10^"&amp;INT(LOG10(SeismicData[[#This Row],[genergy]])))</f>
        <v>10^4</v>
      </c>
      <c r="X2417" t="str">
        <f>IF(OR(SeismicData[[#This Row],[genergy]]&lt;$AA$6,SeismicData[[#This Row],[genergy]]&gt;$AA$5),"Outlier","Normal")</f>
        <v>Normal</v>
      </c>
    </row>
    <row r="2418" spans="1:24" x14ac:dyDescent="0.15">
      <c r="A2418">
        <v>2417</v>
      </c>
      <c r="B2418" t="s">
        <v>23</v>
      </c>
      <c r="C2418" t="s">
        <v>23</v>
      </c>
      <c r="D2418" t="s">
        <v>22</v>
      </c>
      <c r="E2418">
        <v>24950</v>
      </c>
      <c r="F2418">
        <v>344</v>
      </c>
      <c r="G2418">
        <v>-7</v>
      </c>
      <c r="H2418">
        <v>-21</v>
      </c>
      <c r="I2418" t="s">
        <v>20</v>
      </c>
      <c r="J2418">
        <v>1</v>
      </c>
      <c r="K2418">
        <v>1</v>
      </c>
      <c r="L2418">
        <v>0</v>
      </c>
      <c r="M2418">
        <v>0</v>
      </c>
      <c r="N2418">
        <v>0</v>
      </c>
      <c r="O2418">
        <v>0</v>
      </c>
      <c r="P2418">
        <v>0</v>
      </c>
      <c r="Q2418">
        <v>0</v>
      </c>
      <c r="R2418">
        <v>300</v>
      </c>
      <c r="S2418">
        <v>300</v>
      </c>
      <c r="T2418">
        <v>0</v>
      </c>
      <c r="U2418" t="str">
        <f>IF(SeismicData[[#This Row],[class]]=1,"Dangerous","Safe")</f>
        <v>Safe</v>
      </c>
      <c r="V2418" t="str">
        <f>IF(SeismicData[[#This Row],[shift]]="W","Production","Non-Production")</f>
        <v>Production</v>
      </c>
      <c r="W2418" t="str">
        <f>IF(SeismicData[[#This Row],[genergy]]=0,"0","10^"&amp;INT(LOG10(SeismicData[[#This Row],[genergy]])))</f>
        <v>10^4</v>
      </c>
      <c r="X2418" t="str">
        <f>IF(OR(SeismicData[[#This Row],[genergy]]&lt;$AA$6,SeismicData[[#This Row],[genergy]]&gt;$AA$5),"Outlier","Normal")</f>
        <v>Normal</v>
      </c>
    </row>
    <row r="2419" spans="1:24" x14ac:dyDescent="0.15">
      <c r="A2419">
        <v>2418</v>
      </c>
      <c r="B2419" t="s">
        <v>23</v>
      </c>
      <c r="C2419" t="s">
        <v>23</v>
      </c>
      <c r="D2419" t="s">
        <v>22</v>
      </c>
      <c r="E2419">
        <v>37950</v>
      </c>
      <c r="F2419">
        <v>527</v>
      </c>
      <c r="G2419">
        <v>41</v>
      </c>
      <c r="H2419">
        <v>22</v>
      </c>
      <c r="I2419" t="s">
        <v>20</v>
      </c>
      <c r="J2419">
        <v>1</v>
      </c>
      <c r="K2419">
        <v>0</v>
      </c>
      <c r="L2419">
        <v>1</v>
      </c>
      <c r="M2419">
        <v>0</v>
      </c>
      <c r="N2419">
        <v>0</v>
      </c>
      <c r="O2419">
        <v>0</v>
      </c>
      <c r="P2419">
        <v>0</v>
      </c>
      <c r="Q2419">
        <v>0</v>
      </c>
      <c r="R2419">
        <v>8000</v>
      </c>
      <c r="S2419">
        <v>8000</v>
      </c>
      <c r="T2419">
        <v>0</v>
      </c>
      <c r="U2419" t="str">
        <f>IF(SeismicData[[#This Row],[class]]=1,"Dangerous","Safe")</f>
        <v>Safe</v>
      </c>
      <c r="V2419" t="str">
        <f>IF(SeismicData[[#This Row],[shift]]="W","Production","Non-Production")</f>
        <v>Production</v>
      </c>
      <c r="W2419" t="str">
        <f>IF(SeismicData[[#This Row],[genergy]]=0,"0","10^"&amp;INT(LOG10(SeismicData[[#This Row],[genergy]])))</f>
        <v>10^4</v>
      </c>
      <c r="X2419" t="str">
        <f>IF(OR(SeismicData[[#This Row],[genergy]]&lt;$AA$6,SeismicData[[#This Row],[genergy]]&gt;$AA$5),"Outlier","Normal")</f>
        <v>Normal</v>
      </c>
    </row>
    <row r="2420" spans="1:24" x14ac:dyDescent="0.15">
      <c r="A2420">
        <v>2419</v>
      </c>
      <c r="B2420" t="s">
        <v>23</v>
      </c>
      <c r="C2420" t="s">
        <v>23</v>
      </c>
      <c r="D2420" t="s">
        <v>21</v>
      </c>
      <c r="E2420">
        <v>11540</v>
      </c>
      <c r="F2420">
        <v>285</v>
      </c>
      <c r="G2420">
        <v>-8</v>
      </c>
      <c r="H2420">
        <v>14</v>
      </c>
      <c r="I2420" t="s">
        <v>20</v>
      </c>
      <c r="J2420">
        <v>0</v>
      </c>
      <c r="K2420">
        <v>0</v>
      </c>
      <c r="L2420">
        <v>0</v>
      </c>
      <c r="M2420">
        <v>0</v>
      </c>
      <c r="N2420">
        <v>0</v>
      </c>
      <c r="O2420">
        <v>0</v>
      </c>
      <c r="P2420">
        <v>0</v>
      </c>
      <c r="Q2420">
        <v>0</v>
      </c>
      <c r="R2420">
        <v>0</v>
      </c>
      <c r="S2420">
        <v>0</v>
      </c>
      <c r="T2420">
        <v>0</v>
      </c>
      <c r="U2420" t="str">
        <f>IF(SeismicData[[#This Row],[class]]=1,"Dangerous","Safe")</f>
        <v>Safe</v>
      </c>
      <c r="V2420" t="str">
        <f>IF(SeismicData[[#This Row],[shift]]="W","Production","Non-Production")</f>
        <v>Non-Production</v>
      </c>
      <c r="W2420" t="str">
        <f>IF(SeismicData[[#This Row],[genergy]]=0,"0","10^"&amp;INT(LOG10(SeismicData[[#This Row],[genergy]])))</f>
        <v>10^4</v>
      </c>
      <c r="X2420" t="str">
        <f>IF(OR(SeismicData[[#This Row],[genergy]]&lt;$AA$6,SeismicData[[#This Row],[genergy]]&gt;$AA$5),"Outlier","Normal")</f>
        <v>Normal</v>
      </c>
    </row>
    <row r="2421" spans="1:24" x14ac:dyDescent="0.15">
      <c r="A2421">
        <v>2420</v>
      </c>
      <c r="B2421" t="s">
        <v>23</v>
      </c>
      <c r="C2421" t="s">
        <v>23</v>
      </c>
      <c r="D2421" t="s">
        <v>21</v>
      </c>
      <c r="E2421">
        <v>12480</v>
      </c>
      <c r="F2421">
        <v>260</v>
      </c>
      <c r="G2421">
        <v>0</v>
      </c>
      <c r="H2421">
        <v>4</v>
      </c>
      <c r="I2421" t="s">
        <v>20</v>
      </c>
      <c r="J2421">
        <v>0</v>
      </c>
      <c r="K2421">
        <v>0</v>
      </c>
      <c r="L2421">
        <v>0</v>
      </c>
      <c r="M2421">
        <v>0</v>
      </c>
      <c r="N2421">
        <v>0</v>
      </c>
      <c r="O2421">
        <v>0</v>
      </c>
      <c r="P2421">
        <v>0</v>
      </c>
      <c r="Q2421">
        <v>0</v>
      </c>
      <c r="R2421">
        <v>0</v>
      </c>
      <c r="S2421">
        <v>0</v>
      </c>
      <c r="T2421">
        <v>0</v>
      </c>
      <c r="U2421" t="str">
        <f>IF(SeismicData[[#This Row],[class]]=1,"Dangerous","Safe")</f>
        <v>Safe</v>
      </c>
      <c r="V2421" t="str">
        <f>IF(SeismicData[[#This Row],[shift]]="W","Production","Non-Production")</f>
        <v>Non-Production</v>
      </c>
      <c r="W2421" t="str">
        <f>IF(SeismicData[[#This Row],[genergy]]=0,"0","10^"&amp;INT(LOG10(SeismicData[[#This Row],[genergy]])))</f>
        <v>10^4</v>
      </c>
      <c r="X2421" t="str">
        <f>IF(OR(SeismicData[[#This Row],[genergy]]&lt;$AA$6,SeismicData[[#This Row],[genergy]]&gt;$AA$5),"Outlier","Normal")</f>
        <v>Normal</v>
      </c>
    </row>
    <row r="2422" spans="1:24" x14ac:dyDescent="0.15">
      <c r="A2422">
        <v>2421</v>
      </c>
      <c r="B2422" t="s">
        <v>23</v>
      </c>
      <c r="C2422" t="s">
        <v>23</v>
      </c>
      <c r="D2422" t="s">
        <v>21</v>
      </c>
      <c r="E2422">
        <v>4330</v>
      </c>
      <c r="F2422">
        <v>160</v>
      </c>
      <c r="G2422">
        <v>-65</v>
      </c>
      <c r="H2422">
        <v>-36</v>
      </c>
      <c r="I2422" t="s">
        <v>20</v>
      </c>
      <c r="J2422">
        <v>0</v>
      </c>
      <c r="K2422">
        <v>0</v>
      </c>
      <c r="L2422">
        <v>0</v>
      </c>
      <c r="M2422">
        <v>0</v>
      </c>
      <c r="N2422">
        <v>0</v>
      </c>
      <c r="O2422">
        <v>0</v>
      </c>
      <c r="P2422">
        <v>0</v>
      </c>
      <c r="Q2422">
        <v>0</v>
      </c>
      <c r="R2422">
        <v>0</v>
      </c>
      <c r="S2422">
        <v>0</v>
      </c>
      <c r="T2422">
        <v>0</v>
      </c>
      <c r="U2422" t="str">
        <f>IF(SeismicData[[#This Row],[class]]=1,"Dangerous","Safe")</f>
        <v>Safe</v>
      </c>
      <c r="V2422" t="str">
        <f>IF(SeismicData[[#This Row],[shift]]="W","Production","Non-Production")</f>
        <v>Non-Production</v>
      </c>
      <c r="W2422" t="str">
        <f>IF(SeismicData[[#This Row],[genergy]]=0,"0","10^"&amp;INT(LOG10(SeismicData[[#This Row],[genergy]])))</f>
        <v>10^3</v>
      </c>
      <c r="X2422" t="str">
        <f>IF(OR(SeismicData[[#This Row],[genergy]]&lt;$AA$6,SeismicData[[#This Row],[genergy]]&gt;$AA$5),"Outlier","Normal")</f>
        <v>Normal</v>
      </c>
    </row>
    <row r="2423" spans="1:24" x14ac:dyDescent="0.15">
      <c r="A2423">
        <v>2422</v>
      </c>
      <c r="B2423" t="s">
        <v>23</v>
      </c>
      <c r="C2423" t="s">
        <v>23</v>
      </c>
      <c r="D2423" t="s">
        <v>21</v>
      </c>
      <c r="E2423">
        <v>12520</v>
      </c>
      <c r="F2423">
        <v>184</v>
      </c>
      <c r="G2423">
        <v>0</v>
      </c>
      <c r="H2423">
        <v>-26</v>
      </c>
      <c r="I2423" t="s">
        <v>20</v>
      </c>
      <c r="J2423">
        <v>0</v>
      </c>
      <c r="K2423">
        <v>0</v>
      </c>
      <c r="L2423">
        <v>0</v>
      </c>
      <c r="M2423">
        <v>0</v>
      </c>
      <c r="N2423">
        <v>0</v>
      </c>
      <c r="O2423">
        <v>0</v>
      </c>
      <c r="P2423">
        <v>0</v>
      </c>
      <c r="Q2423">
        <v>0</v>
      </c>
      <c r="R2423">
        <v>0</v>
      </c>
      <c r="S2423">
        <v>0</v>
      </c>
      <c r="T2423">
        <v>0</v>
      </c>
      <c r="U2423" t="str">
        <f>IF(SeismicData[[#This Row],[class]]=1,"Dangerous","Safe")</f>
        <v>Safe</v>
      </c>
      <c r="V2423" t="str">
        <f>IF(SeismicData[[#This Row],[shift]]="W","Production","Non-Production")</f>
        <v>Non-Production</v>
      </c>
      <c r="W2423" t="str">
        <f>IF(SeismicData[[#This Row],[genergy]]=0,"0","10^"&amp;INT(LOG10(SeismicData[[#This Row],[genergy]])))</f>
        <v>10^4</v>
      </c>
      <c r="X2423" t="str">
        <f>IF(OR(SeismicData[[#This Row],[genergy]]&lt;$AA$6,SeismicData[[#This Row],[genergy]]&gt;$AA$5),"Outlier","Normal")</f>
        <v>Normal</v>
      </c>
    </row>
    <row r="2424" spans="1:24" x14ac:dyDescent="0.15">
      <c r="A2424">
        <v>2423</v>
      </c>
      <c r="B2424" t="s">
        <v>20</v>
      </c>
      <c r="C2424" t="s">
        <v>23</v>
      </c>
      <c r="D2424" t="s">
        <v>21</v>
      </c>
      <c r="E2424">
        <v>2480</v>
      </c>
      <c r="F2424">
        <v>145</v>
      </c>
      <c r="G2424">
        <v>-80</v>
      </c>
      <c r="H2424">
        <v>-40</v>
      </c>
      <c r="I2424" t="s">
        <v>20</v>
      </c>
      <c r="J2424">
        <v>0</v>
      </c>
      <c r="K2424">
        <v>0</v>
      </c>
      <c r="L2424">
        <v>0</v>
      </c>
      <c r="M2424">
        <v>0</v>
      </c>
      <c r="N2424">
        <v>0</v>
      </c>
      <c r="O2424">
        <v>0</v>
      </c>
      <c r="P2424">
        <v>0</v>
      </c>
      <c r="Q2424">
        <v>0</v>
      </c>
      <c r="R2424">
        <v>0</v>
      </c>
      <c r="S2424">
        <v>0</v>
      </c>
      <c r="T2424">
        <v>0</v>
      </c>
      <c r="U2424" t="str">
        <f>IF(SeismicData[[#This Row],[class]]=1,"Dangerous","Safe")</f>
        <v>Safe</v>
      </c>
      <c r="V2424" t="str">
        <f>IF(SeismicData[[#This Row],[shift]]="W","Production","Non-Production")</f>
        <v>Non-Production</v>
      </c>
      <c r="W2424" t="str">
        <f>IF(SeismicData[[#This Row],[genergy]]=0,"0","10^"&amp;INT(LOG10(SeismicData[[#This Row],[genergy]])))</f>
        <v>10^3</v>
      </c>
      <c r="X2424" t="str">
        <f>IF(OR(SeismicData[[#This Row],[genergy]]&lt;$AA$6,SeismicData[[#This Row],[genergy]]&gt;$AA$5),"Outlier","Normal")</f>
        <v>Normal</v>
      </c>
    </row>
    <row r="2425" spans="1:24" x14ac:dyDescent="0.15">
      <c r="A2425">
        <v>2424</v>
      </c>
      <c r="B2425" t="s">
        <v>20</v>
      </c>
      <c r="C2425" t="s">
        <v>23</v>
      </c>
      <c r="D2425" t="s">
        <v>21</v>
      </c>
      <c r="E2425">
        <v>6260</v>
      </c>
      <c r="F2425">
        <v>114</v>
      </c>
      <c r="G2425">
        <v>-49</v>
      </c>
      <c r="H2425">
        <v>-53</v>
      </c>
      <c r="I2425" t="s">
        <v>20</v>
      </c>
      <c r="J2425">
        <v>0</v>
      </c>
      <c r="K2425">
        <v>0</v>
      </c>
      <c r="L2425">
        <v>0</v>
      </c>
      <c r="M2425">
        <v>0</v>
      </c>
      <c r="N2425">
        <v>0</v>
      </c>
      <c r="O2425">
        <v>0</v>
      </c>
      <c r="P2425">
        <v>0</v>
      </c>
      <c r="Q2425">
        <v>0</v>
      </c>
      <c r="R2425">
        <v>0</v>
      </c>
      <c r="S2425">
        <v>0</v>
      </c>
      <c r="T2425">
        <v>0</v>
      </c>
      <c r="U2425" t="str">
        <f>IF(SeismicData[[#This Row],[class]]=1,"Dangerous","Safe")</f>
        <v>Safe</v>
      </c>
      <c r="V2425" t="str">
        <f>IF(SeismicData[[#This Row],[shift]]="W","Production","Non-Production")</f>
        <v>Non-Production</v>
      </c>
      <c r="W2425" t="str">
        <f>IF(SeismicData[[#This Row],[genergy]]=0,"0","10^"&amp;INT(LOG10(SeismicData[[#This Row],[genergy]])))</f>
        <v>10^3</v>
      </c>
      <c r="X2425" t="str">
        <f>IF(OR(SeismicData[[#This Row],[genergy]]&lt;$AA$6,SeismicData[[#This Row],[genergy]]&gt;$AA$5),"Outlier","Normal")</f>
        <v>Normal</v>
      </c>
    </row>
    <row r="2426" spans="1:24" x14ac:dyDescent="0.15">
      <c r="A2426">
        <v>2425</v>
      </c>
      <c r="B2426" t="s">
        <v>20</v>
      </c>
      <c r="C2426" t="s">
        <v>23</v>
      </c>
      <c r="D2426" t="s">
        <v>21</v>
      </c>
      <c r="E2426">
        <v>5690</v>
      </c>
      <c r="F2426">
        <v>100</v>
      </c>
      <c r="G2426">
        <v>-53</v>
      </c>
      <c r="H2426">
        <v>-59</v>
      </c>
      <c r="I2426" t="s">
        <v>20</v>
      </c>
      <c r="J2426">
        <v>0</v>
      </c>
      <c r="K2426">
        <v>0</v>
      </c>
      <c r="L2426">
        <v>0</v>
      </c>
      <c r="M2426">
        <v>0</v>
      </c>
      <c r="N2426">
        <v>0</v>
      </c>
      <c r="O2426">
        <v>0</v>
      </c>
      <c r="P2426">
        <v>0</v>
      </c>
      <c r="Q2426">
        <v>0</v>
      </c>
      <c r="R2426">
        <v>0</v>
      </c>
      <c r="S2426">
        <v>0</v>
      </c>
      <c r="T2426">
        <v>0</v>
      </c>
      <c r="U2426" t="str">
        <f>IF(SeismicData[[#This Row],[class]]=1,"Dangerous","Safe")</f>
        <v>Safe</v>
      </c>
      <c r="V2426" t="str">
        <f>IF(SeismicData[[#This Row],[shift]]="W","Production","Non-Production")</f>
        <v>Non-Production</v>
      </c>
      <c r="W2426" t="str">
        <f>IF(SeismicData[[#This Row],[genergy]]=0,"0","10^"&amp;INT(LOG10(SeismicData[[#This Row],[genergy]])))</f>
        <v>10^3</v>
      </c>
      <c r="X2426" t="str">
        <f>IF(OR(SeismicData[[#This Row],[genergy]]&lt;$AA$6,SeismicData[[#This Row],[genergy]]&gt;$AA$5),"Outlier","Normal")</f>
        <v>Normal</v>
      </c>
    </row>
    <row r="2427" spans="1:24" x14ac:dyDescent="0.15">
      <c r="A2427">
        <v>2426</v>
      </c>
      <c r="B2427" t="s">
        <v>20</v>
      </c>
      <c r="C2427" t="s">
        <v>23</v>
      </c>
      <c r="D2427" t="s">
        <v>21</v>
      </c>
      <c r="E2427">
        <v>3530</v>
      </c>
      <c r="F2427">
        <v>131</v>
      </c>
      <c r="G2427">
        <v>-71</v>
      </c>
      <c r="H2427">
        <v>-46</v>
      </c>
      <c r="I2427" t="s">
        <v>20</v>
      </c>
      <c r="J2427">
        <v>0</v>
      </c>
      <c r="K2427">
        <v>0</v>
      </c>
      <c r="L2427">
        <v>0</v>
      </c>
      <c r="M2427">
        <v>0</v>
      </c>
      <c r="N2427">
        <v>0</v>
      </c>
      <c r="O2427">
        <v>0</v>
      </c>
      <c r="P2427">
        <v>0</v>
      </c>
      <c r="Q2427">
        <v>0</v>
      </c>
      <c r="R2427">
        <v>0</v>
      </c>
      <c r="S2427">
        <v>0</v>
      </c>
      <c r="T2427">
        <v>0</v>
      </c>
      <c r="U2427" t="str">
        <f>IF(SeismicData[[#This Row],[class]]=1,"Dangerous","Safe")</f>
        <v>Safe</v>
      </c>
      <c r="V2427" t="str">
        <f>IF(SeismicData[[#This Row],[shift]]="W","Production","Non-Production")</f>
        <v>Non-Production</v>
      </c>
      <c r="W2427" t="str">
        <f>IF(SeismicData[[#This Row],[genergy]]=0,"0","10^"&amp;INT(LOG10(SeismicData[[#This Row],[genergy]])))</f>
        <v>10^3</v>
      </c>
      <c r="X2427" t="str">
        <f>IF(OR(SeismicData[[#This Row],[genergy]]&lt;$AA$6,SeismicData[[#This Row],[genergy]]&gt;$AA$5),"Outlier","Normal")</f>
        <v>Normal</v>
      </c>
    </row>
    <row r="2428" spans="1:24" x14ac:dyDescent="0.15">
      <c r="A2428">
        <v>2427</v>
      </c>
      <c r="B2428" t="s">
        <v>20</v>
      </c>
      <c r="C2428" t="s">
        <v>23</v>
      </c>
      <c r="D2428" t="s">
        <v>21</v>
      </c>
      <c r="E2428">
        <v>4560</v>
      </c>
      <c r="F2428">
        <v>112</v>
      </c>
      <c r="G2428">
        <v>-63</v>
      </c>
      <c r="H2428">
        <v>-54</v>
      </c>
      <c r="I2428" t="s">
        <v>20</v>
      </c>
      <c r="J2428">
        <v>0</v>
      </c>
      <c r="K2428">
        <v>0</v>
      </c>
      <c r="L2428">
        <v>0</v>
      </c>
      <c r="M2428">
        <v>0</v>
      </c>
      <c r="N2428">
        <v>0</v>
      </c>
      <c r="O2428">
        <v>0</v>
      </c>
      <c r="P2428">
        <v>0</v>
      </c>
      <c r="Q2428">
        <v>0</v>
      </c>
      <c r="R2428">
        <v>0</v>
      </c>
      <c r="S2428">
        <v>0</v>
      </c>
      <c r="T2428">
        <v>0</v>
      </c>
      <c r="U2428" t="str">
        <f>IF(SeismicData[[#This Row],[class]]=1,"Dangerous","Safe")</f>
        <v>Safe</v>
      </c>
      <c r="V2428" t="str">
        <f>IF(SeismicData[[#This Row],[shift]]="W","Production","Non-Production")</f>
        <v>Non-Production</v>
      </c>
      <c r="W2428" t="str">
        <f>IF(SeismicData[[#This Row],[genergy]]=0,"0","10^"&amp;INT(LOG10(SeismicData[[#This Row],[genergy]])))</f>
        <v>10^3</v>
      </c>
      <c r="X2428" t="str">
        <f>IF(OR(SeismicData[[#This Row],[genergy]]&lt;$AA$6,SeismicData[[#This Row],[genergy]]&gt;$AA$5),"Outlier","Normal")</f>
        <v>Normal</v>
      </c>
    </row>
    <row r="2429" spans="1:24" x14ac:dyDescent="0.15">
      <c r="A2429">
        <v>2428</v>
      </c>
      <c r="B2429" t="s">
        <v>20</v>
      </c>
      <c r="C2429" t="s">
        <v>23</v>
      </c>
      <c r="D2429" t="s">
        <v>21</v>
      </c>
      <c r="E2429">
        <v>4650</v>
      </c>
      <c r="F2429">
        <v>104</v>
      </c>
      <c r="G2429">
        <v>-62</v>
      </c>
      <c r="H2429">
        <v>-57</v>
      </c>
      <c r="I2429" t="s">
        <v>20</v>
      </c>
      <c r="J2429">
        <v>0</v>
      </c>
      <c r="K2429">
        <v>0</v>
      </c>
      <c r="L2429">
        <v>0</v>
      </c>
      <c r="M2429">
        <v>0</v>
      </c>
      <c r="N2429">
        <v>0</v>
      </c>
      <c r="O2429">
        <v>0</v>
      </c>
      <c r="P2429">
        <v>0</v>
      </c>
      <c r="Q2429">
        <v>0</v>
      </c>
      <c r="R2429">
        <v>0</v>
      </c>
      <c r="S2429">
        <v>0</v>
      </c>
      <c r="T2429">
        <v>0</v>
      </c>
      <c r="U2429" t="str">
        <f>IF(SeismicData[[#This Row],[class]]=1,"Dangerous","Safe")</f>
        <v>Safe</v>
      </c>
      <c r="V2429" t="str">
        <f>IF(SeismicData[[#This Row],[shift]]="W","Production","Non-Production")</f>
        <v>Non-Production</v>
      </c>
      <c r="W2429" t="str">
        <f>IF(SeismicData[[#This Row],[genergy]]=0,"0","10^"&amp;INT(LOG10(SeismicData[[#This Row],[genergy]])))</f>
        <v>10^3</v>
      </c>
      <c r="X2429" t="str">
        <f>IF(OR(SeismicData[[#This Row],[genergy]]&lt;$AA$6,SeismicData[[#This Row],[genergy]]&gt;$AA$5),"Outlier","Normal")</f>
        <v>Normal</v>
      </c>
    </row>
    <row r="2430" spans="1:24" x14ac:dyDescent="0.15">
      <c r="A2430">
        <v>2429</v>
      </c>
      <c r="B2430" t="s">
        <v>20</v>
      </c>
      <c r="C2430" t="s">
        <v>23</v>
      </c>
      <c r="D2430" t="s">
        <v>22</v>
      </c>
      <c r="E2430">
        <v>3590</v>
      </c>
      <c r="F2430">
        <v>203</v>
      </c>
      <c r="G2430">
        <v>-69</v>
      </c>
      <c r="H2430">
        <v>-60</v>
      </c>
      <c r="I2430" t="s">
        <v>20</v>
      </c>
      <c r="J2430">
        <v>0</v>
      </c>
      <c r="K2430">
        <v>0</v>
      </c>
      <c r="L2430">
        <v>0</v>
      </c>
      <c r="M2430">
        <v>0</v>
      </c>
      <c r="N2430">
        <v>0</v>
      </c>
      <c r="O2430">
        <v>0</v>
      </c>
      <c r="P2430">
        <v>0</v>
      </c>
      <c r="Q2430">
        <v>0</v>
      </c>
      <c r="R2430">
        <v>0</v>
      </c>
      <c r="S2430">
        <v>0</v>
      </c>
      <c r="T2430">
        <v>0</v>
      </c>
      <c r="U2430" t="str">
        <f>IF(SeismicData[[#This Row],[class]]=1,"Dangerous","Safe")</f>
        <v>Safe</v>
      </c>
      <c r="V2430" t="str">
        <f>IF(SeismicData[[#This Row],[shift]]="W","Production","Non-Production")</f>
        <v>Production</v>
      </c>
      <c r="W2430" t="str">
        <f>IF(SeismicData[[#This Row],[genergy]]=0,"0","10^"&amp;INT(LOG10(SeismicData[[#This Row],[genergy]])))</f>
        <v>10^3</v>
      </c>
      <c r="X2430" t="str">
        <f>IF(OR(SeismicData[[#This Row],[genergy]]&lt;$AA$6,SeismicData[[#This Row],[genergy]]&gt;$AA$5),"Outlier","Normal")</f>
        <v>Normal</v>
      </c>
    </row>
    <row r="2431" spans="1:24" x14ac:dyDescent="0.15">
      <c r="A2431">
        <v>2430</v>
      </c>
      <c r="B2431" t="s">
        <v>20</v>
      </c>
      <c r="C2431" t="s">
        <v>23</v>
      </c>
      <c r="D2431" t="s">
        <v>21</v>
      </c>
      <c r="E2431">
        <v>22930</v>
      </c>
      <c r="F2431">
        <v>328</v>
      </c>
      <c r="G2431">
        <v>88</v>
      </c>
      <c r="H2431">
        <v>36</v>
      </c>
      <c r="I2431" t="s">
        <v>20</v>
      </c>
      <c r="J2431">
        <v>0</v>
      </c>
      <c r="K2431">
        <v>0</v>
      </c>
      <c r="L2431">
        <v>0</v>
      </c>
      <c r="M2431">
        <v>0</v>
      </c>
      <c r="N2431">
        <v>0</v>
      </c>
      <c r="O2431">
        <v>0</v>
      </c>
      <c r="P2431">
        <v>0</v>
      </c>
      <c r="Q2431">
        <v>0</v>
      </c>
      <c r="R2431">
        <v>0</v>
      </c>
      <c r="S2431">
        <v>0</v>
      </c>
      <c r="T2431">
        <v>0</v>
      </c>
      <c r="U2431" t="str">
        <f>IF(SeismicData[[#This Row],[class]]=1,"Dangerous","Safe")</f>
        <v>Safe</v>
      </c>
      <c r="V2431" t="str">
        <f>IF(SeismicData[[#This Row],[shift]]="W","Production","Non-Production")</f>
        <v>Non-Production</v>
      </c>
      <c r="W2431" t="str">
        <f>IF(SeismicData[[#This Row],[genergy]]=0,"0","10^"&amp;INT(LOG10(SeismicData[[#This Row],[genergy]])))</f>
        <v>10^4</v>
      </c>
      <c r="X2431" t="str">
        <f>IF(OR(SeismicData[[#This Row],[genergy]]&lt;$AA$6,SeismicData[[#This Row],[genergy]]&gt;$AA$5),"Outlier","Normal")</f>
        <v>Normal</v>
      </c>
    </row>
    <row r="2432" spans="1:24" x14ac:dyDescent="0.15">
      <c r="A2432">
        <v>2431</v>
      </c>
      <c r="B2432" t="s">
        <v>20</v>
      </c>
      <c r="C2432" t="s">
        <v>20</v>
      </c>
      <c r="D2432" t="s">
        <v>21</v>
      </c>
      <c r="E2432">
        <v>13880</v>
      </c>
      <c r="F2432">
        <v>248</v>
      </c>
      <c r="G2432">
        <v>9</v>
      </c>
      <c r="H2432">
        <v>2</v>
      </c>
      <c r="I2432" t="s">
        <v>20</v>
      </c>
      <c r="J2432">
        <v>0</v>
      </c>
      <c r="K2432">
        <v>0</v>
      </c>
      <c r="L2432">
        <v>0</v>
      </c>
      <c r="M2432">
        <v>0</v>
      </c>
      <c r="N2432">
        <v>0</v>
      </c>
      <c r="O2432">
        <v>0</v>
      </c>
      <c r="P2432">
        <v>0</v>
      </c>
      <c r="Q2432">
        <v>0</v>
      </c>
      <c r="R2432">
        <v>0</v>
      </c>
      <c r="S2432">
        <v>0</v>
      </c>
      <c r="T2432">
        <v>0</v>
      </c>
      <c r="U2432" t="str">
        <f>IF(SeismicData[[#This Row],[class]]=1,"Dangerous","Safe")</f>
        <v>Safe</v>
      </c>
      <c r="V2432" t="str">
        <f>IF(SeismicData[[#This Row],[shift]]="W","Production","Non-Production")</f>
        <v>Non-Production</v>
      </c>
      <c r="W2432" t="str">
        <f>IF(SeismicData[[#This Row],[genergy]]=0,"0","10^"&amp;INT(LOG10(SeismicData[[#This Row],[genergy]])))</f>
        <v>10^4</v>
      </c>
      <c r="X2432" t="str">
        <f>IF(OR(SeismicData[[#This Row],[genergy]]&lt;$AA$6,SeismicData[[#This Row],[genergy]]&gt;$AA$5),"Outlier","Normal")</f>
        <v>Normal</v>
      </c>
    </row>
    <row r="2433" spans="1:24" x14ac:dyDescent="0.15">
      <c r="A2433">
        <v>2432</v>
      </c>
      <c r="B2433" t="s">
        <v>20</v>
      </c>
      <c r="C2433" t="s">
        <v>20</v>
      </c>
      <c r="D2433" t="s">
        <v>21</v>
      </c>
      <c r="E2433">
        <v>11780</v>
      </c>
      <c r="F2433">
        <v>159</v>
      </c>
      <c r="G2433">
        <v>-7</v>
      </c>
      <c r="H2433">
        <v>-35</v>
      </c>
      <c r="I2433" t="s">
        <v>20</v>
      </c>
      <c r="J2433">
        <v>1</v>
      </c>
      <c r="K2433">
        <v>1</v>
      </c>
      <c r="L2433">
        <v>0</v>
      </c>
      <c r="M2433">
        <v>0</v>
      </c>
      <c r="N2433">
        <v>0</v>
      </c>
      <c r="O2433">
        <v>0</v>
      </c>
      <c r="P2433">
        <v>0</v>
      </c>
      <c r="Q2433">
        <v>0</v>
      </c>
      <c r="R2433">
        <v>300</v>
      </c>
      <c r="S2433">
        <v>300</v>
      </c>
      <c r="T2433">
        <v>0</v>
      </c>
      <c r="U2433" t="str">
        <f>IF(SeismicData[[#This Row],[class]]=1,"Dangerous","Safe")</f>
        <v>Safe</v>
      </c>
      <c r="V2433" t="str">
        <f>IF(SeismicData[[#This Row],[shift]]="W","Production","Non-Production")</f>
        <v>Non-Production</v>
      </c>
      <c r="W2433" t="str">
        <f>IF(SeismicData[[#This Row],[genergy]]=0,"0","10^"&amp;INT(LOG10(SeismicData[[#This Row],[genergy]])))</f>
        <v>10^4</v>
      </c>
      <c r="X2433" t="str">
        <f>IF(OR(SeismicData[[#This Row],[genergy]]&lt;$AA$6,SeismicData[[#This Row],[genergy]]&gt;$AA$5),"Outlier","Normal")</f>
        <v>Normal</v>
      </c>
    </row>
    <row r="2434" spans="1:24" x14ac:dyDescent="0.15">
      <c r="A2434">
        <v>2433</v>
      </c>
      <c r="B2434" t="s">
        <v>20</v>
      </c>
      <c r="C2434" t="s">
        <v>20</v>
      </c>
      <c r="D2434" t="s">
        <v>21</v>
      </c>
      <c r="E2434">
        <v>12200</v>
      </c>
      <c r="F2434">
        <v>580</v>
      </c>
      <c r="G2434">
        <v>105</v>
      </c>
      <c r="H2434">
        <v>310</v>
      </c>
      <c r="I2434" t="s">
        <v>23</v>
      </c>
      <c r="J2434">
        <v>0</v>
      </c>
      <c r="K2434">
        <v>0</v>
      </c>
      <c r="L2434">
        <v>0</v>
      </c>
      <c r="M2434">
        <v>0</v>
      </c>
      <c r="N2434">
        <v>0</v>
      </c>
      <c r="O2434">
        <v>0</v>
      </c>
      <c r="P2434">
        <v>0</v>
      </c>
      <c r="Q2434">
        <v>0</v>
      </c>
      <c r="R2434">
        <v>0</v>
      </c>
      <c r="S2434">
        <v>0</v>
      </c>
      <c r="T2434">
        <v>0</v>
      </c>
      <c r="U2434" t="str">
        <f>IF(SeismicData[[#This Row],[class]]=1,"Dangerous","Safe")</f>
        <v>Safe</v>
      </c>
      <c r="V2434" t="str">
        <f>IF(SeismicData[[#This Row],[shift]]="W","Production","Non-Production")</f>
        <v>Non-Production</v>
      </c>
      <c r="W2434" t="str">
        <f>IF(SeismicData[[#This Row],[genergy]]=0,"0","10^"&amp;INT(LOG10(SeismicData[[#This Row],[genergy]])))</f>
        <v>10^4</v>
      </c>
      <c r="X2434" t="str">
        <f>IF(OR(SeismicData[[#This Row],[genergy]]&lt;$AA$6,SeismicData[[#This Row],[genergy]]&gt;$AA$5),"Outlier","Normal")</f>
        <v>Normal</v>
      </c>
    </row>
    <row r="2435" spans="1:24" x14ac:dyDescent="0.15">
      <c r="A2435">
        <v>2434</v>
      </c>
      <c r="B2435" t="s">
        <v>20</v>
      </c>
      <c r="C2435" t="s">
        <v>20</v>
      </c>
      <c r="D2435" t="s">
        <v>21</v>
      </c>
      <c r="E2435">
        <v>4580</v>
      </c>
      <c r="F2435">
        <v>100</v>
      </c>
      <c r="G2435">
        <v>-64</v>
      </c>
      <c r="H2435">
        <v>-59</v>
      </c>
      <c r="I2435" t="s">
        <v>20</v>
      </c>
      <c r="J2435">
        <v>0</v>
      </c>
      <c r="K2435">
        <v>0</v>
      </c>
      <c r="L2435">
        <v>0</v>
      </c>
      <c r="M2435">
        <v>0</v>
      </c>
      <c r="N2435">
        <v>0</v>
      </c>
      <c r="O2435">
        <v>0</v>
      </c>
      <c r="P2435">
        <v>0</v>
      </c>
      <c r="Q2435">
        <v>0</v>
      </c>
      <c r="R2435">
        <v>0</v>
      </c>
      <c r="S2435">
        <v>0</v>
      </c>
      <c r="T2435">
        <v>0</v>
      </c>
      <c r="U2435" t="str">
        <f>IF(SeismicData[[#This Row],[class]]=1,"Dangerous","Safe")</f>
        <v>Safe</v>
      </c>
      <c r="V2435" t="str">
        <f>IF(SeismicData[[#This Row],[shift]]="W","Production","Non-Production")</f>
        <v>Non-Production</v>
      </c>
      <c r="W2435" t="str">
        <f>IF(SeismicData[[#This Row],[genergy]]=0,"0","10^"&amp;INT(LOG10(SeismicData[[#This Row],[genergy]])))</f>
        <v>10^3</v>
      </c>
      <c r="X2435" t="str">
        <f>IF(OR(SeismicData[[#This Row],[genergy]]&lt;$AA$6,SeismicData[[#This Row],[genergy]]&gt;$AA$5),"Outlier","Normal")</f>
        <v>Normal</v>
      </c>
    </row>
    <row r="2436" spans="1:24" x14ac:dyDescent="0.15">
      <c r="A2436">
        <v>2435</v>
      </c>
      <c r="B2436" t="s">
        <v>20</v>
      </c>
      <c r="C2436" t="s">
        <v>20</v>
      </c>
      <c r="D2436" t="s">
        <v>21</v>
      </c>
      <c r="E2436">
        <v>3420</v>
      </c>
      <c r="F2436">
        <v>74</v>
      </c>
      <c r="G2436">
        <v>-73</v>
      </c>
      <c r="H2436">
        <v>-70</v>
      </c>
      <c r="I2436" t="s">
        <v>20</v>
      </c>
      <c r="J2436">
        <v>0</v>
      </c>
      <c r="K2436">
        <v>0</v>
      </c>
      <c r="L2436">
        <v>0</v>
      </c>
      <c r="M2436">
        <v>0</v>
      </c>
      <c r="N2436">
        <v>0</v>
      </c>
      <c r="O2436">
        <v>0</v>
      </c>
      <c r="P2436">
        <v>0</v>
      </c>
      <c r="Q2436">
        <v>0</v>
      </c>
      <c r="R2436">
        <v>0</v>
      </c>
      <c r="S2436">
        <v>0</v>
      </c>
      <c r="T2436">
        <v>0</v>
      </c>
      <c r="U2436" t="str">
        <f>IF(SeismicData[[#This Row],[class]]=1,"Dangerous","Safe")</f>
        <v>Safe</v>
      </c>
      <c r="V2436" t="str">
        <f>IF(SeismicData[[#This Row],[shift]]="W","Production","Non-Production")</f>
        <v>Non-Production</v>
      </c>
      <c r="W2436" t="str">
        <f>IF(SeismicData[[#This Row],[genergy]]=0,"0","10^"&amp;INT(LOG10(SeismicData[[#This Row],[genergy]])))</f>
        <v>10^3</v>
      </c>
      <c r="X2436" t="str">
        <f>IF(OR(SeismicData[[#This Row],[genergy]]&lt;$AA$6,SeismicData[[#This Row],[genergy]]&gt;$AA$5),"Outlier","Normal")</f>
        <v>Normal</v>
      </c>
    </row>
    <row r="2437" spans="1:24" x14ac:dyDescent="0.15">
      <c r="A2437">
        <v>2436</v>
      </c>
      <c r="B2437" t="s">
        <v>20</v>
      </c>
      <c r="C2437" t="s">
        <v>20</v>
      </c>
      <c r="D2437" t="s">
        <v>21</v>
      </c>
      <c r="E2437">
        <v>2930</v>
      </c>
      <c r="F2437">
        <v>408</v>
      </c>
      <c r="G2437">
        <v>-77</v>
      </c>
      <c r="H2437">
        <v>67</v>
      </c>
      <c r="I2437" t="s">
        <v>20</v>
      </c>
      <c r="J2437">
        <v>0</v>
      </c>
      <c r="K2437">
        <v>0</v>
      </c>
      <c r="L2437">
        <v>0</v>
      </c>
      <c r="M2437">
        <v>0</v>
      </c>
      <c r="N2437">
        <v>0</v>
      </c>
      <c r="O2437">
        <v>0</v>
      </c>
      <c r="P2437">
        <v>0</v>
      </c>
      <c r="Q2437">
        <v>0</v>
      </c>
      <c r="R2437">
        <v>0</v>
      </c>
      <c r="S2437">
        <v>0</v>
      </c>
      <c r="T2437">
        <v>0</v>
      </c>
      <c r="U2437" t="str">
        <f>IF(SeismicData[[#This Row],[class]]=1,"Dangerous","Safe")</f>
        <v>Safe</v>
      </c>
      <c r="V2437" t="str">
        <f>IF(SeismicData[[#This Row],[shift]]="W","Production","Non-Production")</f>
        <v>Non-Production</v>
      </c>
      <c r="W2437" t="str">
        <f>IF(SeismicData[[#This Row],[genergy]]=0,"0","10^"&amp;INT(LOG10(SeismicData[[#This Row],[genergy]])))</f>
        <v>10^3</v>
      </c>
      <c r="X2437" t="str">
        <f>IF(OR(SeismicData[[#This Row],[genergy]]&lt;$AA$6,SeismicData[[#This Row],[genergy]]&gt;$AA$5),"Outlier","Normal")</f>
        <v>Normal</v>
      </c>
    </row>
    <row r="2438" spans="1:24" x14ac:dyDescent="0.15">
      <c r="A2438">
        <v>2437</v>
      </c>
      <c r="B2438" t="s">
        <v>20</v>
      </c>
      <c r="C2438" t="s">
        <v>20</v>
      </c>
      <c r="D2438" t="s">
        <v>21</v>
      </c>
      <c r="E2438">
        <v>3130</v>
      </c>
      <c r="F2438">
        <v>72</v>
      </c>
      <c r="G2438">
        <v>-75</v>
      </c>
      <c r="H2438">
        <v>-71</v>
      </c>
      <c r="I2438" t="s">
        <v>20</v>
      </c>
      <c r="J2438">
        <v>0</v>
      </c>
      <c r="K2438">
        <v>0</v>
      </c>
      <c r="L2438">
        <v>0</v>
      </c>
      <c r="M2438">
        <v>0</v>
      </c>
      <c r="N2438">
        <v>0</v>
      </c>
      <c r="O2438">
        <v>0</v>
      </c>
      <c r="P2438">
        <v>0</v>
      </c>
      <c r="Q2438">
        <v>0</v>
      </c>
      <c r="R2438">
        <v>0</v>
      </c>
      <c r="S2438">
        <v>0</v>
      </c>
      <c r="T2438">
        <v>0</v>
      </c>
      <c r="U2438" t="str">
        <f>IF(SeismicData[[#This Row],[class]]=1,"Dangerous","Safe")</f>
        <v>Safe</v>
      </c>
      <c r="V2438" t="str">
        <f>IF(SeismicData[[#This Row],[shift]]="W","Production","Non-Production")</f>
        <v>Non-Production</v>
      </c>
      <c r="W2438" t="str">
        <f>IF(SeismicData[[#This Row],[genergy]]=0,"0","10^"&amp;INT(LOG10(SeismicData[[#This Row],[genergy]])))</f>
        <v>10^3</v>
      </c>
      <c r="X2438" t="str">
        <f>IF(OR(SeismicData[[#This Row],[genergy]]&lt;$AA$6,SeismicData[[#This Row],[genergy]]&gt;$AA$5),"Outlier","Normal")</f>
        <v>Normal</v>
      </c>
    </row>
    <row r="2439" spans="1:24" x14ac:dyDescent="0.15">
      <c r="A2439">
        <v>2438</v>
      </c>
      <c r="B2439" t="s">
        <v>20</v>
      </c>
      <c r="C2439" t="s">
        <v>20</v>
      </c>
      <c r="D2439" t="s">
        <v>21</v>
      </c>
      <c r="E2439">
        <v>3160</v>
      </c>
      <c r="F2439">
        <v>73</v>
      </c>
      <c r="G2439">
        <v>-75</v>
      </c>
      <c r="H2439">
        <v>-70</v>
      </c>
      <c r="I2439" t="s">
        <v>20</v>
      </c>
      <c r="J2439">
        <v>0</v>
      </c>
      <c r="K2439">
        <v>0</v>
      </c>
      <c r="L2439">
        <v>0</v>
      </c>
      <c r="M2439">
        <v>0</v>
      </c>
      <c r="N2439">
        <v>0</v>
      </c>
      <c r="O2439">
        <v>0</v>
      </c>
      <c r="P2439">
        <v>0</v>
      </c>
      <c r="Q2439">
        <v>0</v>
      </c>
      <c r="R2439">
        <v>0</v>
      </c>
      <c r="S2439">
        <v>0</v>
      </c>
      <c r="T2439">
        <v>0</v>
      </c>
      <c r="U2439" t="str">
        <f>IF(SeismicData[[#This Row],[class]]=1,"Dangerous","Safe")</f>
        <v>Safe</v>
      </c>
      <c r="V2439" t="str">
        <f>IF(SeismicData[[#This Row],[shift]]="W","Production","Non-Production")</f>
        <v>Non-Production</v>
      </c>
      <c r="W2439" t="str">
        <f>IF(SeismicData[[#This Row],[genergy]]=0,"0","10^"&amp;INT(LOG10(SeismicData[[#This Row],[genergy]])))</f>
        <v>10^3</v>
      </c>
      <c r="X2439" t="str">
        <f>IF(OR(SeismicData[[#This Row],[genergy]]&lt;$AA$6,SeismicData[[#This Row],[genergy]]&gt;$AA$5),"Outlier","Normal")</f>
        <v>Normal</v>
      </c>
    </row>
    <row r="2440" spans="1:24" x14ac:dyDescent="0.15">
      <c r="A2440">
        <v>2439</v>
      </c>
      <c r="B2440" t="s">
        <v>20</v>
      </c>
      <c r="C2440" t="s">
        <v>20</v>
      </c>
      <c r="D2440" t="s">
        <v>21</v>
      </c>
      <c r="E2440">
        <v>4400</v>
      </c>
      <c r="F2440">
        <v>67</v>
      </c>
      <c r="G2440">
        <v>-64</v>
      </c>
      <c r="H2440">
        <v>-71</v>
      </c>
      <c r="I2440" t="s">
        <v>20</v>
      </c>
      <c r="J2440">
        <v>0</v>
      </c>
      <c r="K2440">
        <v>0</v>
      </c>
      <c r="L2440">
        <v>0</v>
      </c>
      <c r="M2440">
        <v>0</v>
      </c>
      <c r="N2440">
        <v>0</v>
      </c>
      <c r="O2440">
        <v>0</v>
      </c>
      <c r="P2440">
        <v>0</v>
      </c>
      <c r="Q2440">
        <v>0</v>
      </c>
      <c r="R2440">
        <v>0</v>
      </c>
      <c r="S2440">
        <v>0</v>
      </c>
      <c r="T2440">
        <v>0</v>
      </c>
      <c r="U2440" t="str">
        <f>IF(SeismicData[[#This Row],[class]]=1,"Dangerous","Safe")</f>
        <v>Safe</v>
      </c>
      <c r="V2440" t="str">
        <f>IF(SeismicData[[#This Row],[shift]]="W","Production","Non-Production")</f>
        <v>Non-Production</v>
      </c>
      <c r="W2440" t="str">
        <f>IF(SeismicData[[#This Row],[genergy]]=0,"0","10^"&amp;INT(LOG10(SeismicData[[#This Row],[genergy]])))</f>
        <v>10^3</v>
      </c>
      <c r="X2440" t="str">
        <f>IF(OR(SeismicData[[#This Row],[genergy]]&lt;$AA$6,SeismicData[[#This Row],[genergy]]&gt;$AA$5),"Outlier","Normal")</f>
        <v>Normal</v>
      </c>
    </row>
    <row r="2441" spans="1:24" x14ac:dyDescent="0.15">
      <c r="A2441">
        <v>2440</v>
      </c>
      <c r="B2441" t="s">
        <v>20</v>
      </c>
      <c r="C2441" t="s">
        <v>20</v>
      </c>
      <c r="D2441" t="s">
        <v>21</v>
      </c>
      <c r="E2441">
        <v>1910</v>
      </c>
      <c r="F2441">
        <v>46</v>
      </c>
      <c r="G2441">
        <v>-84</v>
      </c>
      <c r="H2441">
        <v>-80</v>
      </c>
      <c r="I2441" t="s">
        <v>20</v>
      </c>
      <c r="J2441">
        <v>0</v>
      </c>
      <c r="K2441">
        <v>0</v>
      </c>
      <c r="L2441">
        <v>0</v>
      </c>
      <c r="M2441">
        <v>0</v>
      </c>
      <c r="N2441">
        <v>0</v>
      </c>
      <c r="O2441">
        <v>0</v>
      </c>
      <c r="P2441">
        <v>0</v>
      </c>
      <c r="Q2441">
        <v>0</v>
      </c>
      <c r="R2441">
        <v>0</v>
      </c>
      <c r="S2441">
        <v>0</v>
      </c>
      <c r="T2441">
        <v>0</v>
      </c>
      <c r="U2441" t="str">
        <f>IF(SeismicData[[#This Row],[class]]=1,"Dangerous","Safe")</f>
        <v>Safe</v>
      </c>
      <c r="V2441" t="str">
        <f>IF(SeismicData[[#This Row],[shift]]="W","Production","Non-Production")</f>
        <v>Non-Production</v>
      </c>
      <c r="W2441" t="str">
        <f>IF(SeismicData[[#This Row],[genergy]]=0,"0","10^"&amp;INT(LOG10(SeismicData[[#This Row],[genergy]])))</f>
        <v>10^3</v>
      </c>
      <c r="X2441" t="str">
        <f>IF(OR(SeismicData[[#This Row],[genergy]]&lt;$AA$6,SeismicData[[#This Row],[genergy]]&gt;$AA$5),"Outlier","Normal")</f>
        <v>Normal</v>
      </c>
    </row>
    <row r="2442" spans="1:24" x14ac:dyDescent="0.15">
      <c r="A2442">
        <v>2441</v>
      </c>
      <c r="B2442" t="s">
        <v>20</v>
      </c>
      <c r="C2442" t="s">
        <v>20</v>
      </c>
      <c r="D2442" t="s">
        <v>21</v>
      </c>
      <c r="E2442">
        <v>1400</v>
      </c>
      <c r="F2442">
        <v>51</v>
      </c>
      <c r="G2442">
        <v>-88</v>
      </c>
      <c r="H2442">
        <v>-78</v>
      </c>
      <c r="I2442" t="s">
        <v>20</v>
      </c>
      <c r="J2442">
        <v>0</v>
      </c>
      <c r="K2442">
        <v>0</v>
      </c>
      <c r="L2442">
        <v>0</v>
      </c>
      <c r="M2442">
        <v>0</v>
      </c>
      <c r="N2442">
        <v>0</v>
      </c>
      <c r="O2442">
        <v>0</v>
      </c>
      <c r="P2442">
        <v>0</v>
      </c>
      <c r="Q2442">
        <v>0</v>
      </c>
      <c r="R2442">
        <v>0</v>
      </c>
      <c r="S2442">
        <v>0</v>
      </c>
      <c r="T2442">
        <v>0</v>
      </c>
      <c r="U2442" t="str">
        <f>IF(SeismicData[[#This Row],[class]]=1,"Dangerous","Safe")</f>
        <v>Safe</v>
      </c>
      <c r="V2442" t="str">
        <f>IF(SeismicData[[#This Row],[shift]]="W","Production","Non-Production")</f>
        <v>Non-Production</v>
      </c>
      <c r="W2442" t="str">
        <f>IF(SeismicData[[#This Row],[genergy]]=0,"0","10^"&amp;INT(LOG10(SeismicData[[#This Row],[genergy]])))</f>
        <v>10^3</v>
      </c>
      <c r="X2442" t="str">
        <f>IF(OR(SeismicData[[#This Row],[genergy]]&lt;$AA$6,SeismicData[[#This Row],[genergy]]&gt;$AA$5),"Outlier","Normal")</f>
        <v>Normal</v>
      </c>
    </row>
    <row r="2443" spans="1:24" x14ac:dyDescent="0.15">
      <c r="A2443">
        <v>2442</v>
      </c>
      <c r="B2443" t="s">
        <v>20</v>
      </c>
      <c r="C2443" t="s">
        <v>20</v>
      </c>
      <c r="D2443" t="s">
        <v>21</v>
      </c>
      <c r="E2443">
        <v>3000</v>
      </c>
      <c r="F2443">
        <v>72</v>
      </c>
      <c r="G2443">
        <v>-75</v>
      </c>
      <c r="H2443">
        <v>-69</v>
      </c>
      <c r="I2443" t="s">
        <v>20</v>
      </c>
      <c r="J2443">
        <v>0</v>
      </c>
      <c r="K2443">
        <v>0</v>
      </c>
      <c r="L2443">
        <v>0</v>
      </c>
      <c r="M2443">
        <v>0</v>
      </c>
      <c r="N2443">
        <v>0</v>
      </c>
      <c r="O2443">
        <v>0</v>
      </c>
      <c r="P2443">
        <v>0</v>
      </c>
      <c r="Q2443">
        <v>0</v>
      </c>
      <c r="R2443">
        <v>0</v>
      </c>
      <c r="S2443">
        <v>0</v>
      </c>
      <c r="T2443">
        <v>0</v>
      </c>
      <c r="U2443" t="str">
        <f>IF(SeismicData[[#This Row],[class]]=1,"Dangerous","Safe")</f>
        <v>Safe</v>
      </c>
      <c r="V2443" t="str">
        <f>IF(SeismicData[[#This Row],[shift]]="W","Production","Non-Production")</f>
        <v>Non-Production</v>
      </c>
      <c r="W2443" t="str">
        <f>IF(SeismicData[[#This Row],[genergy]]=0,"0","10^"&amp;INT(LOG10(SeismicData[[#This Row],[genergy]])))</f>
        <v>10^3</v>
      </c>
      <c r="X2443" t="str">
        <f>IF(OR(SeismicData[[#This Row],[genergy]]&lt;$AA$6,SeismicData[[#This Row],[genergy]]&gt;$AA$5),"Outlier","Normal")</f>
        <v>Normal</v>
      </c>
    </row>
    <row r="2444" spans="1:24" x14ac:dyDescent="0.15">
      <c r="A2444">
        <v>2443</v>
      </c>
      <c r="B2444" t="s">
        <v>20</v>
      </c>
      <c r="C2444" t="s">
        <v>20</v>
      </c>
      <c r="D2444" t="s">
        <v>21</v>
      </c>
      <c r="E2444">
        <v>3540</v>
      </c>
      <c r="F2444">
        <v>53</v>
      </c>
      <c r="G2444">
        <v>-71</v>
      </c>
      <c r="H2444">
        <v>-77</v>
      </c>
      <c r="I2444" t="s">
        <v>20</v>
      </c>
      <c r="J2444">
        <v>0</v>
      </c>
      <c r="K2444">
        <v>0</v>
      </c>
      <c r="L2444">
        <v>0</v>
      </c>
      <c r="M2444">
        <v>0</v>
      </c>
      <c r="N2444">
        <v>0</v>
      </c>
      <c r="O2444">
        <v>0</v>
      </c>
      <c r="P2444">
        <v>0</v>
      </c>
      <c r="Q2444">
        <v>0</v>
      </c>
      <c r="R2444">
        <v>0</v>
      </c>
      <c r="S2444">
        <v>0</v>
      </c>
      <c r="T2444">
        <v>0</v>
      </c>
      <c r="U2444" t="str">
        <f>IF(SeismicData[[#This Row],[class]]=1,"Dangerous","Safe")</f>
        <v>Safe</v>
      </c>
      <c r="V2444" t="str">
        <f>IF(SeismicData[[#This Row],[shift]]="W","Production","Non-Production")</f>
        <v>Non-Production</v>
      </c>
      <c r="W2444" t="str">
        <f>IF(SeismicData[[#This Row],[genergy]]=0,"0","10^"&amp;INT(LOG10(SeismicData[[#This Row],[genergy]])))</f>
        <v>10^3</v>
      </c>
      <c r="X2444" t="str">
        <f>IF(OR(SeismicData[[#This Row],[genergy]]&lt;$AA$6,SeismicData[[#This Row],[genergy]]&gt;$AA$5),"Outlier","Normal")</f>
        <v>Normal</v>
      </c>
    </row>
    <row r="2445" spans="1:24" x14ac:dyDescent="0.15">
      <c r="A2445">
        <v>2444</v>
      </c>
      <c r="B2445" t="s">
        <v>20</v>
      </c>
      <c r="C2445" t="s">
        <v>20</v>
      </c>
      <c r="D2445" t="s">
        <v>21</v>
      </c>
      <c r="E2445">
        <v>2520</v>
      </c>
      <c r="F2445">
        <v>83</v>
      </c>
      <c r="G2445">
        <v>-85</v>
      </c>
      <c r="H2445">
        <v>-75</v>
      </c>
      <c r="I2445" t="s">
        <v>20</v>
      </c>
      <c r="J2445">
        <v>0</v>
      </c>
      <c r="K2445">
        <v>0</v>
      </c>
      <c r="L2445">
        <v>0</v>
      </c>
      <c r="M2445">
        <v>0</v>
      </c>
      <c r="N2445">
        <v>0</v>
      </c>
      <c r="O2445">
        <v>0</v>
      </c>
      <c r="P2445">
        <v>0</v>
      </c>
      <c r="Q2445">
        <v>0</v>
      </c>
      <c r="R2445">
        <v>0</v>
      </c>
      <c r="S2445">
        <v>0</v>
      </c>
      <c r="T2445">
        <v>0</v>
      </c>
      <c r="U2445" t="str">
        <f>IF(SeismicData[[#This Row],[class]]=1,"Dangerous","Safe")</f>
        <v>Safe</v>
      </c>
      <c r="V2445" t="str">
        <f>IF(SeismicData[[#This Row],[shift]]="W","Production","Non-Production")</f>
        <v>Non-Production</v>
      </c>
      <c r="W2445" t="str">
        <f>IF(SeismicData[[#This Row],[genergy]]=0,"0","10^"&amp;INT(LOG10(SeismicData[[#This Row],[genergy]])))</f>
        <v>10^3</v>
      </c>
      <c r="X2445" t="str">
        <f>IF(OR(SeismicData[[#This Row],[genergy]]&lt;$AA$6,SeismicData[[#This Row],[genergy]]&gt;$AA$5),"Outlier","Normal")</f>
        <v>Normal</v>
      </c>
    </row>
    <row r="2446" spans="1:24" x14ac:dyDescent="0.15">
      <c r="A2446">
        <v>2445</v>
      </c>
      <c r="B2446" t="s">
        <v>20</v>
      </c>
      <c r="C2446" t="s">
        <v>20</v>
      </c>
      <c r="D2446" t="s">
        <v>21</v>
      </c>
      <c r="E2446">
        <v>4870</v>
      </c>
      <c r="F2446">
        <v>39</v>
      </c>
      <c r="G2446">
        <v>-15</v>
      </c>
      <c r="H2446">
        <v>-71</v>
      </c>
      <c r="I2446" t="s">
        <v>20</v>
      </c>
      <c r="J2446">
        <v>1</v>
      </c>
      <c r="K2446">
        <v>0</v>
      </c>
      <c r="L2446">
        <v>1</v>
      </c>
      <c r="M2446">
        <v>0</v>
      </c>
      <c r="N2446">
        <v>0</v>
      </c>
      <c r="O2446">
        <v>0</v>
      </c>
      <c r="P2446">
        <v>0</v>
      </c>
      <c r="Q2446">
        <v>0</v>
      </c>
      <c r="R2446">
        <v>6000</v>
      </c>
      <c r="S2446">
        <v>6000</v>
      </c>
      <c r="T2446">
        <v>0</v>
      </c>
      <c r="U2446" t="str">
        <f>IF(SeismicData[[#This Row],[class]]=1,"Dangerous","Safe")</f>
        <v>Safe</v>
      </c>
      <c r="V2446" t="str">
        <f>IF(SeismicData[[#This Row],[shift]]="W","Production","Non-Production")</f>
        <v>Non-Production</v>
      </c>
      <c r="W2446" t="str">
        <f>IF(SeismicData[[#This Row],[genergy]]=0,"0","10^"&amp;INT(LOG10(SeismicData[[#This Row],[genergy]])))</f>
        <v>10^3</v>
      </c>
      <c r="X2446" t="str">
        <f>IF(OR(SeismicData[[#This Row],[genergy]]&lt;$AA$6,SeismicData[[#This Row],[genergy]]&gt;$AA$5),"Outlier","Normal")</f>
        <v>Normal</v>
      </c>
    </row>
    <row r="2447" spans="1:24" x14ac:dyDescent="0.15">
      <c r="A2447">
        <v>2446</v>
      </c>
      <c r="B2447" t="s">
        <v>20</v>
      </c>
      <c r="C2447" t="s">
        <v>20</v>
      </c>
      <c r="D2447" t="s">
        <v>21</v>
      </c>
      <c r="E2447">
        <v>3860</v>
      </c>
      <c r="F2447">
        <v>53</v>
      </c>
      <c r="G2447">
        <v>-68</v>
      </c>
      <c r="H2447">
        <v>-77</v>
      </c>
      <c r="I2447" t="s">
        <v>20</v>
      </c>
      <c r="J2447">
        <v>0</v>
      </c>
      <c r="K2447">
        <v>0</v>
      </c>
      <c r="L2447">
        <v>0</v>
      </c>
      <c r="M2447">
        <v>0</v>
      </c>
      <c r="N2447">
        <v>0</v>
      </c>
      <c r="O2447">
        <v>0</v>
      </c>
      <c r="P2447">
        <v>0</v>
      </c>
      <c r="Q2447">
        <v>0</v>
      </c>
      <c r="R2447">
        <v>0</v>
      </c>
      <c r="S2447">
        <v>0</v>
      </c>
      <c r="T2447">
        <v>0</v>
      </c>
      <c r="U2447" t="str">
        <f>IF(SeismicData[[#This Row],[class]]=1,"Dangerous","Safe")</f>
        <v>Safe</v>
      </c>
      <c r="V2447" t="str">
        <f>IF(SeismicData[[#This Row],[shift]]="W","Production","Non-Production")</f>
        <v>Non-Production</v>
      </c>
      <c r="W2447" t="str">
        <f>IF(SeismicData[[#This Row],[genergy]]=0,"0","10^"&amp;INT(LOG10(SeismicData[[#This Row],[genergy]])))</f>
        <v>10^3</v>
      </c>
      <c r="X2447" t="str">
        <f>IF(OR(SeismicData[[#This Row],[genergy]]&lt;$AA$6,SeismicData[[#This Row],[genergy]]&gt;$AA$5),"Outlier","Normal")</f>
        <v>Normal</v>
      </c>
    </row>
    <row r="2448" spans="1:24" x14ac:dyDescent="0.15">
      <c r="A2448">
        <v>2447</v>
      </c>
      <c r="B2448" t="s">
        <v>20</v>
      </c>
      <c r="C2448" t="s">
        <v>20</v>
      </c>
      <c r="D2448" t="s">
        <v>21</v>
      </c>
      <c r="E2448">
        <v>1330</v>
      </c>
      <c r="F2448">
        <v>54</v>
      </c>
      <c r="G2448">
        <v>-88</v>
      </c>
      <c r="H2448">
        <v>-76</v>
      </c>
      <c r="I2448" t="s">
        <v>20</v>
      </c>
      <c r="J2448">
        <v>0</v>
      </c>
      <c r="K2448">
        <v>0</v>
      </c>
      <c r="L2448">
        <v>0</v>
      </c>
      <c r="M2448">
        <v>0</v>
      </c>
      <c r="N2448">
        <v>0</v>
      </c>
      <c r="O2448">
        <v>0</v>
      </c>
      <c r="P2448">
        <v>0</v>
      </c>
      <c r="Q2448">
        <v>0</v>
      </c>
      <c r="R2448">
        <v>0</v>
      </c>
      <c r="S2448">
        <v>0</v>
      </c>
      <c r="T2448">
        <v>0</v>
      </c>
      <c r="U2448" t="str">
        <f>IF(SeismicData[[#This Row],[class]]=1,"Dangerous","Safe")</f>
        <v>Safe</v>
      </c>
      <c r="V2448" t="str">
        <f>IF(SeismicData[[#This Row],[shift]]="W","Production","Non-Production")</f>
        <v>Non-Production</v>
      </c>
      <c r="W2448" t="str">
        <f>IF(SeismicData[[#This Row],[genergy]]=0,"0","10^"&amp;INT(LOG10(SeismicData[[#This Row],[genergy]])))</f>
        <v>10^3</v>
      </c>
      <c r="X2448" t="str">
        <f>IF(OR(SeismicData[[#This Row],[genergy]]&lt;$AA$6,SeismicData[[#This Row],[genergy]]&gt;$AA$5),"Outlier","Normal")</f>
        <v>Normal</v>
      </c>
    </row>
    <row r="2449" spans="1:24" x14ac:dyDescent="0.15">
      <c r="A2449">
        <v>2448</v>
      </c>
      <c r="B2449" t="s">
        <v>20</v>
      </c>
      <c r="C2449" t="s">
        <v>20</v>
      </c>
      <c r="D2449" t="s">
        <v>21</v>
      </c>
      <c r="E2449">
        <v>1620</v>
      </c>
      <c r="F2449">
        <v>55</v>
      </c>
      <c r="G2449">
        <v>-85</v>
      </c>
      <c r="H2449">
        <v>-72</v>
      </c>
      <c r="I2449" t="s">
        <v>20</v>
      </c>
      <c r="J2449">
        <v>0</v>
      </c>
      <c r="K2449">
        <v>0</v>
      </c>
      <c r="L2449">
        <v>0</v>
      </c>
      <c r="M2449">
        <v>0</v>
      </c>
      <c r="N2449">
        <v>0</v>
      </c>
      <c r="O2449">
        <v>0</v>
      </c>
      <c r="P2449">
        <v>0</v>
      </c>
      <c r="Q2449">
        <v>0</v>
      </c>
      <c r="R2449">
        <v>0</v>
      </c>
      <c r="S2449">
        <v>0</v>
      </c>
      <c r="T2449">
        <v>1</v>
      </c>
      <c r="U2449" t="str">
        <f>IF(SeismicData[[#This Row],[class]]=1,"Dangerous","Safe")</f>
        <v>Dangerous</v>
      </c>
      <c r="V2449" t="str">
        <f>IF(SeismicData[[#This Row],[shift]]="W","Production","Non-Production")</f>
        <v>Non-Production</v>
      </c>
      <c r="W2449" t="str">
        <f>IF(SeismicData[[#This Row],[genergy]]=0,"0","10^"&amp;INT(LOG10(SeismicData[[#This Row],[genergy]])))</f>
        <v>10^3</v>
      </c>
      <c r="X2449" t="str">
        <f>IF(OR(SeismicData[[#This Row],[genergy]]&lt;$AA$6,SeismicData[[#This Row],[genergy]]&gt;$AA$5),"Outlier","Normal")</f>
        <v>Normal</v>
      </c>
    </row>
    <row r="2450" spans="1:24" x14ac:dyDescent="0.15">
      <c r="A2450">
        <v>2449</v>
      </c>
      <c r="B2450" t="s">
        <v>20</v>
      </c>
      <c r="C2450" t="s">
        <v>20</v>
      </c>
      <c r="D2450" t="s">
        <v>22</v>
      </c>
      <c r="E2450">
        <v>9890</v>
      </c>
      <c r="F2450">
        <v>89</v>
      </c>
      <c r="G2450">
        <v>-63</v>
      </c>
      <c r="H2450">
        <v>-79</v>
      </c>
      <c r="I2450" t="s">
        <v>20</v>
      </c>
      <c r="J2450">
        <v>1</v>
      </c>
      <c r="K2450">
        <v>0</v>
      </c>
      <c r="L2450">
        <v>0</v>
      </c>
      <c r="M2450">
        <v>1</v>
      </c>
      <c r="N2450">
        <v>0</v>
      </c>
      <c r="O2450">
        <v>0</v>
      </c>
      <c r="P2450">
        <v>0</v>
      </c>
      <c r="Q2450">
        <v>0</v>
      </c>
      <c r="R2450">
        <v>20000</v>
      </c>
      <c r="S2450">
        <v>20000</v>
      </c>
      <c r="T2450">
        <v>0</v>
      </c>
      <c r="U2450" t="str">
        <f>IF(SeismicData[[#This Row],[class]]=1,"Dangerous","Safe")</f>
        <v>Safe</v>
      </c>
      <c r="V2450" t="str">
        <f>IF(SeismicData[[#This Row],[shift]]="W","Production","Non-Production")</f>
        <v>Production</v>
      </c>
      <c r="W2450" t="str">
        <f>IF(SeismicData[[#This Row],[genergy]]=0,"0","10^"&amp;INT(LOG10(SeismicData[[#This Row],[genergy]])))</f>
        <v>10^3</v>
      </c>
      <c r="X2450" t="str">
        <f>IF(OR(SeismicData[[#This Row],[genergy]]&lt;$AA$6,SeismicData[[#This Row],[genergy]]&gt;$AA$5),"Outlier","Normal")</f>
        <v>Normal</v>
      </c>
    </row>
    <row r="2451" spans="1:24" x14ac:dyDescent="0.15">
      <c r="A2451">
        <v>2450</v>
      </c>
      <c r="B2451" t="s">
        <v>20</v>
      </c>
      <c r="C2451" t="s">
        <v>20</v>
      </c>
      <c r="D2451" t="s">
        <v>22</v>
      </c>
      <c r="E2451">
        <v>4150</v>
      </c>
      <c r="F2451">
        <v>262</v>
      </c>
      <c r="G2451">
        <v>-64</v>
      </c>
      <c r="H2451">
        <v>-49</v>
      </c>
      <c r="I2451" t="s">
        <v>20</v>
      </c>
      <c r="J2451">
        <v>0</v>
      </c>
      <c r="K2451">
        <v>0</v>
      </c>
      <c r="L2451">
        <v>0</v>
      </c>
      <c r="M2451">
        <v>0</v>
      </c>
      <c r="N2451">
        <v>0</v>
      </c>
      <c r="O2451">
        <v>0</v>
      </c>
      <c r="P2451">
        <v>0</v>
      </c>
      <c r="Q2451">
        <v>0</v>
      </c>
      <c r="R2451">
        <v>0</v>
      </c>
      <c r="S2451">
        <v>0</v>
      </c>
      <c r="T2451">
        <v>0</v>
      </c>
      <c r="U2451" t="str">
        <f>IF(SeismicData[[#This Row],[class]]=1,"Dangerous","Safe")</f>
        <v>Safe</v>
      </c>
      <c r="V2451" t="str">
        <f>IF(SeismicData[[#This Row],[shift]]="W","Production","Non-Production")</f>
        <v>Production</v>
      </c>
      <c r="W2451" t="str">
        <f>IF(SeismicData[[#This Row],[genergy]]=0,"0","10^"&amp;INT(LOG10(SeismicData[[#This Row],[genergy]])))</f>
        <v>10^3</v>
      </c>
      <c r="X2451" t="str">
        <f>IF(OR(SeismicData[[#This Row],[genergy]]&lt;$AA$6,SeismicData[[#This Row],[genergy]]&gt;$AA$5),"Outlier","Normal")</f>
        <v>Normal</v>
      </c>
    </row>
    <row r="2452" spans="1:24" x14ac:dyDescent="0.15">
      <c r="A2452">
        <v>2451</v>
      </c>
      <c r="B2452" t="s">
        <v>20</v>
      </c>
      <c r="C2452" t="s">
        <v>20</v>
      </c>
      <c r="D2452" t="s">
        <v>22</v>
      </c>
      <c r="E2452">
        <v>7870</v>
      </c>
      <c r="F2452">
        <v>141</v>
      </c>
      <c r="G2452">
        <v>-71</v>
      </c>
      <c r="H2452">
        <v>-67</v>
      </c>
      <c r="I2452" t="s">
        <v>20</v>
      </c>
      <c r="J2452">
        <v>1</v>
      </c>
      <c r="K2452">
        <v>1</v>
      </c>
      <c r="L2452">
        <v>0</v>
      </c>
      <c r="M2452">
        <v>0</v>
      </c>
      <c r="N2452">
        <v>0</v>
      </c>
      <c r="O2452">
        <v>0</v>
      </c>
      <c r="P2452">
        <v>0</v>
      </c>
      <c r="Q2452">
        <v>0</v>
      </c>
      <c r="R2452">
        <v>700</v>
      </c>
      <c r="S2452">
        <v>700</v>
      </c>
      <c r="T2452">
        <v>0</v>
      </c>
      <c r="U2452" t="str">
        <f>IF(SeismicData[[#This Row],[class]]=1,"Dangerous","Safe")</f>
        <v>Safe</v>
      </c>
      <c r="V2452" t="str">
        <f>IF(SeismicData[[#This Row],[shift]]="W","Production","Non-Production")</f>
        <v>Production</v>
      </c>
      <c r="W2452" t="str">
        <f>IF(SeismicData[[#This Row],[genergy]]=0,"0","10^"&amp;INT(LOG10(SeismicData[[#This Row],[genergy]])))</f>
        <v>10^3</v>
      </c>
      <c r="X2452" t="str">
        <f>IF(OR(SeismicData[[#This Row],[genergy]]&lt;$AA$6,SeismicData[[#This Row],[genergy]]&gt;$AA$5),"Outlier","Normal")</f>
        <v>Normal</v>
      </c>
    </row>
    <row r="2453" spans="1:24" x14ac:dyDescent="0.15">
      <c r="A2453">
        <v>2452</v>
      </c>
      <c r="B2453" t="s">
        <v>20</v>
      </c>
      <c r="C2453" t="s">
        <v>20</v>
      </c>
      <c r="D2453" t="s">
        <v>22</v>
      </c>
      <c r="E2453">
        <v>20380</v>
      </c>
      <c r="F2453">
        <v>338</v>
      </c>
      <c r="G2453">
        <v>-24</v>
      </c>
      <c r="H2453">
        <v>-22</v>
      </c>
      <c r="I2453" t="s">
        <v>20</v>
      </c>
      <c r="J2453">
        <v>1</v>
      </c>
      <c r="K2453">
        <v>1</v>
      </c>
      <c r="L2453">
        <v>0</v>
      </c>
      <c r="M2453">
        <v>0</v>
      </c>
      <c r="N2453">
        <v>0</v>
      </c>
      <c r="O2453">
        <v>0</v>
      </c>
      <c r="P2453">
        <v>0</v>
      </c>
      <c r="Q2453">
        <v>0</v>
      </c>
      <c r="R2453">
        <v>200</v>
      </c>
      <c r="S2453">
        <v>200</v>
      </c>
      <c r="T2453">
        <v>0</v>
      </c>
      <c r="U2453" t="str">
        <f>IF(SeismicData[[#This Row],[class]]=1,"Dangerous","Safe")</f>
        <v>Safe</v>
      </c>
      <c r="V2453" t="str">
        <f>IF(SeismicData[[#This Row],[shift]]="W","Production","Non-Production")</f>
        <v>Production</v>
      </c>
      <c r="W2453" t="str">
        <f>IF(SeismicData[[#This Row],[genergy]]=0,"0","10^"&amp;INT(LOG10(SeismicData[[#This Row],[genergy]])))</f>
        <v>10^4</v>
      </c>
      <c r="X2453" t="str">
        <f>IF(OR(SeismicData[[#This Row],[genergy]]&lt;$AA$6,SeismicData[[#This Row],[genergy]]&gt;$AA$5),"Outlier","Normal")</f>
        <v>Normal</v>
      </c>
    </row>
    <row r="2454" spans="1:24" x14ac:dyDescent="0.15">
      <c r="A2454">
        <v>2453</v>
      </c>
      <c r="B2454" t="s">
        <v>20</v>
      </c>
      <c r="C2454" t="s">
        <v>20</v>
      </c>
      <c r="D2454" t="s">
        <v>22</v>
      </c>
      <c r="E2454">
        <v>26660</v>
      </c>
      <c r="F2454">
        <v>486</v>
      </c>
      <c r="G2454">
        <v>-1</v>
      </c>
      <c r="H2454">
        <v>12</v>
      </c>
      <c r="I2454" t="s">
        <v>20</v>
      </c>
      <c r="J2454">
        <v>0</v>
      </c>
      <c r="K2454">
        <v>0</v>
      </c>
      <c r="L2454">
        <v>0</v>
      </c>
      <c r="M2454">
        <v>0</v>
      </c>
      <c r="N2454">
        <v>0</v>
      </c>
      <c r="O2454">
        <v>0</v>
      </c>
      <c r="P2454">
        <v>0</v>
      </c>
      <c r="Q2454">
        <v>0</v>
      </c>
      <c r="R2454">
        <v>0</v>
      </c>
      <c r="S2454">
        <v>0</v>
      </c>
      <c r="T2454">
        <v>0</v>
      </c>
      <c r="U2454" t="str">
        <f>IF(SeismicData[[#This Row],[class]]=1,"Dangerous","Safe")</f>
        <v>Safe</v>
      </c>
      <c r="V2454" t="str">
        <f>IF(SeismicData[[#This Row],[shift]]="W","Production","Non-Production")</f>
        <v>Production</v>
      </c>
      <c r="W2454" t="str">
        <f>IF(SeismicData[[#This Row],[genergy]]=0,"0","10^"&amp;INT(LOG10(SeismicData[[#This Row],[genergy]])))</f>
        <v>10^4</v>
      </c>
      <c r="X2454" t="str">
        <f>IF(OR(SeismicData[[#This Row],[genergy]]&lt;$AA$6,SeismicData[[#This Row],[genergy]]&gt;$AA$5),"Outlier","Normal")</f>
        <v>Normal</v>
      </c>
    </row>
    <row r="2455" spans="1:24" x14ac:dyDescent="0.15">
      <c r="A2455">
        <v>2454</v>
      </c>
      <c r="B2455" t="s">
        <v>20</v>
      </c>
      <c r="C2455" t="s">
        <v>20</v>
      </c>
      <c r="D2455" t="s">
        <v>22</v>
      </c>
      <c r="E2455">
        <v>25050</v>
      </c>
      <c r="F2455">
        <v>353</v>
      </c>
      <c r="G2455">
        <v>-7</v>
      </c>
      <c r="H2455">
        <v>-19</v>
      </c>
      <c r="I2455" t="s">
        <v>20</v>
      </c>
      <c r="J2455">
        <v>0</v>
      </c>
      <c r="K2455">
        <v>0</v>
      </c>
      <c r="L2455">
        <v>0</v>
      </c>
      <c r="M2455">
        <v>0</v>
      </c>
      <c r="N2455">
        <v>0</v>
      </c>
      <c r="O2455">
        <v>0</v>
      </c>
      <c r="P2455">
        <v>0</v>
      </c>
      <c r="Q2455">
        <v>0</v>
      </c>
      <c r="R2455">
        <v>0</v>
      </c>
      <c r="S2455">
        <v>0</v>
      </c>
      <c r="T2455">
        <v>0</v>
      </c>
      <c r="U2455" t="str">
        <f>IF(SeismicData[[#This Row],[class]]=1,"Dangerous","Safe")</f>
        <v>Safe</v>
      </c>
      <c r="V2455" t="str">
        <f>IF(SeismicData[[#This Row],[shift]]="W","Production","Non-Production")</f>
        <v>Production</v>
      </c>
      <c r="W2455" t="str">
        <f>IF(SeismicData[[#This Row],[genergy]]=0,"0","10^"&amp;INT(LOG10(SeismicData[[#This Row],[genergy]])))</f>
        <v>10^4</v>
      </c>
      <c r="X2455" t="str">
        <f>IF(OR(SeismicData[[#This Row],[genergy]]&lt;$AA$6,SeismicData[[#This Row],[genergy]]&gt;$AA$5),"Outlier","Normal")</f>
        <v>Normal</v>
      </c>
    </row>
    <row r="2456" spans="1:24" x14ac:dyDescent="0.15">
      <c r="A2456">
        <v>2455</v>
      </c>
      <c r="B2456" t="s">
        <v>23</v>
      </c>
      <c r="C2456" t="s">
        <v>20</v>
      </c>
      <c r="D2456" t="s">
        <v>22</v>
      </c>
      <c r="E2456">
        <v>12950</v>
      </c>
      <c r="F2456">
        <v>343</v>
      </c>
      <c r="G2456">
        <v>-12</v>
      </c>
      <c r="H2456">
        <v>-9</v>
      </c>
      <c r="I2456" t="s">
        <v>20</v>
      </c>
      <c r="J2456">
        <v>0</v>
      </c>
      <c r="K2456">
        <v>0</v>
      </c>
      <c r="L2456">
        <v>0</v>
      </c>
      <c r="M2456">
        <v>0</v>
      </c>
      <c r="N2456">
        <v>0</v>
      </c>
      <c r="O2456">
        <v>0</v>
      </c>
      <c r="P2456">
        <v>0</v>
      </c>
      <c r="Q2456">
        <v>0</v>
      </c>
      <c r="R2456">
        <v>0</v>
      </c>
      <c r="S2456">
        <v>0</v>
      </c>
      <c r="T2456">
        <v>0</v>
      </c>
      <c r="U2456" t="str">
        <f>IF(SeismicData[[#This Row],[class]]=1,"Dangerous","Safe")</f>
        <v>Safe</v>
      </c>
      <c r="V2456" t="str">
        <f>IF(SeismicData[[#This Row],[shift]]="W","Production","Non-Production")</f>
        <v>Production</v>
      </c>
      <c r="W2456" t="str">
        <f>IF(SeismicData[[#This Row],[genergy]]=0,"0","10^"&amp;INT(LOG10(SeismicData[[#This Row],[genergy]])))</f>
        <v>10^4</v>
      </c>
      <c r="X2456" t="str">
        <f>IF(OR(SeismicData[[#This Row],[genergy]]&lt;$AA$6,SeismicData[[#This Row],[genergy]]&gt;$AA$5),"Outlier","Normal")</f>
        <v>Normal</v>
      </c>
    </row>
    <row r="2457" spans="1:24" x14ac:dyDescent="0.15">
      <c r="A2457">
        <v>2456</v>
      </c>
      <c r="B2457" t="s">
        <v>23</v>
      </c>
      <c r="C2457" t="s">
        <v>20</v>
      </c>
      <c r="D2457" t="s">
        <v>22</v>
      </c>
      <c r="E2457">
        <v>29720</v>
      </c>
      <c r="F2457">
        <v>368</v>
      </c>
      <c r="G2457">
        <v>12</v>
      </c>
      <c r="H2457">
        <v>-14</v>
      </c>
      <c r="I2457" t="s">
        <v>20</v>
      </c>
      <c r="J2457">
        <v>1</v>
      </c>
      <c r="K2457">
        <v>0</v>
      </c>
      <c r="L2457">
        <v>1</v>
      </c>
      <c r="M2457">
        <v>0</v>
      </c>
      <c r="N2457">
        <v>0</v>
      </c>
      <c r="O2457">
        <v>0</v>
      </c>
      <c r="P2457">
        <v>0</v>
      </c>
      <c r="Q2457">
        <v>0</v>
      </c>
      <c r="R2457">
        <v>4000</v>
      </c>
      <c r="S2457">
        <v>4000</v>
      </c>
      <c r="T2457">
        <v>0</v>
      </c>
      <c r="U2457" t="str">
        <f>IF(SeismicData[[#This Row],[class]]=1,"Dangerous","Safe")</f>
        <v>Safe</v>
      </c>
      <c r="V2457" t="str">
        <f>IF(SeismicData[[#This Row],[shift]]="W","Production","Non-Production")</f>
        <v>Production</v>
      </c>
      <c r="W2457" t="str">
        <f>IF(SeismicData[[#This Row],[genergy]]=0,"0","10^"&amp;INT(LOG10(SeismicData[[#This Row],[genergy]])))</f>
        <v>10^4</v>
      </c>
      <c r="X2457" t="str">
        <f>IF(OR(SeismicData[[#This Row],[genergy]]&lt;$AA$6,SeismicData[[#This Row],[genergy]]&gt;$AA$5),"Outlier","Normal")</f>
        <v>Normal</v>
      </c>
    </row>
    <row r="2458" spans="1:24" x14ac:dyDescent="0.15">
      <c r="A2458">
        <v>2457</v>
      </c>
      <c r="B2458" t="s">
        <v>23</v>
      </c>
      <c r="C2458" t="s">
        <v>20</v>
      </c>
      <c r="D2458" t="s">
        <v>22</v>
      </c>
      <c r="E2458">
        <v>11480</v>
      </c>
      <c r="F2458">
        <v>260</v>
      </c>
      <c r="G2458">
        <v>-57</v>
      </c>
      <c r="H2458">
        <v>-39</v>
      </c>
      <c r="I2458" t="s">
        <v>20</v>
      </c>
      <c r="J2458">
        <v>0</v>
      </c>
      <c r="K2458">
        <v>0</v>
      </c>
      <c r="L2458">
        <v>0</v>
      </c>
      <c r="M2458">
        <v>0</v>
      </c>
      <c r="N2458">
        <v>0</v>
      </c>
      <c r="O2458">
        <v>0</v>
      </c>
      <c r="P2458">
        <v>0</v>
      </c>
      <c r="Q2458">
        <v>0</v>
      </c>
      <c r="R2458">
        <v>0</v>
      </c>
      <c r="S2458">
        <v>0</v>
      </c>
      <c r="T2458">
        <v>0</v>
      </c>
      <c r="U2458" t="str">
        <f>IF(SeismicData[[#This Row],[class]]=1,"Dangerous","Safe")</f>
        <v>Safe</v>
      </c>
      <c r="V2458" t="str">
        <f>IF(SeismicData[[#This Row],[shift]]="W","Production","Non-Production")</f>
        <v>Production</v>
      </c>
      <c r="W2458" t="str">
        <f>IF(SeismicData[[#This Row],[genergy]]=0,"0","10^"&amp;INT(LOG10(SeismicData[[#This Row],[genergy]])))</f>
        <v>10^4</v>
      </c>
      <c r="X2458" t="str">
        <f>IF(OR(SeismicData[[#This Row],[genergy]]&lt;$AA$6,SeismicData[[#This Row],[genergy]]&gt;$AA$5),"Outlier","Normal")</f>
        <v>Normal</v>
      </c>
    </row>
    <row r="2459" spans="1:24" x14ac:dyDescent="0.15">
      <c r="A2459">
        <v>2458</v>
      </c>
      <c r="B2459" t="s">
        <v>23</v>
      </c>
      <c r="C2459" t="s">
        <v>20</v>
      </c>
      <c r="D2459" t="s">
        <v>22</v>
      </c>
      <c r="E2459">
        <v>12220</v>
      </c>
      <c r="F2459">
        <v>249</v>
      </c>
      <c r="G2459">
        <v>-54</v>
      </c>
      <c r="H2459">
        <v>-42</v>
      </c>
      <c r="I2459" t="s">
        <v>20</v>
      </c>
      <c r="J2459">
        <v>0</v>
      </c>
      <c r="K2459">
        <v>0</v>
      </c>
      <c r="L2459">
        <v>0</v>
      </c>
      <c r="M2459">
        <v>0</v>
      </c>
      <c r="N2459">
        <v>0</v>
      </c>
      <c r="O2459">
        <v>0</v>
      </c>
      <c r="P2459">
        <v>0</v>
      </c>
      <c r="Q2459">
        <v>0</v>
      </c>
      <c r="R2459">
        <v>0</v>
      </c>
      <c r="S2459">
        <v>0</v>
      </c>
      <c r="T2459">
        <v>0</v>
      </c>
      <c r="U2459" t="str">
        <f>IF(SeismicData[[#This Row],[class]]=1,"Dangerous","Safe")</f>
        <v>Safe</v>
      </c>
      <c r="V2459" t="str">
        <f>IF(SeismicData[[#This Row],[shift]]="W","Production","Non-Production")</f>
        <v>Production</v>
      </c>
      <c r="W2459" t="str">
        <f>IF(SeismicData[[#This Row],[genergy]]=0,"0","10^"&amp;INT(LOG10(SeismicData[[#This Row],[genergy]])))</f>
        <v>10^4</v>
      </c>
      <c r="X2459" t="str">
        <f>IF(OR(SeismicData[[#This Row],[genergy]]&lt;$AA$6,SeismicData[[#This Row],[genergy]]&gt;$AA$5),"Outlier","Normal")</f>
        <v>Normal</v>
      </c>
    </row>
    <row r="2460" spans="1:24" x14ac:dyDescent="0.15">
      <c r="A2460">
        <v>2459</v>
      </c>
      <c r="B2460" t="s">
        <v>23</v>
      </c>
      <c r="C2460" t="s">
        <v>20</v>
      </c>
      <c r="D2460" t="s">
        <v>22</v>
      </c>
      <c r="E2460">
        <v>5890</v>
      </c>
      <c r="F2460">
        <v>166</v>
      </c>
      <c r="G2460">
        <v>-60</v>
      </c>
      <c r="H2460">
        <v>-56</v>
      </c>
      <c r="I2460" t="s">
        <v>20</v>
      </c>
      <c r="J2460">
        <v>0</v>
      </c>
      <c r="K2460">
        <v>0</v>
      </c>
      <c r="L2460">
        <v>0</v>
      </c>
      <c r="M2460">
        <v>0</v>
      </c>
      <c r="N2460">
        <v>0</v>
      </c>
      <c r="O2460">
        <v>0</v>
      </c>
      <c r="P2460">
        <v>0</v>
      </c>
      <c r="Q2460">
        <v>0</v>
      </c>
      <c r="R2460">
        <v>0</v>
      </c>
      <c r="S2460">
        <v>0</v>
      </c>
      <c r="T2460">
        <v>0</v>
      </c>
      <c r="U2460" t="str">
        <f>IF(SeismicData[[#This Row],[class]]=1,"Dangerous","Safe")</f>
        <v>Safe</v>
      </c>
      <c r="V2460" t="str">
        <f>IF(SeismicData[[#This Row],[shift]]="W","Production","Non-Production")</f>
        <v>Production</v>
      </c>
      <c r="W2460" t="str">
        <f>IF(SeismicData[[#This Row],[genergy]]=0,"0","10^"&amp;INT(LOG10(SeismicData[[#This Row],[genergy]])))</f>
        <v>10^3</v>
      </c>
      <c r="X2460" t="str">
        <f>IF(OR(SeismicData[[#This Row],[genergy]]&lt;$AA$6,SeismicData[[#This Row],[genergy]]&gt;$AA$5),"Outlier","Normal")</f>
        <v>Normal</v>
      </c>
    </row>
    <row r="2461" spans="1:24" x14ac:dyDescent="0.15">
      <c r="A2461">
        <v>2460</v>
      </c>
      <c r="B2461" t="s">
        <v>23</v>
      </c>
      <c r="C2461" t="s">
        <v>20</v>
      </c>
      <c r="D2461" t="s">
        <v>22</v>
      </c>
      <c r="E2461">
        <v>7240</v>
      </c>
      <c r="F2461">
        <v>164</v>
      </c>
      <c r="G2461">
        <v>-51</v>
      </c>
      <c r="H2461">
        <v>-57</v>
      </c>
      <c r="I2461" t="s">
        <v>20</v>
      </c>
      <c r="J2461">
        <v>0</v>
      </c>
      <c r="K2461">
        <v>0</v>
      </c>
      <c r="L2461">
        <v>0</v>
      </c>
      <c r="M2461">
        <v>0</v>
      </c>
      <c r="N2461">
        <v>0</v>
      </c>
      <c r="O2461">
        <v>0</v>
      </c>
      <c r="P2461">
        <v>0</v>
      </c>
      <c r="Q2461">
        <v>0</v>
      </c>
      <c r="R2461">
        <v>0</v>
      </c>
      <c r="S2461">
        <v>0</v>
      </c>
      <c r="T2461">
        <v>0</v>
      </c>
      <c r="U2461" t="str">
        <f>IF(SeismicData[[#This Row],[class]]=1,"Dangerous","Safe")</f>
        <v>Safe</v>
      </c>
      <c r="V2461" t="str">
        <f>IF(SeismicData[[#This Row],[shift]]="W","Production","Non-Production")</f>
        <v>Production</v>
      </c>
      <c r="W2461" t="str">
        <f>IF(SeismicData[[#This Row],[genergy]]=0,"0","10^"&amp;INT(LOG10(SeismicData[[#This Row],[genergy]])))</f>
        <v>10^3</v>
      </c>
      <c r="X2461" t="str">
        <f>IF(OR(SeismicData[[#This Row],[genergy]]&lt;$AA$6,SeismicData[[#This Row],[genergy]]&gt;$AA$5),"Outlier","Normal")</f>
        <v>Normal</v>
      </c>
    </row>
    <row r="2462" spans="1:24" x14ac:dyDescent="0.15">
      <c r="A2462">
        <v>2461</v>
      </c>
      <c r="B2462" t="s">
        <v>23</v>
      </c>
      <c r="C2462" t="s">
        <v>20</v>
      </c>
      <c r="D2462" t="s">
        <v>22</v>
      </c>
      <c r="E2462">
        <v>6580</v>
      </c>
      <c r="F2462">
        <v>161</v>
      </c>
      <c r="G2462">
        <v>-75</v>
      </c>
      <c r="H2462">
        <v>-63</v>
      </c>
      <c r="I2462" t="s">
        <v>20</v>
      </c>
      <c r="J2462">
        <v>0</v>
      </c>
      <c r="K2462">
        <v>0</v>
      </c>
      <c r="L2462">
        <v>0</v>
      </c>
      <c r="M2462">
        <v>0</v>
      </c>
      <c r="N2462">
        <v>0</v>
      </c>
      <c r="O2462">
        <v>0</v>
      </c>
      <c r="P2462">
        <v>0</v>
      </c>
      <c r="Q2462">
        <v>0</v>
      </c>
      <c r="R2462">
        <v>0</v>
      </c>
      <c r="S2462">
        <v>0</v>
      </c>
      <c r="T2462">
        <v>0</v>
      </c>
      <c r="U2462" t="str">
        <f>IF(SeismicData[[#This Row],[class]]=1,"Dangerous","Safe")</f>
        <v>Safe</v>
      </c>
      <c r="V2462" t="str">
        <f>IF(SeismicData[[#This Row],[shift]]="W","Production","Non-Production")</f>
        <v>Production</v>
      </c>
      <c r="W2462" t="str">
        <f>IF(SeismicData[[#This Row],[genergy]]=0,"0","10^"&amp;INT(LOG10(SeismicData[[#This Row],[genergy]])))</f>
        <v>10^3</v>
      </c>
      <c r="X2462" t="str">
        <f>IF(OR(SeismicData[[#This Row],[genergy]]&lt;$AA$6,SeismicData[[#This Row],[genergy]]&gt;$AA$5),"Outlier","Normal")</f>
        <v>Normal</v>
      </c>
    </row>
    <row r="2463" spans="1:24" x14ac:dyDescent="0.15">
      <c r="A2463">
        <v>2462</v>
      </c>
      <c r="B2463" t="s">
        <v>23</v>
      </c>
      <c r="C2463" t="s">
        <v>20</v>
      </c>
      <c r="D2463" t="s">
        <v>22</v>
      </c>
      <c r="E2463">
        <v>28590</v>
      </c>
      <c r="F2463">
        <v>387</v>
      </c>
      <c r="G2463">
        <v>8</v>
      </c>
      <c r="H2463">
        <v>-10</v>
      </c>
      <c r="I2463" t="s">
        <v>20</v>
      </c>
      <c r="J2463">
        <v>2</v>
      </c>
      <c r="K2463">
        <v>2</v>
      </c>
      <c r="L2463">
        <v>0</v>
      </c>
      <c r="M2463">
        <v>0</v>
      </c>
      <c r="N2463">
        <v>0</v>
      </c>
      <c r="O2463">
        <v>0</v>
      </c>
      <c r="P2463">
        <v>0</v>
      </c>
      <c r="Q2463">
        <v>0</v>
      </c>
      <c r="R2463">
        <v>1300</v>
      </c>
      <c r="S2463">
        <v>900</v>
      </c>
      <c r="T2463">
        <v>0</v>
      </c>
      <c r="U2463" t="str">
        <f>IF(SeismicData[[#This Row],[class]]=1,"Dangerous","Safe")</f>
        <v>Safe</v>
      </c>
      <c r="V2463" t="str">
        <f>IF(SeismicData[[#This Row],[shift]]="W","Production","Non-Production")</f>
        <v>Production</v>
      </c>
      <c r="W2463" t="str">
        <f>IF(SeismicData[[#This Row],[genergy]]=0,"0","10^"&amp;INT(LOG10(SeismicData[[#This Row],[genergy]])))</f>
        <v>10^4</v>
      </c>
      <c r="X2463" t="str">
        <f>IF(OR(SeismicData[[#This Row],[genergy]]&lt;$AA$6,SeismicData[[#This Row],[genergy]]&gt;$AA$5),"Outlier","Normal")</f>
        <v>Normal</v>
      </c>
    </row>
    <row r="2464" spans="1:24" x14ac:dyDescent="0.15">
      <c r="A2464">
        <v>2463</v>
      </c>
      <c r="B2464" t="s">
        <v>23</v>
      </c>
      <c r="C2464" t="s">
        <v>20</v>
      </c>
      <c r="D2464" t="s">
        <v>22</v>
      </c>
      <c r="E2464">
        <v>16820</v>
      </c>
      <c r="F2464">
        <v>244</v>
      </c>
      <c r="G2464">
        <v>-32</v>
      </c>
      <c r="H2464">
        <v>-39</v>
      </c>
      <c r="I2464" t="s">
        <v>20</v>
      </c>
      <c r="J2464">
        <v>0</v>
      </c>
      <c r="K2464">
        <v>0</v>
      </c>
      <c r="L2464">
        <v>0</v>
      </c>
      <c r="M2464">
        <v>0</v>
      </c>
      <c r="N2464">
        <v>0</v>
      </c>
      <c r="O2464">
        <v>0</v>
      </c>
      <c r="P2464">
        <v>0</v>
      </c>
      <c r="Q2464">
        <v>0</v>
      </c>
      <c r="R2464">
        <v>0</v>
      </c>
      <c r="S2464">
        <v>0</v>
      </c>
      <c r="T2464">
        <v>0</v>
      </c>
      <c r="U2464" t="str">
        <f>IF(SeismicData[[#This Row],[class]]=1,"Dangerous","Safe")</f>
        <v>Safe</v>
      </c>
      <c r="V2464" t="str">
        <f>IF(SeismicData[[#This Row],[shift]]="W","Production","Non-Production")</f>
        <v>Production</v>
      </c>
      <c r="W2464" t="str">
        <f>IF(SeismicData[[#This Row],[genergy]]=0,"0","10^"&amp;INT(LOG10(SeismicData[[#This Row],[genergy]])))</f>
        <v>10^4</v>
      </c>
      <c r="X2464" t="str">
        <f>IF(OR(SeismicData[[#This Row],[genergy]]&lt;$AA$6,SeismicData[[#This Row],[genergy]]&gt;$AA$5),"Outlier","Normal")</f>
        <v>Normal</v>
      </c>
    </row>
    <row r="2465" spans="1:24" x14ac:dyDescent="0.15">
      <c r="A2465">
        <v>2464</v>
      </c>
      <c r="B2465" t="s">
        <v>23</v>
      </c>
      <c r="C2465" t="s">
        <v>20</v>
      </c>
      <c r="D2465" t="s">
        <v>22</v>
      </c>
      <c r="E2465">
        <v>15650</v>
      </c>
      <c r="F2465">
        <v>664</v>
      </c>
      <c r="G2465">
        <v>45</v>
      </c>
      <c r="H2465">
        <v>42</v>
      </c>
      <c r="I2465" t="s">
        <v>20</v>
      </c>
      <c r="J2465">
        <v>1</v>
      </c>
      <c r="K2465">
        <v>1</v>
      </c>
      <c r="L2465">
        <v>0</v>
      </c>
      <c r="M2465">
        <v>0</v>
      </c>
      <c r="N2465">
        <v>0</v>
      </c>
      <c r="O2465">
        <v>0</v>
      </c>
      <c r="P2465">
        <v>0</v>
      </c>
      <c r="Q2465">
        <v>0</v>
      </c>
      <c r="R2465">
        <v>800</v>
      </c>
      <c r="S2465">
        <v>800</v>
      </c>
      <c r="T2465">
        <v>0</v>
      </c>
      <c r="U2465" t="str">
        <f>IF(SeismicData[[#This Row],[class]]=1,"Dangerous","Safe")</f>
        <v>Safe</v>
      </c>
      <c r="V2465" t="str">
        <f>IF(SeismicData[[#This Row],[shift]]="W","Production","Non-Production")</f>
        <v>Production</v>
      </c>
      <c r="W2465" t="str">
        <f>IF(SeismicData[[#This Row],[genergy]]=0,"0","10^"&amp;INT(LOG10(SeismicData[[#This Row],[genergy]])))</f>
        <v>10^4</v>
      </c>
      <c r="X2465" t="str">
        <f>IF(OR(SeismicData[[#This Row],[genergy]]&lt;$AA$6,SeismicData[[#This Row],[genergy]]&gt;$AA$5),"Outlier","Normal")</f>
        <v>Normal</v>
      </c>
    </row>
    <row r="2466" spans="1:24" x14ac:dyDescent="0.15">
      <c r="A2466">
        <v>2465</v>
      </c>
      <c r="B2466" t="s">
        <v>23</v>
      </c>
      <c r="C2466" t="s">
        <v>20</v>
      </c>
      <c r="D2466" t="s">
        <v>22</v>
      </c>
      <c r="E2466">
        <v>9820</v>
      </c>
      <c r="F2466">
        <v>167</v>
      </c>
      <c r="G2466">
        <v>-60</v>
      </c>
      <c r="H2466">
        <v>-58</v>
      </c>
      <c r="I2466" t="s">
        <v>20</v>
      </c>
      <c r="J2466">
        <v>0</v>
      </c>
      <c r="K2466">
        <v>0</v>
      </c>
      <c r="L2466">
        <v>0</v>
      </c>
      <c r="M2466">
        <v>0</v>
      </c>
      <c r="N2466">
        <v>0</v>
      </c>
      <c r="O2466">
        <v>0</v>
      </c>
      <c r="P2466">
        <v>0</v>
      </c>
      <c r="Q2466">
        <v>0</v>
      </c>
      <c r="R2466">
        <v>0</v>
      </c>
      <c r="S2466">
        <v>0</v>
      </c>
      <c r="T2466">
        <v>0</v>
      </c>
      <c r="U2466" t="str">
        <f>IF(SeismicData[[#This Row],[class]]=1,"Dangerous","Safe")</f>
        <v>Safe</v>
      </c>
      <c r="V2466" t="str">
        <f>IF(SeismicData[[#This Row],[shift]]="W","Production","Non-Production")</f>
        <v>Production</v>
      </c>
      <c r="W2466" t="str">
        <f>IF(SeismicData[[#This Row],[genergy]]=0,"0","10^"&amp;INT(LOG10(SeismicData[[#This Row],[genergy]])))</f>
        <v>10^3</v>
      </c>
      <c r="X2466" t="str">
        <f>IF(OR(SeismicData[[#This Row],[genergy]]&lt;$AA$6,SeismicData[[#This Row],[genergy]]&gt;$AA$5),"Outlier","Normal")</f>
        <v>Normal</v>
      </c>
    </row>
    <row r="2467" spans="1:24" x14ac:dyDescent="0.15">
      <c r="A2467">
        <v>2466</v>
      </c>
      <c r="B2467" t="s">
        <v>23</v>
      </c>
      <c r="C2467" t="s">
        <v>20</v>
      </c>
      <c r="D2467" t="s">
        <v>22</v>
      </c>
      <c r="E2467">
        <v>16220</v>
      </c>
      <c r="F2467">
        <v>753</v>
      </c>
      <c r="G2467">
        <v>50</v>
      </c>
      <c r="H2467">
        <v>61</v>
      </c>
      <c r="I2467" t="s">
        <v>20</v>
      </c>
      <c r="J2467">
        <v>0</v>
      </c>
      <c r="K2467">
        <v>0</v>
      </c>
      <c r="L2467">
        <v>0</v>
      </c>
      <c r="M2467">
        <v>0</v>
      </c>
      <c r="N2467">
        <v>0</v>
      </c>
      <c r="O2467">
        <v>0</v>
      </c>
      <c r="P2467">
        <v>0</v>
      </c>
      <c r="Q2467">
        <v>0</v>
      </c>
      <c r="R2467">
        <v>0</v>
      </c>
      <c r="S2467">
        <v>0</v>
      </c>
      <c r="T2467">
        <v>0</v>
      </c>
      <c r="U2467" t="str">
        <f>IF(SeismicData[[#This Row],[class]]=1,"Dangerous","Safe")</f>
        <v>Safe</v>
      </c>
      <c r="V2467" t="str">
        <f>IF(SeismicData[[#This Row],[shift]]="W","Production","Non-Production")</f>
        <v>Production</v>
      </c>
      <c r="W2467" t="str">
        <f>IF(SeismicData[[#This Row],[genergy]]=0,"0","10^"&amp;INT(LOG10(SeismicData[[#This Row],[genergy]])))</f>
        <v>10^4</v>
      </c>
      <c r="X2467" t="str">
        <f>IF(OR(SeismicData[[#This Row],[genergy]]&lt;$AA$6,SeismicData[[#This Row],[genergy]]&gt;$AA$5),"Outlier","Normal")</f>
        <v>Normal</v>
      </c>
    </row>
    <row r="2468" spans="1:24" x14ac:dyDescent="0.15">
      <c r="A2468">
        <v>2467</v>
      </c>
      <c r="B2468" t="s">
        <v>23</v>
      </c>
      <c r="C2468" t="s">
        <v>20</v>
      </c>
      <c r="D2468" t="s">
        <v>22</v>
      </c>
      <c r="E2468">
        <v>7340</v>
      </c>
      <c r="F2468">
        <v>166</v>
      </c>
      <c r="G2468">
        <v>-53</v>
      </c>
      <c r="H2468">
        <v>-54</v>
      </c>
      <c r="I2468" t="s">
        <v>20</v>
      </c>
      <c r="J2468">
        <v>0</v>
      </c>
      <c r="K2468">
        <v>0</v>
      </c>
      <c r="L2468">
        <v>0</v>
      </c>
      <c r="M2468">
        <v>0</v>
      </c>
      <c r="N2468">
        <v>0</v>
      </c>
      <c r="O2468">
        <v>0</v>
      </c>
      <c r="P2468">
        <v>0</v>
      </c>
      <c r="Q2468">
        <v>0</v>
      </c>
      <c r="R2468">
        <v>0</v>
      </c>
      <c r="S2468">
        <v>0</v>
      </c>
      <c r="T2468">
        <v>0</v>
      </c>
      <c r="U2468" t="str">
        <f>IF(SeismicData[[#This Row],[class]]=1,"Dangerous","Safe")</f>
        <v>Safe</v>
      </c>
      <c r="V2468" t="str">
        <f>IF(SeismicData[[#This Row],[shift]]="W","Production","Non-Production")</f>
        <v>Production</v>
      </c>
      <c r="W2468" t="str">
        <f>IF(SeismicData[[#This Row],[genergy]]=0,"0","10^"&amp;INT(LOG10(SeismicData[[#This Row],[genergy]])))</f>
        <v>10^3</v>
      </c>
      <c r="X2468" t="str">
        <f>IF(OR(SeismicData[[#This Row],[genergy]]&lt;$AA$6,SeismicData[[#This Row],[genergy]]&gt;$AA$5),"Outlier","Normal")</f>
        <v>Normal</v>
      </c>
    </row>
    <row r="2469" spans="1:24" x14ac:dyDescent="0.15">
      <c r="A2469">
        <v>2468</v>
      </c>
      <c r="B2469" t="s">
        <v>23</v>
      </c>
      <c r="C2469" t="s">
        <v>20</v>
      </c>
      <c r="D2469" t="s">
        <v>22</v>
      </c>
      <c r="E2469">
        <v>13390</v>
      </c>
      <c r="F2469">
        <v>203</v>
      </c>
      <c r="G2469">
        <v>-14</v>
      </c>
      <c r="H2469">
        <v>-43</v>
      </c>
      <c r="I2469" t="s">
        <v>20</v>
      </c>
      <c r="J2469">
        <v>0</v>
      </c>
      <c r="K2469">
        <v>0</v>
      </c>
      <c r="L2469">
        <v>0</v>
      </c>
      <c r="M2469">
        <v>0</v>
      </c>
      <c r="N2469">
        <v>0</v>
      </c>
      <c r="O2469">
        <v>0</v>
      </c>
      <c r="P2469">
        <v>0</v>
      </c>
      <c r="Q2469">
        <v>0</v>
      </c>
      <c r="R2469">
        <v>0</v>
      </c>
      <c r="S2469">
        <v>0</v>
      </c>
      <c r="T2469">
        <v>0</v>
      </c>
      <c r="U2469" t="str">
        <f>IF(SeismicData[[#This Row],[class]]=1,"Dangerous","Safe")</f>
        <v>Safe</v>
      </c>
      <c r="V2469" t="str">
        <f>IF(SeismicData[[#This Row],[shift]]="W","Production","Non-Production")</f>
        <v>Production</v>
      </c>
      <c r="W2469" t="str">
        <f>IF(SeismicData[[#This Row],[genergy]]=0,"0","10^"&amp;INT(LOG10(SeismicData[[#This Row],[genergy]])))</f>
        <v>10^4</v>
      </c>
      <c r="X2469" t="str">
        <f>IF(OR(SeismicData[[#This Row],[genergy]]&lt;$AA$6,SeismicData[[#This Row],[genergy]]&gt;$AA$5),"Outlier","Normal")</f>
        <v>Normal</v>
      </c>
    </row>
    <row r="2470" spans="1:24" x14ac:dyDescent="0.15">
      <c r="A2470">
        <v>2469</v>
      </c>
      <c r="B2470" t="s">
        <v>23</v>
      </c>
      <c r="C2470" t="s">
        <v>20</v>
      </c>
      <c r="D2470" t="s">
        <v>22</v>
      </c>
      <c r="E2470">
        <v>32310</v>
      </c>
      <c r="F2470">
        <v>465</v>
      </c>
      <c r="G2470">
        <v>31</v>
      </c>
      <c r="H2470">
        <v>16</v>
      </c>
      <c r="I2470" t="s">
        <v>20</v>
      </c>
      <c r="J2470">
        <v>0</v>
      </c>
      <c r="K2470">
        <v>0</v>
      </c>
      <c r="L2470">
        <v>0</v>
      </c>
      <c r="M2470">
        <v>0</v>
      </c>
      <c r="N2470">
        <v>0</v>
      </c>
      <c r="O2470">
        <v>0</v>
      </c>
      <c r="P2470">
        <v>0</v>
      </c>
      <c r="Q2470">
        <v>0</v>
      </c>
      <c r="R2470">
        <v>0</v>
      </c>
      <c r="S2470">
        <v>0</v>
      </c>
      <c r="T2470">
        <v>0</v>
      </c>
      <c r="U2470" t="str">
        <f>IF(SeismicData[[#This Row],[class]]=1,"Dangerous","Safe")</f>
        <v>Safe</v>
      </c>
      <c r="V2470" t="str">
        <f>IF(SeismicData[[#This Row],[shift]]="W","Production","Non-Production")</f>
        <v>Production</v>
      </c>
      <c r="W2470" t="str">
        <f>IF(SeismicData[[#This Row],[genergy]]=0,"0","10^"&amp;INT(LOG10(SeismicData[[#This Row],[genergy]])))</f>
        <v>10^4</v>
      </c>
      <c r="X2470" t="str">
        <f>IF(OR(SeismicData[[#This Row],[genergy]]&lt;$AA$6,SeismicData[[#This Row],[genergy]]&gt;$AA$5),"Outlier","Normal")</f>
        <v>Normal</v>
      </c>
    </row>
    <row r="2471" spans="1:24" x14ac:dyDescent="0.15">
      <c r="A2471">
        <v>2470</v>
      </c>
      <c r="B2471" t="s">
        <v>23</v>
      </c>
      <c r="C2471" t="s">
        <v>20</v>
      </c>
      <c r="D2471" t="s">
        <v>22</v>
      </c>
      <c r="E2471">
        <v>15190</v>
      </c>
      <c r="F2471">
        <v>208</v>
      </c>
      <c r="G2471">
        <v>-38</v>
      </c>
      <c r="H2471">
        <v>-48</v>
      </c>
      <c r="I2471" t="s">
        <v>20</v>
      </c>
      <c r="J2471">
        <v>1</v>
      </c>
      <c r="K2471">
        <v>1</v>
      </c>
      <c r="L2471">
        <v>0</v>
      </c>
      <c r="M2471">
        <v>0</v>
      </c>
      <c r="N2471">
        <v>0</v>
      </c>
      <c r="O2471">
        <v>0</v>
      </c>
      <c r="P2471">
        <v>0</v>
      </c>
      <c r="Q2471">
        <v>0</v>
      </c>
      <c r="R2471">
        <v>700</v>
      </c>
      <c r="S2471">
        <v>700</v>
      </c>
      <c r="T2471">
        <v>0</v>
      </c>
      <c r="U2471" t="str">
        <f>IF(SeismicData[[#This Row],[class]]=1,"Dangerous","Safe")</f>
        <v>Safe</v>
      </c>
      <c r="V2471" t="str">
        <f>IF(SeismicData[[#This Row],[shift]]="W","Production","Non-Production")</f>
        <v>Production</v>
      </c>
      <c r="W2471" t="str">
        <f>IF(SeismicData[[#This Row],[genergy]]=0,"0","10^"&amp;INT(LOG10(SeismicData[[#This Row],[genergy]])))</f>
        <v>10^4</v>
      </c>
      <c r="X2471" t="str">
        <f>IF(OR(SeismicData[[#This Row],[genergy]]&lt;$AA$6,SeismicData[[#This Row],[genergy]]&gt;$AA$5),"Outlier","Normal")</f>
        <v>Normal</v>
      </c>
    </row>
    <row r="2472" spans="1:24" x14ac:dyDescent="0.15">
      <c r="A2472">
        <v>2471</v>
      </c>
      <c r="B2472" t="s">
        <v>23</v>
      </c>
      <c r="C2472" t="s">
        <v>20</v>
      </c>
      <c r="D2472" t="s">
        <v>21</v>
      </c>
      <c r="E2472">
        <v>5700</v>
      </c>
      <c r="F2472">
        <v>135</v>
      </c>
      <c r="G2472">
        <v>-50</v>
      </c>
      <c r="H2472">
        <v>-40</v>
      </c>
      <c r="I2472" t="s">
        <v>20</v>
      </c>
      <c r="J2472">
        <v>0</v>
      </c>
      <c r="K2472">
        <v>0</v>
      </c>
      <c r="L2472">
        <v>0</v>
      </c>
      <c r="M2472">
        <v>0</v>
      </c>
      <c r="N2472">
        <v>0</v>
      </c>
      <c r="O2472">
        <v>0</v>
      </c>
      <c r="P2472">
        <v>0</v>
      </c>
      <c r="Q2472">
        <v>0</v>
      </c>
      <c r="R2472">
        <v>0</v>
      </c>
      <c r="S2472">
        <v>0</v>
      </c>
      <c r="T2472">
        <v>0</v>
      </c>
      <c r="U2472" t="str">
        <f>IF(SeismicData[[#This Row],[class]]=1,"Dangerous","Safe")</f>
        <v>Safe</v>
      </c>
      <c r="V2472" t="str">
        <f>IF(SeismicData[[#This Row],[shift]]="W","Production","Non-Production")</f>
        <v>Non-Production</v>
      </c>
      <c r="W2472" t="str">
        <f>IF(SeismicData[[#This Row],[genergy]]=0,"0","10^"&amp;INT(LOG10(SeismicData[[#This Row],[genergy]])))</f>
        <v>10^3</v>
      </c>
      <c r="X2472" t="str">
        <f>IF(OR(SeismicData[[#This Row],[genergy]]&lt;$AA$6,SeismicData[[#This Row],[genergy]]&gt;$AA$5),"Outlier","Normal")</f>
        <v>Normal</v>
      </c>
    </row>
    <row r="2473" spans="1:24" x14ac:dyDescent="0.15">
      <c r="A2473">
        <v>2472</v>
      </c>
      <c r="B2473" t="s">
        <v>23</v>
      </c>
      <c r="C2473" t="s">
        <v>20</v>
      </c>
      <c r="D2473" t="s">
        <v>21</v>
      </c>
      <c r="E2473">
        <v>9640</v>
      </c>
      <c r="F2473">
        <v>130</v>
      </c>
      <c r="G2473">
        <v>-16</v>
      </c>
      <c r="H2473">
        <v>-42</v>
      </c>
      <c r="I2473" t="s">
        <v>20</v>
      </c>
      <c r="J2473">
        <v>1</v>
      </c>
      <c r="K2473">
        <v>0</v>
      </c>
      <c r="L2473">
        <v>1</v>
      </c>
      <c r="M2473">
        <v>0</v>
      </c>
      <c r="N2473">
        <v>0</v>
      </c>
      <c r="O2473">
        <v>0</v>
      </c>
      <c r="P2473">
        <v>0</v>
      </c>
      <c r="Q2473">
        <v>0</v>
      </c>
      <c r="R2473">
        <v>5000</v>
      </c>
      <c r="S2473">
        <v>5000</v>
      </c>
      <c r="T2473">
        <v>0</v>
      </c>
      <c r="U2473" t="str">
        <f>IF(SeismicData[[#This Row],[class]]=1,"Dangerous","Safe")</f>
        <v>Safe</v>
      </c>
      <c r="V2473" t="str">
        <f>IF(SeismicData[[#This Row],[shift]]="W","Production","Non-Production")</f>
        <v>Non-Production</v>
      </c>
      <c r="W2473" t="str">
        <f>IF(SeismicData[[#This Row],[genergy]]=0,"0","10^"&amp;INT(LOG10(SeismicData[[#This Row],[genergy]])))</f>
        <v>10^3</v>
      </c>
      <c r="X2473" t="str">
        <f>IF(OR(SeismicData[[#This Row],[genergy]]&lt;$AA$6,SeismicData[[#This Row],[genergy]]&gt;$AA$5),"Outlier","Normal")</f>
        <v>Normal</v>
      </c>
    </row>
    <row r="2474" spans="1:24" x14ac:dyDescent="0.15">
      <c r="A2474">
        <v>2473</v>
      </c>
      <c r="B2474" t="s">
        <v>23</v>
      </c>
      <c r="C2474" t="s">
        <v>20</v>
      </c>
      <c r="D2474" t="s">
        <v>21</v>
      </c>
      <c r="E2474">
        <v>4380</v>
      </c>
      <c r="F2474">
        <v>134</v>
      </c>
      <c r="G2474">
        <v>-60</v>
      </c>
      <c r="H2474">
        <v>-31</v>
      </c>
      <c r="I2474" t="s">
        <v>20</v>
      </c>
      <c r="J2474">
        <v>0</v>
      </c>
      <c r="K2474">
        <v>0</v>
      </c>
      <c r="L2474">
        <v>0</v>
      </c>
      <c r="M2474">
        <v>0</v>
      </c>
      <c r="N2474">
        <v>0</v>
      </c>
      <c r="O2474">
        <v>0</v>
      </c>
      <c r="P2474">
        <v>0</v>
      </c>
      <c r="Q2474">
        <v>0</v>
      </c>
      <c r="R2474">
        <v>0</v>
      </c>
      <c r="S2474">
        <v>0</v>
      </c>
      <c r="T2474">
        <v>0</v>
      </c>
      <c r="U2474" t="str">
        <f>IF(SeismicData[[#This Row],[class]]=1,"Dangerous","Safe")</f>
        <v>Safe</v>
      </c>
      <c r="V2474" t="str">
        <f>IF(SeismicData[[#This Row],[shift]]="W","Production","Non-Production")</f>
        <v>Non-Production</v>
      </c>
      <c r="W2474" t="str">
        <f>IF(SeismicData[[#This Row],[genergy]]=0,"0","10^"&amp;INT(LOG10(SeismicData[[#This Row],[genergy]])))</f>
        <v>10^3</v>
      </c>
      <c r="X2474" t="str">
        <f>IF(OR(SeismicData[[#This Row],[genergy]]&lt;$AA$6,SeismicData[[#This Row],[genergy]]&gt;$AA$5),"Outlier","Normal")</f>
        <v>Normal</v>
      </c>
    </row>
    <row r="2475" spans="1:24" x14ac:dyDescent="0.15">
      <c r="A2475">
        <v>2474</v>
      </c>
      <c r="B2475" t="s">
        <v>23</v>
      </c>
      <c r="C2475" t="s">
        <v>20</v>
      </c>
      <c r="D2475" t="s">
        <v>22</v>
      </c>
      <c r="E2475">
        <v>9940</v>
      </c>
      <c r="F2475">
        <v>142</v>
      </c>
      <c r="G2475">
        <v>-56</v>
      </c>
      <c r="H2475">
        <v>-62</v>
      </c>
      <c r="I2475" t="s">
        <v>20</v>
      </c>
      <c r="J2475">
        <v>0</v>
      </c>
      <c r="K2475">
        <v>0</v>
      </c>
      <c r="L2475">
        <v>0</v>
      </c>
      <c r="M2475">
        <v>0</v>
      </c>
      <c r="N2475">
        <v>0</v>
      </c>
      <c r="O2475">
        <v>0</v>
      </c>
      <c r="P2475">
        <v>0</v>
      </c>
      <c r="Q2475">
        <v>0</v>
      </c>
      <c r="R2475">
        <v>0</v>
      </c>
      <c r="S2475">
        <v>0</v>
      </c>
      <c r="T2475">
        <v>0</v>
      </c>
      <c r="U2475" t="str">
        <f>IF(SeismicData[[#This Row],[class]]=1,"Dangerous","Safe")</f>
        <v>Safe</v>
      </c>
      <c r="V2475" t="str">
        <f>IF(SeismicData[[#This Row],[shift]]="W","Production","Non-Production")</f>
        <v>Production</v>
      </c>
      <c r="W2475" t="str">
        <f>IF(SeismicData[[#This Row],[genergy]]=0,"0","10^"&amp;INT(LOG10(SeismicData[[#This Row],[genergy]])))</f>
        <v>10^3</v>
      </c>
      <c r="X2475" t="str">
        <f>IF(OR(SeismicData[[#This Row],[genergy]]&lt;$AA$6,SeismicData[[#This Row],[genergy]]&gt;$AA$5),"Outlier","Normal")</f>
        <v>Normal</v>
      </c>
    </row>
    <row r="2476" spans="1:24" x14ac:dyDescent="0.15">
      <c r="A2476">
        <v>2475</v>
      </c>
      <c r="B2476" t="s">
        <v>23</v>
      </c>
      <c r="C2476" t="s">
        <v>20</v>
      </c>
      <c r="D2476" t="s">
        <v>22</v>
      </c>
      <c r="E2476">
        <v>11550</v>
      </c>
      <c r="F2476">
        <v>152</v>
      </c>
      <c r="G2476">
        <v>-49</v>
      </c>
      <c r="H2476">
        <v>-60</v>
      </c>
      <c r="I2476" t="s">
        <v>20</v>
      </c>
      <c r="J2476">
        <v>1</v>
      </c>
      <c r="K2476">
        <v>1</v>
      </c>
      <c r="L2476">
        <v>0</v>
      </c>
      <c r="M2476">
        <v>0</v>
      </c>
      <c r="N2476">
        <v>0</v>
      </c>
      <c r="O2476">
        <v>0</v>
      </c>
      <c r="P2476">
        <v>0</v>
      </c>
      <c r="Q2476">
        <v>0</v>
      </c>
      <c r="R2476">
        <v>100</v>
      </c>
      <c r="S2476">
        <v>100</v>
      </c>
      <c r="T2476">
        <v>0</v>
      </c>
      <c r="U2476" t="str">
        <f>IF(SeismicData[[#This Row],[class]]=1,"Dangerous","Safe")</f>
        <v>Safe</v>
      </c>
      <c r="V2476" t="str">
        <f>IF(SeismicData[[#This Row],[shift]]="W","Production","Non-Production")</f>
        <v>Production</v>
      </c>
      <c r="W2476" t="str">
        <f>IF(SeismicData[[#This Row],[genergy]]=0,"0","10^"&amp;INT(LOG10(SeismicData[[#This Row],[genergy]])))</f>
        <v>10^4</v>
      </c>
      <c r="X2476" t="str">
        <f>IF(OR(SeismicData[[#This Row],[genergy]]&lt;$AA$6,SeismicData[[#This Row],[genergy]]&gt;$AA$5),"Outlier","Normal")</f>
        <v>Normal</v>
      </c>
    </row>
    <row r="2477" spans="1:24" x14ac:dyDescent="0.15">
      <c r="A2477">
        <v>2476</v>
      </c>
      <c r="B2477" t="s">
        <v>23</v>
      </c>
      <c r="C2477" t="s">
        <v>20</v>
      </c>
      <c r="D2477" t="s">
        <v>22</v>
      </c>
      <c r="E2477">
        <v>9050</v>
      </c>
      <c r="F2477">
        <v>436</v>
      </c>
      <c r="G2477">
        <v>-10</v>
      </c>
      <c r="H2477">
        <v>1</v>
      </c>
      <c r="I2477" t="s">
        <v>20</v>
      </c>
      <c r="J2477">
        <v>0</v>
      </c>
      <c r="K2477">
        <v>0</v>
      </c>
      <c r="L2477">
        <v>0</v>
      </c>
      <c r="M2477">
        <v>0</v>
      </c>
      <c r="N2477">
        <v>0</v>
      </c>
      <c r="O2477">
        <v>0</v>
      </c>
      <c r="P2477">
        <v>0</v>
      </c>
      <c r="Q2477">
        <v>0</v>
      </c>
      <c r="R2477">
        <v>0</v>
      </c>
      <c r="S2477">
        <v>0</v>
      </c>
      <c r="T2477">
        <v>0</v>
      </c>
      <c r="U2477" t="str">
        <f>IF(SeismicData[[#This Row],[class]]=1,"Dangerous","Safe")</f>
        <v>Safe</v>
      </c>
      <c r="V2477" t="str">
        <f>IF(SeismicData[[#This Row],[shift]]="W","Production","Non-Production")</f>
        <v>Production</v>
      </c>
      <c r="W2477" t="str">
        <f>IF(SeismicData[[#This Row],[genergy]]=0,"0","10^"&amp;INT(LOG10(SeismicData[[#This Row],[genergy]])))</f>
        <v>10^3</v>
      </c>
      <c r="X2477" t="str">
        <f>IF(OR(SeismicData[[#This Row],[genergy]]&lt;$AA$6,SeismicData[[#This Row],[genergy]]&gt;$AA$5),"Outlier","Normal")</f>
        <v>Normal</v>
      </c>
    </row>
    <row r="2478" spans="1:24" x14ac:dyDescent="0.15">
      <c r="A2478">
        <v>2477</v>
      </c>
      <c r="B2478" t="s">
        <v>23</v>
      </c>
      <c r="C2478" t="s">
        <v>20</v>
      </c>
      <c r="D2478" t="s">
        <v>22</v>
      </c>
      <c r="E2478">
        <v>7060</v>
      </c>
      <c r="F2478">
        <v>150</v>
      </c>
      <c r="G2478">
        <v>-69</v>
      </c>
      <c r="H2478">
        <v>-60</v>
      </c>
      <c r="I2478" t="s">
        <v>20</v>
      </c>
      <c r="J2478">
        <v>0</v>
      </c>
      <c r="K2478">
        <v>0</v>
      </c>
      <c r="L2478">
        <v>0</v>
      </c>
      <c r="M2478">
        <v>0</v>
      </c>
      <c r="N2478">
        <v>0</v>
      </c>
      <c r="O2478">
        <v>0</v>
      </c>
      <c r="P2478">
        <v>0</v>
      </c>
      <c r="Q2478">
        <v>0</v>
      </c>
      <c r="R2478">
        <v>0</v>
      </c>
      <c r="S2478">
        <v>0</v>
      </c>
      <c r="T2478">
        <v>0</v>
      </c>
      <c r="U2478" t="str">
        <f>IF(SeismicData[[#This Row],[class]]=1,"Dangerous","Safe")</f>
        <v>Safe</v>
      </c>
      <c r="V2478" t="str">
        <f>IF(SeismicData[[#This Row],[shift]]="W","Production","Non-Production")</f>
        <v>Production</v>
      </c>
      <c r="W2478" t="str">
        <f>IF(SeismicData[[#This Row],[genergy]]=0,"0","10^"&amp;INT(LOG10(SeismicData[[#This Row],[genergy]])))</f>
        <v>10^3</v>
      </c>
      <c r="X2478" t="str">
        <f>IF(OR(SeismicData[[#This Row],[genergy]]&lt;$AA$6,SeismicData[[#This Row],[genergy]]&gt;$AA$5),"Outlier","Normal")</f>
        <v>Normal</v>
      </c>
    </row>
    <row r="2479" spans="1:24" x14ac:dyDescent="0.15">
      <c r="A2479">
        <v>2478</v>
      </c>
      <c r="B2479" t="s">
        <v>23</v>
      </c>
      <c r="C2479" t="s">
        <v>20</v>
      </c>
      <c r="D2479" t="s">
        <v>22</v>
      </c>
      <c r="E2479">
        <v>18980</v>
      </c>
      <c r="F2479">
        <v>247</v>
      </c>
      <c r="G2479">
        <v>-16</v>
      </c>
      <c r="H2479">
        <v>-34</v>
      </c>
      <c r="I2479" t="s">
        <v>20</v>
      </c>
      <c r="J2479">
        <v>0</v>
      </c>
      <c r="K2479">
        <v>0</v>
      </c>
      <c r="L2479">
        <v>0</v>
      </c>
      <c r="M2479">
        <v>0</v>
      </c>
      <c r="N2479">
        <v>0</v>
      </c>
      <c r="O2479">
        <v>0</v>
      </c>
      <c r="P2479">
        <v>0</v>
      </c>
      <c r="Q2479">
        <v>0</v>
      </c>
      <c r="R2479">
        <v>0</v>
      </c>
      <c r="S2479">
        <v>0</v>
      </c>
      <c r="T2479">
        <v>0</v>
      </c>
      <c r="U2479" t="str">
        <f>IF(SeismicData[[#This Row],[class]]=1,"Dangerous","Safe")</f>
        <v>Safe</v>
      </c>
      <c r="V2479" t="str">
        <f>IF(SeismicData[[#This Row],[shift]]="W","Production","Non-Production")</f>
        <v>Production</v>
      </c>
      <c r="W2479" t="str">
        <f>IF(SeismicData[[#This Row],[genergy]]=0,"0","10^"&amp;INT(LOG10(SeismicData[[#This Row],[genergy]])))</f>
        <v>10^4</v>
      </c>
      <c r="X2479" t="str">
        <f>IF(OR(SeismicData[[#This Row],[genergy]]&lt;$AA$6,SeismicData[[#This Row],[genergy]]&gt;$AA$5),"Outlier","Normal")</f>
        <v>Normal</v>
      </c>
    </row>
    <row r="2480" spans="1:24" x14ac:dyDescent="0.15">
      <c r="A2480">
        <v>2479</v>
      </c>
      <c r="B2480" t="s">
        <v>20</v>
      </c>
      <c r="C2480" t="s">
        <v>20</v>
      </c>
      <c r="D2480" t="s">
        <v>22</v>
      </c>
      <c r="E2480">
        <v>16030</v>
      </c>
      <c r="F2480">
        <v>236</v>
      </c>
      <c r="G2480">
        <v>-28</v>
      </c>
      <c r="H2480">
        <v>-36</v>
      </c>
      <c r="I2480" t="s">
        <v>20</v>
      </c>
      <c r="J2480">
        <v>2</v>
      </c>
      <c r="K2480">
        <v>1</v>
      </c>
      <c r="L2480">
        <v>1</v>
      </c>
      <c r="M2480">
        <v>0</v>
      </c>
      <c r="N2480">
        <v>0</v>
      </c>
      <c r="O2480">
        <v>0</v>
      </c>
      <c r="P2480">
        <v>0</v>
      </c>
      <c r="Q2480">
        <v>0</v>
      </c>
      <c r="R2480">
        <v>5200</v>
      </c>
      <c r="S2480">
        <v>5000</v>
      </c>
      <c r="T2480">
        <v>0</v>
      </c>
      <c r="U2480" t="str">
        <f>IF(SeismicData[[#This Row],[class]]=1,"Dangerous","Safe")</f>
        <v>Safe</v>
      </c>
      <c r="V2480" t="str">
        <f>IF(SeismicData[[#This Row],[shift]]="W","Production","Non-Production")</f>
        <v>Production</v>
      </c>
      <c r="W2480" t="str">
        <f>IF(SeismicData[[#This Row],[genergy]]=0,"0","10^"&amp;INT(LOG10(SeismicData[[#This Row],[genergy]])))</f>
        <v>10^4</v>
      </c>
      <c r="X2480" t="str">
        <f>IF(OR(SeismicData[[#This Row],[genergy]]&lt;$AA$6,SeismicData[[#This Row],[genergy]]&gt;$AA$5),"Outlier","Normal")</f>
        <v>Normal</v>
      </c>
    </row>
    <row r="2481" spans="1:24" x14ac:dyDescent="0.15">
      <c r="A2481">
        <v>2480</v>
      </c>
      <c r="B2481" t="s">
        <v>20</v>
      </c>
      <c r="C2481" t="s">
        <v>20</v>
      </c>
      <c r="D2481" t="s">
        <v>22</v>
      </c>
      <c r="E2481">
        <v>10870</v>
      </c>
      <c r="F2481">
        <v>220</v>
      </c>
      <c r="G2481">
        <v>-51</v>
      </c>
      <c r="H2481">
        <v>-40</v>
      </c>
      <c r="I2481" t="s">
        <v>20</v>
      </c>
      <c r="J2481">
        <v>0</v>
      </c>
      <c r="K2481">
        <v>0</v>
      </c>
      <c r="L2481">
        <v>0</v>
      </c>
      <c r="M2481">
        <v>0</v>
      </c>
      <c r="N2481">
        <v>0</v>
      </c>
      <c r="O2481">
        <v>0</v>
      </c>
      <c r="P2481">
        <v>0</v>
      </c>
      <c r="Q2481">
        <v>0</v>
      </c>
      <c r="R2481">
        <v>0</v>
      </c>
      <c r="S2481">
        <v>0</v>
      </c>
      <c r="T2481">
        <v>0</v>
      </c>
      <c r="U2481" t="str">
        <f>IF(SeismicData[[#This Row],[class]]=1,"Dangerous","Safe")</f>
        <v>Safe</v>
      </c>
      <c r="V2481" t="str">
        <f>IF(SeismicData[[#This Row],[shift]]="W","Production","Non-Production")</f>
        <v>Production</v>
      </c>
      <c r="W2481" t="str">
        <f>IF(SeismicData[[#This Row],[genergy]]=0,"0","10^"&amp;INT(LOG10(SeismicData[[#This Row],[genergy]])))</f>
        <v>10^4</v>
      </c>
      <c r="X2481" t="str">
        <f>IF(OR(SeismicData[[#This Row],[genergy]]&lt;$AA$6,SeismicData[[#This Row],[genergy]]&gt;$AA$5),"Outlier","Normal")</f>
        <v>Normal</v>
      </c>
    </row>
    <row r="2482" spans="1:24" x14ac:dyDescent="0.15">
      <c r="A2482">
        <v>2481</v>
      </c>
      <c r="B2482" t="s">
        <v>20</v>
      </c>
      <c r="C2482" t="s">
        <v>20</v>
      </c>
      <c r="D2482" t="s">
        <v>22</v>
      </c>
      <c r="E2482">
        <v>9790</v>
      </c>
      <c r="F2482">
        <v>422</v>
      </c>
      <c r="G2482">
        <v>-4</v>
      </c>
      <c r="H2482">
        <v>-6</v>
      </c>
      <c r="I2482" t="s">
        <v>20</v>
      </c>
      <c r="J2482">
        <v>0</v>
      </c>
      <c r="K2482">
        <v>0</v>
      </c>
      <c r="L2482">
        <v>0</v>
      </c>
      <c r="M2482">
        <v>0</v>
      </c>
      <c r="N2482">
        <v>0</v>
      </c>
      <c r="O2482">
        <v>0</v>
      </c>
      <c r="P2482">
        <v>0</v>
      </c>
      <c r="Q2482">
        <v>0</v>
      </c>
      <c r="R2482">
        <v>0</v>
      </c>
      <c r="S2482">
        <v>0</v>
      </c>
      <c r="T2482">
        <v>0</v>
      </c>
      <c r="U2482" t="str">
        <f>IF(SeismicData[[#This Row],[class]]=1,"Dangerous","Safe")</f>
        <v>Safe</v>
      </c>
      <c r="V2482" t="str">
        <f>IF(SeismicData[[#This Row],[shift]]="W","Production","Non-Production")</f>
        <v>Production</v>
      </c>
      <c r="W2482" t="str">
        <f>IF(SeismicData[[#This Row],[genergy]]=0,"0","10^"&amp;INT(LOG10(SeismicData[[#This Row],[genergy]])))</f>
        <v>10^3</v>
      </c>
      <c r="X2482" t="str">
        <f>IF(OR(SeismicData[[#This Row],[genergy]]&lt;$AA$6,SeismicData[[#This Row],[genergy]]&gt;$AA$5),"Outlier","Normal")</f>
        <v>Normal</v>
      </c>
    </row>
    <row r="2483" spans="1:24" x14ac:dyDescent="0.15">
      <c r="A2483">
        <v>2482</v>
      </c>
      <c r="B2483" t="s">
        <v>20</v>
      </c>
      <c r="C2483" t="s">
        <v>20</v>
      </c>
      <c r="D2483" t="s">
        <v>22</v>
      </c>
      <c r="E2483">
        <v>11660</v>
      </c>
      <c r="F2483">
        <v>209</v>
      </c>
      <c r="G2483">
        <v>-47</v>
      </c>
      <c r="H2483">
        <v>-43</v>
      </c>
      <c r="I2483" t="s">
        <v>20</v>
      </c>
      <c r="J2483">
        <v>1</v>
      </c>
      <c r="K2483">
        <v>1</v>
      </c>
      <c r="L2483">
        <v>0</v>
      </c>
      <c r="M2483">
        <v>0</v>
      </c>
      <c r="N2483">
        <v>0</v>
      </c>
      <c r="O2483">
        <v>0</v>
      </c>
      <c r="P2483">
        <v>0</v>
      </c>
      <c r="Q2483">
        <v>0</v>
      </c>
      <c r="R2483">
        <v>400</v>
      </c>
      <c r="S2483">
        <v>400</v>
      </c>
      <c r="T2483">
        <v>0</v>
      </c>
      <c r="U2483" t="str">
        <f>IF(SeismicData[[#This Row],[class]]=1,"Dangerous","Safe")</f>
        <v>Safe</v>
      </c>
      <c r="V2483" t="str">
        <f>IF(SeismicData[[#This Row],[shift]]="W","Production","Non-Production")</f>
        <v>Production</v>
      </c>
      <c r="W2483" t="str">
        <f>IF(SeismicData[[#This Row],[genergy]]=0,"0","10^"&amp;INT(LOG10(SeismicData[[#This Row],[genergy]])))</f>
        <v>10^4</v>
      </c>
      <c r="X2483" t="str">
        <f>IF(OR(SeismicData[[#This Row],[genergy]]&lt;$AA$6,SeismicData[[#This Row],[genergy]]&gt;$AA$5),"Outlier","Normal")</f>
        <v>Normal</v>
      </c>
    </row>
    <row r="2484" spans="1:24" x14ac:dyDescent="0.15">
      <c r="A2484">
        <v>2483</v>
      </c>
      <c r="B2484" t="s">
        <v>20</v>
      </c>
      <c r="C2484" t="s">
        <v>20</v>
      </c>
      <c r="D2484" t="s">
        <v>22</v>
      </c>
      <c r="E2484">
        <v>25920</v>
      </c>
      <c r="F2484">
        <v>369</v>
      </c>
      <c r="G2484">
        <v>17</v>
      </c>
      <c r="H2484">
        <v>0</v>
      </c>
      <c r="I2484" t="s">
        <v>20</v>
      </c>
      <c r="J2484">
        <v>0</v>
      </c>
      <c r="K2484">
        <v>0</v>
      </c>
      <c r="L2484">
        <v>0</v>
      </c>
      <c r="M2484">
        <v>0</v>
      </c>
      <c r="N2484">
        <v>0</v>
      </c>
      <c r="O2484">
        <v>0</v>
      </c>
      <c r="P2484">
        <v>0</v>
      </c>
      <c r="Q2484">
        <v>0</v>
      </c>
      <c r="R2484">
        <v>0</v>
      </c>
      <c r="S2484">
        <v>0</v>
      </c>
      <c r="T2484">
        <v>0</v>
      </c>
      <c r="U2484" t="str">
        <f>IF(SeismicData[[#This Row],[class]]=1,"Dangerous","Safe")</f>
        <v>Safe</v>
      </c>
      <c r="V2484" t="str">
        <f>IF(SeismicData[[#This Row],[shift]]="W","Production","Non-Production")</f>
        <v>Production</v>
      </c>
      <c r="W2484" t="str">
        <f>IF(SeismicData[[#This Row],[genergy]]=0,"0","10^"&amp;INT(LOG10(SeismicData[[#This Row],[genergy]])))</f>
        <v>10^4</v>
      </c>
      <c r="X2484" t="str">
        <f>IF(OR(SeismicData[[#This Row],[genergy]]&lt;$AA$6,SeismicData[[#This Row],[genergy]]&gt;$AA$5),"Outlier","Normal")</f>
        <v>Normal</v>
      </c>
    </row>
    <row r="2485" spans="1:24" x14ac:dyDescent="0.15">
      <c r="A2485">
        <v>2484</v>
      </c>
      <c r="B2485" t="s">
        <v>20</v>
      </c>
      <c r="C2485" t="s">
        <v>20</v>
      </c>
      <c r="D2485" t="s">
        <v>22</v>
      </c>
      <c r="E2485">
        <v>20570</v>
      </c>
      <c r="F2485">
        <v>346</v>
      </c>
      <c r="G2485">
        <v>-7</v>
      </c>
      <c r="H2485">
        <v>-6</v>
      </c>
      <c r="I2485" t="s">
        <v>20</v>
      </c>
      <c r="J2485">
        <v>0</v>
      </c>
      <c r="K2485">
        <v>0</v>
      </c>
      <c r="L2485">
        <v>0</v>
      </c>
      <c r="M2485">
        <v>0</v>
      </c>
      <c r="N2485">
        <v>0</v>
      </c>
      <c r="O2485">
        <v>0</v>
      </c>
      <c r="P2485">
        <v>0</v>
      </c>
      <c r="Q2485">
        <v>0</v>
      </c>
      <c r="R2485">
        <v>0</v>
      </c>
      <c r="S2485">
        <v>0</v>
      </c>
      <c r="T2485">
        <v>0</v>
      </c>
      <c r="U2485" t="str">
        <f>IF(SeismicData[[#This Row],[class]]=1,"Dangerous","Safe")</f>
        <v>Safe</v>
      </c>
      <c r="V2485" t="str">
        <f>IF(SeismicData[[#This Row],[shift]]="W","Production","Non-Production")</f>
        <v>Production</v>
      </c>
      <c r="W2485" t="str">
        <f>IF(SeismicData[[#This Row],[genergy]]=0,"0","10^"&amp;INT(LOG10(SeismicData[[#This Row],[genergy]])))</f>
        <v>10^4</v>
      </c>
      <c r="X2485" t="str">
        <f>IF(OR(SeismicData[[#This Row],[genergy]]&lt;$AA$6,SeismicData[[#This Row],[genergy]]&gt;$AA$5),"Outlier","Normal")</f>
        <v>Normal</v>
      </c>
    </row>
    <row r="2486" spans="1:24" x14ac:dyDescent="0.15">
      <c r="A2486">
        <v>2485</v>
      </c>
      <c r="B2486" t="s">
        <v>20</v>
      </c>
      <c r="C2486" t="s">
        <v>20</v>
      </c>
      <c r="D2486" t="s">
        <v>22</v>
      </c>
      <c r="E2486">
        <v>11740</v>
      </c>
      <c r="F2486">
        <v>278</v>
      </c>
      <c r="G2486">
        <v>-47</v>
      </c>
      <c r="H2486">
        <v>-25</v>
      </c>
      <c r="I2486" t="s">
        <v>20</v>
      </c>
      <c r="J2486">
        <v>0</v>
      </c>
      <c r="K2486">
        <v>0</v>
      </c>
      <c r="L2486">
        <v>0</v>
      </c>
      <c r="M2486">
        <v>0</v>
      </c>
      <c r="N2486">
        <v>0</v>
      </c>
      <c r="O2486">
        <v>0</v>
      </c>
      <c r="P2486">
        <v>0</v>
      </c>
      <c r="Q2486">
        <v>0</v>
      </c>
      <c r="R2486">
        <v>0</v>
      </c>
      <c r="S2486">
        <v>0</v>
      </c>
      <c r="T2486">
        <v>0</v>
      </c>
      <c r="U2486" t="str">
        <f>IF(SeismicData[[#This Row],[class]]=1,"Dangerous","Safe")</f>
        <v>Safe</v>
      </c>
      <c r="V2486" t="str">
        <f>IF(SeismicData[[#This Row],[shift]]="W","Production","Non-Production")</f>
        <v>Production</v>
      </c>
      <c r="W2486" t="str">
        <f>IF(SeismicData[[#This Row],[genergy]]=0,"0","10^"&amp;INT(LOG10(SeismicData[[#This Row],[genergy]])))</f>
        <v>10^4</v>
      </c>
      <c r="X2486" t="str">
        <f>IF(OR(SeismicData[[#This Row],[genergy]]&lt;$AA$6,SeismicData[[#This Row],[genergy]]&gt;$AA$5),"Outlier","Normal")</f>
        <v>Normal</v>
      </c>
    </row>
    <row r="2487" spans="1:24" x14ac:dyDescent="0.15">
      <c r="A2487">
        <v>2486</v>
      </c>
      <c r="B2487" t="s">
        <v>20</v>
      </c>
      <c r="C2487" t="s">
        <v>20</v>
      </c>
      <c r="D2487" t="s">
        <v>22</v>
      </c>
      <c r="E2487">
        <v>8160</v>
      </c>
      <c r="F2487">
        <v>148</v>
      </c>
      <c r="G2487">
        <v>-51</v>
      </c>
      <c r="H2487">
        <v>-57</v>
      </c>
      <c r="I2487" t="s">
        <v>20</v>
      </c>
      <c r="J2487">
        <v>1</v>
      </c>
      <c r="K2487">
        <v>1</v>
      </c>
      <c r="L2487">
        <v>0</v>
      </c>
      <c r="M2487">
        <v>0</v>
      </c>
      <c r="N2487">
        <v>0</v>
      </c>
      <c r="O2487">
        <v>0</v>
      </c>
      <c r="P2487">
        <v>0</v>
      </c>
      <c r="Q2487">
        <v>0</v>
      </c>
      <c r="R2487">
        <v>300</v>
      </c>
      <c r="S2487">
        <v>300</v>
      </c>
      <c r="T2487">
        <v>0</v>
      </c>
      <c r="U2487" t="str">
        <f>IF(SeismicData[[#This Row],[class]]=1,"Dangerous","Safe")</f>
        <v>Safe</v>
      </c>
      <c r="V2487" t="str">
        <f>IF(SeismicData[[#This Row],[shift]]="W","Production","Non-Production")</f>
        <v>Production</v>
      </c>
      <c r="W2487" t="str">
        <f>IF(SeismicData[[#This Row],[genergy]]=0,"0","10^"&amp;INT(LOG10(SeismicData[[#This Row],[genergy]])))</f>
        <v>10^3</v>
      </c>
      <c r="X2487" t="str">
        <f>IF(OR(SeismicData[[#This Row],[genergy]]&lt;$AA$6,SeismicData[[#This Row],[genergy]]&gt;$AA$5),"Outlier","Normal")</f>
        <v>Normal</v>
      </c>
    </row>
    <row r="2488" spans="1:24" x14ac:dyDescent="0.15">
      <c r="A2488">
        <v>2487</v>
      </c>
      <c r="B2488" t="s">
        <v>20</v>
      </c>
      <c r="C2488" t="s">
        <v>20</v>
      </c>
      <c r="D2488" t="s">
        <v>22</v>
      </c>
      <c r="E2488">
        <v>11890</v>
      </c>
      <c r="F2488">
        <v>475</v>
      </c>
      <c r="G2488">
        <v>23</v>
      </c>
      <c r="H2488">
        <v>10</v>
      </c>
      <c r="I2488" t="s">
        <v>20</v>
      </c>
      <c r="J2488">
        <v>0</v>
      </c>
      <c r="K2488">
        <v>0</v>
      </c>
      <c r="L2488">
        <v>0</v>
      </c>
      <c r="M2488">
        <v>0</v>
      </c>
      <c r="N2488">
        <v>0</v>
      </c>
      <c r="O2488">
        <v>0</v>
      </c>
      <c r="P2488">
        <v>0</v>
      </c>
      <c r="Q2488">
        <v>0</v>
      </c>
      <c r="R2488">
        <v>0</v>
      </c>
      <c r="S2488">
        <v>0</v>
      </c>
      <c r="T2488">
        <v>0</v>
      </c>
      <c r="U2488" t="str">
        <f>IF(SeismicData[[#This Row],[class]]=1,"Dangerous","Safe")</f>
        <v>Safe</v>
      </c>
      <c r="V2488" t="str">
        <f>IF(SeismicData[[#This Row],[shift]]="W","Production","Non-Production")</f>
        <v>Production</v>
      </c>
      <c r="W2488" t="str">
        <f>IF(SeismicData[[#This Row],[genergy]]=0,"0","10^"&amp;INT(LOG10(SeismicData[[#This Row],[genergy]])))</f>
        <v>10^4</v>
      </c>
      <c r="X2488" t="str">
        <f>IF(OR(SeismicData[[#This Row],[genergy]]&lt;$AA$6,SeismicData[[#This Row],[genergy]]&gt;$AA$5),"Outlier","Normal")</f>
        <v>Normal</v>
      </c>
    </row>
    <row r="2489" spans="1:24" x14ac:dyDescent="0.15">
      <c r="A2489">
        <v>2488</v>
      </c>
      <c r="B2489" t="s">
        <v>20</v>
      </c>
      <c r="C2489" t="s">
        <v>20</v>
      </c>
      <c r="D2489" t="s">
        <v>22</v>
      </c>
      <c r="E2489">
        <v>10080</v>
      </c>
      <c r="F2489">
        <v>349</v>
      </c>
      <c r="G2489">
        <v>11</v>
      </c>
      <c r="H2489">
        <v>40</v>
      </c>
      <c r="I2489" t="s">
        <v>20</v>
      </c>
      <c r="J2489">
        <v>1</v>
      </c>
      <c r="K2489">
        <v>0</v>
      </c>
      <c r="L2489">
        <v>1</v>
      </c>
      <c r="M2489">
        <v>0</v>
      </c>
      <c r="N2489">
        <v>0</v>
      </c>
      <c r="O2489">
        <v>0</v>
      </c>
      <c r="P2489">
        <v>0</v>
      </c>
      <c r="Q2489">
        <v>0</v>
      </c>
      <c r="R2489">
        <v>3000</v>
      </c>
      <c r="S2489">
        <v>3000</v>
      </c>
      <c r="T2489">
        <v>0</v>
      </c>
      <c r="U2489" t="str">
        <f>IF(SeismicData[[#This Row],[class]]=1,"Dangerous","Safe")</f>
        <v>Safe</v>
      </c>
      <c r="V2489" t="str">
        <f>IF(SeismicData[[#This Row],[shift]]="W","Production","Non-Production")</f>
        <v>Production</v>
      </c>
      <c r="W2489" t="str">
        <f>IF(SeismicData[[#This Row],[genergy]]=0,"0","10^"&amp;INT(LOG10(SeismicData[[#This Row],[genergy]])))</f>
        <v>10^4</v>
      </c>
      <c r="X2489" t="str">
        <f>IF(OR(SeismicData[[#This Row],[genergy]]&lt;$AA$6,SeismicData[[#This Row],[genergy]]&gt;$AA$5),"Outlier","Normal")</f>
        <v>Normal</v>
      </c>
    </row>
    <row r="2490" spans="1:24" x14ac:dyDescent="0.15">
      <c r="A2490">
        <v>2489</v>
      </c>
      <c r="B2490" t="s">
        <v>20</v>
      </c>
      <c r="C2490" t="s">
        <v>20</v>
      </c>
      <c r="D2490" t="s">
        <v>22</v>
      </c>
      <c r="E2490">
        <v>8620</v>
      </c>
      <c r="F2490">
        <v>239</v>
      </c>
      <c r="G2490">
        <v>-58</v>
      </c>
      <c r="H2490">
        <v>-31</v>
      </c>
      <c r="I2490" t="s">
        <v>20</v>
      </c>
      <c r="J2490">
        <v>0</v>
      </c>
      <c r="K2490">
        <v>0</v>
      </c>
      <c r="L2490">
        <v>0</v>
      </c>
      <c r="M2490">
        <v>0</v>
      </c>
      <c r="N2490">
        <v>0</v>
      </c>
      <c r="O2490">
        <v>0</v>
      </c>
      <c r="P2490">
        <v>0</v>
      </c>
      <c r="Q2490">
        <v>0</v>
      </c>
      <c r="R2490">
        <v>0</v>
      </c>
      <c r="S2490">
        <v>0</v>
      </c>
      <c r="T2490">
        <v>0</v>
      </c>
      <c r="U2490" t="str">
        <f>IF(SeismicData[[#This Row],[class]]=1,"Dangerous","Safe")</f>
        <v>Safe</v>
      </c>
      <c r="V2490" t="str">
        <f>IF(SeismicData[[#This Row],[shift]]="W","Production","Non-Production")</f>
        <v>Production</v>
      </c>
      <c r="W2490" t="str">
        <f>IF(SeismicData[[#This Row],[genergy]]=0,"0","10^"&amp;INT(LOG10(SeismicData[[#This Row],[genergy]])))</f>
        <v>10^3</v>
      </c>
      <c r="X2490" t="str">
        <f>IF(OR(SeismicData[[#This Row],[genergy]]&lt;$AA$6,SeismicData[[#This Row],[genergy]]&gt;$AA$5),"Outlier","Normal")</f>
        <v>Normal</v>
      </c>
    </row>
    <row r="2491" spans="1:24" x14ac:dyDescent="0.15">
      <c r="A2491">
        <v>2490</v>
      </c>
      <c r="B2491" t="s">
        <v>20</v>
      </c>
      <c r="C2491" t="s">
        <v>20</v>
      </c>
      <c r="D2491" t="s">
        <v>22</v>
      </c>
      <c r="E2491">
        <v>19740</v>
      </c>
      <c r="F2491">
        <v>888</v>
      </c>
      <c r="G2491">
        <v>103</v>
      </c>
      <c r="H2491">
        <v>105</v>
      </c>
      <c r="I2491" t="s">
        <v>20</v>
      </c>
      <c r="J2491">
        <v>0</v>
      </c>
      <c r="K2491">
        <v>0</v>
      </c>
      <c r="L2491">
        <v>0</v>
      </c>
      <c r="M2491">
        <v>0</v>
      </c>
      <c r="N2491">
        <v>0</v>
      </c>
      <c r="O2491">
        <v>0</v>
      </c>
      <c r="P2491">
        <v>0</v>
      </c>
      <c r="Q2491">
        <v>0</v>
      </c>
      <c r="R2491">
        <v>0</v>
      </c>
      <c r="S2491">
        <v>0</v>
      </c>
      <c r="T2491">
        <v>0</v>
      </c>
      <c r="U2491" t="str">
        <f>IF(SeismicData[[#This Row],[class]]=1,"Dangerous","Safe")</f>
        <v>Safe</v>
      </c>
      <c r="V2491" t="str">
        <f>IF(SeismicData[[#This Row],[shift]]="W","Production","Non-Production")</f>
        <v>Production</v>
      </c>
      <c r="W2491" t="str">
        <f>IF(SeismicData[[#This Row],[genergy]]=0,"0","10^"&amp;INT(LOG10(SeismicData[[#This Row],[genergy]])))</f>
        <v>10^4</v>
      </c>
      <c r="X2491" t="str">
        <f>IF(OR(SeismicData[[#This Row],[genergy]]&lt;$AA$6,SeismicData[[#This Row],[genergy]]&gt;$AA$5),"Outlier","Normal")</f>
        <v>Normal</v>
      </c>
    </row>
    <row r="2492" spans="1:24" x14ac:dyDescent="0.15">
      <c r="A2492">
        <v>2491</v>
      </c>
      <c r="B2492" t="s">
        <v>20</v>
      </c>
      <c r="C2492" t="s">
        <v>20</v>
      </c>
      <c r="D2492" t="s">
        <v>22</v>
      </c>
      <c r="E2492">
        <v>5600</v>
      </c>
      <c r="F2492">
        <v>119</v>
      </c>
      <c r="G2492">
        <v>-63</v>
      </c>
      <c r="H2492">
        <v>-63</v>
      </c>
      <c r="I2492" t="s">
        <v>20</v>
      </c>
      <c r="J2492">
        <v>0</v>
      </c>
      <c r="K2492">
        <v>0</v>
      </c>
      <c r="L2492">
        <v>0</v>
      </c>
      <c r="M2492">
        <v>0</v>
      </c>
      <c r="N2492">
        <v>0</v>
      </c>
      <c r="O2492">
        <v>0</v>
      </c>
      <c r="P2492">
        <v>0</v>
      </c>
      <c r="Q2492">
        <v>0</v>
      </c>
      <c r="R2492">
        <v>0</v>
      </c>
      <c r="S2492">
        <v>0</v>
      </c>
      <c r="T2492">
        <v>0</v>
      </c>
      <c r="U2492" t="str">
        <f>IF(SeismicData[[#This Row],[class]]=1,"Dangerous","Safe")</f>
        <v>Safe</v>
      </c>
      <c r="V2492" t="str">
        <f>IF(SeismicData[[#This Row],[shift]]="W","Production","Non-Production")</f>
        <v>Production</v>
      </c>
      <c r="W2492" t="str">
        <f>IF(SeismicData[[#This Row],[genergy]]=0,"0","10^"&amp;INT(LOG10(SeismicData[[#This Row],[genergy]])))</f>
        <v>10^3</v>
      </c>
      <c r="X2492" t="str">
        <f>IF(OR(SeismicData[[#This Row],[genergy]]&lt;$AA$6,SeismicData[[#This Row],[genergy]]&gt;$AA$5),"Outlier","Normal")</f>
        <v>Normal</v>
      </c>
    </row>
    <row r="2493" spans="1:24" x14ac:dyDescent="0.15">
      <c r="A2493">
        <v>2492</v>
      </c>
      <c r="B2493" t="s">
        <v>20</v>
      </c>
      <c r="C2493" t="s">
        <v>20</v>
      </c>
      <c r="D2493" t="s">
        <v>21</v>
      </c>
      <c r="E2493">
        <v>10590</v>
      </c>
      <c r="F2493">
        <v>442</v>
      </c>
      <c r="G2493">
        <v>223</v>
      </c>
      <c r="H2493">
        <v>218</v>
      </c>
      <c r="I2493" t="s">
        <v>20</v>
      </c>
      <c r="J2493">
        <v>0</v>
      </c>
      <c r="K2493">
        <v>0</v>
      </c>
      <c r="L2493">
        <v>0</v>
      </c>
      <c r="M2493">
        <v>0</v>
      </c>
      <c r="N2493">
        <v>0</v>
      </c>
      <c r="O2493">
        <v>0</v>
      </c>
      <c r="P2493">
        <v>0</v>
      </c>
      <c r="Q2493">
        <v>0</v>
      </c>
      <c r="R2493">
        <v>0</v>
      </c>
      <c r="S2493">
        <v>0</v>
      </c>
      <c r="T2493">
        <v>0</v>
      </c>
      <c r="U2493" t="str">
        <f>IF(SeismicData[[#This Row],[class]]=1,"Dangerous","Safe")</f>
        <v>Safe</v>
      </c>
      <c r="V2493" t="str">
        <f>IF(SeismicData[[#This Row],[shift]]="W","Production","Non-Production")</f>
        <v>Non-Production</v>
      </c>
      <c r="W2493" t="str">
        <f>IF(SeismicData[[#This Row],[genergy]]=0,"0","10^"&amp;INT(LOG10(SeismicData[[#This Row],[genergy]])))</f>
        <v>10^4</v>
      </c>
      <c r="X2493" t="str">
        <f>IF(OR(SeismicData[[#This Row],[genergy]]&lt;$AA$6,SeismicData[[#This Row],[genergy]]&gt;$AA$5),"Outlier","Normal")</f>
        <v>Normal</v>
      </c>
    </row>
    <row r="2494" spans="1:24" x14ac:dyDescent="0.15">
      <c r="A2494">
        <v>2493</v>
      </c>
      <c r="B2494" t="s">
        <v>20</v>
      </c>
      <c r="C2494" t="s">
        <v>20</v>
      </c>
      <c r="D2494" t="s">
        <v>21</v>
      </c>
      <c r="E2494">
        <v>11380</v>
      </c>
      <c r="F2494">
        <v>290</v>
      </c>
      <c r="G2494">
        <v>0</v>
      </c>
      <c r="H2494">
        <v>30</v>
      </c>
      <c r="I2494" t="s">
        <v>20</v>
      </c>
      <c r="J2494">
        <v>0</v>
      </c>
      <c r="K2494">
        <v>0</v>
      </c>
      <c r="L2494">
        <v>0</v>
      </c>
      <c r="M2494">
        <v>0</v>
      </c>
      <c r="N2494">
        <v>0</v>
      </c>
      <c r="O2494">
        <v>0</v>
      </c>
      <c r="P2494">
        <v>0</v>
      </c>
      <c r="Q2494">
        <v>0</v>
      </c>
      <c r="R2494">
        <v>0</v>
      </c>
      <c r="S2494">
        <v>0</v>
      </c>
      <c r="T2494">
        <v>0</v>
      </c>
      <c r="U2494" t="str">
        <f>IF(SeismicData[[#This Row],[class]]=1,"Dangerous","Safe")</f>
        <v>Safe</v>
      </c>
      <c r="V2494" t="str">
        <f>IF(SeismicData[[#This Row],[shift]]="W","Production","Non-Production")</f>
        <v>Non-Production</v>
      </c>
      <c r="W2494" t="str">
        <f>IF(SeismicData[[#This Row],[genergy]]=0,"0","10^"&amp;INT(LOG10(SeismicData[[#This Row],[genergy]])))</f>
        <v>10^4</v>
      </c>
      <c r="X2494" t="str">
        <f>IF(OR(SeismicData[[#This Row],[genergy]]&lt;$AA$6,SeismicData[[#This Row],[genergy]]&gt;$AA$5),"Outlier","Normal")</f>
        <v>Normal</v>
      </c>
    </row>
    <row r="2495" spans="1:24" x14ac:dyDescent="0.15">
      <c r="A2495">
        <v>2494</v>
      </c>
      <c r="B2495" t="s">
        <v>20</v>
      </c>
      <c r="C2495" t="s">
        <v>20</v>
      </c>
      <c r="D2495" t="s">
        <v>21</v>
      </c>
      <c r="E2495">
        <v>5640</v>
      </c>
      <c r="F2495">
        <v>193</v>
      </c>
      <c r="G2495">
        <v>-48</v>
      </c>
      <c r="H2495">
        <v>0</v>
      </c>
      <c r="I2495" t="s">
        <v>20</v>
      </c>
      <c r="J2495">
        <v>0</v>
      </c>
      <c r="K2495">
        <v>0</v>
      </c>
      <c r="L2495">
        <v>0</v>
      </c>
      <c r="M2495">
        <v>0</v>
      </c>
      <c r="N2495">
        <v>0</v>
      </c>
      <c r="O2495">
        <v>0</v>
      </c>
      <c r="P2495">
        <v>0</v>
      </c>
      <c r="Q2495">
        <v>0</v>
      </c>
      <c r="R2495">
        <v>0</v>
      </c>
      <c r="S2495">
        <v>0</v>
      </c>
      <c r="T2495">
        <v>0</v>
      </c>
      <c r="U2495" t="str">
        <f>IF(SeismicData[[#This Row],[class]]=1,"Dangerous","Safe")</f>
        <v>Safe</v>
      </c>
      <c r="V2495" t="str">
        <f>IF(SeismicData[[#This Row],[shift]]="W","Production","Non-Production")</f>
        <v>Non-Production</v>
      </c>
      <c r="W2495" t="str">
        <f>IF(SeismicData[[#This Row],[genergy]]=0,"0","10^"&amp;INT(LOG10(SeismicData[[#This Row],[genergy]])))</f>
        <v>10^3</v>
      </c>
      <c r="X2495" t="str">
        <f>IF(OR(SeismicData[[#This Row],[genergy]]&lt;$AA$6,SeismicData[[#This Row],[genergy]]&gt;$AA$5),"Outlier","Normal")</f>
        <v>Normal</v>
      </c>
    </row>
    <row r="2496" spans="1:24" x14ac:dyDescent="0.15">
      <c r="A2496">
        <v>2495</v>
      </c>
      <c r="B2496" t="s">
        <v>20</v>
      </c>
      <c r="C2496" t="s">
        <v>20</v>
      </c>
      <c r="D2496" t="s">
        <v>21</v>
      </c>
      <c r="E2496">
        <v>8710</v>
      </c>
      <c r="F2496">
        <v>126</v>
      </c>
      <c r="G2496">
        <v>-24</v>
      </c>
      <c r="H2496">
        <v>-44</v>
      </c>
      <c r="I2496" t="s">
        <v>20</v>
      </c>
      <c r="J2496">
        <v>0</v>
      </c>
      <c r="K2496">
        <v>0</v>
      </c>
      <c r="L2496">
        <v>0</v>
      </c>
      <c r="M2496">
        <v>0</v>
      </c>
      <c r="N2496">
        <v>0</v>
      </c>
      <c r="O2496">
        <v>0</v>
      </c>
      <c r="P2496">
        <v>0</v>
      </c>
      <c r="Q2496">
        <v>0</v>
      </c>
      <c r="R2496">
        <v>0</v>
      </c>
      <c r="S2496">
        <v>0</v>
      </c>
      <c r="T2496">
        <v>0</v>
      </c>
      <c r="U2496" t="str">
        <f>IF(SeismicData[[#This Row],[class]]=1,"Dangerous","Safe")</f>
        <v>Safe</v>
      </c>
      <c r="V2496" t="str">
        <f>IF(SeismicData[[#This Row],[shift]]="W","Production","Non-Production")</f>
        <v>Non-Production</v>
      </c>
      <c r="W2496" t="str">
        <f>IF(SeismicData[[#This Row],[genergy]]=0,"0","10^"&amp;INT(LOG10(SeismicData[[#This Row],[genergy]])))</f>
        <v>10^3</v>
      </c>
      <c r="X2496" t="str">
        <f>IF(OR(SeismicData[[#This Row],[genergy]]&lt;$AA$6,SeismicData[[#This Row],[genergy]]&gt;$AA$5),"Outlier","Normal")</f>
        <v>Normal</v>
      </c>
    </row>
    <row r="2497" spans="1:24" x14ac:dyDescent="0.15">
      <c r="A2497">
        <v>2496</v>
      </c>
      <c r="B2497" t="s">
        <v>20</v>
      </c>
      <c r="C2497" t="s">
        <v>20</v>
      </c>
      <c r="D2497" t="s">
        <v>21</v>
      </c>
      <c r="E2497">
        <v>6760</v>
      </c>
      <c r="F2497">
        <v>136</v>
      </c>
      <c r="G2497">
        <v>-41</v>
      </c>
      <c r="H2497">
        <v>-39</v>
      </c>
      <c r="I2497" t="s">
        <v>20</v>
      </c>
      <c r="J2497">
        <v>1</v>
      </c>
      <c r="K2497">
        <v>0</v>
      </c>
      <c r="L2497">
        <v>1</v>
      </c>
      <c r="M2497">
        <v>0</v>
      </c>
      <c r="N2497">
        <v>0</v>
      </c>
      <c r="O2497">
        <v>0</v>
      </c>
      <c r="P2497">
        <v>0</v>
      </c>
      <c r="Q2497">
        <v>0</v>
      </c>
      <c r="R2497">
        <v>1000</v>
      </c>
      <c r="S2497">
        <v>1000</v>
      </c>
      <c r="T2497">
        <v>0</v>
      </c>
      <c r="U2497" t="str">
        <f>IF(SeismicData[[#This Row],[class]]=1,"Dangerous","Safe")</f>
        <v>Safe</v>
      </c>
      <c r="V2497" t="str">
        <f>IF(SeismicData[[#This Row],[shift]]="W","Production","Non-Production")</f>
        <v>Non-Production</v>
      </c>
      <c r="W2497" t="str">
        <f>IF(SeismicData[[#This Row],[genergy]]=0,"0","10^"&amp;INT(LOG10(SeismicData[[#This Row],[genergy]])))</f>
        <v>10^3</v>
      </c>
      <c r="X2497" t="str">
        <f>IF(OR(SeismicData[[#This Row],[genergy]]&lt;$AA$6,SeismicData[[#This Row],[genergy]]&gt;$AA$5),"Outlier","Normal")</f>
        <v>Normal</v>
      </c>
    </row>
    <row r="2498" spans="1:24" x14ac:dyDescent="0.15">
      <c r="A2498">
        <v>2497</v>
      </c>
      <c r="B2498" t="s">
        <v>20</v>
      </c>
      <c r="C2498" t="s">
        <v>20</v>
      </c>
      <c r="D2498" t="s">
        <v>21</v>
      </c>
      <c r="E2498">
        <v>5130</v>
      </c>
      <c r="F2498">
        <v>115</v>
      </c>
      <c r="G2498">
        <v>-55</v>
      </c>
      <c r="H2498">
        <v>-49</v>
      </c>
      <c r="I2498" t="s">
        <v>20</v>
      </c>
      <c r="J2498">
        <v>0</v>
      </c>
      <c r="K2498">
        <v>0</v>
      </c>
      <c r="L2498">
        <v>0</v>
      </c>
      <c r="M2498">
        <v>0</v>
      </c>
      <c r="N2498">
        <v>0</v>
      </c>
      <c r="O2498">
        <v>0</v>
      </c>
      <c r="P2498">
        <v>0</v>
      </c>
      <c r="Q2498">
        <v>0</v>
      </c>
      <c r="R2498">
        <v>0</v>
      </c>
      <c r="S2498">
        <v>0</v>
      </c>
      <c r="T2498">
        <v>0</v>
      </c>
      <c r="U2498" t="str">
        <f>IF(SeismicData[[#This Row],[class]]=1,"Dangerous","Safe")</f>
        <v>Safe</v>
      </c>
      <c r="V2498" t="str">
        <f>IF(SeismicData[[#This Row],[shift]]="W","Production","Non-Production")</f>
        <v>Non-Production</v>
      </c>
      <c r="W2498" t="str">
        <f>IF(SeismicData[[#This Row],[genergy]]=0,"0","10^"&amp;INT(LOG10(SeismicData[[#This Row],[genergy]])))</f>
        <v>10^3</v>
      </c>
      <c r="X2498" t="str">
        <f>IF(OR(SeismicData[[#This Row],[genergy]]&lt;$AA$6,SeismicData[[#This Row],[genergy]]&gt;$AA$5),"Outlier","Normal")</f>
        <v>Normal</v>
      </c>
    </row>
    <row r="2499" spans="1:24" x14ac:dyDescent="0.15">
      <c r="A2499">
        <v>2498</v>
      </c>
      <c r="B2499" t="s">
        <v>20</v>
      </c>
      <c r="C2499" t="s">
        <v>20</v>
      </c>
      <c r="D2499" t="s">
        <v>22</v>
      </c>
      <c r="E2499">
        <v>9940</v>
      </c>
      <c r="F2499">
        <v>226</v>
      </c>
      <c r="G2499">
        <v>-49</v>
      </c>
      <c r="H2499">
        <v>-32</v>
      </c>
      <c r="I2499" t="s">
        <v>20</v>
      </c>
      <c r="J2499">
        <v>1</v>
      </c>
      <c r="K2499">
        <v>1</v>
      </c>
      <c r="L2499">
        <v>0</v>
      </c>
      <c r="M2499">
        <v>0</v>
      </c>
      <c r="N2499">
        <v>0</v>
      </c>
      <c r="O2499">
        <v>0</v>
      </c>
      <c r="P2499">
        <v>0</v>
      </c>
      <c r="Q2499">
        <v>0</v>
      </c>
      <c r="R2499">
        <v>500</v>
      </c>
      <c r="S2499">
        <v>500</v>
      </c>
      <c r="T2499">
        <v>0</v>
      </c>
      <c r="U2499" t="str">
        <f>IF(SeismicData[[#This Row],[class]]=1,"Dangerous","Safe")</f>
        <v>Safe</v>
      </c>
      <c r="V2499" t="str">
        <f>IF(SeismicData[[#This Row],[shift]]="W","Production","Non-Production")</f>
        <v>Production</v>
      </c>
      <c r="W2499" t="str">
        <f>IF(SeismicData[[#This Row],[genergy]]=0,"0","10^"&amp;INT(LOG10(SeismicData[[#This Row],[genergy]])))</f>
        <v>10^3</v>
      </c>
      <c r="X2499" t="str">
        <f>IF(OR(SeismicData[[#This Row],[genergy]]&lt;$AA$6,SeismicData[[#This Row],[genergy]]&gt;$AA$5),"Outlier","Normal")</f>
        <v>Normal</v>
      </c>
    </row>
    <row r="2500" spans="1:24" x14ac:dyDescent="0.15">
      <c r="A2500">
        <v>2499</v>
      </c>
      <c r="B2500" t="s">
        <v>20</v>
      </c>
      <c r="C2500" t="s">
        <v>20</v>
      </c>
      <c r="D2500" t="s">
        <v>22</v>
      </c>
      <c r="E2500">
        <v>19170</v>
      </c>
      <c r="F2500">
        <v>430</v>
      </c>
      <c r="G2500">
        <v>-1</v>
      </c>
      <c r="H2500">
        <v>29</v>
      </c>
      <c r="I2500" t="s">
        <v>20</v>
      </c>
      <c r="J2500">
        <v>0</v>
      </c>
      <c r="K2500">
        <v>0</v>
      </c>
      <c r="L2500">
        <v>0</v>
      </c>
      <c r="M2500">
        <v>0</v>
      </c>
      <c r="N2500">
        <v>0</v>
      </c>
      <c r="O2500">
        <v>0</v>
      </c>
      <c r="P2500">
        <v>0</v>
      </c>
      <c r="Q2500">
        <v>0</v>
      </c>
      <c r="R2500">
        <v>0</v>
      </c>
      <c r="S2500">
        <v>0</v>
      </c>
      <c r="T2500">
        <v>0</v>
      </c>
      <c r="U2500" t="str">
        <f>IF(SeismicData[[#This Row],[class]]=1,"Dangerous","Safe")</f>
        <v>Safe</v>
      </c>
      <c r="V2500" t="str">
        <f>IF(SeismicData[[#This Row],[shift]]="W","Production","Non-Production")</f>
        <v>Production</v>
      </c>
      <c r="W2500" t="str">
        <f>IF(SeismicData[[#This Row],[genergy]]=0,"0","10^"&amp;INT(LOG10(SeismicData[[#This Row],[genergy]])))</f>
        <v>10^4</v>
      </c>
      <c r="X2500" t="str">
        <f>IF(OR(SeismicData[[#This Row],[genergy]]&lt;$AA$6,SeismicData[[#This Row],[genergy]]&gt;$AA$5),"Outlier","Normal")</f>
        <v>Normal</v>
      </c>
    </row>
    <row r="2501" spans="1:24" x14ac:dyDescent="0.15">
      <c r="A2501">
        <v>2500</v>
      </c>
      <c r="B2501" t="s">
        <v>20</v>
      </c>
      <c r="C2501" t="s">
        <v>20</v>
      </c>
      <c r="D2501" t="s">
        <v>22</v>
      </c>
      <c r="E2501">
        <v>13070</v>
      </c>
      <c r="F2501">
        <v>282</v>
      </c>
      <c r="G2501">
        <v>-11</v>
      </c>
      <c r="H2501">
        <v>-12</v>
      </c>
      <c r="I2501" t="s">
        <v>20</v>
      </c>
      <c r="J2501">
        <v>0</v>
      </c>
      <c r="K2501">
        <v>0</v>
      </c>
      <c r="L2501">
        <v>0</v>
      </c>
      <c r="M2501">
        <v>0</v>
      </c>
      <c r="N2501">
        <v>0</v>
      </c>
      <c r="O2501">
        <v>0</v>
      </c>
      <c r="P2501">
        <v>0</v>
      </c>
      <c r="Q2501">
        <v>0</v>
      </c>
      <c r="R2501">
        <v>0</v>
      </c>
      <c r="S2501">
        <v>0</v>
      </c>
      <c r="T2501">
        <v>0</v>
      </c>
      <c r="U2501" t="str">
        <f>IF(SeismicData[[#This Row],[class]]=1,"Dangerous","Safe")</f>
        <v>Safe</v>
      </c>
      <c r="V2501" t="str">
        <f>IF(SeismicData[[#This Row],[shift]]="W","Production","Non-Production")</f>
        <v>Production</v>
      </c>
      <c r="W2501" t="str">
        <f>IF(SeismicData[[#This Row],[genergy]]=0,"0","10^"&amp;INT(LOG10(SeismicData[[#This Row],[genergy]])))</f>
        <v>10^4</v>
      </c>
      <c r="X2501" t="str">
        <f>IF(OR(SeismicData[[#This Row],[genergy]]&lt;$AA$6,SeismicData[[#This Row],[genergy]]&gt;$AA$5),"Outlier","Normal")</f>
        <v>Normal</v>
      </c>
    </row>
    <row r="2502" spans="1:24" x14ac:dyDescent="0.15">
      <c r="A2502">
        <v>2501</v>
      </c>
      <c r="B2502" t="s">
        <v>20</v>
      </c>
      <c r="C2502" t="s">
        <v>20</v>
      </c>
      <c r="D2502" t="s">
        <v>22</v>
      </c>
      <c r="E2502">
        <v>8210</v>
      </c>
      <c r="F2502">
        <v>247</v>
      </c>
      <c r="G2502">
        <v>-44</v>
      </c>
      <c r="H2502">
        <v>-23</v>
      </c>
      <c r="I2502" t="s">
        <v>20</v>
      </c>
      <c r="J2502">
        <v>0</v>
      </c>
      <c r="K2502">
        <v>0</v>
      </c>
      <c r="L2502">
        <v>0</v>
      </c>
      <c r="M2502">
        <v>0</v>
      </c>
      <c r="N2502">
        <v>0</v>
      </c>
      <c r="O2502">
        <v>0</v>
      </c>
      <c r="P2502">
        <v>0</v>
      </c>
      <c r="Q2502">
        <v>0</v>
      </c>
      <c r="R2502">
        <v>0</v>
      </c>
      <c r="S2502">
        <v>0</v>
      </c>
      <c r="T2502">
        <v>0</v>
      </c>
      <c r="U2502" t="str">
        <f>IF(SeismicData[[#This Row],[class]]=1,"Dangerous","Safe")</f>
        <v>Safe</v>
      </c>
      <c r="V2502" t="str">
        <f>IF(SeismicData[[#This Row],[shift]]="W","Production","Non-Production")</f>
        <v>Production</v>
      </c>
      <c r="W2502" t="str">
        <f>IF(SeismicData[[#This Row],[genergy]]=0,"0","10^"&amp;INT(LOG10(SeismicData[[#This Row],[genergy]])))</f>
        <v>10^3</v>
      </c>
      <c r="X2502" t="str">
        <f>IF(OR(SeismicData[[#This Row],[genergy]]&lt;$AA$6,SeismicData[[#This Row],[genergy]]&gt;$AA$5),"Outlier","Normal")</f>
        <v>Normal</v>
      </c>
    </row>
    <row r="2503" spans="1:24" x14ac:dyDescent="0.15">
      <c r="A2503">
        <v>2502</v>
      </c>
      <c r="B2503" t="s">
        <v>20</v>
      </c>
      <c r="C2503" t="s">
        <v>20</v>
      </c>
      <c r="D2503" t="s">
        <v>22</v>
      </c>
      <c r="E2503">
        <v>17250</v>
      </c>
      <c r="F2503">
        <v>228</v>
      </c>
      <c r="G2503">
        <v>-11</v>
      </c>
      <c r="H2503">
        <v>-32</v>
      </c>
      <c r="I2503" t="s">
        <v>20</v>
      </c>
      <c r="J2503">
        <v>1</v>
      </c>
      <c r="K2503">
        <v>0</v>
      </c>
      <c r="L2503">
        <v>1</v>
      </c>
      <c r="M2503">
        <v>0</v>
      </c>
      <c r="N2503">
        <v>0</v>
      </c>
      <c r="O2503">
        <v>0</v>
      </c>
      <c r="P2503">
        <v>0</v>
      </c>
      <c r="Q2503">
        <v>0</v>
      </c>
      <c r="R2503">
        <v>2000</v>
      </c>
      <c r="S2503">
        <v>2000</v>
      </c>
      <c r="T2503">
        <v>0</v>
      </c>
      <c r="U2503" t="str">
        <f>IF(SeismicData[[#This Row],[class]]=1,"Dangerous","Safe")</f>
        <v>Safe</v>
      </c>
      <c r="V2503" t="str">
        <f>IF(SeismicData[[#This Row],[shift]]="W","Production","Non-Production")</f>
        <v>Production</v>
      </c>
      <c r="W2503" t="str">
        <f>IF(SeismicData[[#This Row],[genergy]]=0,"0","10^"&amp;INT(LOG10(SeismicData[[#This Row],[genergy]])))</f>
        <v>10^4</v>
      </c>
      <c r="X2503" t="str">
        <f>IF(OR(SeismicData[[#This Row],[genergy]]&lt;$AA$6,SeismicData[[#This Row],[genergy]]&gt;$AA$5),"Outlier","Normal")</f>
        <v>Normal</v>
      </c>
    </row>
    <row r="2504" spans="1:24" x14ac:dyDescent="0.15">
      <c r="A2504">
        <v>2503</v>
      </c>
      <c r="B2504" t="s">
        <v>20</v>
      </c>
      <c r="C2504" t="s">
        <v>20</v>
      </c>
      <c r="D2504" t="s">
        <v>22</v>
      </c>
      <c r="E2504">
        <v>8620</v>
      </c>
      <c r="F2504">
        <v>201</v>
      </c>
      <c r="G2504">
        <v>-51</v>
      </c>
      <c r="H2504">
        <v>-37</v>
      </c>
      <c r="I2504" t="s">
        <v>20</v>
      </c>
      <c r="J2504">
        <v>0</v>
      </c>
      <c r="K2504">
        <v>0</v>
      </c>
      <c r="L2504">
        <v>0</v>
      </c>
      <c r="M2504">
        <v>0</v>
      </c>
      <c r="N2504">
        <v>0</v>
      </c>
      <c r="O2504">
        <v>0</v>
      </c>
      <c r="P2504">
        <v>0</v>
      </c>
      <c r="Q2504">
        <v>0</v>
      </c>
      <c r="R2504">
        <v>0</v>
      </c>
      <c r="S2504">
        <v>0</v>
      </c>
      <c r="T2504">
        <v>0</v>
      </c>
      <c r="U2504" t="str">
        <f>IF(SeismicData[[#This Row],[class]]=1,"Dangerous","Safe")</f>
        <v>Safe</v>
      </c>
      <c r="V2504" t="str">
        <f>IF(SeismicData[[#This Row],[shift]]="W","Production","Non-Production")</f>
        <v>Production</v>
      </c>
      <c r="W2504" t="str">
        <f>IF(SeismicData[[#This Row],[genergy]]=0,"0","10^"&amp;INT(LOG10(SeismicData[[#This Row],[genergy]])))</f>
        <v>10^3</v>
      </c>
      <c r="X2504" t="str">
        <f>IF(OR(SeismicData[[#This Row],[genergy]]&lt;$AA$6,SeismicData[[#This Row],[genergy]]&gt;$AA$5),"Outlier","Normal")</f>
        <v>Normal</v>
      </c>
    </row>
    <row r="2505" spans="1:24" x14ac:dyDescent="0.15">
      <c r="A2505">
        <v>2504</v>
      </c>
      <c r="B2505" t="s">
        <v>20</v>
      </c>
      <c r="C2505" t="s">
        <v>20</v>
      </c>
      <c r="D2505" t="s">
        <v>22</v>
      </c>
      <c r="E2505">
        <v>15290</v>
      </c>
      <c r="F2505">
        <v>315</v>
      </c>
      <c r="G2505">
        <v>-13</v>
      </c>
      <c r="H2505">
        <v>-1</v>
      </c>
      <c r="I2505" t="s">
        <v>20</v>
      </c>
      <c r="J2505">
        <v>1</v>
      </c>
      <c r="K2505">
        <v>1</v>
      </c>
      <c r="L2505">
        <v>0</v>
      </c>
      <c r="M2505">
        <v>0</v>
      </c>
      <c r="N2505">
        <v>0</v>
      </c>
      <c r="O2505">
        <v>0</v>
      </c>
      <c r="P2505">
        <v>0</v>
      </c>
      <c r="Q2505">
        <v>0</v>
      </c>
      <c r="R2505">
        <v>400</v>
      </c>
      <c r="S2505">
        <v>400</v>
      </c>
      <c r="T2505">
        <v>0</v>
      </c>
      <c r="U2505" t="str">
        <f>IF(SeismicData[[#This Row],[class]]=1,"Dangerous","Safe")</f>
        <v>Safe</v>
      </c>
      <c r="V2505" t="str">
        <f>IF(SeismicData[[#This Row],[shift]]="W","Production","Non-Production")</f>
        <v>Production</v>
      </c>
      <c r="W2505" t="str">
        <f>IF(SeismicData[[#This Row],[genergy]]=0,"0","10^"&amp;INT(LOG10(SeismicData[[#This Row],[genergy]])))</f>
        <v>10^4</v>
      </c>
      <c r="X2505" t="str">
        <f>IF(OR(SeismicData[[#This Row],[genergy]]&lt;$AA$6,SeismicData[[#This Row],[genergy]]&gt;$AA$5),"Outlier","Normal")</f>
        <v>Normal</v>
      </c>
    </row>
    <row r="2506" spans="1:24" x14ac:dyDescent="0.15">
      <c r="A2506">
        <v>2505</v>
      </c>
      <c r="B2506" t="s">
        <v>20</v>
      </c>
      <c r="C2506" t="s">
        <v>20</v>
      </c>
      <c r="D2506" t="s">
        <v>22</v>
      </c>
      <c r="E2506">
        <v>27320</v>
      </c>
      <c r="F2506">
        <v>414</v>
      </c>
      <c r="G2506">
        <v>220</v>
      </c>
      <c r="H2506">
        <v>79</v>
      </c>
      <c r="I2506" t="s">
        <v>20</v>
      </c>
      <c r="J2506">
        <v>1</v>
      </c>
      <c r="K2506">
        <v>1</v>
      </c>
      <c r="L2506">
        <v>0</v>
      </c>
      <c r="M2506">
        <v>0</v>
      </c>
      <c r="N2506">
        <v>0</v>
      </c>
      <c r="O2506">
        <v>0</v>
      </c>
      <c r="P2506">
        <v>0</v>
      </c>
      <c r="Q2506">
        <v>0</v>
      </c>
      <c r="R2506">
        <v>200</v>
      </c>
      <c r="S2506">
        <v>200</v>
      </c>
      <c r="T2506">
        <v>0</v>
      </c>
      <c r="U2506" t="str">
        <f>IF(SeismicData[[#This Row],[class]]=1,"Dangerous","Safe")</f>
        <v>Safe</v>
      </c>
      <c r="V2506" t="str">
        <f>IF(SeismicData[[#This Row],[shift]]="W","Production","Non-Production")</f>
        <v>Production</v>
      </c>
      <c r="W2506" t="str">
        <f>IF(SeismicData[[#This Row],[genergy]]=0,"0","10^"&amp;INT(LOG10(SeismicData[[#This Row],[genergy]])))</f>
        <v>10^4</v>
      </c>
      <c r="X2506" t="str">
        <f>IF(OR(SeismicData[[#This Row],[genergy]]&lt;$AA$6,SeismicData[[#This Row],[genergy]]&gt;$AA$5),"Outlier","Normal")</f>
        <v>Normal</v>
      </c>
    </row>
    <row r="2507" spans="1:24" x14ac:dyDescent="0.15">
      <c r="A2507">
        <v>2506</v>
      </c>
      <c r="B2507" t="s">
        <v>20</v>
      </c>
      <c r="C2507" t="s">
        <v>20</v>
      </c>
      <c r="D2507" t="s">
        <v>22</v>
      </c>
      <c r="E2507">
        <v>23650</v>
      </c>
      <c r="F2507">
        <v>212</v>
      </c>
      <c r="G2507">
        <v>34</v>
      </c>
      <c r="H2507">
        <v>-33</v>
      </c>
      <c r="I2507" t="s">
        <v>20</v>
      </c>
      <c r="J2507">
        <v>2</v>
      </c>
      <c r="K2507">
        <v>2</v>
      </c>
      <c r="L2507">
        <v>0</v>
      </c>
      <c r="M2507">
        <v>0</v>
      </c>
      <c r="N2507">
        <v>0</v>
      </c>
      <c r="O2507">
        <v>0</v>
      </c>
      <c r="P2507">
        <v>0</v>
      </c>
      <c r="Q2507">
        <v>0</v>
      </c>
      <c r="R2507">
        <v>1100</v>
      </c>
      <c r="S2507">
        <v>700</v>
      </c>
      <c r="T2507">
        <v>0</v>
      </c>
      <c r="U2507" t="str">
        <f>IF(SeismicData[[#This Row],[class]]=1,"Dangerous","Safe")</f>
        <v>Safe</v>
      </c>
      <c r="V2507" t="str">
        <f>IF(SeismicData[[#This Row],[shift]]="W","Production","Non-Production")</f>
        <v>Production</v>
      </c>
      <c r="W2507" t="str">
        <f>IF(SeismicData[[#This Row],[genergy]]=0,"0","10^"&amp;INT(LOG10(SeismicData[[#This Row],[genergy]])))</f>
        <v>10^4</v>
      </c>
      <c r="X2507" t="str">
        <f>IF(OR(SeismicData[[#This Row],[genergy]]&lt;$AA$6,SeismicData[[#This Row],[genergy]]&gt;$AA$5),"Outlier","Normal")</f>
        <v>Normal</v>
      </c>
    </row>
    <row r="2508" spans="1:24" x14ac:dyDescent="0.15">
      <c r="A2508">
        <v>2507</v>
      </c>
      <c r="B2508" t="s">
        <v>20</v>
      </c>
      <c r="C2508" t="s">
        <v>20</v>
      </c>
      <c r="D2508" t="s">
        <v>22</v>
      </c>
      <c r="E2508">
        <v>17570</v>
      </c>
      <c r="F2508">
        <v>471</v>
      </c>
      <c r="G2508">
        <v>0</v>
      </c>
      <c r="H2508">
        <v>48</v>
      </c>
      <c r="I2508" t="s">
        <v>20</v>
      </c>
      <c r="J2508">
        <v>1</v>
      </c>
      <c r="K2508">
        <v>1</v>
      </c>
      <c r="L2508">
        <v>0</v>
      </c>
      <c r="M2508">
        <v>0</v>
      </c>
      <c r="N2508">
        <v>0</v>
      </c>
      <c r="O2508">
        <v>0</v>
      </c>
      <c r="P2508">
        <v>0</v>
      </c>
      <c r="Q2508">
        <v>0</v>
      </c>
      <c r="R2508">
        <v>700</v>
      </c>
      <c r="S2508">
        <v>700</v>
      </c>
      <c r="T2508">
        <v>0</v>
      </c>
      <c r="U2508" t="str">
        <f>IF(SeismicData[[#This Row],[class]]=1,"Dangerous","Safe")</f>
        <v>Safe</v>
      </c>
      <c r="V2508" t="str">
        <f>IF(SeismicData[[#This Row],[shift]]="W","Production","Non-Production")</f>
        <v>Production</v>
      </c>
      <c r="W2508" t="str">
        <f>IF(SeismicData[[#This Row],[genergy]]=0,"0","10^"&amp;INT(LOG10(SeismicData[[#This Row],[genergy]])))</f>
        <v>10^4</v>
      </c>
      <c r="X2508" t="str">
        <f>IF(OR(SeismicData[[#This Row],[genergy]]&lt;$AA$6,SeismicData[[#This Row],[genergy]]&gt;$AA$5),"Outlier","Normal")</f>
        <v>Normal</v>
      </c>
    </row>
    <row r="2509" spans="1:24" x14ac:dyDescent="0.15">
      <c r="A2509">
        <v>2508</v>
      </c>
      <c r="B2509" t="s">
        <v>20</v>
      </c>
      <c r="C2509" t="s">
        <v>20</v>
      </c>
      <c r="D2509" t="s">
        <v>22</v>
      </c>
      <c r="E2509">
        <v>23580</v>
      </c>
      <c r="F2509">
        <v>462</v>
      </c>
      <c r="G2509">
        <v>34</v>
      </c>
      <c r="H2509">
        <v>46</v>
      </c>
      <c r="I2509" t="s">
        <v>20</v>
      </c>
      <c r="J2509">
        <v>1</v>
      </c>
      <c r="K2509">
        <v>0</v>
      </c>
      <c r="L2509">
        <v>1</v>
      </c>
      <c r="M2509">
        <v>0</v>
      </c>
      <c r="N2509">
        <v>0</v>
      </c>
      <c r="O2509">
        <v>0</v>
      </c>
      <c r="P2509">
        <v>0</v>
      </c>
      <c r="Q2509">
        <v>0</v>
      </c>
      <c r="R2509">
        <v>6000</v>
      </c>
      <c r="S2509">
        <v>6000</v>
      </c>
      <c r="T2509">
        <v>0</v>
      </c>
      <c r="U2509" t="str">
        <f>IF(SeismicData[[#This Row],[class]]=1,"Dangerous","Safe")</f>
        <v>Safe</v>
      </c>
      <c r="V2509" t="str">
        <f>IF(SeismicData[[#This Row],[shift]]="W","Production","Non-Production")</f>
        <v>Production</v>
      </c>
      <c r="W2509" t="str">
        <f>IF(SeismicData[[#This Row],[genergy]]=0,"0","10^"&amp;INT(LOG10(SeismicData[[#This Row],[genergy]])))</f>
        <v>10^4</v>
      </c>
      <c r="X2509" t="str">
        <f>IF(OR(SeismicData[[#This Row],[genergy]]&lt;$AA$6,SeismicData[[#This Row],[genergy]]&gt;$AA$5),"Outlier","Normal")</f>
        <v>Normal</v>
      </c>
    </row>
    <row r="2510" spans="1:24" x14ac:dyDescent="0.15">
      <c r="A2510">
        <v>2509</v>
      </c>
      <c r="B2510" t="s">
        <v>20</v>
      </c>
      <c r="C2510" t="s">
        <v>20</v>
      </c>
      <c r="D2510" t="s">
        <v>22</v>
      </c>
      <c r="E2510">
        <v>8670</v>
      </c>
      <c r="F2510">
        <v>216</v>
      </c>
      <c r="G2510">
        <v>-51</v>
      </c>
      <c r="H2510">
        <v>-32</v>
      </c>
      <c r="I2510" t="s">
        <v>20</v>
      </c>
      <c r="J2510">
        <v>0</v>
      </c>
      <c r="K2510">
        <v>0</v>
      </c>
      <c r="L2510">
        <v>0</v>
      </c>
      <c r="M2510">
        <v>0</v>
      </c>
      <c r="N2510">
        <v>0</v>
      </c>
      <c r="O2510">
        <v>0</v>
      </c>
      <c r="P2510">
        <v>0</v>
      </c>
      <c r="Q2510">
        <v>0</v>
      </c>
      <c r="R2510">
        <v>0</v>
      </c>
      <c r="S2510">
        <v>0</v>
      </c>
      <c r="T2510">
        <v>0</v>
      </c>
      <c r="U2510" t="str">
        <f>IF(SeismicData[[#This Row],[class]]=1,"Dangerous","Safe")</f>
        <v>Safe</v>
      </c>
      <c r="V2510" t="str">
        <f>IF(SeismicData[[#This Row],[shift]]="W","Production","Non-Production")</f>
        <v>Production</v>
      </c>
      <c r="W2510" t="str">
        <f>IF(SeismicData[[#This Row],[genergy]]=0,"0","10^"&amp;INT(LOG10(SeismicData[[#This Row],[genergy]])))</f>
        <v>10^3</v>
      </c>
      <c r="X2510" t="str">
        <f>IF(OR(SeismicData[[#This Row],[genergy]]&lt;$AA$6,SeismicData[[#This Row],[genergy]]&gt;$AA$5),"Outlier","Normal")</f>
        <v>Normal</v>
      </c>
    </row>
    <row r="2511" spans="1:24" x14ac:dyDescent="0.15">
      <c r="A2511">
        <v>2510</v>
      </c>
      <c r="B2511" t="s">
        <v>20</v>
      </c>
      <c r="C2511" t="s">
        <v>20</v>
      </c>
      <c r="D2511" t="s">
        <v>22</v>
      </c>
      <c r="E2511">
        <v>10730</v>
      </c>
      <c r="F2511">
        <v>542</v>
      </c>
      <c r="G2511">
        <v>16</v>
      </c>
      <c r="H2511">
        <v>30</v>
      </c>
      <c r="I2511" t="s">
        <v>20</v>
      </c>
      <c r="J2511">
        <v>0</v>
      </c>
      <c r="K2511">
        <v>0</v>
      </c>
      <c r="L2511">
        <v>0</v>
      </c>
      <c r="M2511">
        <v>0</v>
      </c>
      <c r="N2511">
        <v>0</v>
      </c>
      <c r="O2511">
        <v>0</v>
      </c>
      <c r="P2511">
        <v>0</v>
      </c>
      <c r="Q2511">
        <v>0</v>
      </c>
      <c r="R2511">
        <v>0</v>
      </c>
      <c r="S2511">
        <v>0</v>
      </c>
      <c r="T2511">
        <v>0</v>
      </c>
      <c r="U2511" t="str">
        <f>IF(SeismicData[[#This Row],[class]]=1,"Dangerous","Safe")</f>
        <v>Safe</v>
      </c>
      <c r="V2511" t="str">
        <f>IF(SeismicData[[#This Row],[shift]]="W","Production","Non-Production")</f>
        <v>Production</v>
      </c>
      <c r="W2511" t="str">
        <f>IF(SeismicData[[#This Row],[genergy]]=0,"0","10^"&amp;INT(LOG10(SeismicData[[#This Row],[genergy]])))</f>
        <v>10^4</v>
      </c>
      <c r="X2511" t="str">
        <f>IF(OR(SeismicData[[#This Row],[genergy]]&lt;$AA$6,SeismicData[[#This Row],[genergy]]&gt;$AA$5),"Outlier","Normal")</f>
        <v>Normal</v>
      </c>
    </row>
    <row r="2512" spans="1:24" x14ac:dyDescent="0.15">
      <c r="A2512">
        <v>2511</v>
      </c>
      <c r="B2512" t="s">
        <v>20</v>
      </c>
      <c r="C2512" t="s">
        <v>20</v>
      </c>
      <c r="D2512" t="s">
        <v>22</v>
      </c>
      <c r="E2512">
        <v>24320</v>
      </c>
      <c r="F2512">
        <v>427</v>
      </c>
      <c r="G2512">
        <v>56</v>
      </c>
      <c r="H2512">
        <v>51</v>
      </c>
      <c r="I2512" t="s">
        <v>20</v>
      </c>
      <c r="J2512">
        <v>0</v>
      </c>
      <c r="K2512">
        <v>0</v>
      </c>
      <c r="L2512">
        <v>0</v>
      </c>
      <c r="M2512">
        <v>0</v>
      </c>
      <c r="N2512">
        <v>0</v>
      </c>
      <c r="O2512">
        <v>0</v>
      </c>
      <c r="P2512">
        <v>0</v>
      </c>
      <c r="Q2512">
        <v>0</v>
      </c>
      <c r="R2512">
        <v>0</v>
      </c>
      <c r="S2512">
        <v>0</v>
      </c>
      <c r="T2512">
        <v>0</v>
      </c>
      <c r="U2512" t="str">
        <f>IF(SeismicData[[#This Row],[class]]=1,"Dangerous","Safe")</f>
        <v>Safe</v>
      </c>
      <c r="V2512" t="str">
        <f>IF(SeismicData[[#This Row],[shift]]="W","Production","Non-Production")</f>
        <v>Production</v>
      </c>
      <c r="W2512" t="str">
        <f>IF(SeismicData[[#This Row],[genergy]]=0,"0","10^"&amp;INT(LOG10(SeismicData[[#This Row],[genergy]])))</f>
        <v>10^4</v>
      </c>
      <c r="X2512" t="str">
        <f>IF(OR(SeismicData[[#This Row],[genergy]]&lt;$AA$6,SeismicData[[#This Row],[genergy]]&gt;$AA$5),"Outlier","Normal")</f>
        <v>Normal</v>
      </c>
    </row>
    <row r="2513" spans="1:24" x14ac:dyDescent="0.15">
      <c r="A2513">
        <v>2512</v>
      </c>
      <c r="B2513" t="s">
        <v>20</v>
      </c>
      <c r="C2513" t="s">
        <v>20</v>
      </c>
      <c r="D2513" t="s">
        <v>22</v>
      </c>
      <c r="E2513">
        <v>23960</v>
      </c>
      <c r="F2513">
        <v>539</v>
      </c>
      <c r="G2513">
        <v>54</v>
      </c>
      <c r="H2513">
        <v>91</v>
      </c>
      <c r="I2513" t="s">
        <v>20</v>
      </c>
      <c r="J2513">
        <v>0</v>
      </c>
      <c r="K2513">
        <v>0</v>
      </c>
      <c r="L2513">
        <v>0</v>
      </c>
      <c r="M2513">
        <v>0</v>
      </c>
      <c r="N2513">
        <v>0</v>
      </c>
      <c r="O2513">
        <v>0</v>
      </c>
      <c r="P2513">
        <v>0</v>
      </c>
      <c r="Q2513">
        <v>0</v>
      </c>
      <c r="R2513">
        <v>0</v>
      </c>
      <c r="S2513">
        <v>0</v>
      </c>
      <c r="T2513">
        <v>0</v>
      </c>
      <c r="U2513" t="str">
        <f>IF(SeismicData[[#This Row],[class]]=1,"Dangerous","Safe")</f>
        <v>Safe</v>
      </c>
      <c r="V2513" t="str">
        <f>IF(SeismicData[[#This Row],[shift]]="W","Production","Non-Production")</f>
        <v>Production</v>
      </c>
      <c r="W2513" t="str">
        <f>IF(SeismicData[[#This Row],[genergy]]=0,"0","10^"&amp;INT(LOG10(SeismicData[[#This Row],[genergy]])))</f>
        <v>10^4</v>
      </c>
      <c r="X2513" t="str">
        <f>IF(OR(SeismicData[[#This Row],[genergy]]&lt;$AA$6,SeismicData[[#This Row],[genergy]]&gt;$AA$5),"Outlier","Normal")</f>
        <v>Normal</v>
      </c>
    </row>
    <row r="2514" spans="1:24" x14ac:dyDescent="0.15">
      <c r="A2514">
        <v>2513</v>
      </c>
      <c r="B2514" t="s">
        <v>20</v>
      </c>
      <c r="C2514" t="s">
        <v>20</v>
      </c>
      <c r="D2514" t="s">
        <v>22</v>
      </c>
      <c r="E2514">
        <v>10910</v>
      </c>
      <c r="F2514">
        <v>269</v>
      </c>
      <c r="G2514">
        <v>-30</v>
      </c>
      <c r="H2514">
        <v>-5</v>
      </c>
      <c r="I2514" t="s">
        <v>20</v>
      </c>
      <c r="J2514">
        <v>1</v>
      </c>
      <c r="K2514">
        <v>0</v>
      </c>
      <c r="L2514">
        <v>1</v>
      </c>
      <c r="M2514">
        <v>0</v>
      </c>
      <c r="N2514">
        <v>0</v>
      </c>
      <c r="O2514">
        <v>0</v>
      </c>
      <c r="P2514">
        <v>0</v>
      </c>
      <c r="Q2514">
        <v>0</v>
      </c>
      <c r="R2514">
        <v>1000</v>
      </c>
      <c r="S2514">
        <v>1000</v>
      </c>
      <c r="T2514">
        <v>1</v>
      </c>
      <c r="U2514" t="str">
        <f>IF(SeismicData[[#This Row],[class]]=1,"Dangerous","Safe")</f>
        <v>Dangerous</v>
      </c>
      <c r="V2514" t="str">
        <f>IF(SeismicData[[#This Row],[shift]]="W","Production","Non-Production")</f>
        <v>Production</v>
      </c>
      <c r="W2514" t="str">
        <f>IF(SeismicData[[#This Row],[genergy]]=0,"0","10^"&amp;INT(LOG10(SeismicData[[#This Row],[genergy]])))</f>
        <v>10^4</v>
      </c>
      <c r="X2514" t="str">
        <f>IF(OR(SeismicData[[#This Row],[genergy]]&lt;$AA$6,SeismicData[[#This Row],[genergy]]&gt;$AA$5),"Outlier","Normal")</f>
        <v>Normal</v>
      </c>
    </row>
    <row r="2515" spans="1:24" x14ac:dyDescent="0.15">
      <c r="A2515">
        <v>2514</v>
      </c>
      <c r="B2515" t="s">
        <v>20</v>
      </c>
      <c r="C2515" t="s">
        <v>20</v>
      </c>
      <c r="D2515" t="s">
        <v>22</v>
      </c>
      <c r="E2515">
        <v>21050</v>
      </c>
      <c r="F2515">
        <v>458</v>
      </c>
      <c r="G2515">
        <v>72</v>
      </c>
      <c r="H2515">
        <v>70</v>
      </c>
      <c r="I2515" t="s">
        <v>20</v>
      </c>
      <c r="J2515">
        <v>1</v>
      </c>
      <c r="K2515">
        <v>0</v>
      </c>
      <c r="L2515">
        <v>0</v>
      </c>
      <c r="M2515">
        <v>1</v>
      </c>
      <c r="N2515">
        <v>0</v>
      </c>
      <c r="O2515">
        <v>0</v>
      </c>
      <c r="P2515">
        <v>0</v>
      </c>
      <c r="Q2515">
        <v>0</v>
      </c>
      <c r="R2515">
        <v>60000</v>
      </c>
      <c r="S2515">
        <v>60000</v>
      </c>
      <c r="T2515">
        <v>0</v>
      </c>
      <c r="U2515" t="str">
        <f>IF(SeismicData[[#This Row],[class]]=1,"Dangerous","Safe")</f>
        <v>Safe</v>
      </c>
      <c r="V2515" t="str">
        <f>IF(SeismicData[[#This Row],[shift]]="W","Production","Non-Production")</f>
        <v>Production</v>
      </c>
      <c r="W2515" t="str">
        <f>IF(SeismicData[[#This Row],[genergy]]=0,"0","10^"&amp;INT(LOG10(SeismicData[[#This Row],[genergy]])))</f>
        <v>10^4</v>
      </c>
      <c r="X2515" t="str">
        <f>IF(OR(SeismicData[[#This Row],[genergy]]&lt;$AA$6,SeismicData[[#This Row],[genergy]]&gt;$AA$5),"Outlier","Normal")</f>
        <v>Normal</v>
      </c>
    </row>
    <row r="2516" spans="1:24" x14ac:dyDescent="0.15">
      <c r="A2516">
        <v>2515</v>
      </c>
      <c r="B2516" t="s">
        <v>20</v>
      </c>
      <c r="C2516" t="s">
        <v>20</v>
      </c>
      <c r="D2516" t="s">
        <v>22</v>
      </c>
      <c r="E2516">
        <v>18370</v>
      </c>
      <c r="F2516">
        <v>486</v>
      </c>
      <c r="G2516">
        <v>18</v>
      </c>
      <c r="H2516">
        <v>72</v>
      </c>
      <c r="I2516" t="s">
        <v>20</v>
      </c>
      <c r="J2516">
        <v>0</v>
      </c>
      <c r="K2516">
        <v>0</v>
      </c>
      <c r="L2516">
        <v>0</v>
      </c>
      <c r="M2516">
        <v>0</v>
      </c>
      <c r="N2516">
        <v>0</v>
      </c>
      <c r="O2516">
        <v>0</v>
      </c>
      <c r="P2516">
        <v>0</v>
      </c>
      <c r="Q2516">
        <v>0</v>
      </c>
      <c r="R2516">
        <v>0</v>
      </c>
      <c r="S2516">
        <v>0</v>
      </c>
      <c r="T2516">
        <v>0</v>
      </c>
      <c r="U2516" t="str">
        <f>IF(SeismicData[[#This Row],[class]]=1,"Dangerous","Safe")</f>
        <v>Safe</v>
      </c>
      <c r="V2516" t="str">
        <f>IF(SeismicData[[#This Row],[shift]]="W","Production","Non-Production")</f>
        <v>Production</v>
      </c>
      <c r="W2516" t="str">
        <f>IF(SeismicData[[#This Row],[genergy]]=0,"0","10^"&amp;INT(LOG10(SeismicData[[#This Row],[genergy]])))</f>
        <v>10^4</v>
      </c>
      <c r="X2516" t="str">
        <f>IF(OR(SeismicData[[#This Row],[genergy]]&lt;$AA$6,SeismicData[[#This Row],[genergy]]&gt;$AA$5),"Outlier","Normal")</f>
        <v>Normal</v>
      </c>
    </row>
    <row r="2517" spans="1:24" x14ac:dyDescent="0.15">
      <c r="A2517">
        <v>2516</v>
      </c>
      <c r="B2517" t="s">
        <v>20</v>
      </c>
      <c r="C2517" t="s">
        <v>20</v>
      </c>
      <c r="D2517" t="s">
        <v>22</v>
      </c>
      <c r="E2517">
        <v>18780</v>
      </c>
      <c r="F2517">
        <v>498</v>
      </c>
      <c r="G2517">
        <v>21</v>
      </c>
      <c r="H2517">
        <v>76</v>
      </c>
      <c r="I2517" t="s">
        <v>20</v>
      </c>
      <c r="J2517">
        <v>1</v>
      </c>
      <c r="K2517">
        <v>0</v>
      </c>
      <c r="L2517">
        <v>1</v>
      </c>
      <c r="M2517">
        <v>0</v>
      </c>
      <c r="N2517">
        <v>0</v>
      </c>
      <c r="O2517">
        <v>0</v>
      </c>
      <c r="P2517">
        <v>0</v>
      </c>
      <c r="Q2517">
        <v>0</v>
      </c>
      <c r="R2517">
        <v>3000</v>
      </c>
      <c r="S2517">
        <v>3000</v>
      </c>
      <c r="T2517">
        <v>0</v>
      </c>
      <c r="U2517" t="str">
        <f>IF(SeismicData[[#This Row],[class]]=1,"Dangerous","Safe")</f>
        <v>Safe</v>
      </c>
      <c r="V2517" t="str">
        <f>IF(SeismicData[[#This Row],[shift]]="W","Production","Non-Production")</f>
        <v>Production</v>
      </c>
      <c r="W2517" t="str">
        <f>IF(SeismicData[[#This Row],[genergy]]=0,"0","10^"&amp;INT(LOG10(SeismicData[[#This Row],[genergy]])))</f>
        <v>10^4</v>
      </c>
      <c r="X2517" t="str">
        <f>IF(OR(SeismicData[[#This Row],[genergy]]&lt;$AA$6,SeismicData[[#This Row],[genergy]]&gt;$AA$5),"Outlier","Normal")</f>
        <v>Normal</v>
      </c>
    </row>
    <row r="2518" spans="1:24" x14ac:dyDescent="0.15">
      <c r="A2518">
        <v>2517</v>
      </c>
      <c r="B2518" t="s">
        <v>20</v>
      </c>
      <c r="C2518" t="s">
        <v>20</v>
      </c>
      <c r="D2518" t="s">
        <v>22</v>
      </c>
      <c r="E2518">
        <v>8080</v>
      </c>
      <c r="F2518">
        <v>294</v>
      </c>
      <c r="G2518">
        <v>-48</v>
      </c>
      <c r="H2518">
        <v>4</v>
      </c>
      <c r="I2518" t="s">
        <v>20</v>
      </c>
      <c r="J2518">
        <v>0</v>
      </c>
      <c r="K2518">
        <v>0</v>
      </c>
      <c r="L2518">
        <v>0</v>
      </c>
      <c r="M2518">
        <v>0</v>
      </c>
      <c r="N2518">
        <v>0</v>
      </c>
      <c r="O2518">
        <v>0</v>
      </c>
      <c r="P2518">
        <v>0</v>
      </c>
      <c r="Q2518">
        <v>0</v>
      </c>
      <c r="R2518">
        <v>0</v>
      </c>
      <c r="S2518">
        <v>0</v>
      </c>
      <c r="T2518">
        <v>0</v>
      </c>
      <c r="U2518" t="str">
        <f>IF(SeismicData[[#This Row],[class]]=1,"Dangerous","Safe")</f>
        <v>Safe</v>
      </c>
      <c r="V2518" t="str">
        <f>IF(SeismicData[[#This Row],[shift]]="W","Production","Non-Production")</f>
        <v>Production</v>
      </c>
      <c r="W2518" t="str">
        <f>IF(SeismicData[[#This Row],[genergy]]=0,"0","10^"&amp;INT(LOG10(SeismicData[[#This Row],[genergy]])))</f>
        <v>10^3</v>
      </c>
      <c r="X2518" t="str">
        <f>IF(OR(SeismicData[[#This Row],[genergy]]&lt;$AA$6,SeismicData[[#This Row],[genergy]]&gt;$AA$5),"Outlier","Normal")</f>
        <v>Normal</v>
      </c>
    </row>
    <row r="2519" spans="1:24" x14ac:dyDescent="0.15">
      <c r="A2519">
        <v>2518</v>
      </c>
      <c r="B2519" t="s">
        <v>20</v>
      </c>
      <c r="C2519" t="s">
        <v>20</v>
      </c>
      <c r="D2519" t="s">
        <v>22</v>
      </c>
      <c r="E2519">
        <v>12080</v>
      </c>
      <c r="F2519">
        <v>310</v>
      </c>
      <c r="G2519">
        <v>-22</v>
      </c>
      <c r="H2519">
        <v>10</v>
      </c>
      <c r="I2519" t="s">
        <v>20</v>
      </c>
      <c r="J2519">
        <v>1</v>
      </c>
      <c r="K2519">
        <v>0</v>
      </c>
      <c r="L2519">
        <v>1</v>
      </c>
      <c r="M2519">
        <v>0</v>
      </c>
      <c r="N2519">
        <v>0</v>
      </c>
      <c r="O2519">
        <v>0</v>
      </c>
      <c r="P2519">
        <v>0</v>
      </c>
      <c r="Q2519">
        <v>0</v>
      </c>
      <c r="R2519">
        <v>4000</v>
      </c>
      <c r="S2519">
        <v>4000</v>
      </c>
      <c r="T2519">
        <v>0</v>
      </c>
      <c r="U2519" t="str">
        <f>IF(SeismicData[[#This Row],[class]]=1,"Dangerous","Safe")</f>
        <v>Safe</v>
      </c>
      <c r="V2519" t="str">
        <f>IF(SeismicData[[#This Row],[shift]]="W","Production","Non-Production")</f>
        <v>Production</v>
      </c>
      <c r="W2519" t="str">
        <f>IF(SeismicData[[#This Row],[genergy]]=0,"0","10^"&amp;INT(LOG10(SeismicData[[#This Row],[genergy]])))</f>
        <v>10^4</v>
      </c>
      <c r="X2519" t="str">
        <f>IF(OR(SeismicData[[#This Row],[genergy]]&lt;$AA$6,SeismicData[[#This Row],[genergy]]&gt;$AA$5),"Outlier","Normal")</f>
        <v>Normal</v>
      </c>
    </row>
    <row r="2520" spans="1:24" x14ac:dyDescent="0.15">
      <c r="A2520">
        <v>2519</v>
      </c>
      <c r="B2520" t="s">
        <v>23</v>
      </c>
      <c r="C2520" t="s">
        <v>20</v>
      </c>
      <c r="D2520" t="s">
        <v>21</v>
      </c>
      <c r="E2520">
        <v>5990</v>
      </c>
      <c r="F2520">
        <v>141</v>
      </c>
      <c r="G2520">
        <v>-45</v>
      </c>
      <c r="H2520">
        <v>-27</v>
      </c>
      <c r="I2520" t="s">
        <v>20</v>
      </c>
      <c r="J2520">
        <v>0</v>
      </c>
      <c r="K2520">
        <v>0</v>
      </c>
      <c r="L2520">
        <v>0</v>
      </c>
      <c r="M2520">
        <v>0</v>
      </c>
      <c r="N2520">
        <v>0</v>
      </c>
      <c r="O2520">
        <v>0</v>
      </c>
      <c r="P2520">
        <v>0</v>
      </c>
      <c r="Q2520">
        <v>0</v>
      </c>
      <c r="R2520">
        <v>0</v>
      </c>
      <c r="S2520">
        <v>0</v>
      </c>
      <c r="T2520">
        <v>0</v>
      </c>
      <c r="U2520" t="str">
        <f>IF(SeismicData[[#This Row],[class]]=1,"Dangerous","Safe")</f>
        <v>Safe</v>
      </c>
      <c r="V2520" t="str">
        <f>IF(SeismicData[[#This Row],[shift]]="W","Production","Non-Production")</f>
        <v>Non-Production</v>
      </c>
      <c r="W2520" t="str">
        <f>IF(SeismicData[[#This Row],[genergy]]=0,"0","10^"&amp;INT(LOG10(SeismicData[[#This Row],[genergy]])))</f>
        <v>10^3</v>
      </c>
      <c r="X2520" t="str">
        <f>IF(OR(SeismicData[[#This Row],[genergy]]&lt;$AA$6,SeismicData[[#This Row],[genergy]]&gt;$AA$5),"Outlier","Normal")</f>
        <v>Normal</v>
      </c>
    </row>
    <row r="2521" spans="1:24" x14ac:dyDescent="0.15">
      <c r="A2521">
        <v>2520</v>
      </c>
      <c r="B2521" t="s">
        <v>23</v>
      </c>
      <c r="C2521" t="s">
        <v>20</v>
      </c>
      <c r="D2521" t="s">
        <v>21</v>
      </c>
      <c r="E2521">
        <v>6940</v>
      </c>
      <c r="F2521">
        <v>186</v>
      </c>
      <c r="G2521">
        <v>-39</v>
      </c>
      <c r="H2521">
        <v>-17</v>
      </c>
      <c r="I2521" t="s">
        <v>20</v>
      </c>
      <c r="J2521">
        <v>1</v>
      </c>
      <c r="K2521">
        <v>0</v>
      </c>
      <c r="L2521">
        <v>1</v>
      </c>
      <c r="M2521">
        <v>0</v>
      </c>
      <c r="N2521">
        <v>0</v>
      </c>
      <c r="O2521">
        <v>0</v>
      </c>
      <c r="P2521">
        <v>0</v>
      </c>
      <c r="Q2521">
        <v>0</v>
      </c>
      <c r="R2521">
        <v>2000</v>
      </c>
      <c r="S2521">
        <v>2000</v>
      </c>
      <c r="T2521">
        <v>0</v>
      </c>
      <c r="U2521" t="str">
        <f>IF(SeismicData[[#This Row],[class]]=1,"Dangerous","Safe")</f>
        <v>Safe</v>
      </c>
      <c r="V2521" t="str">
        <f>IF(SeismicData[[#This Row],[shift]]="W","Production","Non-Production")</f>
        <v>Non-Production</v>
      </c>
      <c r="W2521" t="str">
        <f>IF(SeismicData[[#This Row],[genergy]]=0,"0","10^"&amp;INT(LOG10(SeismicData[[#This Row],[genergy]])))</f>
        <v>10^3</v>
      </c>
      <c r="X2521" t="str">
        <f>IF(OR(SeismicData[[#This Row],[genergy]]&lt;$AA$6,SeismicData[[#This Row],[genergy]]&gt;$AA$5),"Outlier","Normal")</f>
        <v>Normal</v>
      </c>
    </row>
    <row r="2522" spans="1:24" x14ac:dyDescent="0.15">
      <c r="A2522">
        <v>2521</v>
      </c>
      <c r="B2522" t="s">
        <v>23</v>
      </c>
      <c r="C2522" t="s">
        <v>20</v>
      </c>
      <c r="D2522" t="s">
        <v>21</v>
      </c>
      <c r="E2522">
        <v>5120</v>
      </c>
      <c r="F2522">
        <v>121</v>
      </c>
      <c r="G2522">
        <v>-55</v>
      </c>
      <c r="H2522">
        <v>-46</v>
      </c>
      <c r="I2522" t="s">
        <v>20</v>
      </c>
      <c r="J2522">
        <v>0</v>
      </c>
      <c r="K2522">
        <v>0</v>
      </c>
      <c r="L2522">
        <v>0</v>
      </c>
      <c r="M2522">
        <v>0</v>
      </c>
      <c r="N2522">
        <v>0</v>
      </c>
      <c r="O2522">
        <v>0</v>
      </c>
      <c r="P2522">
        <v>0</v>
      </c>
      <c r="Q2522">
        <v>0</v>
      </c>
      <c r="R2522">
        <v>0</v>
      </c>
      <c r="S2522">
        <v>0</v>
      </c>
      <c r="T2522">
        <v>0</v>
      </c>
      <c r="U2522" t="str">
        <f>IF(SeismicData[[#This Row],[class]]=1,"Dangerous","Safe")</f>
        <v>Safe</v>
      </c>
      <c r="V2522" t="str">
        <f>IF(SeismicData[[#This Row],[shift]]="W","Production","Non-Production")</f>
        <v>Non-Production</v>
      </c>
      <c r="W2522" t="str">
        <f>IF(SeismicData[[#This Row],[genergy]]=0,"0","10^"&amp;INT(LOG10(SeismicData[[#This Row],[genergy]])))</f>
        <v>10^3</v>
      </c>
      <c r="X2522" t="str">
        <f>IF(OR(SeismicData[[#This Row],[genergy]]&lt;$AA$6,SeismicData[[#This Row],[genergy]]&gt;$AA$5),"Outlier","Normal")</f>
        <v>Normal</v>
      </c>
    </row>
    <row r="2523" spans="1:24" x14ac:dyDescent="0.15">
      <c r="A2523">
        <v>2522</v>
      </c>
      <c r="B2523" t="s">
        <v>23</v>
      </c>
      <c r="C2523" t="s">
        <v>20</v>
      </c>
      <c r="D2523" t="s">
        <v>22</v>
      </c>
      <c r="E2523">
        <v>15530</v>
      </c>
      <c r="F2523">
        <v>237</v>
      </c>
      <c r="G2523">
        <v>33</v>
      </c>
      <c r="H2523">
        <v>-6</v>
      </c>
      <c r="I2523" t="s">
        <v>20</v>
      </c>
      <c r="J2523">
        <v>0</v>
      </c>
      <c r="K2523">
        <v>0</v>
      </c>
      <c r="L2523">
        <v>0</v>
      </c>
      <c r="M2523">
        <v>0</v>
      </c>
      <c r="N2523">
        <v>0</v>
      </c>
      <c r="O2523">
        <v>0</v>
      </c>
      <c r="P2523">
        <v>0</v>
      </c>
      <c r="Q2523">
        <v>0</v>
      </c>
      <c r="R2523">
        <v>0</v>
      </c>
      <c r="S2523">
        <v>0</v>
      </c>
      <c r="T2523">
        <v>0</v>
      </c>
      <c r="U2523" t="str">
        <f>IF(SeismicData[[#This Row],[class]]=1,"Dangerous","Safe")</f>
        <v>Safe</v>
      </c>
      <c r="V2523" t="str">
        <f>IF(SeismicData[[#This Row],[shift]]="W","Production","Non-Production")</f>
        <v>Production</v>
      </c>
      <c r="W2523" t="str">
        <f>IF(SeismicData[[#This Row],[genergy]]=0,"0","10^"&amp;INT(LOG10(SeismicData[[#This Row],[genergy]])))</f>
        <v>10^4</v>
      </c>
      <c r="X2523" t="str">
        <f>IF(OR(SeismicData[[#This Row],[genergy]]&lt;$AA$6,SeismicData[[#This Row],[genergy]]&gt;$AA$5),"Outlier","Normal")</f>
        <v>Normal</v>
      </c>
    </row>
    <row r="2524" spans="1:24" x14ac:dyDescent="0.15">
      <c r="A2524">
        <v>2523</v>
      </c>
      <c r="B2524" t="s">
        <v>23</v>
      </c>
      <c r="C2524" t="s">
        <v>20</v>
      </c>
      <c r="D2524" t="s">
        <v>22</v>
      </c>
      <c r="E2524">
        <v>36410</v>
      </c>
      <c r="F2524">
        <v>646</v>
      </c>
      <c r="G2524">
        <v>152</v>
      </c>
      <c r="H2524">
        <v>142</v>
      </c>
      <c r="I2524" t="s">
        <v>20</v>
      </c>
      <c r="J2524">
        <v>0</v>
      </c>
      <c r="K2524">
        <v>0</v>
      </c>
      <c r="L2524">
        <v>0</v>
      </c>
      <c r="M2524">
        <v>0</v>
      </c>
      <c r="N2524">
        <v>0</v>
      </c>
      <c r="O2524">
        <v>0</v>
      </c>
      <c r="P2524">
        <v>0</v>
      </c>
      <c r="Q2524">
        <v>0</v>
      </c>
      <c r="R2524">
        <v>0</v>
      </c>
      <c r="S2524">
        <v>0</v>
      </c>
      <c r="T2524">
        <v>1</v>
      </c>
      <c r="U2524" t="str">
        <f>IF(SeismicData[[#This Row],[class]]=1,"Dangerous","Safe")</f>
        <v>Dangerous</v>
      </c>
      <c r="V2524" t="str">
        <f>IF(SeismicData[[#This Row],[shift]]="W","Production","Non-Production")</f>
        <v>Production</v>
      </c>
      <c r="W2524" t="str">
        <f>IF(SeismicData[[#This Row],[genergy]]=0,"0","10^"&amp;INT(LOG10(SeismicData[[#This Row],[genergy]])))</f>
        <v>10^4</v>
      </c>
      <c r="X2524" t="str">
        <f>IF(OR(SeismicData[[#This Row],[genergy]]&lt;$AA$6,SeismicData[[#This Row],[genergy]]&gt;$AA$5),"Outlier","Normal")</f>
        <v>Normal</v>
      </c>
    </row>
    <row r="2525" spans="1:24" x14ac:dyDescent="0.15">
      <c r="A2525">
        <v>2524</v>
      </c>
      <c r="B2525" t="s">
        <v>23</v>
      </c>
      <c r="C2525" t="s">
        <v>20</v>
      </c>
      <c r="D2525" t="s">
        <v>22</v>
      </c>
      <c r="E2525">
        <v>14050</v>
      </c>
      <c r="F2525">
        <v>271</v>
      </c>
      <c r="G2525">
        <v>-3</v>
      </c>
      <c r="H2525">
        <v>2</v>
      </c>
      <c r="I2525" t="s">
        <v>20</v>
      </c>
      <c r="J2525">
        <v>1</v>
      </c>
      <c r="K2525">
        <v>0</v>
      </c>
      <c r="L2525">
        <v>0</v>
      </c>
      <c r="M2525">
        <v>0</v>
      </c>
      <c r="N2525">
        <v>1</v>
      </c>
      <c r="O2525">
        <v>0</v>
      </c>
      <c r="P2525">
        <v>0</v>
      </c>
      <c r="Q2525">
        <v>0</v>
      </c>
      <c r="R2525">
        <v>300000</v>
      </c>
      <c r="S2525">
        <v>300000</v>
      </c>
      <c r="T2525">
        <v>0</v>
      </c>
      <c r="U2525" t="str">
        <f>IF(SeismicData[[#This Row],[class]]=1,"Dangerous","Safe")</f>
        <v>Safe</v>
      </c>
      <c r="V2525" t="str">
        <f>IF(SeismicData[[#This Row],[shift]]="W","Production","Non-Production")</f>
        <v>Production</v>
      </c>
      <c r="W2525" t="str">
        <f>IF(SeismicData[[#This Row],[genergy]]=0,"0","10^"&amp;INT(LOG10(SeismicData[[#This Row],[genergy]])))</f>
        <v>10^4</v>
      </c>
      <c r="X2525" t="str">
        <f>IF(OR(SeismicData[[#This Row],[genergy]]&lt;$AA$6,SeismicData[[#This Row],[genergy]]&gt;$AA$5),"Outlier","Normal")</f>
        <v>Normal</v>
      </c>
    </row>
    <row r="2526" spans="1:24" x14ac:dyDescent="0.15">
      <c r="A2526">
        <v>2525</v>
      </c>
      <c r="B2526" t="s">
        <v>23</v>
      </c>
      <c r="C2526" t="s">
        <v>20</v>
      </c>
      <c r="D2526" t="s">
        <v>22</v>
      </c>
      <c r="E2526">
        <v>10280</v>
      </c>
      <c r="F2526">
        <v>228</v>
      </c>
      <c r="G2526">
        <v>-12</v>
      </c>
      <c r="H2526">
        <v>-10</v>
      </c>
      <c r="I2526" t="s">
        <v>20</v>
      </c>
      <c r="J2526">
        <v>0</v>
      </c>
      <c r="K2526">
        <v>0</v>
      </c>
      <c r="L2526">
        <v>0</v>
      </c>
      <c r="M2526">
        <v>0</v>
      </c>
      <c r="N2526">
        <v>0</v>
      </c>
      <c r="O2526">
        <v>0</v>
      </c>
      <c r="P2526">
        <v>0</v>
      </c>
      <c r="Q2526">
        <v>0</v>
      </c>
      <c r="R2526">
        <v>0</v>
      </c>
      <c r="S2526">
        <v>0</v>
      </c>
      <c r="T2526">
        <v>0</v>
      </c>
      <c r="U2526" t="str">
        <f>IF(SeismicData[[#This Row],[class]]=1,"Dangerous","Safe")</f>
        <v>Safe</v>
      </c>
      <c r="V2526" t="str">
        <f>IF(SeismicData[[#This Row],[shift]]="W","Production","Non-Production")</f>
        <v>Production</v>
      </c>
      <c r="W2526" t="str">
        <f>IF(SeismicData[[#This Row],[genergy]]=0,"0","10^"&amp;INT(LOG10(SeismicData[[#This Row],[genergy]])))</f>
        <v>10^4</v>
      </c>
      <c r="X2526" t="str">
        <f>IF(OR(SeismicData[[#This Row],[genergy]]&lt;$AA$6,SeismicData[[#This Row],[genergy]]&gt;$AA$5),"Outlier","Normal")</f>
        <v>Normal</v>
      </c>
    </row>
    <row r="2527" spans="1:24" x14ac:dyDescent="0.15">
      <c r="A2527">
        <v>2526</v>
      </c>
      <c r="B2527" t="s">
        <v>23</v>
      </c>
      <c r="C2527" t="s">
        <v>20</v>
      </c>
      <c r="D2527" t="s">
        <v>22</v>
      </c>
      <c r="E2527">
        <v>17500</v>
      </c>
      <c r="F2527">
        <v>324</v>
      </c>
      <c r="G2527">
        <v>21</v>
      </c>
      <c r="H2527">
        <v>22</v>
      </c>
      <c r="I2527" t="s">
        <v>20</v>
      </c>
      <c r="J2527">
        <v>0</v>
      </c>
      <c r="K2527">
        <v>0</v>
      </c>
      <c r="L2527">
        <v>0</v>
      </c>
      <c r="M2527">
        <v>0</v>
      </c>
      <c r="N2527">
        <v>0</v>
      </c>
      <c r="O2527">
        <v>0</v>
      </c>
      <c r="P2527">
        <v>0</v>
      </c>
      <c r="Q2527">
        <v>0</v>
      </c>
      <c r="R2527">
        <v>0</v>
      </c>
      <c r="S2527">
        <v>0</v>
      </c>
      <c r="T2527">
        <v>0</v>
      </c>
      <c r="U2527" t="str">
        <f>IF(SeismicData[[#This Row],[class]]=1,"Dangerous","Safe")</f>
        <v>Safe</v>
      </c>
      <c r="V2527" t="str">
        <f>IF(SeismicData[[#This Row],[shift]]="W","Production","Non-Production")</f>
        <v>Production</v>
      </c>
      <c r="W2527" t="str">
        <f>IF(SeismicData[[#This Row],[genergy]]=0,"0","10^"&amp;INT(LOG10(SeismicData[[#This Row],[genergy]])))</f>
        <v>10^4</v>
      </c>
      <c r="X2527" t="str">
        <f>IF(OR(SeismicData[[#This Row],[genergy]]&lt;$AA$6,SeismicData[[#This Row],[genergy]]&gt;$AA$5),"Outlier","Normal")</f>
        <v>Normal</v>
      </c>
    </row>
    <row r="2528" spans="1:24" x14ac:dyDescent="0.15">
      <c r="A2528">
        <v>2527</v>
      </c>
      <c r="B2528" t="s">
        <v>23</v>
      </c>
      <c r="C2528" t="s">
        <v>20</v>
      </c>
      <c r="D2528" t="s">
        <v>21</v>
      </c>
      <c r="E2528">
        <v>7590</v>
      </c>
      <c r="F2528">
        <v>227</v>
      </c>
      <c r="G2528">
        <v>-34</v>
      </c>
      <c r="H2528">
        <v>1</v>
      </c>
      <c r="I2528" t="s">
        <v>20</v>
      </c>
      <c r="J2528">
        <v>0</v>
      </c>
      <c r="K2528">
        <v>0</v>
      </c>
      <c r="L2528">
        <v>0</v>
      </c>
      <c r="M2528">
        <v>0</v>
      </c>
      <c r="N2528">
        <v>0</v>
      </c>
      <c r="O2528">
        <v>0</v>
      </c>
      <c r="P2528">
        <v>0</v>
      </c>
      <c r="Q2528">
        <v>0</v>
      </c>
      <c r="R2528">
        <v>0</v>
      </c>
      <c r="S2528">
        <v>0</v>
      </c>
      <c r="T2528">
        <v>0</v>
      </c>
      <c r="U2528" t="str">
        <f>IF(SeismicData[[#This Row],[class]]=1,"Dangerous","Safe")</f>
        <v>Safe</v>
      </c>
      <c r="V2528" t="str">
        <f>IF(SeismicData[[#This Row],[shift]]="W","Production","Non-Production")</f>
        <v>Non-Production</v>
      </c>
      <c r="W2528" t="str">
        <f>IF(SeismicData[[#This Row],[genergy]]=0,"0","10^"&amp;INT(LOG10(SeismicData[[#This Row],[genergy]])))</f>
        <v>10^3</v>
      </c>
      <c r="X2528" t="str">
        <f>IF(OR(SeismicData[[#This Row],[genergy]]&lt;$AA$6,SeismicData[[#This Row],[genergy]]&gt;$AA$5),"Outlier","Normal")</f>
        <v>Normal</v>
      </c>
    </row>
    <row r="2529" spans="1:24" x14ac:dyDescent="0.15">
      <c r="A2529">
        <v>2528</v>
      </c>
      <c r="B2529" t="s">
        <v>23</v>
      </c>
      <c r="C2529" t="s">
        <v>20</v>
      </c>
      <c r="D2529" t="s">
        <v>21</v>
      </c>
      <c r="E2529">
        <v>8910</v>
      </c>
      <c r="F2529">
        <v>209</v>
      </c>
      <c r="G2529">
        <v>-22</v>
      </c>
      <c r="H2529">
        <v>-7</v>
      </c>
      <c r="I2529" t="s">
        <v>20</v>
      </c>
      <c r="J2529">
        <v>0</v>
      </c>
      <c r="K2529">
        <v>0</v>
      </c>
      <c r="L2529">
        <v>0</v>
      </c>
      <c r="M2529">
        <v>0</v>
      </c>
      <c r="N2529">
        <v>0</v>
      </c>
      <c r="O2529">
        <v>0</v>
      </c>
      <c r="P2529">
        <v>0</v>
      </c>
      <c r="Q2529">
        <v>0</v>
      </c>
      <c r="R2529">
        <v>0</v>
      </c>
      <c r="S2529">
        <v>0</v>
      </c>
      <c r="T2529">
        <v>0</v>
      </c>
      <c r="U2529" t="str">
        <f>IF(SeismicData[[#This Row],[class]]=1,"Dangerous","Safe")</f>
        <v>Safe</v>
      </c>
      <c r="V2529" t="str">
        <f>IF(SeismicData[[#This Row],[shift]]="W","Production","Non-Production")</f>
        <v>Non-Production</v>
      </c>
      <c r="W2529" t="str">
        <f>IF(SeismicData[[#This Row],[genergy]]=0,"0","10^"&amp;INT(LOG10(SeismicData[[#This Row],[genergy]])))</f>
        <v>10^3</v>
      </c>
      <c r="X2529" t="str">
        <f>IF(OR(SeismicData[[#This Row],[genergy]]&lt;$AA$6,SeismicData[[#This Row],[genergy]]&gt;$AA$5),"Outlier","Normal")</f>
        <v>Normal</v>
      </c>
    </row>
    <row r="2530" spans="1:24" x14ac:dyDescent="0.15">
      <c r="A2530">
        <v>2529</v>
      </c>
      <c r="B2530" t="s">
        <v>23</v>
      </c>
      <c r="C2530" t="s">
        <v>20</v>
      </c>
      <c r="D2530" t="s">
        <v>21</v>
      </c>
      <c r="E2530">
        <v>7460</v>
      </c>
      <c r="F2530">
        <v>189</v>
      </c>
      <c r="G2530">
        <v>-31</v>
      </c>
      <c r="H2530">
        <v>-2</v>
      </c>
      <c r="I2530" t="s">
        <v>20</v>
      </c>
      <c r="J2530">
        <v>0</v>
      </c>
      <c r="K2530">
        <v>0</v>
      </c>
      <c r="L2530">
        <v>0</v>
      </c>
      <c r="M2530">
        <v>0</v>
      </c>
      <c r="N2530">
        <v>0</v>
      </c>
      <c r="O2530">
        <v>0</v>
      </c>
      <c r="P2530">
        <v>0</v>
      </c>
      <c r="Q2530">
        <v>0</v>
      </c>
      <c r="R2530">
        <v>0</v>
      </c>
      <c r="S2530">
        <v>0</v>
      </c>
      <c r="T2530">
        <v>0</v>
      </c>
      <c r="U2530" t="str">
        <f>IF(SeismicData[[#This Row],[class]]=1,"Dangerous","Safe")</f>
        <v>Safe</v>
      </c>
      <c r="V2530" t="str">
        <f>IF(SeismicData[[#This Row],[shift]]="W","Production","Non-Production")</f>
        <v>Non-Production</v>
      </c>
      <c r="W2530" t="str">
        <f>IF(SeismicData[[#This Row],[genergy]]=0,"0","10^"&amp;INT(LOG10(SeismicData[[#This Row],[genergy]])))</f>
        <v>10^3</v>
      </c>
      <c r="X2530" t="str">
        <f>IF(OR(SeismicData[[#This Row],[genergy]]&lt;$AA$6,SeismicData[[#This Row],[genergy]]&gt;$AA$5),"Outlier","Normal")</f>
        <v>Normal</v>
      </c>
    </row>
    <row r="2531" spans="1:24" x14ac:dyDescent="0.15">
      <c r="A2531">
        <v>2530</v>
      </c>
      <c r="B2531" t="s">
        <v>23</v>
      </c>
      <c r="C2531" t="s">
        <v>20</v>
      </c>
      <c r="D2531" t="s">
        <v>22</v>
      </c>
      <c r="E2531">
        <v>9890</v>
      </c>
      <c r="F2531">
        <v>183</v>
      </c>
      <c r="G2531">
        <v>-29</v>
      </c>
      <c r="H2531">
        <v>-31</v>
      </c>
      <c r="I2531" t="s">
        <v>20</v>
      </c>
      <c r="J2531">
        <v>0</v>
      </c>
      <c r="K2531">
        <v>0</v>
      </c>
      <c r="L2531">
        <v>0</v>
      </c>
      <c r="M2531">
        <v>0</v>
      </c>
      <c r="N2531">
        <v>0</v>
      </c>
      <c r="O2531">
        <v>0</v>
      </c>
      <c r="P2531">
        <v>0</v>
      </c>
      <c r="Q2531">
        <v>0</v>
      </c>
      <c r="R2531">
        <v>0</v>
      </c>
      <c r="S2531">
        <v>0</v>
      </c>
      <c r="T2531">
        <v>0</v>
      </c>
      <c r="U2531" t="str">
        <f>IF(SeismicData[[#This Row],[class]]=1,"Dangerous","Safe")</f>
        <v>Safe</v>
      </c>
      <c r="V2531" t="str">
        <f>IF(SeismicData[[#This Row],[shift]]="W","Production","Non-Production")</f>
        <v>Production</v>
      </c>
      <c r="W2531" t="str">
        <f>IF(SeismicData[[#This Row],[genergy]]=0,"0","10^"&amp;INT(LOG10(SeismicData[[#This Row],[genergy]])))</f>
        <v>10^3</v>
      </c>
      <c r="X2531" t="str">
        <f>IF(OR(SeismicData[[#This Row],[genergy]]&lt;$AA$6,SeismicData[[#This Row],[genergy]]&gt;$AA$5),"Outlier","Normal")</f>
        <v>Normal</v>
      </c>
    </row>
    <row r="2532" spans="1:24" x14ac:dyDescent="0.15">
      <c r="A2532">
        <v>2531</v>
      </c>
      <c r="B2532" t="s">
        <v>23</v>
      </c>
      <c r="C2532" t="s">
        <v>20</v>
      </c>
      <c r="D2532" t="s">
        <v>21</v>
      </c>
      <c r="E2532">
        <v>8520</v>
      </c>
      <c r="F2532">
        <v>216</v>
      </c>
      <c r="G2532">
        <v>-21</v>
      </c>
      <c r="H2532">
        <v>12</v>
      </c>
      <c r="I2532" t="s">
        <v>20</v>
      </c>
      <c r="J2532">
        <v>0</v>
      </c>
      <c r="K2532">
        <v>0</v>
      </c>
      <c r="L2532">
        <v>0</v>
      </c>
      <c r="M2532">
        <v>0</v>
      </c>
      <c r="N2532">
        <v>0</v>
      </c>
      <c r="O2532">
        <v>0</v>
      </c>
      <c r="P2532">
        <v>0</v>
      </c>
      <c r="Q2532">
        <v>0</v>
      </c>
      <c r="R2532">
        <v>0</v>
      </c>
      <c r="S2532">
        <v>0</v>
      </c>
      <c r="T2532">
        <v>0</v>
      </c>
      <c r="U2532" t="str">
        <f>IF(SeismicData[[#This Row],[class]]=1,"Dangerous","Safe")</f>
        <v>Safe</v>
      </c>
      <c r="V2532" t="str">
        <f>IF(SeismicData[[#This Row],[shift]]="W","Production","Non-Production")</f>
        <v>Non-Production</v>
      </c>
      <c r="W2532" t="str">
        <f>IF(SeismicData[[#This Row],[genergy]]=0,"0","10^"&amp;INT(LOG10(SeismicData[[#This Row],[genergy]])))</f>
        <v>10^3</v>
      </c>
      <c r="X2532" t="str">
        <f>IF(OR(SeismicData[[#This Row],[genergy]]&lt;$AA$6,SeismicData[[#This Row],[genergy]]&gt;$AA$5),"Outlier","Normal")</f>
        <v>Normal</v>
      </c>
    </row>
    <row r="2533" spans="1:24" x14ac:dyDescent="0.15">
      <c r="A2533">
        <v>2532</v>
      </c>
      <c r="B2533" t="s">
        <v>23</v>
      </c>
      <c r="C2533" t="s">
        <v>20</v>
      </c>
      <c r="D2533" t="s">
        <v>21</v>
      </c>
      <c r="E2533">
        <v>9340</v>
      </c>
      <c r="F2533">
        <v>148</v>
      </c>
      <c r="G2533">
        <v>-18</v>
      </c>
      <c r="H2533">
        <v>-34</v>
      </c>
      <c r="I2533" t="s">
        <v>20</v>
      </c>
      <c r="J2533">
        <v>0</v>
      </c>
      <c r="K2533">
        <v>0</v>
      </c>
      <c r="L2533">
        <v>0</v>
      </c>
      <c r="M2533">
        <v>0</v>
      </c>
      <c r="N2533">
        <v>0</v>
      </c>
      <c r="O2533">
        <v>0</v>
      </c>
      <c r="P2533">
        <v>0</v>
      </c>
      <c r="Q2533">
        <v>0</v>
      </c>
      <c r="R2533">
        <v>0</v>
      </c>
      <c r="S2533">
        <v>0</v>
      </c>
      <c r="T2533">
        <v>0</v>
      </c>
      <c r="U2533" t="str">
        <f>IF(SeismicData[[#This Row],[class]]=1,"Dangerous","Safe")</f>
        <v>Safe</v>
      </c>
      <c r="V2533" t="str">
        <f>IF(SeismicData[[#This Row],[shift]]="W","Production","Non-Production")</f>
        <v>Non-Production</v>
      </c>
      <c r="W2533" t="str">
        <f>IF(SeismicData[[#This Row],[genergy]]=0,"0","10^"&amp;INT(LOG10(SeismicData[[#This Row],[genergy]])))</f>
        <v>10^3</v>
      </c>
      <c r="X2533" t="str">
        <f>IF(OR(SeismicData[[#This Row],[genergy]]&lt;$AA$6,SeismicData[[#This Row],[genergy]]&gt;$AA$5),"Outlier","Normal")</f>
        <v>Normal</v>
      </c>
    </row>
    <row r="2534" spans="1:24" x14ac:dyDescent="0.15">
      <c r="A2534">
        <v>2533</v>
      </c>
      <c r="B2534" t="s">
        <v>23</v>
      </c>
      <c r="C2534" t="s">
        <v>20</v>
      </c>
      <c r="D2534" t="s">
        <v>21</v>
      </c>
      <c r="E2534">
        <v>2580</v>
      </c>
      <c r="F2534">
        <v>115</v>
      </c>
      <c r="G2534">
        <v>-77</v>
      </c>
      <c r="H2534">
        <v>-49</v>
      </c>
      <c r="I2534" t="s">
        <v>20</v>
      </c>
      <c r="J2534">
        <v>0</v>
      </c>
      <c r="K2534">
        <v>0</v>
      </c>
      <c r="L2534">
        <v>0</v>
      </c>
      <c r="M2534">
        <v>0</v>
      </c>
      <c r="N2534">
        <v>0</v>
      </c>
      <c r="O2534">
        <v>0</v>
      </c>
      <c r="P2534">
        <v>0</v>
      </c>
      <c r="Q2534">
        <v>0</v>
      </c>
      <c r="R2534">
        <v>0</v>
      </c>
      <c r="S2534">
        <v>0</v>
      </c>
      <c r="T2534">
        <v>0</v>
      </c>
      <c r="U2534" t="str">
        <f>IF(SeismicData[[#This Row],[class]]=1,"Dangerous","Safe")</f>
        <v>Safe</v>
      </c>
      <c r="V2534" t="str">
        <f>IF(SeismicData[[#This Row],[shift]]="W","Production","Non-Production")</f>
        <v>Non-Production</v>
      </c>
      <c r="W2534" t="str">
        <f>IF(SeismicData[[#This Row],[genergy]]=0,"0","10^"&amp;INT(LOG10(SeismicData[[#This Row],[genergy]])))</f>
        <v>10^3</v>
      </c>
      <c r="X2534" t="str">
        <f>IF(OR(SeismicData[[#This Row],[genergy]]&lt;$AA$6,SeismicData[[#This Row],[genergy]]&gt;$AA$5),"Outlier","Normal")</f>
        <v>Normal</v>
      </c>
    </row>
    <row r="2535" spans="1:24" x14ac:dyDescent="0.15">
      <c r="A2535">
        <v>2534</v>
      </c>
      <c r="B2535" t="s">
        <v>23</v>
      </c>
      <c r="C2535" t="s">
        <v>20</v>
      </c>
      <c r="D2535" t="s">
        <v>21</v>
      </c>
      <c r="E2535">
        <v>2600</v>
      </c>
      <c r="F2535">
        <v>116</v>
      </c>
      <c r="G2535">
        <v>-76</v>
      </c>
      <c r="H2535">
        <v>-40</v>
      </c>
      <c r="I2535" t="s">
        <v>20</v>
      </c>
      <c r="J2535">
        <v>0</v>
      </c>
      <c r="K2535">
        <v>0</v>
      </c>
      <c r="L2535">
        <v>0</v>
      </c>
      <c r="M2535">
        <v>0</v>
      </c>
      <c r="N2535">
        <v>0</v>
      </c>
      <c r="O2535">
        <v>0</v>
      </c>
      <c r="P2535">
        <v>0</v>
      </c>
      <c r="Q2535">
        <v>0</v>
      </c>
      <c r="R2535">
        <v>0</v>
      </c>
      <c r="S2535">
        <v>0</v>
      </c>
      <c r="T2535">
        <v>0</v>
      </c>
      <c r="U2535" t="str">
        <f>IF(SeismicData[[#This Row],[class]]=1,"Dangerous","Safe")</f>
        <v>Safe</v>
      </c>
      <c r="V2535" t="str">
        <f>IF(SeismicData[[#This Row],[shift]]="W","Production","Non-Production")</f>
        <v>Non-Production</v>
      </c>
      <c r="W2535" t="str">
        <f>IF(SeismicData[[#This Row],[genergy]]=0,"0","10^"&amp;INT(LOG10(SeismicData[[#This Row],[genergy]])))</f>
        <v>10^3</v>
      </c>
      <c r="X2535" t="str">
        <f>IF(OR(SeismicData[[#This Row],[genergy]]&lt;$AA$6,SeismicData[[#This Row],[genergy]]&gt;$AA$5),"Outlier","Normal")</f>
        <v>Normal</v>
      </c>
    </row>
    <row r="2536" spans="1:24" x14ac:dyDescent="0.15">
      <c r="A2536">
        <v>2535</v>
      </c>
      <c r="B2536" t="s">
        <v>23</v>
      </c>
      <c r="C2536" t="s">
        <v>20</v>
      </c>
      <c r="D2536" t="s">
        <v>21</v>
      </c>
      <c r="E2536">
        <v>4140</v>
      </c>
      <c r="F2536">
        <v>111</v>
      </c>
      <c r="G2536">
        <v>-59</v>
      </c>
      <c r="H2536">
        <v>-41</v>
      </c>
      <c r="I2536" t="s">
        <v>20</v>
      </c>
      <c r="J2536">
        <v>0</v>
      </c>
      <c r="K2536">
        <v>0</v>
      </c>
      <c r="L2536">
        <v>0</v>
      </c>
      <c r="M2536">
        <v>0</v>
      </c>
      <c r="N2536">
        <v>0</v>
      </c>
      <c r="O2536">
        <v>0</v>
      </c>
      <c r="P2536">
        <v>0</v>
      </c>
      <c r="Q2536">
        <v>0</v>
      </c>
      <c r="R2536">
        <v>0</v>
      </c>
      <c r="S2536">
        <v>0</v>
      </c>
      <c r="T2536">
        <v>0</v>
      </c>
      <c r="U2536" t="str">
        <f>IF(SeismicData[[#This Row],[class]]=1,"Dangerous","Safe")</f>
        <v>Safe</v>
      </c>
      <c r="V2536" t="str">
        <f>IF(SeismicData[[#This Row],[shift]]="W","Production","Non-Production")</f>
        <v>Non-Production</v>
      </c>
      <c r="W2536" t="str">
        <f>IF(SeismicData[[#This Row],[genergy]]=0,"0","10^"&amp;INT(LOG10(SeismicData[[#This Row],[genergy]])))</f>
        <v>10^3</v>
      </c>
      <c r="X2536" t="str">
        <f>IF(OR(SeismicData[[#This Row],[genergy]]&lt;$AA$6,SeismicData[[#This Row],[genergy]]&gt;$AA$5),"Outlier","Normal")</f>
        <v>Normal</v>
      </c>
    </row>
    <row r="2537" spans="1:24" x14ac:dyDescent="0.15">
      <c r="A2537">
        <v>2536</v>
      </c>
      <c r="B2537" t="s">
        <v>23</v>
      </c>
      <c r="C2537" t="s">
        <v>20</v>
      </c>
      <c r="D2537" t="s">
        <v>21</v>
      </c>
      <c r="E2537">
        <v>8170</v>
      </c>
      <c r="F2537">
        <v>119</v>
      </c>
      <c r="G2537">
        <v>-20</v>
      </c>
      <c r="H2537">
        <v>-37</v>
      </c>
      <c r="I2537" t="s">
        <v>20</v>
      </c>
      <c r="J2537">
        <v>1</v>
      </c>
      <c r="K2537">
        <v>0</v>
      </c>
      <c r="L2537">
        <v>1</v>
      </c>
      <c r="M2537">
        <v>0</v>
      </c>
      <c r="N2537">
        <v>0</v>
      </c>
      <c r="O2537">
        <v>0</v>
      </c>
      <c r="P2537">
        <v>0</v>
      </c>
      <c r="Q2537">
        <v>0</v>
      </c>
      <c r="R2537">
        <v>2000</v>
      </c>
      <c r="S2537">
        <v>2000</v>
      </c>
      <c r="T2537">
        <v>0</v>
      </c>
      <c r="U2537" t="str">
        <f>IF(SeismicData[[#This Row],[class]]=1,"Dangerous","Safe")</f>
        <v>Safe</v>
      </c>
      <c r="V2537" t="str">
        <f>IF(SeismicData[[#This Row],[shift]]="W","Production","Non-Production")</f>
        <v>Non-Production</v>
      </c>
      <c r="W2537" t="str">
        <f>IF(SeismicData[[#This Row],[genergy]]=0,"0","10^"&amp;INT(LOG10(SeismicData[[#This Row],[genergy]])))</f>
        <v>10^3</v>
      </c>
      <c r="X2537" t="str">
        <f>IF(OR(SeismicData[[#This Row],[genergy]]&lt;$AA$6,SeismicData[[#This Row],[genergy]]&gt;$AA$5),"Outlier","Normal")</f>
        <v>Normal</v>
      </c>
    </row>
    <row r="2538" spans="1:24" x14ac:dyDescent="0.15">
      <c r="A2538">
        <v>2537</v>
      </c>
      <c r="B2538" t="s">
        <v>23</v>
      </c>
      <c r="C2538" t="s">
        <v>20</v>
      </c>
      <c r="D2538" t="s">
        <v>21</v>
      </c>
      <c r="E2538">
        <v>6780</v>
      </c>
      <c r="F2538">
        <v>112</v>
      </c>
      <c r="G2538">
        <v>-33</v>
      </c>
      <c r="H2538">
        <v>-40</v>
      </c>
      <c r="I2538" t="s">
        <v>20</v>
      </c>
      <c r="J2538">
        <v>0</v>
      </c>
      <c r="K2538">
        <v>0</v>
      </c>
      <c r="L2538">
        <v>0</v>
      </c>
      <c r="M2538">
        <v>0</v>
      </c>
      <c r="N2538">
        <v>0</v>
      </c>
      <c r="O2538">
        <v>0</v>
      </c>
      <c r="P2538">
        <v>0</v>
      </c>
      <c r="Q2538">
        <v>0</v>
      </c>
      <c r="R2538">
        <v>0</v>
      </c>
      <c r="S2538">
        <v>0</v>
      </c>
      <c r="T2538">
        <v>0</v>
      </c>
      <c r="U2538" t="str">
        <f>IF(SeismicData[[#This Row],[class]]=1,"Dangerous","Safe")</f>
        <v>Safe</v>
      </c>
      <c r="V2538" t="str">
        <f>IF(SeismicData[[#This Row],[shift]]="W","Production","Non-Production")</f>
        <v>Non-Production</v>
      </c>
      <c r="W2538" t="str">
        <f>IF(SeismicData[[#This Row],[genergy]]=0,"0","10^"&amp;INT(LOG10(SeismicData[[#This Row],[genergy]])))</f>
        <v>10^3</v>
      </c>
      <c r="X2538" t="str">
        <f>IF(OR(SeismicData[[#This Row],[genergy]]&lt;$AA$6,SeismicData[[#This Row],[genergy]]&gt;$AA$5),"Outlier","Normal")</f>
        <v>Normal</v>
      </c>
    </row>
    <row r="2539" spans="1:24" x14ac:dyDescent="0.15">
      <c r="A2539">
        <v>2538</v>
      </c>
      <c r="B2539" t="s">
        <v>23</v>
      </c>
      <c r="C2539" t="s">
        <v>20</v>
      </c>
      <c r="D2539" t="s">
        <v>21</v>
      </c>
      <c r="E2539">
        <v>4400</v>
      </c>
      <c r="F2539">
        <v>120</v>
      </c>
      <c r="G2539">
        <v>-57</v>
      </c>
      <c r="H2539">
        <v>-36</v>
      </c>
      <c r="I2539" t="s">
        <v>20</v>
      </c>
      <c r="J2539">
        <v>0</v>
      </c>
      <c r="K2539">
        <v>0</v>
      </c>
      <c r="L2539">
        <v>0</v>
      </c>
      <c r="M2539">
        <v>0</v>
      </c>
      <c r="N2539">
        <v>0</v>
      </c>
      <c r="O2539">
        <v>0</v>
      </c>
      <c r="P2539">
        <v>0</v>
      </c>
      <c r="Q2539">
        <v>0</v>
      </c>
      <c r="R2539">
        <v>0</v>
      </c>
      <c r="S2539">
        <v>0</v>
      </c>
      <c r="T2539">
        <v>0</v>
      </c>
      <c r="U2539" t="str">
        <f>IF(SeismicData[[#This Row],[class]]=1,"Dangerous","Safe")</f>
        <v>Safe</v>
      </c>
      <c r="V2539" t="str">
        <f>IF(SeismicData[[#This Row],[shift]]="W","Production","Non-Production")</f>
        <v>Non-Production</v>
      </c>
      <c r="W2539" t="str">
        <f>IF(SeismicData[[#This Row],[genergy]]=0,"0","10^"&amp;INT(LOG10(SeismicData[[#This Row],[genergy]])))</f>
        <v>10^3</v>
      </c>
      <c r="X2539" t="str">
        <f>IF(OR(SeismicData[[#This Row],[genergy]]&lt;$AA$6,SeismicData[[#This Row],[genergy]]&gt;$AA$5),"Outlier","Normal")</f>
        <v>Normal</v>
      </c>
    </row>
    <row r="2540" spans="1:24" x14ac:dyDescent="0.15">
      <c r="A2540">
        <v>2539</v>
      </c>
      <c r="B2540" t="s">
        <v>23</v>
      </c>
      <c r="C2540" t="s">
        <v>20</v>
      </c>
      <c r="D2540" t="s">
        <v>22</v>
      </c>
      <c r="E2540">
        <v>13070</v>
      </c>
      <c r="F2540">
        <v>189</v>
      </c>
      <c r="G2540">
        <v>13</v>
      </c>
      <c r="H2540">
        <v>-23</v>
      </c>
      <c r="I2540" t="s">
        <v>20</v>
      </c>
      <c r="J2540">
        <v>0</v>
      </c>
      <c r="K2540">
        <v>0</v>
      </c>
      <c r="L2540">
        <v>0</v>
      </c>
      <c r="M2540">
        <v>0</v>
      </c>
      <c r="N2540">
        <v>0</v>
      </c>
      <c r="O2540">
        <v>0</v>
      </c>
      <c r="P2540">
        <v>0</v>
      </c>
      <c r="Q2540">
        <v>0</v>
      </c>
      <c r="R2540">
        <v>0</v>
      </c>
      <c r="S2540">
        <v>0</v>
      </c>
      <c r="T2540">
        <v>0</v>
      </c>
      <c r="U2540" t="str">
        <f>IF(SeismicData[[#This Row],[class]]=1,"Dangerous","Safe")</f>
        <v>Safe</v>
      </c>
      <c r="V2540" t="str">
        <f>IF(SeismicData[[#This Row],[shift]]="W","Production","Non-Production")</f>
        <v>Production</v>
      </c>
      <c r="W2540" t="str">
        <f>IF(SeismicData[[#This Row],[genergy]]=0,"0","10^"&amp;INT(LOG10(SeismicData[[#This Row],[genergy]])))</f>
        <v>10^4</v>
      </c>
      <c r="X2540" t="str">
        <f>IF(OR(SeismicData[[#This Row],[genergy]]&lt;$AA$6,SeismicData[[#This Row],[genergy]]&gt;$AA$5),"Outlier","Normal")</f>
        <v>Normal</v>
      </c>
    </row>
    <row r="2541" spans="1:24" x14ac:dyDescent="0.15">
      <c r="A2541">
        <v>2540</v>
      </c>
      <c r="B2541" t="s">
        <v>23</v>
      </c>
      <c r="C2541" t="s">
        <v>20</v>
      </c>
      <c r="D2541" t="s">
        <v>22</v>
      </c>
      <c r="E2541">
        <v>36870</v>
      </c>
      <c r="F2541">
        <v>579</v>
      </c>
      <c r="G2541">
        <v>163</v>
      </c>
      <c r="H2541">
        <v>119</v>
      </c>
      <c r="I2541" t="s">
        <v>20</v>
      </c>
      <c r="J2541">
        <v>1</v>
      </c>
      <c r="K2541">
        <v>0</v>
      </c>
      <c r="L2541">
        <v>1</v>
      </c>
      <c r="M2541">
        <v>0</v>
      </c>
      <c r="N2541">
        <v>0</v>
      </c>
      <c r="O2541">
        <v>0</v>
      </c>
      <c r="P2541">
        <v>0</v>
      </c>
      <c r="Q2541">
        <v>0</v>
      </c>
      <c r="R2541">
        <v>5000</v>
      </c>
      <c r="S2541">
        <v>5000</v>
      </c>
      <c r="T2541">
        <v>0</v>
      </c>
      <c r="U2541" t="str">
        <f>IF(SeismicData[[#This Row],[class]]=1,"Dangerous","Safe")</f>
        <v>Safe</v>
      </c>
      <c r="V2541" t="str">
        <f>IF(SeismicData[[#This Row],[shift]]="W","Production","Non-Production")</f>
        <v>Production</v>
      </c>
      <c r="W2541" t="str">
        <f>IF(SeismicData[[#This Row],[genergy]]=0,"0","10^"&amp;INT(LOG10(SeismicData[[#This Row],[genergy]])))</f>
        <v>10^4</v>
      </c>
      <c r="X2541" t="str">
        <f>IF(OR(SeismicData[[#This Row],[genergy]]&lt;$AA$6,SeismicData[[#This Row],[genergy]]&gt;$AA$5),"Outlier","Normal")</f>
        <v>Normal</v>
      </c>
    </row>
    <row r="2542" spans="1:24" x14ac:dyDescent="0.15">
      <c r="A2542">
        <v>2541</v>
      </c>
      <c r="B2542" t="s">
        <v>23</v>
      </c>
      <c r="C2542" t="s">
        <v>20</v>
      </c>
      <c r="D2542" t="s">
        <v>22</v>
      </c>
      <c r="E2542">
        <v>16940</v>
      </c>
      <c r="F2542">
        <v>288</v>
      </c>
      <c r="G2542">
        <v>47</v>
      </c>
      <c r="H2542">
        <v>18</v>
      </c>
      <c r="I2542" t="s">
        <v>20</v>
      </c>
      <c r="J2542">
        <v>0</v>
      </c>
      <c r="K2542">
        <v>0</v>
      </c>
      <c r="L2542">
        <v>0</v>
      </c>
      <c r="M2542">
        <v>0</v>
      </c>
      <c r="N2542">
        <v>0</v>
      </c>
      <c r="O2542">
        <v>0</v>
      </c>
      <c r="P2542">
        <v>0</v>
      </c>
      <c r="Q2542">
        <v>0</v>
      </c>
      <c r="R2542">
        <v>0</v>
      </c>
      <c r="S2542">
        <v>0</v>
      </c>
      <c r="T2542">
        <v>0</v>
      </c>
      <c r="U2542" t="str">
        <f>IF(SeismicData[[#This Row],[class]]=1,"Dangerous","Safe")</f>
        <v>Safe</v>
      </c>
      <c r="V2542" t="str">
        <f>IF(SeismicData[[#This Row],[shift]]="W","Production","Non-Production")</f>
        <v>Production</v>
      </c>
      <c r="W2542" t="str">
        <f>IF(SeismicData[[#This Row],[genergy]]=0,"0","10^"&amp;INT(LOG10(SeismicData[[#This Row],[genergy]])))</f>
        <v>10^4</v>
      </c>
      <c r="X2542" t="str">
        <f>IF(OR(SeismicData[[#This Row],[genergy]]&lt;$AA$6,SeismicData[[#This Row],[genergy]]&gt;$AA$5),"Outlier","Normal")</f>
        <v>Normal</v>
      </c>
    </row>
    <row r="2543" spans="1:24" x14ac:dyDescent="0.15">
      <c r="A2543">
        <v>2542</v>
      </c>
      <c r="B2543" t="s">
        <v>23</v>
      </c>
      <c r="C2543" t="s">
        <v>20</v>
      </c>
      <c r="D2543" t="s">
        <v>21</v>
      </c>
      <c r="E2543">
        <v>11190</v>
      </c>
      <c r="F2543">
        <v>245</v>
      </c>
      <c r="G2543">
        <v>10</v>
      </c>
      <c r="H2543">
        <v>31</v>
      </c>
      <c r="I2543" t="s">
        <v>20</v>
      </c>
      <c r="J2543">
        <v>0</v>
      </c>
      <c r="K2543">
        <v>0</v>
      </c>
      <c r="L2543">
        <v>0</v>
      </c>
      <c r="M2543">
        <v>0</v>
      </c>
      <c r="N2543">
        <v>0</v>
      </c>
      <c r="O2543">
        <v>0</v>
      </c>
      <c r="P2543">
        <v>0</v>
      </c>
      <c r="Q2543">
        <v>0</v>
      </c>
      <c r="R2543">
        <v>0</v>
      </c>
      <c r="S2543">
        <v>0</v>
      </c>
      <c r="T2543">
        <v>0</v>
      </c>
      <c r="U2543" t="str">
        <f>IF(SeismicData[[#This Row],[class]]=1,"Dangerous","Safe")</f>
        <v>Safe</v>
      </c>
      <c r="V2543" t="str">
        <f>IF(SeismicData[[#This Row],[shift]]="W","Production","Non-Production")</f>
        <v>Non-Production</v>
      </c>
      <c r="W2543" t="str">
        <f>IF(SeismicData[[#This Row],[genergy]]=0,"0","10^"&amp;INT(LOG10(SeismicData[[#This Row],[genergy]])))</f>
        <v>10^4</v>
      </c>
      <c r="X2543" t="str">
        <f>IF(OR(SeismicData[[#This Row],[genergy]]&lt;$AA$6,SeismicData[[#This Row],[genergy]]&gt;$AA$5),"Outlier","Normal")</f>
        <v>Normal</v>
      </c>
    </row>
    <row r="2544" spans="1:24" x14ac:dyDescent="0.15">
      <c r="A2544">
        <v>2543</v>
      </c>
      <c r="B2544" t="s">
        <v>20</v>
      </c>
      <c r="C2544" t="s">
        <v>20</v>
      </c>
      <c r="D2544" t="s">
        <v>21</v>
      </c>
      <c r="E2544">
        <v>9070</v>
      </c>
      <c r="F2544">
        <v>195</v>
      </c>
      <c r="G2544">
        <v>-11</v>
      </c>
      <c r="H2544">
        <v>4</v>
      </c>
      <c r="I2544" t="s">
        <v>20</v>
      </c>
      <c r="J2544">
        <v>0</v>
      </c>
      <c r="K2544">
        <v>0</v>
      </c>
      <c r="L2544">
        <v>0</v>
      </c>
      <c r="M2544">
        <v>0</v>
      </c>
      <c r="N2544">
        <v>0</v>
      </c>
      <c r="O2544">
        <v>0</v>
      </c>
      <c r="P2544">
        <v>0</v>
      </c>
      <c r="Q2544">
        <v>0</v>
      </c>
      <c r="R2544">
        <v>0</v>
      </c>
      <c r="S2544">
        <v>0</v>
      </c>
      <c r="T2544">
        <v>1</v>
      </c>
      <c r="U2544" t="str">
        <f>IF(SeismicData[[#This Row],[class]]=1,"Dangerous","Safe")</f>
        <v>Dangerous</v>
      </c>
      <c r="V2544" t="str">
        <f>IF(SeismicData[[#This Row],[shift]]="W","Production","Non-Production")</f>
        <v>Non-Production</v>
      </c>
      <c r="W2544" t="str">
        <f>IF(SeismicData[[#This Row],[genergy]]=0,"0","10^"&amp;INT(LOG10(SeismicData[[#This Row],[genergy]])))</f>
        <v>10^3</v>
      </c>
      <c r="X2544" t="str">
        <f>IF(OR(SeismicData[[#This Row],[genergy]]&lt;$AA$6,SeismicData[[#This Row],[genergy]]&gt;$AA$5),"Outlier","Normal")</f>
        <v>Normal</v>
      </c>
    </row>
    <row r="2545" spans="1:24" x14ac:dyDescent="0.15">
      <c r="A2545">
        <v>2544</v>
      </c>
      <c r="B2545" t="s">
        <v>20</v>
      </c>
      <c r="C2545" t="s">
        <v>20</v>
      </c>
      <c r="D2545" t="s">
        <v>21</v>
      </c>
      <c r="E2545">
        <v>9840</v>
      </c>
      <c r="F2545">
        <v>217</v>
      </c>
      <c r="G2545">
        <v>-6</v>
      </c>
      <c r="H2545">
        <v>6</v>
      </c>
      <c r="I2545" t="s">
        <v>20</v>
      </c>
      <c r="J2545">
        <v>1</v>
      </c>
      <c r="K2545">
        <v>0</v>
      </c>
      <c r="L2545">
        <v>0</v>
      </c>
      <c r="M2545">
        <v>1</v>
      </c>
      <c r="N2545">
        <v>0</v>
      </c>
      <c r="O2545">
        <v>0</v>
      </c>
      <c r="P2545">
        <v>0</v>
      </c>
      <c r="Q2545">
        <v>0</v>
      </c>
      <c r="R2545">
        <v>10000</v>
      </c>
      <c r="S2545">
        <v>10000</v>
      </c>
      <c r="T2545">
        <v>0</v>
      </c>
      <c r="U2545" t="str">
        <f>IF(SeismicData[[#This Row],[class]]=1,"Dangerous","Safe")</f>
        <v>Safe</v>
      </c>
      <c r="V2545" t="str">
        <f>IF(SeismicData[[#This Row],[shift]]="W","Production","Non-Production")</f>
        <v>Non-Production</v>
      </c>
      <c r="W2545" t="str">
        <f>IF(SeismicData[[#This Row],[genergy]]=0,"0","10^"&amp;INT(LOG10(SeismicData[[#This Row],[genergy]])))</f>
        <v>10^3</v>
      </c>
      <c r="X2545" t="str">
        <f>IF(OR(SeismicData[[#This Row],[genergy]]&lt;$AA$6,SeismicData[[#This Row],[genergy]]&gt;$AA$5),"Outlier","Normal")</f>
        <v>Normal</v>
      </c>
    </row>
    <row r="2546" spans="1:24" x14ac:dyDescent="0.15">
      <c r="A2546">
        <v>2545</v>
      </c>
      <c r="B2546" t="s">
        <v>20</v>
      </c>
      <c r="C2546" t="s">
        <v>20</v>
      </c>
      <c r="D2546" t="s">
        <v>21</v>
      </c>
      <c r="E2546">
        <v>12960</v>
      </c>
      <c r="F2546">
        <v>194</v>
      </c>
      <c r="G2546">
        <v>27</v>
      </c>
      <c r="H2546">
        <v>3</v>
      </c>
      <c r="I2546" t="s">
        <v>20</v>
      </c>
      <c r="J2546">
        <v>0</v>
      </c>
      <c r="K2546">
        <v>0</v>
      </c>
      <c r="L2546">
        <v>0</v>
      </c>
      <c r="M2546">
        <v>0</v>
      </c>
      <c r="N2546">
        <v>0</v>
      </c>
      <c r="O2546">
        <v>0</v>
      </c>
      <c r="P2546">
        <v>0</v>
      </c>
      <c r="Q2546">
        <v>0</v>
      </c>
      <c r="R2546">
        <v>0</v>
      </c>
      <c r="S2546">
        <v>0</v>
      </c>
      <c r="T2546">
        <v>0</v>
      </c>
      <c r="U2546" t="str">
        <f>IF(SeismicData[[#This Row],[class]]=1,"Dangerous","Safe")</f>
        <v>Safe</v>
      </c>
      <c r="V2546" t="str">
        <f>IF(SeismicData[[#This Row],[shift]]="W","Production","Non-Production")</f>
        <v>Non-Production</v>
      </c>
      <c r="W2546" t="str">
        <f>IF(SeismicData[[#This Row],[genergy]]=0,"0","10^"&amp;INT(LOG10(SeismicData[[#This Row],[genergy]])))</f>
        <v>10^4</v>
      </c>
      <c r="X2546" t="str">
        <f>IF(OR(SeismicData[[#This Row],[genergy]]&lt;$AA$6,SeismicData[[#This Row],[genergy]]&gt;$AA$5),"Outlier","Normal")</f>
        <v>Normal</v>
      </c>
    </row>
    <row r="2547" spans="1:24" x14ac:dyDescent="0.15">
      <c r="A2547">
        <v>2546</v>
      </c>
      <c r="B2547" t="s">
        <v>20</v>
      </c>
      <c r="C2547" t="s">
        <v>20</v>
      </c>
      <c r="D2547" t="s">
        <v>22</v>
      </c>
      <c r="E2547">
        <v>41970</v>
      </c>
      <c r="F2547">
        <v>592</v>
      </c>
      <c r="G2547">
        <v>220</v>
      </c>
      <c r="H2547">
        <v>130</v>
      </c>
      <c r="I2547" t="s">
        <v>20</v>
      </c>
      <c r="J2547">
        <v>0</v>
      </c>
      <c r="K2547">
        <v>0</v>
      </c>
      <c r="L2547">
        <v>0</v>
      </c>
      <c r="M2547">
        <v>0</v>
      </c>
      <c r="N2547">
        <v>0</v>
      </c>
      <c r="O2547">
        <v>0</v>
      </c>
      <c r="P2547">
        <v>0</v>
      </c>
      <c r="Q2547">
        <v>0</v>
      </c>
      <c r="R2547">
        <v>0</v>
      </c>
      <c r="S2547">
        <v>0</v>
      </c>
      <c r="T2547">
        <v>0</v>
      </c>
      <c r="U2547" t="str">
        <f>IF(SeismicData[[#This Row],[class]]=1,"Dangerous","Safe")</f>
        <v>Safe</v>
      </c>
      <c r="V2547" t="str">
        <f>IF(SeismicData[[#This Row],[shift]]="W","Production","Non-Production")</f>
        <v>Production</v>
      </c>
      <c r="W2547" t="str">
        <f>IF(SeismicData[[#This Row],[genergy]]=0,"0","10^"&amp;INT(LOG10(SeismicData[[#This Row],[genergy]])))</f>
        <v>10^4</v>
      </c>
      <c r="X2547" t="str">
        <f>IF(OR(SeismicData[[#This Row],[genergy]]&lt;$AA$6,SeismicData[[#This Row],[genergy]]&gt;$AA$5),"Outlier","Normal")</f>
        <v>Normal</v>
      </c>
    </row>
    <row r="2548" spans="1:24" x14ac:dyDescent="0.15">
      <c r="A2548">
        <v>2547</v>
      </c>
      <c r="B2548" t="s">
        <v>20</v>
      </c>
      <c r="C2548" t="s">
        <v>20</v>
      </c>
      <c r="D2548" t="s">
        <v>22</v>
      </c>
      <c r="E2548">
        <v>25650</v>
      </c>
      <c r="F2548">
        <v>553</v>
      </c>
      <c r="G2548">
        <v>96</v>
      </c>
      <c r="H2548">
        <v>115</v>
      </c>
      <c r="I2548" t="s">
        <v>20</v>
      </c>
      <c r="J2548">
        <v>0</v>
      </c>
      <c r="K2548">
        <v>0</v>
      </c>
      <c r="L2548">
        <v>0</v>
      </c>
      <c r="M2548">
        <v>0</v>
      </c>
      <c r="N2548">
        <v>0</v>
      </c>
      <c r="O2548">
        <v>0</v>
      </c>
      <c r="P2548">
        <v>0</v>
      </c>
      <c r="Q2548">
        <v>0</v>
      </c>
      <c r="R2548">
        <v>0</v>
      </c>
      <c r="S2548">
        <v>0</v>
      </c>
      <c r="T2548">
        <v>0</v>
      </c>
      <c r="U2548" t="str">
        <f>IF(SeismicData[[#This Row],[class]]=1,"Dangerous","Safe")</f>
        <v>Safe</v>
      </c>
      <c r="V2548" t="str">
        <f>IF(SeismicData[[#This Row],[shift]]="W","Production","Non-Production")</f>
        <v>Production</v>
      </c>
      <c r="W2548" t="str">
        <f>IF(SeismicData[[#This Row],[genergy]]=0,"0","10^"&amp;INT(LOG10(SeismicData[[#This Row],[genergy]])))</f>
        <v>10^4</v>
      </c>
      <c r="X2548" t="str">
        <f>IF(OR(SeismicData[[#This Row],[genergy]]&lt;$AA$6,SeismicData[[#This Row],[genergy]]&gt;$AA$5),"Outlier","Normal")</f>
        <v>Normal</v>
      </c>
    </row>
    <row r="2549" spans="1:24" x14ac:dyDescent="0.15">
      <c r="A2549">
        <v>2548</v>
      </c>
      <c r="B2549" t="s">
        <v>20</v>
      </c>
      <c r="C2549" t="s">
        <v>20</v>
      </c>
      <c r="D2549" t="s">
        <v>22</v>
      </c>
      <c r="E2549">
        <v>20750</v>
      </c>
      <c r="F2549">
        <v>329</v>
      </c>
      <c r="G2549">
        <v>88</v>
      </c>
      <c r="H2549">
        <v>42</v>
      </c>
      <c r="I2549" t="s">
        <v>20</v>
      </c>
      <c r="J2549">
        <v>1</v>
      </c>
      <c r="K2549">
        <v>1</v>
      </c>
      <c r="L2549">
        <v>0</v>
      </c>
      <c r="M2549">
        <v>0</v>
      </c>
      <c r="N2549">
        <v>0</v>
      </c>
      <c r="O2549">
        <v>0</v>
      </c>
      <c r="P2549">
        <v>0</v>
      </c>
      <c r="Q2549">
        <v>0</v>
      </c>
      <c r="R2549">
        <v>700</v>
      </c>
      <c r="S2549">
        <v>700</v>
      </c>
      <c r="T2549">
        <v>0</v>
      </c>
      <c r="U2549" t="str">
        <f>IF(SeismicData[[#This Row],[class]]=1,"Dangerous","Safe")</f>
        <v>Safe</v>
      </c>
      <c r="V2549" t="str">
        <f>IF(SeismicData[[#This Row],[shift]]="W","Production","Non-Production")</f>
        <v>Production</v>
      </c>
      <c r="W2549" t="str">
        <f>IF(SeismicData[[#This Row],[genergy]]=0,"0","10^"&amp;INT(LOG10(SeismicData[[#This Row],[genergy]])))</f>
        <v>10^4</v>
      </c>
      <c r="X2549" t="str">
        <f>IF(OR(SeismicData[[#This Row],[genergy]]&lt;$AA$6,SeismicData[[#This Row],[genergy]]&gt;$AA$5),"Outlier","Normal")</f>
        <v>Normal</v>
      </c>
    </row>
    <row r="2550" spans="1:24" x14ac:dyDescent="0.15">
      <c r="A2550">
        <v>2549</v>
      </c>
      <c r="B2550" t="s">
        <v>20</v>
      </c>
      <c r="C2550" t="s">
        <v>20</v>
      </c>
      <c r="D2550" t="s">
        <v>22</v>
      </c>
      <c r="E2550">
        <v>17280</v>
      </c>
      <c r="F2550">
        <v>394</v>
      </c>
      <c r="G2550">
        <v>32</v>
      </c>
      <c r="H2550">
        <v>53</v>
      </c>
      <c r="I2550" t="s">
        <v>20</v>
      </c>
      <c r="J2550">
        <v>1</v>
      </c>
      <c r="K2550">
        <v>1</v>
      </c>
      <c r="L2550">
        <v>0</v>
      </c>
      <c r="M2550">
        <v>0</v>
      </c>
      <c r="N2550">
        <v>0</v>
      </c>
      <c r="O2550">
        <v>0</v>
      </c>
      <c r="P2550">
        <v>0</v>
      </c>
      <c r="Q2550">
        <v>0</v>
      </c>
      <c r="R2550">
        <v>100</v>
      </c>
      <c r="S2550">
        <v>100</v>
      </c>
      <c r="T2550">
        <v>0</v>
      </c>
      <c r="U2550" t="str">
        <f>IF(SeismicData[[#This Row],[class]]=1,"Dangerous","Safe")</f>
        <v>Safe</v>
      </c>
      <c r="V2550" t="str">
        <f>IF(SeismicData[[#This Row],[shift]]="W","Production","Non-Production")</f>
        <v>Production</v>
      </c>
      <c r="W2550" t="str">
        <f>IF(SeismicData[[#This Row],[genergy]]=0,"0","10^"&amp;INT(LOG10(SeismicData[[#This Row],[genergy]])))</f>
        <v>10^4</v>
      </c>
      <c r="X2550" t="str">
        <f>IF(OR(SeismicData[[#This Row],[genergy]]&lt;$AA$6,SeismicData[[#This Row],[genergy]]&gt;$AA$5),"Outlier","Normal")</f>
        <v>Normal</v>
      </c>
    </row>
    <row r="2551" spans="1:24" x14ac:dyDescent="0.15">
      <c r="A2551">
        <v>2550</v>
      </c>
      <c r="B2551" t="s">
        <v>20</v>
      </c>
      <c r="C2551" t="s">
        <v>20</v>
      </c>
      <c r="D2551" t="s">
        <v>22</v>
      </c>
      <c r="E2551">
        <v>76490</v>
      </c>
      <c r="F2551">
        <v>1203</v>
      </c>
      <c r="G2551">
        <v>484</v>
      </c>
      <c r="H2551">
        <v>367</v>
      </c>
      <c r="I2551" t="s">
        <v>23</v>
      </c>
      <c r="J2551">
        <v>0</v>
      </c>
      <c r="K2551">
        <v>0</v>
      </c>
      <c r="L2551">
        <v>0</v>
      </c>
      <c r="M2551">
        <v>0</v>
      </c>
      <c r="N2551">
        <v>0</v>
      </c>
      <c r="O2551">
        <v>0</v>
      </c>
      <c r="P2551">
        <v>0</v>
      </c>
      <c r="Q2551">
        <v>0</v>
      </c>
      <c r="R2551">
        <v>0</v>
      </c>
      <c r="S2551">
        <v>0</v>
      </c>
      <c r="T2551">
        <v>0</v>
      </c>
      <c r="U2551" t="str">
        <f>IF(SeismicData[[#This Row],[class]]=1,"Dangerous","Safe")</f>
        <v>Safe</v>
      </c>
      <c r="V2551" t="str">
        <f>IF(SeismicData[[#This Row],[shift]]="W","Production","Non-Production")</f>
        <v>Production</v>
      </c>
      <c r="W2551" t="str">
        <f>IF(SeismicData[[#This Row],[genergy]]=0,"0","10^"&amp;INT(LOG10(SeismicData[[#This Row],[genergy]])))</f>
        <v>10^4</v>
      </c>
      <c r="X2551" t="str">
        <f>IF(OR(SeismicData[[#This Row],[genergy]]&lt;$AA$6,SeismicData[[#This Row],[genergy]]&gt;$AA$5),"Outlier","Normal")</f>
        <v>Normal</v>
      </c>
    </row>
    <row r="2552" spans="1:24" x14ac:dyDescent="0.15">
      <c r="A2552">
        <v>2551</v>
      </c>
      <c r="B2552" t="s">
        <v>20</v>
      </c>
      <c r="C2552" t="s">
        <v>20</v>
      </c>
      <c r="D2552" t="s">
        <v>22</v>
      </c>
      <c r="E2552">
        <v>28600</v>
      </c>
      <c r="F2552">
        <v>601</v>
      </c>
      <c r="G2552">
        <v>120</v>
      </c>
      <c r="H2552">
        <v>130</v>
      </c>
      <c r="I2552" t="s">
        <v>20</v>
      </c>
      <c r="J2552">
        <v>0</v>
      </c>
      <c r="K2552">
        <v>0</v>
      </c>
      <c r="L2552">
        <v>0</v>
      </c>
      <c r="M2552">
        <v>0</v>
      </c>
      <c r="N2552">
        <v>0</v>
      </c>
      <c r="O2552">
        <v>0</v>
      </c>
      <c r="P2552">
        <v>0</v>
      </c>
      <c r="Q2552">
        <v>0</v>
      </c>
      <c r="R2552">
        <v>0</v>
      </c>
      <c r="S2552">
        <v>0</v>
      </c>
      <c r="T2552">
        <v>0</v>
      </c>
      <c r="U2552" t="str">
        <f>IF(SeismicData[[#This Row],[class]]=1,"Dangerous","Safe")</f>
        <v>Safe</v>
      </c>
      <c r="V2552" t="str">
        <f>IF(SeismicData[[#This Row],[shift]]="W","Production","Non-Production")</f>
        <v>Production</v>
      </c>
      <c r="W2552" t="str">
        <f>IF(SeismicData[[#This Row],[genergy]]=0,"0","10^"&amp;INT(LOG10(SeismicData[[#This Row],[genergy]])))</f>
        <v>10^4</v>
      </c>
      <c r="X2552" t="str">
        <f>IF(OR(SeismicData[[#This Row],[genergy]]&lt;$AA$6,SeismicData[[#This Row],[genergy]]&gt;$AA$5),"Outlier","Normal")</f>
        <v>Normal</v>
      </c>
    </row>
    <row r="2553" spans="1:24" x14ac:dyDescent="0.15">
      <c r="A2553">
        <v>2552</v>
      </c>
      <c r="B2553" t="s">
        <v>20</v>
      </c>
      <c r="C2553" t="s">
        <v>20</v>
      </c>
      <c r="D2553" t="s">
        <v>22</v>
      </c>
      <c r="E2553">
        <v>22890</v>
      </c>
      <c r="F2553">
        <v>283</v>
      </c>
      <c r="G2553">
        <v>104</v>
      </c>
      <c r="H2553">
        <v>23</v>
      </c>
      <c r="I2553" t="s">
        <v>20</v>
      </c>
      <c r="J2553">
        <v>0</v>
      </c>
      <c r="K2553">
        <v>0</v>
      </c>
      <c r="L2553">
        <v>0</v>
      </c>
      <c r="M2553">
        <v>0</v>
      </c>
      <c r="N2553">
        <v>0</v>
      </c>
      <c r="O2553">
        <v>0</v>
      </c>
      <c r="P2553">
        <v>0</v>
      </c>
      <c r="Q2553">
        <v>0</v>
      </c>
      <c r="R2553">
        <v>0</v>
      </c>
      <c r="S2553">
        <v>0</v>
      </c>
      <c r="T2553">
        <v>0</v>
      </c>
      <c r="U2553" t="str">
        <f>IF(SeismicData[[#This Row],[class]]=1,"Dangerous","Safe")</f>
        <v>Safe</v>
      </c>
      <c r="V2553" t="str">
        <f>IF(SeismicData[[#This Row],[shift]]="W","Production","Non-Production")</f>
        <v>Production</v>
      </c>
      <c r="W2553" t="str">
        <f>IF(SeismicData[[#This Row],[genergy]]=0,"0","10^"&amp;INT(LOG10(SeismicData[[#This Row],[genergy]])))</f>
        <v>10^4</v>
      </c>
      <c r="X2553" t="str">
        <f>IF(OR(SeismicData[[#This Row],[genergy]]&lt;$AA$6,SeismicData[[#This Row],[genergy]]&gt;$AA$5),"Outlier","Normal")</f>
        <v>Normal</v>
      </c>
    </row>
    <row r="2554" spans="1:24" x14ac:dyDescent="0.15">
      <c r="A2554">
        <v>2553</v>
      </c>
      <c r="B2554" t="s">
        <v>20</v>
      </c>
      <c r="C2554" t="s">
        <v>20</v>
      </c>
      <c r="D2554" t="s">
        <v>22</v>
      </c>
      <c r="E2554">
        <v>32580</v>
      </c>
      <c r="F2554">
        <v>494</v>
      </c>
      <c r="G2554">
        <v>150</v>
      </c>
      <c r="H2554">
        <v>89</v>
      </c>
      <c r="I2554" t="s">
        <v>20</v>
      </c>
      <c r="J2554">
        <v>3</v>
      </c>
      <c r="K2554">
        <v>3</v>
      </c>
      <c r="L2554">
        <v>0</v>
      </c>
      <c r="M2554">
        <v>0</v>
      </c>
      <c r="N2554">
        <v>0</v>
      </c>
      <c r="O2554">
        <v>0</v>
      </c>
      <c r="P2554">
        <v>0</v>
      </c>
      <c r="Q2554">
        <v>0</v>
      </c>
      <c r="R2554">
        <v>1600</v>
      </c>
      <c r="S2554">
        <v>700</v>
      </c>
      <c r="T2554">
        <v>0</v>
      </c>
      <c r="U2554" t="str">
        <f>IF(SeismicData[[#This Row],[class]]=1,"Dangerous","Safe")</f>
        <v>Safe</v>
      </c>
      <c r="V2554" t="str">
        <f>IF(SeismicData[[#This Row],[shift]]="W","Production","Non-Production")</f>
        <v>Production</v>
      </c>
      <c r="W2554" t="str">
        <f>IF(SeismicData[[#This Row],[genergy]]=0,"0","10^"&amp;INT(LOG10(SeismicData[[#This Row],[genergy]])))</f>
        <v>10^4</v>
      </c>
      <c r="X2554" t="str">
        <f>IF(OR(SeismicData[[#This Row],[genergy]]&lt;$AA$6,SeismicData[[#This Row],[genergy]]&gt;$AA$5),"Outlier","Normal")</f>
        <v>Normal</v>
      </c>
    </row>
    <row r="2555" spans="1:24" x14ac:dyDescent="0.15">
      <c r="A2555">
        <v>2554</v>
      </c>
      <c r="B2555" t="s">
        <v>20</v>
      </c>
      <c r="C2555" t="s">
        <v>20</v>
      </c>
      <c r="D2555" t="s">
        <v>22</v>
      </c>
      <c r="E2555">
        <v>28000</v>
      </c>
      <c r="F2555">
        <v>572</v>
      </c>
      <c r="G2555">
        <v>115</v>
      </c>
      <c r="H2555">
        <v>119</v>
      </c>
      <c r="I2555" t="s">
        <v>20</v>
      </c>
      <c r="J2555">
        <v>0</v>
      </c>
      <c r="K2555">
        <v>0</v>
      </c>
      <c r="L2555">
        <v>0</v>
      </c>
      <c r="M2555">
        <v>0</v>
      </c>
      <c r="N2555">
        <v>0</v>
      </c>
      <c r="O2555">
        <v>0</v>
      </c>
      <c r="P2555">
        <v>0</v>
      </c>
      <c r="Q2555">
        <v>0</v>
      </c>
      <c r="R2555">
        <v>0</v>
      </c>
      <c r="S2555">
        <v>0</v>
      </c>
      <c r="T2555">
        <v>1</v>
      </c>
      <c r="U2555" t="str">
        <f>IF(SeismicData[[#This Row],[class]]=1,"Dangerous","Safe")</f>
        <v>Dangerous</v>
      </c>
      <c r="V2555" t="str">
        <f>IF(SeismicData[[#This Row],[shift]]="W","Production","Non-Production")</f>
        <v>Production</v>
      </c>
      <c r="W2555" t="str">
        <f>IF(SeismicData[[#This Row],[genergy]]=0,"0","10^"&amp;INT(LOG10(SeismicData[[#This Row],[genergy]])))</f>
        <v>10^4</v>
      </c>
      <c r="X2555" t="str">
        <f>IF(OR(SeismicData[[#This Row],[genergy]]&lt;$AA$6,SeismicData[[#This Row],[genergy]]&gt;$AA$5),"Outlier","Normal")</f>
        <v>Normal</v>
      </c>
    </row>
    <row r="2556" spans="1:24" x14ac:dyDescent="0.15">
      <c r="A2556">
        <v>2555</v>
      </c>
      <c r="B2556" t="s">
        <v>20</v>
      </c>
      <c r="C2556" t="s">
        <v>20</v>
      </c>
      <c r="D2556" t="s">
        <v>22</v>
      </c>
      <c r="E2556">
        <v>29320</v>
      </c>
      <c r="F2556">
        <v>526</v>
      </c>
      <c r="G2556">
        <v>125</v>
      </c>
      <c r="H2556">
        <v>101</v>
      </c>
      <c r="I2556" t="s">
        <v>20</v>
      </c>
      <c r="J2556">
        <v>1</v>
      </c>
      <c r="K2556">
        <v>0</v>
      </c>
      <c r="L2556">
        <v>0</v>
      </c>
      <c r="M2556">
        <v>1</v>
      </c>
      <c r="N2556">
        <v>0</v>
      </c>
      <c r="O2556">
        <v>0</v>
      </c>
      <c r="P2556">
        <v>0</v>
      </c>
      <c r="Q2556">
        <v>0</v>
      </c>
      <c r="R2556">
        <v>90000</v>
      </c>
      <c r="S2556">
        <v>90000</v>
      </c>
      <c r="T2556">
        <v>0</v>
      </c>
      <c r="U2556" t="str">
        <f>IF(SeismicData[[#This Row],[class]]=1,"Dangerous","Safe")</f>
        <v>Safe</v>
      </c>
      <c r="V2556" t="str">
        <f>IF(SeismicData[[#This Row],[shift]]="W","Production","Non-Production")</f>
        <v>Production</v>
      </c>
      <c r="W2556" t="str">
        <f>IF(SeismicData[[#This Row],[genergy]]=0,"0","10^"&amp;INT(LOG10(SeismicData[[#This Row],[genergy]])))</f>
        <v>10^4</v>
      </c>
      <c r="X2556" t="str">
        <f>IF(OR(SeismicData[[#This Row],[genergy]]&lt;$AA$6,SeismicData[[#This Row],[genergy]]&gt;$AA$5),"Outlier","Normal")</f>
        <v>Normal</v>
      </c>
    </row>
    <row r="2557" spans="1:24" x14ac:dyDescent="0.15">
      <c r="A2557">
        <v>2556</v>
      </c>
      <c r="B2557" t="s">
        <v>20</v>
      </c>
      <c r="C2557" t="s">
        <v>20</v>
      </c>
      <c r="D2557" t="s">
        <v>22</v>
      </c>
      <c r="E2557">
        <v>32210</v>
      </c>
      <c r="F2557">
        <v>510</v>
      </c>
      <c r="G2557">
        <v>147</v>
      </c>
      <c r="H2557">
        <v>95</v>
      </c>
      <c r="I2557" t="s">
        <v>20</v>
      </c>
      <c r="J2557">
        <v>1</v>
      </c>
      <c r="K2557">
        <v>1</v>
      </c>
      <c r="L2557">
        <v>0</v>
      </c>
      <c r="M2557">
        <v>0</v>
      </c>
      <c r="N2557">
        <v>0</v>
      </c>
      <c r="O2557">
        <v>0</v>
      </c>
      <c r="P2557">
        <v>0</v>
      </c>
      <c r="Q2557">
        <v>0</v>
      </c>
      <c r="R2557">
        <v>600</v>
      </c>
      <c r="S2557">
        <v>600</v>
      </c>
      <c r="T2557">
        <v>0</v>
      </c>
      <c r="U2557" t="str">
        <f>IF(SeismicData[[#This Row],[class]]=1,"Dangerous","Safe")</f>
        <v>Safe</v>
      </c>
      <c r="V2557" t="str">
        <f>IF(SeismicData[[#This Row],[shift]]="W","Production","Non-Production")</f>
        <v>Production</v>
      </c>
      <c r="W2557" t="str">
        <f>IF(SeismicData[[#This Row],[genergy]]=0,"0","10^"&amp;INT(LOG10(SeismicData[[#This Row],[genergy]])))</f>
        <v>10^4</v>
      </c>
      <c r="X2557" t="str">
        <f>IF(OR(SeismicData[[#This Row],[genergy]]&lt;$AA$6,SeismicData[[#This Row],[genergy]]&gt;$AA$5),"Outlier","Normal")</f>
        <v>Normal</v>
      </c>
    </row>
    <row r="2558" spans="1:24" x14ac:dyDescent="0.15">
      <c r="A2558">
        <v>2557</v>
      </c>
      <c r="B2558" t="s">
        <v>20</v>
      </c>
      <c r="C2558" t="s">
        <v>20</v>
      </c>
      <c r="D2558" t="s">
        <v>22</v>
      </c>
      <c r="E2558">
        <v>12140</v>
      </c>
      <c r="F2558">
        <v>317</v>
      </c>
      <c r="G2558">
        <v>8</v>
      </c>
      <c r="H2558">
        <v>38</v>
      </c>
      <c r="I2558" t="s">
        <v>20</v>
      </c>
      <c r="J2558">
        <v>0</v>
      </c>
      <c r="K2558">
        <v>0</v>
      </c>
      <c r="L2558">
        <v>0</v>
      </c>
      <c r="M2558">
        <v>0</v>
      </c>
      <c r="N2558">
        <v>0</v>
      </c>
      <c r="O2558">
        <v>0</v>
      </c>
      <c r="P2558">
        <v>0</v>
      </c>
      <c r="Q2558">
        <v>0</v>
      </c>
      <c r="R2558">
        <v>0</v>
      </c>
      <c r="S2558">
        <v>0</v>
      </c>
      <c r="T2558">
        <v>0</v>
      </c>
      <c r="U2558" t="str">
        <f>IF(SeismicData[[#This Row],[class]]=1,"Dangerous","Safe")</f>
        <v>Safe</v>
      </c>
      <c r="V2558" t="str">
        <f>IF(SeismicData[[#This Row],[shift]]="W","Production","Non-Production")</f>
        <v>Production</v>
      </c>
      <c r="W2558" t="str">
        <f>IF(SeismicData[[#This Row],[genergy]]=0,"0","10^"&amp;INT(LOG10(SeismicData[[#This Row],[genergy]])))</f>
        <v>10^4</v>
      </c>
      <c r="X2558" t="str">
        <f>IF(OR(SeismicData[[#This Row],[genergy]]&lt;$AA$6,SeismicData[[#This Row],[genergy]]&gt;$AA$5),"Outlier","Normal")</f>
        <v>Normal</v>
      </c>
    </row>
    <row r="2559" spans="1:24" x14ac:dyDescent="0.15">
      <c r="A2559">
        <v>2558</v>
      </c>
      <c r="B2559" t="s">
        <v>20</v>
      </c>
      <c r="C2559" t="s">
        <v>20</v>
      </c>
      <c r="D2559" t="s">
        <v>22</v>
      </c>
      <c r="E2559">
        <v>10590</v>
      </c>
      <c r="F2559">
        <v>256</v>
      </c>
      <c r="G2559">
        <v>-19</v>
      </c>
      <c r="H2559">
        <v>-2</v>
      </c>
      <c r="I2559" t="s">
        <v>20</v>
      </c>
      <c r="J2559">
        <v>0</v>
      </c>
      <c r="K2559">
        <v>0</v>
      </c>
      <c r="L2559">
        <v>0</v>
      </c>
      <c r="M2559">
        <v>0</v>
      </c>
      <c r="N2559">
        <v>0</v>
      </c>
      <c r="O2559">
        <v>0</v>
      </c>
      <c r="P2559">
        <v>0</v>
      </c>
      <c r="Q2559">
        <v>0</v>
      </c>
      <c r="R2559">
        <v>0</v>
      </c>
      <c r="S2559">
        <v>0</v>
      </c>
      <c r="T2559">
        <v>0</v>
      </c>
      <c r="U2559" t="str">
        <f>IF(SeismicData[[#This Row],[class]]=1,"Dangerous","Safe")</f>
        <v>Safe</v>
      </c>
      <c r="V2559" t="str">
        <f>IF(SeismicData[[#This Row],[shift]]="W","Production","Non-Production")</f>
        <v>Production</v>
      </c>
      <c r="W2559" t="str">
        <f>IF(SeismicData[[#This Row],[genergy]]=0,"0","10^"&amp;INT(LOG10(SeismicData[[#This Row],[genergy]])))</f>
        <v>10^4</v>
      </c>
      <c r="X2559" t="str">
        <f>IF(OR(SeismicData[[#This Row],[genergy]]&lt;$AA$6,SeismicData[[#This Row],[genergy]]&gt;$AA$5),"Outlier","Normal")</f>
        <v>Normal</v>
      </c>
    </row>
    <row r="2560" spans="1:24" x14ac:dyDescent="0.15">
      <c r="A2560">
        <v>2559</v>
      </c>
      <c r="B2560" t="s">
        <v>23</v>
      </c>
      <c r="C2560" t="s">
        <v>20</v>
      </c>
      <c r="D2560" t="s">
        <v>21</v>
      </c>
      <c r="E2560">
        <v>8560</v>
      </c>
      <c r="F2560">
        <v>210</v>
      </c>
      <c r="G2560">
        <v>-18</v>
      </c>
      <c r="H2560">
        <v>2</v>
      </c>
      <c r="I2560" t="s">
        <v>20</v>
      </c>
      <c r="J2560">
        <v>0</v>
      </c>
      <c r="K2560">
        <v>0</v>
      </c>
      <c r="L2560">
        <v>0</v>
      </c>
      <c r="M2560">
        <v>0</v>
      </c>
      <c r="N2560">
        <v>0</v>
      </c>
      <c r="O2560">
        <v>0</v>
      </c>
      <c r="P2560">
        <v>0</v>
      </c>
      <c r="Q2560">
        <v>0</v>
      </c>
      <c r="R2560">
        <v>0</v>
      </c>
      <c r="S2560">
        <v>0</v>
      </c>
      <c r="T2560">
        <v>0</v>
      </c>
      <c r="U2560" t="str">
        <f>IF(SeismicData[[#This Row],[class]]=1,"Dangerous","Safe")</f>
        <v>Safe</v>
      </c>
      <c r="V2560" t="str">
        <f>IF(SeismicData[[#This Row],[shift]]="W","Production","Non-Production")</f>
        <v>Non-Production</v>
      </c>
      <c r="W2560" t="str">
        <f>IF(SeismicData[[#This Row],[genergy]]=0,"0","10^"&amp;INT(LOG10(SeismicData[[#This Row],[genergy]])))</f>
        <v>10^3</v>
      </c>
      <c r="X2560" t="str">
        <f>IF(OR(SeismicData[[#This Row],[genergy]]&lt;$AA$6,SeismicData[[#This Row],[genergy]]&gt;$AA$5),"Outlier","Normal")</f>
        <v>Normal</v>
      </c>
    </row>
    <row r="2561" spans="1:24" x14ac:dyDescent="0.15">
      <c r="A2561">
        <v>2560</v>
      </c>
      <c r="B2561" t="s">
        <v>23</v>
      </c>
      <c r="C2561" t="s">
        <v>20</v>
      </c>
      <c r="D2561" t="s">
        <v>21</v>
      </c>
      <c r="E2561">
        <v>8470</v>
      </c>
      <c r="F2561">
        <v>203</v>
      </c>
      <c r="G2561">
        <v>-17</v>
      </c>
      <c r="H2561">
        <v>8</v>
      </c>
      <c r="I2561" t="s">
        <v>20</v>
      </c>
      <c r="J2561">
        <v>0</v>
      </c>
      <c r="K2561">
        <v>0</v>
      </c>
      <c r="L2561">
        <v>0</v>
      </c>
      <c r="M2561">
        <v>0</v>
      </c>
      <c r="N2561">
        <v>0</v>
      </c>
      <c r="O2561">
        <v>0</v>
      </c>
      <c r="P2561">
        <v>0</v>
      </c>
      <c r="Q2561">
        <v>0</v>
      </c>
      <c r="R2561">
        <v>0</v>
      </c>
      <c r="S2561">
        <v>0</v>
      </c>
      <c r="T2561">
        <v>0</v>
      </c>
      <c r="U2561" t="str">
        <f>IF(SeismicData[[#This Row],[class]]=1,"Dangerous","Safe")</f>
        <v>Safe</v>
      </c>
      <c r="V2561" t="str">
        <f>IF(SeismicData[[#This Row],[shift]]="W","Production","Non-Production")</f>
        <v>Non-Production</v>
      </c>
      <c r="W2561" t="str">
        <f>IF(SeismicData[[#This Row],[genergy]]=0,"0","10^"&amp;INT(LOG10(SeismicData[[#This Row],[genergy]])))</f>
        <v>10^3</v>
      </c>
      <c r="X2561" t="str">
        <f>IF(OR(SeismicData[[#This Row],[genergy]]&lt;$AA$6,SeismicData[[#This Row],[genergy]]&gt;$AA$5),"Outlier","Normal")</f>
        <v>Normal</v>
      </c>
    </row>
    <row r="2562" spans="1:24" x14ac:dyDescent="0.15">
      <c r="A2562">
        <v>2561</v>
      </c>
      <c r="B2562" t="s">
        <v>23</v>
      </c>
      <c r="C2562" t="s">
        <v>20</v>
      </c>
      <c r="D2562" t="s">
        <v>21</v>
      </c>
      <c r="E2562">
        <v>7220</v>
      </c>
      <c r="F2562">
        <v>218</v>
      </c>
      <c r="G2562">
        <v>-29</v>
      </c>
      <c r="H2562">
        <v>16</v>
      </c>
      <c r="I2562" t="s">
        <v>20</v>
      </c>
      <c r="J2562">
        <v>0</v>
      </c>
      <c r="K2562">
        <v>0</v>
      </c>
      <c r="L2562">
        <v>0</v>
      </c>
      <c r="M2562">
        <v>0</v>
      </c>
      <c r="N2562">
        <v>0</v>
      </c>
      <c r="O2562">
        <v>0</v>
      </c>
      <c r="P2562">
        <v>0</v>
      </c>
      <c r="Q2562">
        <v>0</v>
      </c>
      <c r="R2562">
        <v>0</v>
      </c>
      <c r="S2562">
        <v>0</v>
      </c>
      <c r="T2562">
        <v>0</v>
      </c>
      <c r="U2562" t="str">
        <f>IF(SeismicData[[#This Row],[class]]=1,"Dangerous","Safe")</f>
        <v>Safe</v>
      </c>
      <c r="V2562" t="str">
        <f>IF(SeismicData[[#This Row],[shift]]="W","Production","Non-Production")</f>
        <v>Non-Production</v>
      </c>
      <c r="W2562" t="str">
        <f>IF(SeismicData[[#This Row],[genergy]]=0,"0","10^"&amp;INT(LOG10(SeismicData[[#This Row],[genergy]])))</f>
        <v>10^3</v>
      </c>
      <c r="X2562" t="str">
        <f>IF(OR(SeismicData[[#This Row],[genergy]]&lt;$AA$6,SeismicData[[#This Row],[genergy]]&gt;$AA$5),"Outlier","Normal")</f>
        <v>Normal</v>
      </c>
    </row>
    <row r="2563" spans="1:24" x14ac:dyDescent="0.15">
      <c r="A2563">
        <v>2562</v>
      </c>
      <c r="B2563" t="s">
        <v>23</v>
      </c>
      <c r="C2563" t="s">
        <v>20</v>
      </c>
      <c r="D2563" t="s">
        <v>21</v>
      </c>
      <c r="E2563">
        <v>11700</v>
      </c>
      <c r="F2563">
        <v>181</v>
      </c>
      <c r="G2563">
        <v>15</v>
      </c>
      <c r="H2563">
        <v>-4</v>
      </c>
      <c r="I2563" t="s">
        <v>20</v>
      </c>
      <c r="J2563">
        <v>0</v>
      </c>
      <c r="K2563">
        <v>0</v>
      </c>
      <c r="L2563">
        <v>0</v>
      </c>
      <c r="M2563">
        <v>0</v>
      </c>
      <c r="N2563">
        <v>0</v>
      </c>
      <c r="O2563">
        <v>0</v>
      </c>
      <c r="P2563">
        <v>0</v>
      </c>
      <c r="Q2563">
        <v>0</v>
      </c>
      <c r="R2563">
        <v>0</v>
      </c>
      <c r="S2563">
        <v>0</v>
      </c>
      <c r="T2563">
        <v>0</v>
      </c>
      <c r="U2563" t="str">
        <f>IF(SeismicData[[#This Row],[class]]=1,"Dangerous","Safe")</f>
        <v>Safe</v>
      </c>
      <c r="V2563" t="str">
        <f>IF(SeismicData[[#This Row],[shift]]="W","Production","Non-Production")</f>
        <v>Non-Production</v>
      </c>
      <c r="W2563" t="str">
        <f>IF(SeismicData[[#This Row],[genergy]]=0,"0","10^"&amp;INT(LOG10(SeismicData[[#This Row],[genergy]])))</f>
        <v>10^4</v>
      </c>
      <c r="X2563" t="str">
        <f>IF(OR(SeismicData[[#This Row],[genergy]]&lt;$AA$6,SeismicData[[#This Row],[genergy]]&gt;$AA$5),"Outlier","Normal")</f>
        <v>Normal</v>
      </c>
    </row>
    <row r="2564" spans="1:24" x14ac:dyDescent="0.15">
      <c r="A2564">
        <v>2563</v>
      </c>
      <c r="B2564" t="s">
        <v>23</v>
      </c>
      <c r="C2564" t="s">
        <v>20</v>
      </c>
      <c r="D2564" t="s">
        <v>21</v>
      </c>
      <c r="E2564">
        <v>6970</v>
      </c>
      <c r="F2564">
        <v>154</v>
      </c>
      <c r="G2564">
        <v>-33</v>
      </c>
      <c r="H2564">
        <v>-25</v>
      </c>
      <c r="I2564" t="s">
        <v>20</v>
      </c>
      <c r="J2564">
        <v>0</v>
      </c>
      <c r="K2564">
        <v>0</v>
      </c>
      <c r="L2564">
        <v>0</v>
      </c>
      <c r="M2564">
        <v>0</v>
      </c>
      <c r="N2564">
        <v>0</v>
      </c>
      <c r="O2564">
        <v>0</v>
      </c>
      <c r="P2564">
        <v>0</v>
      </c>
      <c r="Q2564">
        <v>0</v>
      </c>
      <c r="R2564">
        <v>0</v>
      </c>
      <c r="S2564">
        <v>0</v>
      </c>
      <c r="T2564">
        <v>0</v>
      </c>
      <c r="U2564" t="str">
        <f>IF(SeismicData[[#This Row],[class]]=1,"Dangerous","Safe")</f>
        <v>Safe</v>
      </c>
      <c r="V2564" t="str">
        <f>IF(SeismicData[[#This Row],[shift]]="W","Production","Non-Production")</f>
        <v>Non-Production</v>
      </c>
      <c r="W2564" t="str">
        <f>IF(SeismicData[[#This Row],[genergy]]=0,"0","10^"&amp;INT(LOG10(SeismicData[[#This Row],[genergy]])))</f>
        <v>10^3</v>
      </c>
      <c r="X2564" t="str">
        <f>IF(OR(SeismicData[[#This Row],[genergy]]&lt;$AA$6,SeismicData[[#This Row],[genergy]]&gt;$AA$5),"Outlier","Normal")</f>
        <v>Normal</v>
      </c>
    </row>
    <row r="2565" spans="1:24" x14ac:dyDescent="0.15">
      <c r="A2565">
        <v>2564</v>
      </c>
      <c r="B2565" t="s">
        <v>23</v>
      </c>
      <c r="C2565" t="s">
        <v>20</v>
      </c>
      <c r="D2565" t="s">
        <v>22</v>
      </c>
      <c r="E2565">
        <v>6920</v>
      </c>
      <c r="F2565">
        <v>158</v>
      </c>
      <c r="G2565">
        <v>-41</v>
      </c>
      <c r="H2565">
        <v>-32</v>
      </c>
      <c r="I2565" t="s">
        <v>20</v>
      </c>
      <c r="J2565">
        <v>0</v>
      </c>
      <c r="K2565">
        <v>0</v>
      </c>
      <c r="L2565">
        <v>0</v>
      </c>
      <c r="M2565">
        <v>0</v>
      </c>
      <c r="N2565">
        <v>0</v>
      </c>
      <c r="O2565">
        <v>0</v>
      </c>
      <c r="P2565">
        <v>0</v>
      </c>
      <c r="Q2565">
        <v>0</v>
      </c>
      <c r="R2565">
        <v>0</v>
      </c>
      <c r="S2565">
        <v>0</v>
      </c>
      <c r="T2565">
        <v>0</v>
      </c>
      <c r="U2565" t="str">
        <f>IF(SeismicData[[#This Row],[class]]=1,"Dangerous","Safe")</f>
        <v>Safe</v>
      </c>
      <c r="V2565" t="str">
        <f>IF(SeismicData[[#This Row],[shift]]="W","Production","Non-Production")</f>
        <v>Production</v>
      </c>
      <c r="W2565" t="str">
        <f>IF(SeismicData[[#This Row],[genergy]]=0,"0","10^"&amp;INT(LOG10(SeismicData[[#This Row],[genergy]])))</f>
        <v>10^3</v>
      </c>
      <c r="X2565" t="str">
        <f>IF(OR(SeismicData[[#This Row],[genergy]]&lt;$AA$6,SeismicData[[#This Row],[genergy]]&gt;$AA$5),"Outlier","Normal")</f>
        <v>Normal</v>
      </c>
    </row>
    <row r="2566" spans="1:24" x14ac:dyDescent="0.15">
      <c r="A2566">
        <v>2565</v>
      </c>
      <c r="B2566" t="s">
        <v>23</v>
      </c>
      <c r="C2566" t="s">
        <v>20</v>
      </c>
      <c r="D2566" t="s">
        <v>22</v>
      </c>
      <c r="E2566">
        <v>17200</v>
      </c>
      <c r="F2566">
        <v>262</v>
      </c>
      <c r="G2566">
        <v>47</v>
      </c>
      <c r="H2566">
        <v>14</v>
      </c>
      <c r="I2566" t="s">
        <v>20</v>
      </c>
      <c r="J2566">
        <v>0</v>
      </c>
      <c r="K2566">
        <v>0</v>
      </c>
      <c r="L2566">
        <v>0</v>
      </c>
      <c r="M2566">
        <v>0</v>
      </c>
      <c r="N2566">
        <v>0</v>
      </c>
      <c r="O2566">
        <v>0</v>
      </c>
      <c r="P2566">
        <v>0</v>
      </c>
      <c r="Q2566">
        <v>0</v>
      </c>
      <c r="R2566">
        <v>0</v>
      </c>
      <c r="S2566">
        <v>0</v>
      </c>
      <c r="T2566">
        <v>0</v>
      </c>
      <c r="U2566" t="str">
        <f>IF(SeismicData[[#This Row],[class]]=1,"Dangerous","Safe")</f>
        <v>Safe</v>
      </c>
      <c r="V2566" t="str">
        <f>IF(SeismicData[[#This Row],[shift]]="W","Production","Non-Production")</f>
        <v>Production</v>
      </c>
      <c r="W2566" t="str">
        <f>IF(SeismicData[[#This Row],[genergy]]=0,"0","10^"&amp;INT(LOG10(SeismicData[[#This Row],[genergy]])))</f>
        <v>10^4</v>
      </c>
      <c r="X2566" t="str">
        <f>IF(OR(SeismicData[[#This Row],[genergy]]&lt;$AA$6,SeismicData[[#This Row],[genergy]]&gt;$AA$5),"Outlier","Normal")</f>
        <v>Normal</v>
      </c>
    </row>
    <row r="2567" spans="1:24" x14ac:dyDescent="0.15">
      <c r="A2567">
        <v>2566</v>
      </c>
      <c r="B2567" t="s">
        <v>23</v>
      </c>
      <c r="C2567" t="s">
        <v>20</v>
      </c>
      <c r="D2567" t="s">
        <v>22</v>
      </c>
      <c r="E2567">
        <v>42640</v>
      </c>
      <c r="F2567">
        <v>576</v>
      </c>
      <c r="G2567">
        <v>264</v>
      </c>
      <c r="H2567">
        <v>150</v>
      </c>
      <c r="I2567" t="s">
        <v>20</v>
      </c>
      <c r="J2567">
        <v>0</v>
      </c>
      <c r="K2567">
        <v>0</v>
      </c>
      <c r="L2567">
        <v>0</v>
      </c>
      <c r="M2567">
        <v>0</v>
      </c>
      <c r="N2567">
        <v>0</v>
      </c>
      <c r="O2567">
        <v>0</v>
      </c>
      <c r="P2567">
        <v>0</v>
      </c>
      <c r="Q2567">
        <v>0</v>
      </c>
      <c r="R2567">
        <v>0</v>
      </c>
      <c r="S2567">
        <v>0</v>
      </c>
      <c r="T2567">
        <v>0</v>
      </c>
      <c r="U2567" t="str">
        <f>IF(SeismicData[[#This Row],[class]]=1,"Dangerous","Safe")</f>
        <v>Safe</v>
      </c>
      <c r="V2567" t="str">
        <f>IF(SeismicData[[#This Row],[shift]]="W","Production","Non-Production")</f>
        <v>Production</v>
      </c>
      <c r="W2567" t="str">
        <f>IF(SeismicData[[#This Row],[genergy]]=0,"0","10^"&amp;INT(LOG10(SeismicData[[#This Row],[genergy]])))</f>
        <v>10^4</v>
      </c>
      <c r="X2567" t="str">
        <f>IF(OR(SeismicData[[#This Row],[genergy]]&lt;$AA$6,SeismicData[[#This Row],[genergy]]&gt;$AA$5),"Outlier","Normal")</f>
        <v>Normal</v>
      </c>
    </row>
    <row r="2568" spans="1:24" x14ac:dyDescent="0.15">
      <c r="A2568">
        <v>2567</v>
      </c>
      <c r="B2568" t="s">
        <v>23</v>
      </c>
      <c r="C2568" t="s">
        <v>20</v>
      </c>
      <c r="D2568" t="s">
        <v>22</v>
      </c>
      <c r="E2568">
        <v>15130</v>
      </c>
      <c r="F2568">
        <v>372</v>
      </c>
      <c r="G2568">
        <v>18</v>
      </c>
      <c r="H2568">
        <v>51</v>
      </c>
      <c r="I2568" t="s">
        <v>20</v>
      </c>
      <c r="J2568">
        <v>0</v>
      </c>
      <c r="K2568">
        <v>0</v>
      </c>
      <c r="L2568">
        <v>0</v>
      </c>
      <c r="M2568">
        <v>0</v>
      </c>
      <c r="N2568">
        <v>0</v>
      </c>
      <c r="O2568">
        <v>0</v>
      </c>
      <c r="P2568">
        <v>0</v>
      </c>
      <c r="Q2568">
        <v>0</v>
      </c>
      <c r="R2568">
        <v>0</v>
      </c>
      <c r="S2568">
        <v>0</v>
      </c>
      <c r="T2568">
        <v>0</v>
      </c>
      <c r="U2568" t="str">
        <f>IF(SeismicData[[#This Row],[class]]=1,"Dangerous","Safe")</f>
        <v>Safe</v>
      </c>
      <c r="V2568" t="str">
        <f>IF(SeismicData[[#This Row],[shift]]="W","Production","Non-Production")</f>
        <v>Production</v>
      </c>
      <c r="W2568" t="str">
        <f>IF(SeismicData[[#This Row],[genergy]]=0,"0","10^"&amp;INT(LOG10(SeismicData[[#This Row],[genergy]])))</f>
        <v>10^4</v>
      </c>
      <c r="X2568" t="str">
        <f>IF(OR(SeismicData[[#This Row],[genergy]]&lt;$AA$6,SeismicData[[#This Row],[genergy]]&gt;$AA$5),"Outlier","Normal")</f>
        <v>Normal</v>
      </c>
    </row>
    <row r="2569" spans="1:24" x14ac:dyDescent="0.15">
      <c r="A2569">
        <v>2568</v>
      </c>
      <c r="B2569" t="s">
        <v>23</v>
      </c>
      <c r="C2569" t="s">
        <v>20</v>
      </c>
      <c r="D2569" t="s">
        <v>22</v>
      </c>
      <c r="E2569">
        <v>15740</v>
      </c>
      <c r="F2569">
        <v>222</v>
      </c>
      <c r="G2569">
        <v>4</v>
      </c>
      <c r="H2569">
        <v>-27</v>
      </c>
      <c r="I2569" t="s">
        <v>20</v>
      </c>
      <c r="J2569">
        <v>1</v>
      </c>
      <c r="K2569">
        <v>0</v>
      </c>
      <c r="L2569">
        <v>1</v>
      </c>
      <c r="M2569">
        <v>0</v>
      </c>
      <c r="N2569">
        <v>0</v>
      </c>
      <c r="O2569">
        <v>0</v>
      </c>
      <c r="P2569">
        <v>0</v>
      </c>
      <c r="Q2569">
        <v>0</v>
      </c>
      <c r="R2569">
        <v>6000</v>
      </c>
      <c r="S2569">
        <v>6000</v>
      </c>
      <c r="T2569">
        <v>0</v>
      </c>
      <c r="U2569" t="str">
        <f>IF(SeismicData[[#This Row],[class]]=1,"Dangerous","Safe")</f>
        <v>Safe</v>
      </c>
      <c r="V2569" t="str">
        <f>IF(SeismicData[[#This Row],[shift]]="W","Production","Non-Production")</f>
        <v>Production</v>
      </c>
      <c r="W2569" t="str">
        <f>IF(SeismicData[[#This Row],[genergy]]=0,"0","10^"&amp;INT(LOG10(SeismicData[[#This Row],[genergy]])))</f>
        <v>10^4</v>
      </c>
      <c r="X2569" t="str">
        <f>IF(OR(SeismicData[[#This Row],[genergy]]&lt;$AA$6,SeismicData[[#This Row],[genergy]]&gt;$AA$5),"Outlier","Normal")</f>
        <v>Normal</v>
      </c>
    </row>
    <row r="2570" spans="1:24" x14ac:dyDescent="0.15">
      <c r="A2570">
        <v>2569</v>
      </c>
      <c r="B2570" t="s">
        <v>23</v>
      </c>
      <c r="C2570" t="s">
        <v>20</v>
      </c>
      <c r="D2570" t="s">
        <v>22</v>
      </c>
      <c r="E2570">
        <v>12470</v>
      </c>
      <c r="F2570">
        <v>227</v>
      </c>
      <c r="G2570">
        <v>-2</v>
      </c>
      <c r="H2570">
        <v>-8</v>
      </c>
      <c r="I2570" t="s">
        <v>20</v>
      </c>
      <c r="J2570">
        <v>0</v>
      </c>
      <c r="K2570">
        <v>0</v>
      </c>
      <c r="L2570">
        <v>0</v>
      </c>
      <c r="M2570">
        <v>0</v>
      </c>
      <c r="N2570">
        <v>0</v>
      </c>
      <c r="O2570">
        <v>0</v>
      </c>
      <c r="P2570">
        <v>0</v>
      </c>
      <c r="Q2570">
        <v>0</v>
      </c>
      <c r="R2570">
        <v>0</v>
      </c>
      <c r="S2570">
        <v>0</v>
      </c>
      <c r="T2570">
        <v>0</v>
      </c>
      <c r="U2570" t="str">
        <f>IF(SeismicData[[#This Row],[class]]=1,"Dangerous","Safe")</f>
        <v>Safe</v>
      </c>
      <c r="V2570" t="str">
        <f>IF(SeismicData[[#This Row],[shift]]="W","Production","Non-Production")</f>
        <v>Production</v>
      </c>
      <c r="W2570" t="str">
        <f>IF(SeismicData[[#This Row],[genergy]]=0,"0","10^"&amp;INT(LOG10(SeismicData[[#This Row],[genergy]])))</f>
        <v>10^4</v>
      </c>
      <c r="X2570" t="str">
        <f>IF(OR(SeismicData[[#This Row],[genergy]]&lt;$AA$6,SeismicData[[#This Row],[genergy]]&gt;$AA$5),"Outlier","Normal")</f>
        <v>Normal</v>
      </c>
    </row>
    <row r="2571" spans="1:24" x14ac:dyDescent="0.15">
      <c r="A2571">
        <v>2570</v>
      </c>
      <c r="B2571" t="s">
        <v>23</v>
      </c>
      <c r="C2571" t="s">
        <v>20</v>
      </c>
      <c r="D2571" t="s">
        <v>22</v>
      </c>
      <c r="E2571">
        <v>19290</v>
      </c>
      <c r="F2571">
        <v>268</v>
      </c>
      <c r="G2571">
        <v>28</v>
      </c>
      <c r="H2571">
        <v>-12</v>
      </c>
      <c r="I2571" t="s">
        <v>20</v>
      </c>
      <c r="J2571">
        <v>1</v>
      </c>
      <c r="K2571">
        <v>0</v>
      </c>
      <c r="L2571">
        <v>1</v>
      </c>
      <c r="M2571">
        <v>0</v>
      </c>
      <c r="N2571">
        <v>0</v>
      </c>
      <c r="O2571">
        <v>0</v>
      </c>
      <c r="P2571">
        <v>0</v>
      </c>
      <c r="Q2571">
        <v>0</v>
      </c>
      <c r="R2571">
        <v>1000</v>
      </c>
      <c r="S2571">
        <v>1000</v>
      </c>
      <c r="T2571">
        <v>0</v>
      </c>
      <c r="U2571" t="str">
        <f>IF(SeismicData[[#This Row],[class]]=1,"Dangerous","Safe")</f>
        <v>Safe</v>
      </c>
      <c r="V2571" t="str">
        <f>IF(SeismicData[[#This Row],[shift]]="W","Production","Non-Production")</f>
        <v>Production</v>
      </c>
      <c r="W2571" t="str">
        <f>IF(SeismicData[[#This Row],[genergy]]=0,"0","10^"&amp;INT(LOG10(SeismicData[[#This Row],[genergy]])))</f>
        <v>10^4</v>
      </c>
      <c r="X2571" t="str">
        <f>IF(OR(SeismicData[[#This Row],[genergy]]&lt;$AA$6,SeismicData[[#This Row],[genergy]]&gt;$AA$5),"Outlier","Normal")</f>
        <v>Normal</v>
      </c>
    </row>
    <row r="2572" spans="1:24" x14ac:dyDescent="0.15">
      <c r="A2572">
        <v>2571</v>
      </c>
      <c r="B2572" t="s">
        <v>23</v>
      </c>
      <c r="C2572" t="s">
        <v>20</v>
      </c>
      <c r="D2572" t="s">
        <v>22</v>
      </c>
      <c r="E2572">
        <v>24620</v>
      </c>
      <c r="F2572">
        <v>362</v>
      </c>
      <c r="G2572">
        <v>63</v>
      </c>
      <c r="H2572">
        <v>18</v>
      </c>
      <c r="I2572" t="s">
        <v>20</v>
      </c>
      <c r="J2572">
        <v>0</v>
      </c>
      <c r="K2572">
        <v>0</v>
      </c>
      <c r="L2572">
        <v>0</v>
      </c>
      <c r="M2572">
        <v>0</v>
      </c>
      <c r="N2572">
        <v>0</v>
      </c>
      <c r="O2572">
        <v>0</v>
      </c>
      <c r="P2572">
        <v>0</v>
      </c>
      <c r="Q2572">
        <v>0</v>
      </c>
      <c r="R2572">
        <v>0</v>
      </c>
      <c r="S2572">
        <v>0</v>
      </c>
      <c r="T2572">
        <v>0</v>
      </c>
      <c r="U2572" t="str">
        <f>IF(SeismicData[[#This Row],[class]]=1,"Dangerous","Safe")</f>
        <v>Safe</v>
      </c>
      <c r="V2572" t="str">
        <f>IF(SeismicData[[#This Row],[shift]]="W","Production","Non-Production")</f>
        <v>Production</v>
      </c>
      <c r="W2572" t="str">
        <f>IF(SeismicData[[#This Row],[genergy]]=0,"0","10^"&amp;INT(LOG10(SeismicData[[#This Row],[genergy]])))</f>
        <v>10^4</v>
      </c>
      <c r="X2572" t="str">
        <f>IF(OR(SeismicData[[#This Row],[genergy]]&lt;$AA$6,SeismicData[[#This Row],[genergy]]&gt;$AA$5),"Outlier","Normal")</f>
        <v>Normal</v>
      </c>
    </row>
    <row r="2573" spans="1:24" x14ac:dyDescent="0.15">
      <c r="A2573">
        <v>2572</v>
      </c>
      <c r="B2573" t="s">
        <v>23</v>
      </c>
      <c r="C2573" t="s">
        <v>20</v>
      </c>
      <c r="D2573" t="s">
        <v>22</v>
      </c>
      <c r="E2573">
        <v>13460</v>
      </c>
      <c r="F2573">
        <v>229</v>
      </c>
      <c r="G2573">
        <v>-11</v>
      </c>
      <c r="H2573">
        <v>-25</v>
      </c>
      <c r="I2573" t="s">
        <v>20</v>
      </c>
      <c r="J2573">
        <v>0</v>
      </c>
      <c r="K2573">
        <v>0</v>
      </c>
      <c r="L2573">
        <v>0</v>
      </c>
      <c r="M2573">
        <v>0</v>
      </c>
      <c r="N2573">
        <v>0</v>
      </c>
      <c r="O2573">
        <v>0</v>
      </c>
      <c r="P2573">
        <v>0</v>
      </c>
      <c r="Q2573">
        <v>0</v>
      </c>
      <c r="R2573">
        <v>0</v>
      </c>
      <c r="S2573">
        <v>0</v>
      </c>
      <c r="T2573">
        <v>0</v>
      </c>
      <c r="U2573" t="str">
        <f>IF(SeismicData[[#This Row],[class]]=1,"Dangerous","Safe")</f>
        <v>Safe</v>
      </c>
      <c r="V2573" t="str">
        <f>IF(SeismicData[[#This Row],[shift]]="W","Production","Non-Production")</f>
        <v>Production</v>
      </c>
      <c r="W2573" t="str">
        <f>IF(SeismicData[[#This Row],[genergy]]=0,"0","10^"&amp;INT(LOG10(SeismicData[[#This Row],[genergy]])))</f>
        <v>10^4</v>
      </c>
      <c r="X2573" t="str">
        <f>IF(OR(SeismicData[[#This Row],[genergy]]&lt;$AA$6,SeismicData[[#This Row],[genergy]]&gt;$AA$5),"Outlier","Normal")</f>
        <v>Normal</v>
      </c>
    </row>
    <row r="2574" spans="1:24" x14ac:dyDescent="0.15">
      <c r="A2574">
        <v>2573</v>
      </c>
      <c r="B2574" t="s">
        <v>23</v>
      </c>
      <c r="C2574" t="s">
        <v>20</v>
      </c>
      <c r="D2574" t="s">
        <v>22</v>
      </c>
      <c r="E2574">
        <v>14660</v>
      </c>
      <c r="F2574">
        <v>229</v>
      </c>
      <c r="G2574">
        <v>-3</v>
      </c>
      <c r="H2574">
        <v>-25</v>
      </c>
      <c r="I2574" t="s">
        <v>20</v>
      </c>
      <c r="J2574">
        <v>0</v>
      </c>
      <c r="K2574">
        <v>0</v>
      </c>
      <c r="L2574">
        <v>0</v>
      </c>
      <c r="M2574">
        <v>0</v>
      </c>
      <c r="N2574">
        <v>0</v>
      </c>
      <c r="O2574">
        <v>0</v>
      </c>
      <c r="P2574">
        <v>0</v>
      </c>
      <c r="Q2574">
        <v>0</v>
      </c>
      <c r="R2574">
        <v>0</v>
      </c>
      <c r="S2574">
        <v>0</v>
      </c>
      <c r="T2574">
        <v>0</v>
      </c>
      <c r="U2574" t="str">
        <f>IF(SeismicData[[#This Row],[class]]=1,"Dangerous","Safe")</f>
        <v>Safe</v>
      </c>
      <c r="V2574" t="str">
        <f>IF(SeismicData[[#This Row],[shift]]="W","Production","Non-Production")</f>
        <v>Production</v>
      </c>
      <c r="W2574" t="str">
        <f>IF(SeismicData[[#This Row],[genergy]]=0,"0","10^"&amp;INT(LOG10(SeismicData[[#This Row],[genergy]])))</f>
        <v>10^4</v>
      </c>
      <c r="X2574" t="str">
        <f>IF(OR(SeismicData[[#This Row],[genergy]]&lt;$AA$6,SeismicData[[#This Row],[genergy]]&gt;$AA$5),"Outlier","Normal")</f>
        <v>Normal</v>
      </c>
    </row>
    <row r="2575" spans="1:24" x14ac:dyDescent="0.15">
      <c r="A2575">
        <v>2574</v>
      </c>
      <c r="B2575" t="s">
        <v>23</v>
      </c>
      <c r="C2575" t="s">
        <v>20</v>
      </c>
      <c r="D2575" t="s">
        <v>22</v>
      </c>
      <c r="E2575">
        <v>37560</v>
      </c>
      <c r="F2575">
        <v>493</v>
      </c>
      <c r="G2575">
        <v>149</v>
      </c>
      <c r="H2575">
        <v>61</v>
      </c>
      <c r="I2575" t="s">
        <v>20</v>
      </c>
      <c r="J2575">
        <v>1</v>
      </c>
      <c r="K2575">
        <v>1</v>
      </c>
      <c r="L2575">
        <v>0</v>
      </c>
      <c r="M2575">
        <v>0</v>
      </c>
      <c r="N2575">
        <v>0</v>
      </c>
      <c r="O2575">
        <v>0</v>
      </c>
      <c r="P2575">
        <v>0</v>
      </c>
      <c r="Q2575">
        <v>0</v>
      </c>
      <c r="R2575">
        <v>200</v>
      </c>
      <c r="S2575">
        <v>200</v>
      </c>
      <c r="T2575">
        <v>0</v>
      </c>
      <c r="U2575" t="str">
        <f>IF(SeismicData[[#This Row],[class]]=1,"Dangerous","Safe")</f>
        <v>Safe</v>
      </c>
      <c r="V2575" t="str">
        <f>IF(SeismicData[[#This Row],[shift]]="W","Production","Non-Production")</f>
        <v>Production</v>
      </c>
      <c r="W2575" t="str">
        <f>IF(SeismicData[[#This Row],[genergy]]=0,"0","10^"&amp;INT(LOG10(SeismicData[[#This Row],[genergy]])))</f>
        <v>10^4</v>
      </c>
      <c r="X2575" t="str">
        <f>IF(OR(SeismicData[[#This Row],[genergy]]&lt;$AA$6,SeismicData[[#This Row],[genergy]]&gt;$AA$5),"Outlier","Normal")</f>
        <v>Normal</v>
      </c>
    </row>
    <row r="2576" spans="1:24" x14ac:dyDescent="0.15">
      <c r="A2576">
        <v>2575</v>
      </c>
      <c r="B2576" t="s">
        <v>23</v>
      </c>
      <c r="C2576" t="s">
        <v>20</v>
      </c>
      <c r="D2576" t="s">
        <v>22</v>
      </c>
      <c r="E2576">
        <v>27740</v>
      </c>
      <c r="F2576">
        <v>443</v>
      </c>
      <c r="G2576">
        <v>81</v>
      </c>
      <c r="H2576">
        <v>41</v>
      </c>
      <c r="I2576" t="s">
        <v>20</v>
      </c>
      <c r="J2576">
        <v>0</v>
      </c>
      <c r="K2576">
        <v>0</v>
      </c>
      <c r="L2576">
        <v>0</v>
      </c>
      <c r="M2576">
        <v>0</v>
      </c>
      <c r="N2576">
        <v>0</v>
      </c>
      <c r="O2576">
        <v>0</v>
      </c>
      <c r="P2576">
        <v>0</v>
      </c>
      <c r="Q2576">
        <v>0</v>
      </c>
      <c r="R2576">
        <v>0</v>
      </c>
      <c r="S2576">
        <v>0</v>
      </c>
      <c r="T2576">
        <v>0</v>
      </c>
      <c r="U2576" t="str">
        <f>IF(SeismicData[[#This Row],[class]]=1,"Dangerous","Safe")</f>
        <v>Safe</v>
      </c>
      <c r="V2576" t="str">
        <f>IF(SeismicData[[#This Row],[shift]]="W","Production","Non-Production")</f>
        <v>Production</v>
      </c>
      <c r="W2576" t="str">
        <f>IF(SeismicData[[#This Row],[genergy]]=0,"0","10^"&amp;INT(LOG10(SeismicData[[#This Row],[genergy]])))</f>
        <v>10^4</v>
      </c>
      <c r="X2576" t="str">
        <f>IF(OR(SeismicData[[#This Row],[genergy]]&lt;$AA$6,SeismicData[[#This Row],[genergy]]&gt;$AA$5),"Outlier","Normal")</f>
        <v>Normal</v>
      </c>
    </row>
    <row r="2577" spans="1:24" x14ac:dyDescent="0.15">
      <c r="A2577">
        <v>2576</v>
      </c>
      <c r="B2577" t="s">
        <v>23</v>
      </c>
      <c r="C2577" t="s">
        <v>20</v>
      </c>
      <c r="D2577" t="s">
        <v>22</v>
      </c>
      <c r="E2577">
        <v>15460</v>
      </c>
      <c r="F2577">
        <v>249</v>
      </c>
      <c r="G2577">
        <v>15</v>
      </c>
      <c r="H2577">
        <v>-2</v>
      </c>
      <c r="I2577" t="s">
        <v>20</v>
      </c>
      <c r="J2577">
        <v>0</v>
      </c>
      <c r="K2577">
        <v>0</v>
      </c>
      <c r="L2577">
        <v>0</v>
      </c>
      <c r="M2577">
        <v>0</v>
      </c>
      <c r="N2577">
        <v>0</v>
      </c>
      <c r="O2577">
        <v>0</v>
      </c>
      <c r="P2577">
        <v>0</v>
      </c>
      <c r="Q2577">
        <v>0</v>
      </c>
      <c r="R2577">
        <v>0</v>
      </c>
      <c r="S2577">
        <v>0</v>
      </c>
      <c r="T2577">
        <v>0</v>
      </c>
      <c r="U2577" t="str">
        <f>IF(SeismicData[[#This Row],[class]]=1,"Dangerous","Safe")</f>
        <v>Safe</v>
      </c>
      <c r="V2577" t="str">
        <f>IF(SeismicData[[#This Row],[shift]]="W","Production","Non-Production")</f>
        <v>Production</v>
      </c>
      <c r="W2577" t="str">
        <f>IF(SeismicData[[#This Row],[genergy]]=0,"0","10^"&amp;INT(LOG10(SeismicData[[#This Row],[genergy]])))</f>
        <v>10^4</v>
      </c>
      <c r="X2577" t="str">
        <f>IF(OR(SeismicData[[#This Row],[genergy]]&lt;$AA$6,SeismicData[[#This Row],[genergy]]&gt;$AA$5),"Outlier","Normal")</f>
        <v>Normal</v>
      </c>
    </row>
    <row r="2578" spans="1:24" x14ac:dyDescent="0.15">
      <c r="A2578">
        <v>2577</v>
      </c>
      <c r="B2578" t="s">
        <v>23</v>
      </c>
      <c r="C2578" t="s">
        <v>20</v>
      </c>
      <c r="D2578" t="s">
        <v>22</v>
      </c>
      <c r="E2578">
        <v>22060</v>
      </c>
      <c r="F2578">
        <v>275</v>
      </c>
      <c r="G2578">
        <v>64</v>
      </c>
      <c r="H2578">
        <v>8</v>
      </c>
      <c r="I2578" t="s">
        <v>20</v>
      </c>
      <c r="J2578">
        <v>0</v>
      </c>
      <c r="K2578">
        <v>0</v>
      </c>
      <c r="L2578">
        <v>0</v>
      </c>
      <c r="M2578">
        <v>0</v>
      </c>
      <c r="N2578">
        <v>0</v>
      </c>
      <c r="O2578">
        <v>0</v>
      </c>
      <c r="P2578">
        <v>0</v>
      </c>
      <c r="Q2578">
        <v>0</v>
      </c>
      <c r="R2578">
        <v>0</v>
      </c>
      <c r="S2578">
        <v>0</v>
      </c>
      <c r="T2578">
        <v>0</v>
      </c>
      <c r="U2578" t="str">
        <f>IF(SeismicData[[#This Row],[class]]=1,"Dangerous","Safe")</f>
        <v>Safe</v>
      </c>
      <c r="V2578" t="str">
        <f>IF(SeismicData[[#This Row],[shift]]="W","Production","Non-Production")</f>
        <v>Production</v>
      </c>
      <c r="W2578" t="str">
        <f>IF(SeismicData[[#This Row],[genergy]]=0,"0","10^"&amp;INT(LOG10(SeismicData[[#This Row],[genergy]])))</f>
        <v>10^4</v>
      </c>
      <c r="X2578" t="str">
        <f>IF(OR(SeismicData[[#This Row],[genergy]]&lt;$AA$6,SeismicData[[#This Row],[genergy]]&gt;$AA$5),"Outlier","Normal")</f>
        <v>Normal</v>
      </c>
    </row>
    <row r="2579" spans="1:24" x14ac:dyDescent="0.15">
      <c r="A2579">
        <v>2578</v>
      </c>
      <c r="B2579" t="s">
        <v>23</v>
      </c>
      <c r="C2579" t="s">
        <v>20</v>
      </c>
      <c r="D2579" t="s">
        <v>22</v>
      </c>
      <c r="E2579">
        <v>16330</v>
      </c>
      <c r="F2579">
        <v>270</v>
      </c>
      <c r="G2579">
        <v>7</v>
      </c>
      <c r="H2579">
        <v>-14</v>
      </c>
      <c r="I2579" t="s">
        <v>20</v>
      </c>
      <c r="J2579">
        <v>0</v>
      </c>
      <c r="K2579">
        <v>0</v>
      </c>
      <c r="L2579">
        <v>0</v>
      </c>
      <c r="M2579">
        <v>0</v>
      </c>
      <c r="N2579">
        <v>0</v>
      </c>
      <c r="O2579">
        <v>0</v>
      </c>
      <c r="P2579">
        <v>0</v>
      </c>
      <c r="Q2579">
        <v>0</v>
      </c>
      <c r="R2579">
        <v>0</v>
      </c>
      <c r="S2579">
        <v>0</v>
      </c>
      <c r="T2579">
        <v>0</v>
      </c>
      <c r="U2579" t="str">
        <f>IF(SeismicData[[#This Row],[class]]=1,"Dangerous","Safe")</f>
        <v>Safe</v>
      </c>
      <c r="V2579" t="str">
        <f>IF(SeismicData[[#This Row],[shift]]="W","Production","Non-Production")</f>
        <v>Production</v>
      </c>
      <c r="W2579" t="str">
        <f>IF(SeismicData[[#This Row],[genergy]]=0,"0","10^"&amp;INT(LOG10(SeismicData[[#This Row],[genergy]])))</f>
        <v>10^4</v>
      </c>
      <c r="X2579" t="str">
        <f>IF(OR(SeismicData[[#This Row],[genergy]]&lt;$AA$6,SeismicData[[#This Row],[genergy]]&gt;$AA$5),"Outlier","Normal")</f>
        <v>Normal</v>
      </c>
    </row>
    <row r="2580" spans="1:24" x14ac:dyDescent="0.15">
      <c r="A2580">
        <v>2579</v>
      </c>
      <c r="B2580" t="s">
        <v>23</v>
      </c>
      <c r="C2580" t="s">
        <v>20</v>
      </c>
      <c r="D2580" t="s">
        <v>22</v>
      </c>
      <c r="E2580">
        <v>28910</v>
      </c>
      <c r="F2580">
        <v>307</v>
      </c>
      <c r="G2580">
        <v>115</v>
      </c>
      <c r="H2580">
        <v>20</v>
      </c>
      <c r="I2580" t="s">
        <v>20</v>
      </c>
      <c r="J2580">
        <v>0</v>
      </c>
      <c r="K2580">
        <v>0</v>
      </c>
      <c r="L2580">
        <v>0</v>
      </c>
      <c r="M2580">
        <v>0</v>
      </c>
      <c r="N2580">
        <v>0</v>
      </c>
      <c r="O2580">
        <v>0</v>
      </c>
      <c r="P2580">
        <v>0</v>
      </c>
      <c r="Q2580">
        <v>0</v>
      </c>
      <c r="R2580">
        <v>0</v>
      </c>
      <c r="S2580">
        <v>0</v>
      </c>
      <c r="T2580">
        <v>0</v>
      </c>
      <c r="U2580" t="str">
        <f>IF(SeismicData[[#This Row],[class]]=1,"Dangerous","Safe")</f>
        <v>Safe</v>
      </c>
      <c r="V2580" t="str">
        <f>IF(SeismicData[[#This Row],[shift]]="W","Production","Non-Production")</f>
        <v>Production</v>
      </c>
      <c r="W2580" t="str">
        <f>IF(SeismicData[[#This Row],[genergy]]=0,"0","10^"&amp;INT(LOG10(SeismicData[[#This Row],[genergy]])))</f>
        <v>10^4</v>
      </c>
      <c r="X2580" t="str">
        <f>IF(OR(SeismicData[[#This Row],[genergy]]&lt;$AA$6,SeismicData[[#This Row],[genergy]]&gt;$AA$5),"Outlier","Normal")</f>
        <v>Normal</v>
      </c>
    </row>
    <row r="2581" spans="1:24" x14ac:dyDescent="0.15">
      <c r="A2581">
        <v>2580</v>
      </c>
      <c r="B2581" t="s">
        <v>23</v>
      </c>
      <c r="C2581" t="s">
        <v>20</v>
      </c>
      <c r="D2581" t="s">
        <v>22</v>
      </c>
      <c r="E2581">
        <v>81410</v>
      </c>
      <c r="F2581">
        <v>785</v>
      </c>
      <c r="G2581">
        <v>432</v>
      </c>
      <c r="H2581">
        <v>151</v>
      </c>
      <c r="I2581" t="s">
        <v>23</v>
      </c>
      <c r="J2581">
        <v>0</v>
      </c>
      <c r="K2581">
        <v>0</v>
      </c>
      <c r="L2581">
        <v>0</v>
      </c>
      <c r="M2581">
        <v>0</v>
      </c>
      <c r="N2581">
        <v>0</v>
      </c>
      <c r="O2581">
        <v>0</v>
      </c>
      <c r="P2581">
        <v>0</v>
      </c>
      <c r="Q2581">
        <v>0</v>
      </c>
      <c r="R2581">
        <v>0</v>
      </c>
      <c r="S2581">
        <v>0</v>
      </c>
      <c r="T2581">
        <v>0</v>
      </c>
      <c r="U2581" t="str">
        <f>IF(SeismicData[[#This Row],[class]]=1,"Dangerous","Safe")</f>
        <v>Safe</v>
      </c>
      <c r="V2581" t="str">
        <f>IF(SeismicData[[#This Row],[shift]]="W","Production","Non-Production")</f>
        <v>Production</v>
      </c>
      <c r="W2581" t="str">
        <f>IF(SeismicData[[#This Row],[genergy]]=0,"0","10^"&amp;INT(LOG10(SeismicData[[#This Row],[genergy]])))</f>
        <v>10^4</v>
      </c>
      <c r="X2581" t="str">
        <f>IF(OR(SeismicData[[#This Row],[genergy]]&lt;$AA$6,SeismicData[[#This Row],[genergy]]&gt;$AA$5),"Outlier","Normal")</f>
        <v>Normal</v>
      </c>
    </row>
    <row r="2582" spans="1:24" x14ac:dyDescent="0.15">
      <c r="A2582">
        <v>2581</v>
      </c>
      <c r="B2582" t="s">
        <v>23</v>
      </c>
      <c r="C2582" t="s">
        <v>20</v>
      </c>
      <c r="D2582" t="s">
        <v>22</v>
      </c>
      <c r="E2582">
        <v>42110</v>
      </c>
      <c r="F2582">
        <v>555</v>
      </c>
      <c r="G2582">
        <v>213</v>
      </c>
      <c r="H2582">
        <v>118</v>
      </c>
      <c r="I2582" t="s">
        <v>20</v>
      </c>
      <c r="J2582">
        <v>0</v>
      </c>
      <c r="K2582">
        <v>0</v>
      </c>
      <c r="L2582">
        <v>0</v>
      </c>
      <c r="M2582">
        <v>0</v>
      </c>
      <c r="N2582">
        <v>0</v>
      </c>
      <c r="O2582">
        <v>0</v>
      </c>
      <c r="P2582">
        <v>0</v>
      </c>
      <c r="Q2582">
        <v>0</v>
      </c>
      <c r="R2582">
        <v>0</v>
      </c>
      <c r="S2582">
        <v>0</v>
      </c>
      <c r="T2582">
        <v>0</v>
      </c>
      <c r="U2582" t="str">
        <f>IF(SeismicData[[#This Row],[class]]=1,"Dangerous","Safe")</f>
        <v>Safe</v>
      </c>
      <c r="V2582" t="str">
        <f>IF(SeismicData[[#This Row],[shift]]="W","Production","Non-Production")</f>
        <v>Production</v>
      </c>
      <c r="W2582" t="str">
        <f>IF(SeismicData[[#This Row],[genergy]]=0,"0","10^"&amp;INT(LOG10(SeismicData[[#This Row],[genergy]])))</f>
        <v>10^4</v>
      </c>
      <c r="X2582" t="str">
        <f>IF(OR(SeismicData[[#This Row],[genergy]]&lt;$AA$6,SeismicData[[#This Row],[genergy]]&gt;$AA$5),"Outlier","Normal")</f>
        <v>Normal</v>
      </c>
    </row>
    <row r="2583" spans="1:24" x14ac:dyDescent="0.15">
      <c r="A2583">
        <v>2582</v>
      </c>
      <c r="B2583" t="s">
        <v>23</v>
      </c>
      <c r="C2583" t="s">
        <v>20</v>
      </c>
      <c r="D2583" t="s">
        <v>22</v>
      </c>
      <c r="E2583">
        <v>26960</v>
      </c>
      <c r="F2583">
        <v>540</v>
      </c>
      <c r="G2583">
        <v>101</v>
      </c>
      <c r="H2583">
        <v>112</v>
      </c>
      <c r="I2583" t="s">
        <v>20</v>
      </c>
      <c r="J2583">
        <v>0</v>
      </c>
      <c r="K2583">
        <v>0</v>
      </c>
      <c r="L2583">
        <v>0</v>
      </c>
      <c r="M2583">
        <v>0</v>
      </c>
      <c r="N2583">
        <v>0</v>
      </c>
      <c r="O2583">
        <v>0</v>
      </c>
      <c r="P2583">
        <v>0</v>
      </c>
      <c r="Q2583">
        <v>0</v>
      </c>
      <c r="R2583">
        <v>0</v>
      </c>
      <c r="S2583">
        <v>0</v>
      </c>
      <c r="T2583">
        <v>0</v>
      </c>
      <c r="U2583" t="str">
        <f>IF(SeismicData[[#This Row],[class]]=1,"Dangerous","Safe")</f>
        <v>Safe</v>
      </c>
      <c r="V2583" t="str">
        <f>IF(SeismicData[[#This Row],[shift]]="W","Production","Non-Production")</f>
        <v>Production</v>
      </c>
      <c r="W2583" t="str">
        <f>IF(SeismicData[[#This Row],[genergy]]=0,"0","10^"&amp;INT(LOG10(SeismicData[[#This Row],[genergy]])))</f>
        <v>10^4</v>
      </c>
      <c r="X2583" t="str">
        <f>IF(OR(SeismicData[[#This Row],[genergy]]&lt;$AA$6,SeismicData[[#This Row],[genergy]]&gt;$AA$5),"Outlier","Normal")</f>
        <v>Normal</v>
      </c>
    </row>
    <row r="2584" spans="1:24" x14ac:dyDescent="0.15">
      <c r="A2584">
        <v>2583</v>
      </c>
      <c r="B2584" t="s">
        <v>20</v>
      </c>
      <c r="C2584" t="s">
        <v>20</v>
      </c>
      <c r="D2584" t="s">
        <v>22</v>
      </c>
      <c r="E2584">
        <v>16130</v>
      </c>
      <c r="F2584">
        <v>322</v>
      </c>
      <c r="G2584">
        <v>2</v>
      </c>
      <c r="H2584">
        <v>2</v>
      </c>
      <c r="I2584" t="s">
        <v>20</v>
      </c>
      <c r="J2584">
        <v>0</v>
      </c>
      <c r="K2584">
        <v>0</v>
      </c>
      <c r="L2584">
        <v>0</v>
      </c>
      <c r="M2584">
        <v>0</v>
      </c>
      <c r="N2584">
        <v>0</v>
      </c>
      <c r="O2584">
        <v>0</v>
      </c>
      <c r="P2584">
        <v>0</v>
      </c>
      <c r="Q2584">
        <v>0</v>
      </c>
      <c r="R2584">
        <v>0</v>
      </c>
      <c r="S2584">
        <v>0</v>
      </c>
      <c r="T2584">
        <v>0</v>
      </c>
      <c r="U2584" t="str">
        <f>IF(SeismicData[[#This Row],[class]]=1,"Dangerous","Safe")</f>
        <v>Safe</v>
      </c>
      <c r="V2584" t="str">
        <f>IF(SeismicData[[#This Row],[shift]]="W","Production","Non-Production")</f>
        <v>Production</v>
      </c>
      <c r="W2584" t="str">
        <f>IF(SeismicData[[#This Row],[genergy]]=0,"0","10^"&amp;INT(LOG10(SeismicData[[#This Row],[genergy]])))</f>
        <v>10^4</v>
      </c>
      <c r="X2584" t="str">
        <f>IF(OR(SeismicData[[#This Row],[genergy]]&lt;$AA$6,SeismicData[[#This Row],[genergy]]&gt;$AA$5),"Outlier","Normal")</f>
        <v>Normal</v>
      </c>
    </row>
    <row r="2585" spans="1:24" x14ac:dyDescent="0.15">
      <c r="A2585">
        <v>2584</v>
      </c>
      <c r="B2585" t="s">
        <v>20</v>
      </c>
      <c r="C2585" t="s">
        <v>20</v>
      </c>
      <c r="D2585" t="s">
        <v>22</v>
      </c>
      <c r="E2585">
        <v>12750</v>
      </c>
      <c r="F2585">
        <v>235</v>
      </c>
      <c r="G2585">
        <v>-10</v>
      </c>
      <c r="H2585">
        <v>-10</v>
      </c>
      <c r="I2585" t="s">
        <v>20</v>
      </c>
      <c r="J2585">
        <v>0</v>
      </c>
      <c r="K2585">
        <v>0</v>
      </c>
      <c r="L2585">
        <v>0</v>
      </c>
      <c r="M2585">
        <v>0</v>
      </c>
      <c r="N2585">
        <v>0</v>
      </c>
      <c r="O2585">
        <v>0</v>
      </c>
      <c r="P2585">
        <v>0</v>
      </c>
      <c r="Q2585">
        <v>0</v>
      </c>
      <c r="R2585">
        <v>0</v>
      </c>
      <c r="S2585">
        <v>0</v>
      </c>
      <c r="T2585">
        <v>0</v>
      </c>
      <c r="U2585" t="str">
        <f>IF(SeismicData[[#This Row],[class]]=1,"Dangerous","Safe")</f>
        <v>Safe</v>
      </c>
      <c r="V2585" t="str">
        <f>IF(SeismicData[[#This Row],[shift]]="W","Production","Non-Production")</f>
        <v>Production</v>
      </c>
      <c r="W2585" t="str">
        <f>IF(SeismicData[[#This Row],[genergy]]=0,"0","10^"&amp;INT(LOG10(SeismicData[[#This Row],[genergy]])))</f>
        <v>10^4</v>
      </c>
      <c r="X2585" t="str">
        <f>IF(OR(SeismicData[[#This Row],[genergy]]&lt;$AA$6,SeismicData[[#This Row],[genergy]]&gt;$AA$5),"Outlier","Normal")</f>
        <v>Normal</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Roman"&amp;12&amp;A</oddHeader>
    <oddFooter>&amp;C&amp;"Times New Roman"&amp;12Page &amp;P</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B0167-F29B-8E42-8C1C-553CC9A8DF08}">
  <dimension ref="A3:J33"/>
  <sheetViews>
    <sheetView zoomScale="130" zoomScaleNormal="130" workbookViewId="0">
      <selection activeCell="D24" sqref="D24"/>
    </sheetView>
  </sheetViews>
  <sheetFormatPr baseColWidth="10" defaultRowHeight="13" x14ac:dyDescent="0.15"/>
  <cols>
    <col min="1" max="1" width="13.1640625" bestFit="1" customWidth="1"/>
    <col min="2" max="2" width="15" bestFit="1" customWidth="1"/>
    <col min="3" max="3" width="11" bestFit="1" customWidth="1"/>
    <col min="4" max="4" width="13.1640625" bestFit="1" customWidth="1"/>
    <col min="5" max="5" width="10.1640625" bestFit="1" customWidth="1"/>
    <col min="6" max="6" width="17.1640625" bestFit="1" customWidth="1"/>
    <col min="7" max="7" width="16.33203125" bestFit="1" customWidth="1"/>
    <col min="8" max="8" width="13.6640625" bestFit="1" customWidth="1"/>
    <col min="9" max="9" width="16" bestFit="1" customWidth="1"/>
    <col min="10" max="10" width="18.33203125" bestFit="1" customWidth="1"/>
  </cols>
  <sheetData>
    <row r="3" spans="1:10" x14ac:dyDescent="0.15">
      <c r="A3" t="s">
        <v>39</v>
      </c>
      <c r="B3" t="s">
        <v>37</v>
      </c>
      <c r="C3" t="s">
        <v>38</v>
      </c>
      <c r="D3" t="s">
        <v>40</v>
      </c>
      <c r="E3" t="s">
        <v>41</v>
      </c>
      <c r="F3" t="s">
        <v>42</v>
      </c>
      <c r="G3" t="s">
        <v>43</v>
      </c>
      <c r="H3" t="s">
        <v>44</v>
      </c>
      <c r="I3" t="s">
        <v>51</v>
      </c>
      <c r="J3" t="s">
        <v>52</v>
      </c>
    </row>
    <row r="4" spans="1:10" x14ac:dyDescent="0.15">
      <c r="A4" s="4">
        <v>2584</v>
      </c>
      <c r="B4" s="4">
        <v>170</v>
      </c>
      <c r="C4" s="5">
        <v>6.5789473684210523E-2</v>
      </c>
      <c r="D4" s="7">
        <v>90242.523219814248</v>
      </c>
      <c r="E4" s="6">
        <v>538.57933436532505</v>
      </c>
      <c r="F4" s="8">
        <v>0.85952012383900933</v>
      </c>
      <c r="G4" s="6">
        <v>4975.2708978328174</v>
      </c>
      <c r="H4" s="6">
        <v>2595650</v>
      </c>
      <c r="I4" s="6">
        <v>4.5089009287925697</v>
      </c>
      <c r="J4" s="6">
        <v>12.37577399380805</v>
      </c>
    </row>
    <row r="5" spans="1:10" x14ac:dyDescent="0.15">
      <c r="A5">
        <f>GETPIVOTDATA("shift_count",$A$3)</f>
        <v>2584</v>
      </c>
      <c r="B5">
        <f>GETPIVOTDATA("danger count",$A$3)</f>
        <v>170</v>
      </c>
      <c r="C5" s="9">
        <f>GETPIVOTDATA("danger_rate",$A$3)</f>
        <v>6.5789473684210523E-2</v>
      </c>
      <c r="D5" s="1">
        <f>GETPIVOTDATA("Average of genergy",$A$3)</f>
        <v>90242.523219814248</v>
      </c>
      <c r="E5" s="1">
        <f>GETPIVOTDATA("Average of gpuls",$A$3)</f>
        <v>538.57933436532505</v>
      </c>
      <c r="F5" s="11">
        <f>GETPIVOTDATA("Average of nbumps",$A$3)</f>
        <v>0.85952012383900933</v>
      </c>
      <c r="G5" s="1">
        <f>GETPIVOTDATA("Average of energy",$A$3)</f>
        <v>4975.2708978328174</v>
      </c>
      <c r="H5" s="1">
        <f>GETPIVOTDATA("Max of genergy",$A$3)</f>
        <v>2595650</v>
      </c>
      <c r="I5" s="10">
        <f>GETPIVOTDATA("Average of gdpuls",$A$3)</f>
        <v>4.5089009287925697</v>
      </c>
      <c r="J5" s="8">
        <f>GETPIVOTDATA("Average of gdenergy",$A$3)</f>
        <v>12.37577399380805</v>
      </c>
    </row>
    <row r="7" spans="1:10" x14ac:dyDescent="0.15">
      <c r="A7" s="2" t="s">
        <v>34</v>
      </c>
      <c r="B7" t="s">
        <v>38</v>
      </c>
      <c r="D7" s="2" t="s">
        <v>34</v>
      </c>
      <c r="E7" t="s">
        <v>39</v>
      </c>
    </row>
    <row r="8" spans="1:10" x14ac:dyDescent="0.15">
      <c r="A8" s="3" t="s">
        <v>20</v>
      </c>
      <c r="B8" s="5">
        <v>6.6609735269000853E-2</v>
      </c>
      <c r="D8" s="3">
        <v>0</v>
      </c>
      <c r="E8" s="6">
        <v>1464</v>
      </c>
    </row>
    <row r="9" spans="1:10" x14ac:dyDescent="0.15">
      <c r="A9" s="3" t="s">
        <v>23</v>
      </c>
      <c r="B9" s="5">
        <v>6.6037735849056603E-2</v>
      </c>
      <c r="D9" s="3">
        <v>1</v>
      </c>
      <c r="E9" s="6">
        <v>598</v>
      </c>
    </row>
    <row r="10" spans="1:10" x14ac:dyDescent="0.15">
      <c r="A10" s="3" t="s">
        <v>24</v>
      </c>
      <c r="B10" s="5">
        <v>0</v>
      </c>
      <c r="D10" s="3">
        <v>2</v>
      </c>
      <c r="E10" s="6">
        <v>245</v>
      </c>
    </row>
    <row r="11" spans="1:10" x14ac:dyDescent="0.15">
      <c r="A11" s="3" t="s">
        <v>35</v>
      </c>
      <c r="B11" s="5">
        <v>6.5789473684210523E-2</v>
      </c>
      <c r="D11" s="3">
        <v>3</v>
      </c>
      <c r="E11" s="6">
        <v>127</v>
      </c>
    </row>
    <row r="12" spans="1:10" x14ac:dyDescent="0.15">
      <c r="D12" s="3">
        <v>4</v>
      </c>
      <c r="E12" s="6">
        <v>69</v>
      </c>
    </row>
    <row r="13" spans="1:10" x14ac:dyDescent="0.15">
      <c r="A13" s="2" t="s">
        <v>34</v>
      </c>
      <c r="B13" t="s">
        <v>50</v>
      </c>
      <c r="D13" s="3">
        <v>5</v>
      </c>
      <c r="E13" s="6">
        <v>38</v>
      </c>
    </row>
    <row r="14" spans="1:10" x14ac:dyDescent="0.15">
      <c r="A14" s="3" t="s">
        <v>49</v>
      </c>
      <c r="B14" s="6">
        <v>43</v>
      </c>
      <c r="D14" s="3">
        <v>6</v>
      </c>
      <c r="E14" s="6">
        <v>28</v>
      </c>
    </row>
    <row r="15" spans="1:10" x14ac:dyDescent="0.15">
      <c r="A15" s="3" t="s">
        <v>48</v>
      </c>
      <c r="B15" s="6">
        <v>324</v>
      </c>
      <c r="D15" s="3">
        <v>7</v>
      </c>
      <c r="E15" s="6">
        <v>5</v>
      </c>
    </row>
    <row r="16" spans="1:10" x14ac:dyDescent="0.15">
      <c r="A16" s="3" t="s">
        <v>47</v>
      </c>
      <c r="B16" s="6">
        <v>1670</v>
      </c>
      <c r="D16" s="3">
        <v>8</v>
      </c>
      <c r="E16" s="6">
        <v>7</v>
      </c>
    </row>
    <row r="17" spans="1:5" x14ac:dyDescent="0.15">
      <c r="A17" s="3" t="s">
        <v>46</v>
      </c>
      <c r="B17" s="6">
        <v>530</v>
      </c>
      <c r="D17" s="3">
        <v>9</v>
      </c>
      <c r="E17" s="6">
        <v>3</v>
      </c>
    </row>
    <row r="18" spans="1:5" x14ac:dyDescent="0.15">
      <c r="A18" s="3" t="s">
        <v>45</v>
      </c>
      <c r="B18" s="6">
        <v>17</v>
      </c>
      <c r="D18" s="3" t="s">
        <v>35</v>
      </c>
      <c r="E18" s="6">
        <v>2584</v>
      </c>
    </row>
    <row r="19" spans="1:5" x14ac:dyDescent="0.15">
      <c r="A19" s="3" t="s">
        <v>35</v>
      </c>
      <c r="B19" s="6">
        <v>2584</v>
      </c>
    </row>
    <row r="22" spans="1:5" x14ac:dyDescent="0.15">
      <c r="A22" s="2" t="s">
        <v>34</v>
      </c>
      <c r="B22" t="s">
        <v>36</v>
      </c>
      <c r="D22" s="2" t="s">
        <v>34</v>
      </c>
    </row>
    <row r="23" spans="1:5" x14ac:dyDescent="0.15">
      <c r="A23" s="3" t="s">
        <v>20</v>
      </c>
      <c r="B23" s="5">
        <v>4.9346016646848991E-2</v>
      </c>
      <c r="D23" s="3" t="s">
        <v>20</v>
      </c>
    </row>
    <row r="24" spans="1:5" x14ac:dyDescent="0.15">
      <c r="A24" s="3" t="s">
        <v>23</v>
      </c>
      <c r="B24" s="5">
        <v>9.6452328159645231E-2</v>
      </c>
      <c r="D24" s="3" t="s">
        <v>23</v>
      </c>
    </row>
    <row r="25" spans="1:5" x14ac:dyDescent="0.15">
      <c r="A25" s="3" t="s">
        <v>35</v>
      </c>
      <c r="B25" s="5">
        <v>6.5789473684210523E-2</v>
      </c>
      <c r="D25" s="3" t="s">
        <v>35</v>
      </c>
    </row>
    <row r="29" spans="1:5" x14ac:dyDescent="0.15">
      <c r="A29" s="2" t="s">
        <v>34</v>
      </c>
      <c r="B29" t="s">
        <v>38</v>
      </c>
    </row>
    <row r="30" spans="1:5" x14ac:dyDescent="0.15">
      <c r="A30" s="3" t="s">
        <v>20</v>
      </c>
      <c r="B30" s="5">
        <v>6.3924050632911386E-2</v>
      </c>
    </row>
    <row r="31" spans="1:5" x14ac:dyDescent="0.15">
      <c r="A31" s="3" t="s">
        <v>23</v>
      </c>
      <c r="B31" s="5">
        <v>6.903765690376569E-2</v>
      </c>
    </row>
    <row r="32" spans="1:5" x14ac:dyDescent="0.15">
      <c r="A32" s="3" t="s">
        <v>24</v>
      </c>
      <c r="B32" s="5">
        <v>6.25E-2</v>
      </c>
    </row>
    <row r="33" spans="1:2" x14ac:dyDescent="0.15">
      <c r="A33" s="3" t="s">
        <v>35</v>
      </c>
      <c r="B33" s="5">
        <v>6.5789473684210523E-2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12AAF-EDCB-7048-806E-92107E352574}">
  <dimension ref="A1"/>
  <sheetViews>
    <sheetView showGridLines="0" showRowColHeaders="0" tabSelected="1" topLeftCell="A5" zoomScale="120" zoomScaleNormal="120" workbookViewId="0">
      <selection activeCell="H42" sqref="H42"/>
    </sheetView>
  </sheetViews>
  <sheetFormatPr baseColWidth="10" defaultRowHeight="13" x14ac:dyDescent="0.1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csv_result-seismic-bumps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Rodina Amir Mustafa Abd El-Latif</cp:lastModifiedBy>
  <cp:revision>0</cp:revision>
  <dcterms:created xsi:type="dcterms:W3CDTF">2026-10-04T19:13:33Z</dcterms:created>
  <dcterms:modified xsi:type="dcterms:W3CDTF">2026-10-04T19:27:08Z</dcterms:modified>
  <dc:language>en-US</dc:language>
</cp:coreProperties>
</file>